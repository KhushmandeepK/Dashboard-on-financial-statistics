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cm\Desktop\"/>
    </mc:Choice>
  </mc:AlternateContent>
  <xr:revisionPtr revIDLastSave="0" documentId="13_ncr:1_{DF9CB4A0-4639-4FFB-BE97-589FE8BB288B}" xr6:coauthVersionLast="47" xr6:coauthVersionMax="47" xr10:uidLastSave="{00000000-0000-0000-0000-000000000000}"/>
  <bookViews>
    <workbookView xWindow="-120" yWindow="-120" windowWidth="20730" windowHeight="11160" activeTab="2" xr2:uid="{00000000-000D-0000-FFFF-FFFF00000000}"/>
  </bookViews>
  <sheets>
    <sheet name="Income source" sheetId="2" r:id="rId1"/>
    <sheet name="Geographically" sheetId="3" r:id="rId2"/>
    <sheet name="Data Tables" sheetId="1" r:id="rId3"/>
    <sheet name="pivot tables" sheetId="4" r:id="rId4"/>
    <sheet name="Objective" sheetId="6" r:id="rId5"/>
  </sheets>
  <definedNames>
    <definedName name="Slicer_Year">#N/A</definedName>
    <definedName name="Slicer_Year1">#N/A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I5" i="4" l="1"/>
  <c r="CH5" i="4"/>
  <c r="BJ10" i="4"/>
  <c r="BI10" i="4"/>
  <c r="BJ9" i="4"/>
  <c r="BI9" i="4"/>
  <c r="BJ8" i="4"/>
  <c r="BI8" i="4"/>
  <c r="BJ7" i="4"/>
  <c r="BI7" i="4"/>
  <c r="BJ6" i="4"/>
  <c r="BI6" i="4"/>
  <c r="BJ5" i="4"/>
  <c r="BI5" i="4"/>
  <c r="BG6" i="4"/>
  <c r="BH6" i="4"/>
  <c r="BG7" i="4"/>
  <c r="BH7" i="4"/>
  <c r="BG8" i="4"/>
  <c r="BH8" i="4"/>
  <c r="BG9" i="4"/>
  <c r="BH9" i="4"/>
  <c r="BG10" i="4"/>
  <c r="BH10" i="4"/>
  <c r="BH5" i="4"/>
  <c r="BG5" i="4"/>
  <c r="BS6" i="4"/>
  <c r="BS7" i="4"/>
  <c r="BS8" i="4"/>
  <c r="BS9" i="4"/>
  <c r="BS10" i="4"/>
  <c r="BS5" i="4"/>
  <c r="BR6" i="4"/>
  <c r="BR7" i="4"/>
  <c r="BR8" i="4"/>
  <c r="BR9" i="4"/>
  <c r="BR10" i="4"/>
  <c r="BR5" i="4"/>
  <c r="AQ7" i="4"/>
  <c r="AQ8" i="4"/>
  <c r="AP8" i="4"/>
  <c r="AP7" i="4"/>
  <c r="AB7" i="4"/>
  <c r="O8" i="4"/>
  <c r="O9" i="4"/>
  <c r="O10" i="4"/>
  <c r="O11" i="4"/>
  <c r="O12" i="4"/>
  <c r="O7" i="4"/>
  <c r="N7" i="4"/>
  <c r="N8" i="4"/>
  <c r="N9" i="4"/>
  <c r="N10" i="4"/>
  <c r="N11" i="4"/>
  <c r="N12" i="4"/>
  <c r="F26" i="2"/>
  <c r="K8" i="4"/>
  <c r="K9" i="4"/>
  <c r="K10" i="4"/>
  <c r="K11" i="4"/>
  <c r="K12" i="4"/>
  <c r="K7" i="4"/>
  <c r="BO6" i="4"/>
  <c r="BY5" i="4"/>
  <c r="T7" i="4"/>
  <c r="AH7" i="4"/>
  <c r="CE6" i="4" l="1"/>
  <c r="CF6" i="4"/>
  <c r="CG6" i="4"/>
  <c r="CH6" i="4"/>
  <c r="CC6" i="4"/>
  <c r="BX5" i="4"/>
  <c r="CB6" i="4" s="1"/>
  <c r="U7" i="4"/>
  <c r="M10" i="4"/>
  <c r="M12" i="4"/>
  <c r="M11" i="4"/>
  <c r="M7" i="4"/>
  <c r="M9" i="4"/>
  <c r="M8" i="4"/>
  <c r="L10" i="4"/>
  <c r="L7" i="4"/>
  <c r="L12" i="4"/>
  <c r="L9" i="4"/>
  <c r="L8" i="4"/>
  <c r="L11" i="4"/>
</calcChain>
</file>

<file path=xl/sharedStrings.xml><?xml version="1.0" encoding="utf-8"?>
<sst xmlns="http://schemas.openxmlformats.org/spreadsheetml/2006/main" count="3755" uniqueCount="82">
  <si>
    <t>Jan</t>
  </si>
  <si>
    <t>Feb</t>
  </si>
  <si>
    <t>Mar</t>
  </si>
  <si>
    <t>Apr</t>
  </si>
  <si>
    <t>May</t>
  </si>
  <si>
    <t>Jun</t>
  </si>
  <si>
    <t>Jul</t>
  </si>
  <si>
    <t>Aug</t>
  </si>
  <si>
    <t>Sep</t>
  </si>
  <si>
    <t>Oct</t>
  </si>
  <si>
    <t>Nov</t>
  </si>
  <si>
    <t>Dec</t>
  </si>
  <si>
    <t>Usage fees</t>
  </si>
  <si>
    <t>Renting</t>
  </si>
  <si>
    <t>Licensing</t>
  </si>
  <si>
    <t>Advertising</t>
  </si>
  <si>
    <t>Year</t>
  </si>
  <si>
    <t>Month</t>
  </si>
  <si>
    <t>Income sources</t>
  </si>
  <si>
    <t>Income Breakdowns</t>
  </si>
  <si>
    <t>Counts</t>
  </si>
  <si>
    <t>Income</t>
  </si>
  <si>
    <t>Target Income</t>
  </si>
  <si>
    <t>Youtube Channel</t>
  </si>
  <si>
    <t>Google Ad</t>
  </si>
  <si>
    <t>Company Website</t>
  </si>
  <si>
    <t>Facebook Page</t>
  </si>
  <si>
    <t>Television Ad</t>
  </si>
  <si>
    <t xml:space="preserve">New </t>
  </si>
  <si>
    <t>Renewal</t>
  </si>
  <si>
    <t>Prime</t>
  </si>
  <si>
    <t>Premium</t>
  </si>
  <si>
    <t>Asset sale</t>
  </si>
  <si>
    <t>Offices</t>
  </si>
  <si>
    <t>Lands</t>
  </si>
  <si>
    <t>Equipments</t>
  </si>
  <si>
    <t>Software Metered License</t>
  </si>
  <si>
    <t>Floating License</t>
  </si>
  <si>
    <t>Subscription</t>
  </si>
  <si>
    <t>operating profit</t>
  </si>
  <si>
    <t>B2B</t>
  </si>
  <si>
    <t>Marketing Strategies</t>
  </si>
  <si>
    <t>B2C</t>
  </si>
  <si>
    <t>Country</t>
  </si>
  <si>
    <t>Amount</t>
  </si>
  <si>
    <t>Target</t>
  </si>
  <si>
    <t>Egypt</t>
  </si>
  <si>
    <t>USA</t>
  </si>
  <si>
    <t>Russia</t>
  </si>
  <si>
    <t>United Kingdom</t>
  </si>
  <si>
    <t>Brazil</t>
  </si>
  <si>
    <t>Canada</t>
  </si>
  <si>
    <t>Row Labels</t>
  </si>
  <si>
    <t>Grand Total</t>
  </si>
  <si>
    <t>Sum of Income</t>
  </si>
  <si>
    <t>Sum of Income2</t>
  </si>
  <si>
    <t>X</t>
  </si>
  <si>
    <t>Y</t>
  </si>
  <si>
    <t>Max</t>
  </si>
  <si>
    <t>Without Max</t>
  </si>
  <si>
    <t xml:space="preserve"> </t>
  </si>
  <si>
    <t>Sum of Target Income</t>
  </si>
  <si>
    <t>Sum of Counts</t>
  </si>
  <si>
    <t>Sum of Counts2</t>
  </si>
  <si>
    <t>Count</t>
  </si>
  <si>
    <t>Count %</t>
  </si>
  <si>
    <t>Avg. Income by Month</t>
  </si>
  <si>
    <t>Sum of operating profit</t>
  </si>
  <si>
    <t>Operating Profits</t>
  </si>
  <si>
    <t>Sum of Amount</t>
  </si>
  <si>
    <t>Sum of Amount2</t>
  </si>
  <si>
    <t>Geographically</t>
  </si>
  <si>
    <t>Total Sales</t>
  </si>
  <si>
    <t>Sum of Target</t>
  </si>
  <si>
    <t>Remaining Percentage</t>
  </si>
  <si>
    <t>Actual</t>
  </si>
  <si>
    <t>Highest  Country</t>
  </si>
  <si>
    <t>Non-Highest</t>
  </si>
  <si>
    <t>Payroll taxes</t>
  </si>
  <si>
    <t>Property Taxes</t>
  </si>
  <si>
    <t>Excise Taxes</t>
  </si>
  <si>
    <t>Total taxes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</si>
</sst>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_(* #,##0_);_(* \(#,##0\);_(* &quot;-&quot;??_);_(@_)"/>
    <numFmt numFmtId="166" formatCode="[$$-C09]#,##0"/>
    <numFmt numFmtId="167" formatCode="0.0%"/>
  </numFmts>
  <fonts count="18" x14ac:knownFonts="1">
    <font>
      <sz val="11"/>
      <color theme="1"/>
      <name val="Calibri"/>
      <family val="2"/>
      <scheme val="minor"/>
    </font>
    <font>
      <sz val="11"/>
      <color theme="1"/>
      <name val="Calibri"/>
      <family val="2"/>
      <scheme val="minor"/>
    </font>
    <font>
      <b/>
      <sz val="11"/>
      <color theme="0"/>
      <name val="Arial"/>
      <family val="2"/>
    </font>
    <font>
      <sz val="8"/>
      <name val="Calibri"/>
      <family val="2"/>
      <scheme val="minor"/>
    </font>
    <font>
      <sz val="11"/>
      <color theme="0"/>
      <name val="Arial"/>
      <family val="2"/>
    </font>
    <font>
      <sz val="11"/>
      <color theme="1"/>
      <name val="Arial"/>
      <family val="2"/>
    </font>
    <font>
      <sz val="11"/>
      <color theme="6" tint="-0.249977111117893"/>
      <name val="Arial"/>
      <family val="2"/>
    </font>
    <font>
      <sz val="11"/>
      <color theme="1" tint="0.14999847407452621"/>
      <name val="Arial"/>
      <family val="2"/>
    </font>
    <font>
      <sz val="20"/>
      <color rgb="FFFFFF00"/>
      <name val="Berlin Sans FB"/>
      <family val="2"/>
    </font>
    <font>
      <sz val="11"/>
      <color theme="0"/>
      <name val="Calibri"/>
      <family val="2"/>
      <scheme val="minor"/>
    </font>
    <font>
      <b/>
      <sz val="11"/>
      <color theme="1"/>
      <name val="Calibri"/>
      <family val="2"/>
      <scheme val="minor"/>
    </font>
    <font>
      <sz val="14"/>
      <color theme="0"/>
      <name val="Arial"/>
      <family val="2"/>
    </font>
    <font>
      <sz val="16"/>
      <color rgb="FFC240D8"/>
      <name val="Arial"/>
      <family val="2"/>
    </font>
    <font>
      <sz val="16"/>
      <color rgb="FF5A097C"/>
      <name val="Arial"/>
      <family val="2"/>
    </font>
    <font>
      <sz val="16"/>
      <color rgb="FF0F11A7"/>
      <name val="Arial"/>
      <family val="2"/>
    </font>
    <font>
      <sz val="16"/>
      <color rgb="FF296EFC"/>
      <name val="Arial"/>
      <family val="2"/>
    </font>
    <font>
      <sz val="11"/>
      <color theme="1"/>
      <name val="Arial"/>
    </font>
    <font>
      <sz val="11"/>
      <color theme="1" tint="0.14999847407452621"/>
      <name val="Arial"/>
    </font>
  </fonts>
  <fills count="8">
    <fill>
      <patternFill patternType="none"/>
    </fill>
    <fill>
      <patternFill patternType="gray125"/>
    </fill>
    <fill>
      <patternFill patternType="solid">
        <fgColor rgb="FF5A2BCB"/>
        <bgColor indexed="64"/>
      </patternFill>
    </fill>
    <fill>
      <patternFill patternType="solid">
        <fgColor rgb="FFCC0E62"/>
        <bgColor indexed="64"/>
      </patternFill>
    </fill>
    <fill>
      <patternFill patternType="solid">
        <fgColor theme="1"/>
        <bgColor indexed="64"/>
      </patternFill>
    </fill>
    <fill>
      <patternFill patternType="solid">
        <fgColor rgb="FF194AFE"/>
        <bgColor indexed="64"/>
      </patternFill>
    </fill>
    <fill>
      <patternFill patternType="solid">
        <fgColor rgb="FF8989BC"/>
        <bgColor indexed="64"/>
      </patternFill>
    </fill>
    <fill>
      <patternFill patternType="solid">
        <fgColor rgb="FF252253"/>
        <bgColor indexed="64"/>
      </patternFill>
    </fill>
  </fills>
  <borders count="10">
    <border>
      <left/>
      <right/>
      <top/>
      <bottom/>
      <diagonal/>
    </border>
    <border>
      <left/>
      <right/>
      <top style="thin">
        <color theme="0" tint="-0.14999847407452621"/>
      </top>
      <bottom style="thin">
        <color theme="0" tint="-0.1499984740745262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79">
    <xf numFmtId="0" fontId="0" fillId="0" borderId="0" xfId="0"/>
    <xf numFmtId="0" fontId="0" fillId="0" borderId="0" xfId="0" applyAlignment="1">
      <alignment horizontal="center" vertical="center"/>
    </xf>
    <xf numFmtId="0" fontId="0" fillId="0" borderId="0" xfId="0" applyFont="1" applyBorder="1" applyAlignment="1">
      <alignment horizontal="center" vertical="center"/>
    </xf>
    <xf numFmtId="0" fontId="0" fillId="0" borderId="0" xfId="0" applyFont="1" applyBorder="1" applyAlignment="1">
      <alignment horizontal="left"/>
    </xf>
    <xf numFmtId="165" fontId="0" fillId="0" borderId="0" xfId="0" applyNumberFormat="1" applyFont="1" applyBorder="1"/>
    <xf numFmtId="165" fontId="0" fillId="0" borderId="0" xfId="0" applyNumberFormat="1" applyFont="1" applyBorder="1" applyAlignment="1">
      <alignment horizontal="center" vertical="center"/>
    </xf>
    <xf numFmtId="0" fontId="0" fillId="0" borderId="0" xfId="0" applyFont="1" applyBorder="1" applyAlignment="1">
      <alignment horizontal="left" vertical="center"/>
    </xf>
    <xf numFmtId="165" fontId="0" fillId="0" borderId="0" xfId="1" applyNumberFormat="1" applyFont="1" applyFill="1" applyBorder="1" applyAlignment="1">
      <alignment horizontal="center" vertical="center"/>
    </xf>
    <xf numFmtId="165" fontId="0" fillId="0" borderId="0" xfId="1" applyNumberFormat="1" applyFont="1" applyFill="1" applyBorder="1"/>
    <xf numFmtId="0" fontId="2" fillId="2" borderId="0" xfId="0" applyFont="1" applyFill="1" applyBorder="1" applyAlignment="1">
      <alignment horizontal="center" vertical="center"/>
    </xf>
    <xf numFmtId="0" fontId="4" fillId="3" borderId="0" xfId="0" applyFont="1" applyFill="1" applyAlignment="1">
      <alignment horizontal="center" vertical="center"/>
    </xf>
    <xf numFmtId="0" fontId="2" fillId="3" borderId="0" xfId="0" applyFont="1" applyFill="1" applyAlignment="1">
      <alignment horizontal="center" vertical="center"/>
    </xf>
    <xf numFmtId="0" fontId="5" fillId="0" borderId="0" xfId="0" applyFont="1" applyAlignment="1">
      <alignment horizontal="center" vertical="center"/>
    </xf>
    <xf numFmtId="1" fontId="6" fillId="0" borderId="0" xfId="0" applyNumberFormat="1" applyFont="1" applyAlignment="1">
      <alignment horizontal="center" vertical="center"/>
    </xf>
    <xf numFmtId="1" fontId="5" fillId="0" borderId="0" xfId="0" applyNumberFormat="1" applyFont="1" applyAlignment="1">
      <alignment horizontal="center" vertical="center"/>
    </xf>
    <xf numFmtId="0" fontId="0" fillId="4" borderId="0" xfId="0" applyFill="1"/>
    <xf numFmtId="0" fontId="5" fillId="0" borderId="0" xfId="0" applyFont="1" applyAlignment="1">
      <alignment vertical="center"/>
    </xf>
    <xf numFmtId="0" fontId="7" fillId="0" borderId="0" xfId="0" applyFont="1" applyAlignment="1">
      <alignment vertical="center"/>
    </xf>
    <xf numFmtId="0" fontId="7" fillId="0" borderId="1" xfId="0" applyFont="1" applyBorder="1" applyAlignment="1">
      <alignment horizontal="left" vertical="center"/>
    </xf>
    <xf numFmtId="0" fontId="4" fillId="4" borderId="0" xfId="0" applyFont="1" applyFill="1" applyAlignment="1">
      <alignment horizontal="center" vertical="center"/>
    </xf>
    <xf numFmtId="164" fontId="7" fillId="0" borderId="0" xfId="1" applyFont="1" applyAlignment="1">
      <alignment vertical="center"/>
    </xf>
    <xf numFmtId="9" fontId="7" fillId="0" borderId="0" xfId="2" applyFont="1" applyAlignment="1">
      <alignment vertical="center"/>
    </xf>
    <xf numFmtId="165" fontId="0" fillId="4" borderId="0" xfId="0" applyNumberFormat="1" applyFill="1"/>
    <xf numFmtId="165" fontId="7" fillId="0" borderId="0" xfId="1" applyNumberFormat="1" applyFont="1" applyAlignment="1">
      <alignment vertical="center"/>
    </xf>
    <xf numFmtId="0" fontId="8" fillId="4" borderId="0" xfId="0" applyFont="1" applyFill="1"/>
    <xf numFmtId="165" fontId="5" fillId="0" borderId="0" xfId="0" applyNumberFormat="1" applyFont="1" applyAlignment="1">
      <alignment vertical="center"/>
    </xf>
    <xf numFmtId="0" fontId="4" fillId="4" borderId="2" xfId="0" applyFont="1" applyFill="1" applyBorder="1" applyAlignment="1">
      <alignment horizontal="center" vertical="center"/>
    </xf>
    <xf numFmtId="165" fontId="5" fillId="0" borderId="3" xfId="0" applyNumberFormat="1" applyFont="1" applyBorder="1" applyAlignment="1">
      <alignment vertical="center"/>
    </xf>
    <xf numFmtId="10" fontId="5" fillId="0" borderId="4" xfId="2" applyNumberFormat="1" applyFont="1" applyBorder="1" applyAlignment="1">
      <alignment vertical="center"/>
    </xf>
    <xf numFmtId="0" fontId="4" fillId="4" borderId="5" xfId="0" applyFont="1" applyFill="1" applyBorder="1" applyAlignment="1">
      <alignment horizontal="center" vertical="center"/>
    </xf>
    <xf numFmtId="165" fontId="5" fillId="0" borderId="6" xfId="0" applyNumberFormat="1" applyFont="1" applyBorder="1" applyAlignment="1">
      <alignment vertical="center"/>
    </xf>
    <xf numFmtId="10" fontId="5" fillId="0" borderId="7" xfId="2" applyNumberFormat="1" applyFont="1" applyBorder="1" applyAlignment="1">
      <alignment vertical="center"/>
    </xf>
    <xf numFmtId="0" fontId="4" fillId="5" borderId="0" xfId="0" applyFont="1" applyFill="1" applyAlignment="1">
      <alignment vertical="center"/>
    </xf>
    <xf numFmtId="0" fontId="9" fillId="4" borderId="0" xfId="0" applyFont="1" applyFill="1"/>
    <xf numFmtId="0" fontId="9" fillId="4" borderId="0" xfId="0" applyFont="1" applyFill="1" applyAlignment="1">
      <alignment horizontal="left"/>
    </xf>
    <xf numFmtId="0" fontId="9" fillId="4" borderId="0" xfId="0" applyNumberFormat="1" applyFont="1" applyFill="1"/>
    <xf numFmtId="10" fontId="9" fillId="4" borderId="0" xfId="0" applyNumberFormat="1" applyFont="1" applyFill="1"/>
    <xf numFmtId="0" fontId="2" fillId="6" borderId="0" xfId="0" applyFont="1" applyFill="1" applyAlignment="1">
      <alignment horizontal="center" vertical="center"/>
    </xf>
    <xf numFmtId="166" fontId="5" fillId="0" borderId="6" xfId="1" applyNumberFormat="1" applyFont="1" applyBorder="1" applyAlignment="1">
      <alignment vertical="center"/>
    </xf>
    <xf numFmtId="9" fontId="5" fillId="0" borderId="0" xfId="2" applyFont="1" applyAlignment="1">
      <alignment vertical="center"/>
    </xf>
    <xf numFmtId="9" fontId="5" fillId="0" borderId="0" xfId="0" applyNumberFormat="1" applyFont="1" applyAlignment="1">
      <alignment vertical="center"/>
    </xf>
    <xf numFmtId="0" fontId="0" fillId="7" borderId="0" xfId="0" applyFill="1"/>
    <xf numFmtId="0" fontId="10" fillId="7" borderId="0" xfId="0" applyFont="1" applyFill="1"/>
    <xf numFmtId="9" fontId="5" fillId="0" borderId="0" xfId="2" applyFont="1" applyBorder="1" applyAlignment="1">
      <alignment vertical="center"/>
    </xf>
    <xf numFmtId="9" fontId="5" fillId="0" borderId="3" xfId="2" applyFont="1" applyBorder="1" applyAlignment="1">
      <alignment vertical="center"/>
    </xf>
    <xf numFmtId="9" fontId="5" fillId="0" borderId="6" xfId="2" applyFont="1" applyBorder="1" applyAlignment="1">
      <alignment vertical="center"/>
    </xf>
    <xf numFmtId="0" fontId="4" fillId="4" borderId="2" xfId="0" applyFont="1" applyFill="1" applyBorder="1" applyAlignment="1">
      <alignment vertical="center"/>
    </xf>
    <xf numFmtId="0" fontId="4" fillId="4" borderId="8" xfId="0" applyFont="1" applyFill="1" applyBorder="1" applyAlignment="1">
      <alignment vertical="center"/>
    </xf>
    <xf numFmtId="0" fontId="4" fillId="4" borderId="5" xfId="0" applyFont="1" applyFill="1" applyBorder="1" applyAlignment="1">
      <alignment vertical="center"/>
    </xf>
    <xf numFmtId="165" fontId="11" fillId="4" borderId="4" xfId="1" applyNumberFormat="1" applyFont="1" applyFill="1" applyBorder="1" applyAlignment="1">
      <alignment vertical="center"/>
    </xf>
    <xf numFmtId="165" fontId="11" fillId="4" borderId="9" xfId="1" applyNumberFormat="1" applyFont="1" applyFill="1" applyBorder="1" applyAlignment="1">
      <alignment vertical="center"/>
    </xf>
    <xf numFmtId="165" fontId="11" fillId="4" borderId="7" xfId="1" applyNumberFormat="1" applyFont="1" applyFill="1" applyBorder="1" applyAlignment="1">
      <alignment vertical="center"/>
    </xf>
    <xf numFmtId="0" fontId="5" fillId="0" borderId="2" xfId="0" applyFont="1" applyBorder="1" applyAlignment="1">
      <alignment vertical="center"/>
    </xf>
    <xf numFmtId="0" fontId="5" fillId="0" borderId="8" xfId="0" applyFont="1" applyBorder="1" applyAlignment="1">
      <alignment vertical="center"/>
    </xf>
    <xf numFmtId="0" fontId="5" fillId="0" borderId="5" xfId="0" applyFont="1" applyBorder="1" applyAlignment="1">
      <alignment vertical="center"/>
    </xf>
    <xf numFmtId="0" fontId="2" fillId="6" borderId="0" xfId="0" applyFont="1" applyFill="1" applyAlignment="1">
      <alignment horizontal="left" vertical="center"/>
    </xf>
    <xf numFmtId="0" fontId="12" fillId="0" borderId="3" xfId="0" applyFont="1" applyFill="1" applyBorder="1" applyAlignment="1">
      <alignment horizontal="center" vertical="center"/>
    </xf>
    <xf numFmtId="0" fontId="12" fillId="0" borderId="0" xfId="0" applyFont="1" applyFill="1" applyBorder="1" applyAlignment="1">
      <alignment horizontal="center" vertical="center"/>
    </xf>
    <xf numFmtId="0" fontId="12" fillId="0" borderId="6" xfId="0" applyFont="1" applyFill="1" applyBorder="1" applyAlignment="1">
      <alignment horizontal="center" vertical="center"/>
    </xf>
    <xf numFmtId="0" fontId="13" fillId="0" borderId="3"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6" xfId="0" applyFont="1" applyFill="1" applyBorder="1" applyAlignment="1">
      <alignment horizontal="center" vertical="center"/>
    </xf>
    <xf numFmtId="0" fontId="14" fillId="0" borderId="2" xfId="0" applyFont="1" applyBorder="1" applyAlignment="1">
      <alignment horizontal="center" vertical="center"/>
    </xf>
    <xf numFmtId="0" fontId="14" fillId="0" borderId="8" xfId="0" applyFont="1" applyBorder="1" applyAlignment="1">
      <alignment horizontal="center" vertical="center"/>
    </xf>
    <xf numFmtId="0" fontId="14" fillId="0" borderId="5" xfId="0" applyFont="1" applyBorder="1" applyAlignment="1">
      <alignment horizontal="center" vertical="center"/>
    </xf>
    <xf numFmtId="0" fontId="15" fillId="0" borderId="4" xfId="0" applyFont="1" applyBorder="1" applyAlignment="1">
      <alignment horizontal="center" vertical="center"/>
    </xf>
    <xf numFmtId="0" fontId="15" fillId="0" borderId="9" xfId="0" applyFont="1" applyBorder="1" applyAlignment="1">
      <alignment horizontal="center" vertical="center"/>
    </xf>
    <xf numFmtId="0" fontId="15" fillId="0" borderId="7" xfId="0" applyFont="1" applyBorder="1" applyAlignment="1">
      <alignment horizontal="center" vertical="center"/>
    </xf>
    <xf numFmtId="167" fontId="5" fillId="0" borderId="0" xfId="2" applyNumberFormat="1" applyFont="1" applyAlignment="1">
      <alignment vertical="center"/>
    </xf>
    <xf numFmtId="166" fontId="5" fillId="0" borderId="0" xfId="0" applyNumberFormat="1" applyFont="1" applyAlignment="1">
      <alignment vertical="center"/>
    </xf>
    <xf numFmtId="9" fontId="2" fillId="6" borderId="0" xfId="0" applyNumberFormat="1" applyFont="1" applyFill="1" applyAlignment="1">
      <alignment horizontal="center" vertical="center"/>
    </xf>
    <xf numFmtId="0" fontId="16" fillId="0" borderId="0" xfId="0" pivotButton="1" applyFont="1" applyAlignment="1">
      <alignment vertical="center"/>
    </xf>
    <xf numFmtId="0" fontId="16" fillId="0" borderId="0" xfId="0" applyFont="1" applyAlignment="1">
      <alignment vertical="center"/>
    </xf>
    <xf numFmtId="0" fontId="16" fillId="0" borderId="0" xfId="0" applyFont="1" applyAlignment="1">
      <alignment horizontal="left" vertical="center"/>
    </xf>
    <xf numFmtId="0" fontId="17" fillId="0" borderId="0" xfId="0" applyNumberFormat="1" applyFont="1" applyAlignment="1">
      <alignment vertical="center"/>
    </xf>
    <xf numFmtId="10" fontId="17" fillId="0" borderId="0" xfId="0" applyNumberFormat="1" applyFont="1" applyAlignment="1">
      <alignment vertical="center"/>
    </xf>
    <xf numFmtId="0" fontId="17" fillId="0" borderId="0" xfId="0" applyFont="1" applyAlignment="1">
      <alignment horizontal="left" vertical="center"/>
    </xf>
    <xf numFmtId="1" fontId="17" fillId="0" borderId="0" xfId="0" applyNumberFormat="1" applyFont="1" applyAlignment="1">
      <alignment vertical="center"/>
    </xf>
    <xf numFmtId="165" fontId="17" fillId="0" borderId="0" xfId="0" applyNumberFormat="1" applyFont="1" applyAlignment="1">
      <alignment vertical="center"/>
    </xf>
  </cellXfs>
  <cellStyles count="3">
    <cellStyle name="Comma" xfId="1" builtinId="3"/>
    <cellStyle name="Normal" xfId="0" builtinId="0"/>
    <cellStyle name="Percent" xfId="2" builtinId="5"/>
  </cellStyles>
  <dxfs count="134">
    <dxf>
      <numFmt numFmtId="165" formatCode="_(* #,##0_);_(* \(#,##0\);_(* &quot;-&quot;??_);_(@_)"/>
    </dxf>
    <dxf>
      <font>
        <color theme="1" tint="0.14999847407452621"/>
      </font>
    </dxf>
    <dxf>
      <font>
        <color theme="1" tint="0.14999847407452621"/>
      </font>
    </dxf>
    <dxf>
      <alignment vertical="center"/>
    </dxf>
    <dxf>
      <alignment vertical="center"/>
    </dxf>
    <dxf>
      <alignment vertical="center"/>
    </dxf>
    <dxf>
      <alignment vertical="center"/>
    </dxf>
    <dxf>
      <font>
        <name val="Arial"/>
        <scheme val="none"/>
      </font>
    </dxf>
    <dxf>
      <font>
        <name val="Arial"/>
        <scheme val="none"/>
      </font>
    </dxf>
    <dxf>
      <font>
        <name val="Arial"/>
        <scheme val="none"/>
      </font>
    </dxf>
    <dxf>
      <font>
        <name val="Arial"/>
        <scheme val="none"/>
      </font>
    </dxf>
    <dxf>
      <numFmt numFmtId="14" formatCode="0.00%"/>
    </dxf>
    <dxf>
      <numFmt numFmtId="1" formatCode="0"/>
    </dxf>
    <dxf>
      <font>
        <color theme="1" tint="0.14999847407452621"/>
      </font>
    </dxf>
    <dxf>
      <font>
        <color theme="1" tint="0.14999847407452621"/>
      </font>
    </dxf>
    <dxf>
      <font>
        <color theme="1" tint="0.14999847407452621"/>
      </font>
    </dxf>
    <dxf>
      <alignment vertical="center"/>
    </dxf>
    <dxf>
      <alignment vertical="center"/>
    </dxf>
    <dxf>
      <alignment vertical="center"/>
    </dxf>
    <dxf>
      <alignment vertical="center"/>
    </dxf>
    <dxf>
      <alignment vertical="center"/>
    </dxf>
    <dxf>
      <alignment vertical="center"/>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65" formatCode="_(* #,##0_);_(* \(#,##0\);_(* &quot;-&quot;??_);_(@_)"/>
    </dxf>
    <dxf>
      <font>
        <color theme="1" tint="0.14999847407452621"/>
      </font>
    </dxf>
    <dxf>
      <font>
        <color theme="1" tint="0.14999847407452621"/>
      </font>
    </dxf>
    <dxf>
      <alignment vertical="center"/>
    </dxf>
    <dxf>
      <alignment vertical="center"/>
    </dxf>
    <dxf>
      <alignment vertical="center"/>
    </dxf>
    <dxf>
      <alignment vertical="center"/>
    </dxf>
    <dxf>
      <alignment vertical="center"/>
    </dxf>
    <dxf>
      <font>
        <name val="Arial"/>
        <scheme val="none"/>
      </font>
    </dxf>
    <dxf>
      <font>
        <name val="Arial"/>
        <scheme val="none"/>
      </font>
    </dxf>
    <dxf>
      <font>
        <name val="Arial"/>
        <scheme val="none"/>
      </font>
    </dxf>
    <dxf>
      <font>
        <name val="Arial"/>
        <scheme val="none"/>
      </font>
    </dxf>
    <dxf>
      <font>
        <name val="Arial"/>
        <scheme val="none"/>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ont>
        <color theme="0"/>
      </font>
    </dxf>
    <dxf>
      <font>
        <color theme="0"/>
      </font>
    </dxf>
    <dxf>
      <font>
        <color theme="0"/>
      </font>
    </dxf>
    <dxf>
      <numFmt numFmtId="14" formatCode="0.00%"/>
    </dxf>
    <dxf>
      <numFmt numFmtId="165" formatCode="_(* #,##0_);_(* \(#,##0\);_(* &quot;-&quot;??_);_(@_)"/>
    </dxf>
    <dxf>
      <font>
        <color theme="1" tint="0.14999847407452621"/>
      </font>
    </dxf>
    <dxf>
      <font>
        <color theme="1" tint="0.14999847407452621"/>
      </font>
    </dxf>
    <dxf>
      <alignment vertical="center"/>
    </dxf>
    <dxf>
      <alignment vertical="center"/>
    </dxf>
    <dxf>
      <alignment vertical="center"/>
    </dxf>
    <dxf>
      <alignment vertical="center"/>
    </dxf>
    <dxf>
      <font>
        <name val="Arial"/>
        <scheme val="none"/>
      </font>
    </dxf>
    <dxf>
      <font>
        <name val="Arial"/>
        <scheme val="none"/>
      </font>
    </dxf>
    <dxf>
      <font>
        <name val="Arial"/>
        <scheme val="none"/>
      </font>
    </dxf>
    <dxf>
      <font>
        <name val="Arial"/>
        <scheme val="none"/>
      </font>
    </dxf>
    <dxf>
      <numFmt numFmtId="14" formatCode="0.00%"/>
    </dxf>
    <dxf>
      <numFmt numFmtId="165" formatCode="_(* #,##0_);_(* \(#,##0\);_(* &quot;-&quot;??_);_(@_)"/>
    </dxf>
    <dxf>
      <font>
        <color theme="1" tint="0.14999847407452621"/>
      </font>
    </dxf>
    <dxf>
      <font>
        <color theme="1" tint="0.14999847407452621"/>
      </font>
    </dxf>
    <dxf>
      <alignment vertical="center"/>
    </dxf>
    <dxf>
      <alignment vertical="center"/>
    </dxf>
    <dxf>
      <alignment vertical="center"/>
    </dxf>
    <dxf>
      <alignment vertical="center"/>
    </dxf>
    <dxf>
      <font>
        <name val="Arial"/>
        <scheme val="none"/>
      </font>
    </dxf>
    <dxf>
      <font>
        <name val="Arial"/>
        <scheme val="none"/>
      </font>
    </dxf>
    <dxf>
      <font>
        <name val="Arial"/>
        <scheme val="none"/>
      </font>
    </dxf>
    <dxf>
      <font>
        <name val="Arial"/>
        <scheme val="none"/>
      </font>
    </dxf>
    <dxf>
      <numFmt numFmtId="165" formatCode="_(* #,##0_);_(* \(#,##0\);_(* &quot;-&quot;??_);_(@_)"/>
    </dxf>
    <dxf>
      <font>
        <color theme="1" tint="0.14999847407452621"/>
      </font>
    </dxf>
    <dxf>
      <font>
        <color theme="1" tint="0.14999847407452621"/>
      </font>
    </dxf>
    <dxf>
      <alignment vertical="center"/>
    </dxf>
    <dxf>
      <alignment vertical="center"/>
    </dxf>
    <dxf>
      <alignment vertical="center"/>
    </dxf>
    <dxf>
      <alignment vertical="center"/>
    </dxf>
    <dxf>
      <alignment vertical="center"/>
    </dxf>
    <dxf>
      <font>
        <name val="Arial"/>
        <scheme val="none"/>
      </font>
    </dxf>
    <dxf>
      <font>
        <name val="Arial"/>
        <scheme val="none"/>
      </font>
    </dxf>
    <dxf>
      <font>
        <name val="Arial"/>
        <scheme val="none"/>
      </font>
    </dxf>
    <dxf>
      <font>
        <name val="Arial"/>
        <scheme val="none"/>
      </font>
    </dxf>
    <dxf>
      <font>
        <name val="Arial"/>
        <scheme val="none"/>
      </font>
    </dxf>
    <dxf>
      <font>
        <b val="0"/>
        <i val="0"/>
        <strike val="0"/>
        <condense val="0"/>
        <extend val="0"/>
        <outline val="0"/>
        <shadow val="0"/>
        <u val="none"/>
        <vertAlign val="baseline"/>
        <sz val="11"/>
        <color theme="1"/>
        <name val="Arial"/>
        <family val="2"/>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 formatCode="0"/>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Arial"/>
        <family val="2"/>
        <scheme val="none"/>
      </font>
      <fill>
        <patternFill patternType="solid">
          <fgColor indexed="64"/>
          <bgColor rgb="FFCC0E6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border outline="0">
        <top style="thin">
          <color theme="6"/>
        </top>
      </border>
    </dxf>
    <dxf>
      <font>
        <strike val="0"/>
        <outline val="0"/>
        <shadow val="0"/>
        <u val="none"/>
        <vertAlign val="baseline"/>
        <sz val="11"/>
        <color theme="1"/>
        <name val="Calibri"/>
        <family val="2"/>
        <scheme val="minor"/>
      </font>
    </dxf>
    <dxf>
      <border outline="0">
        <bottom style="thin">
          <color theme="6"/>
        </bottom>
      </border>
    </dxf>
    <dxf>
      <font>
        <b/>
        <i val="0"/>
        <strike val="0"/>
        <condense val="0"/>
        <extend val="0"/>
        <outline val="0"/>
        <shadow val="0"/>
        <u val="none"/>
        <vertAlign val="baseline"/>
        <sz val="11"/>
        <color theme="0"/>
        <name val="Arial"/>
        <family val="2"/>
        <scheme val="none"/>
      </font>
      <fill>
        <patternFill patternType="solid">
          <fgColor indexed="64"/>
          <bgColor rgb="FF5A2BCB"/>
        </patternFill>
      </fill>
      <alignment horizontal="center" vertical="center" textRotation="0" wrapText="0" indent="0" justifyLastLine="0" shrinkToFit="0" readingOrder="0"/>
    </dxf>
    <dxf>
      <font>
        <b/>
        <color theme="1"/>
      </font>
      <fill>
        <patternFill patternType="solid">
          <fgColor auto="1"/>
          <bgColor theme="3" tint="-0.24994659260841701"/>
        </patternFill>
      </fill>
      <border diagonalUp="0" diagonalDown="0">
        <left/>
        <right/>
        <top/>
        <bottom/>
        <vertical/>
        <horizontal/>
      </border>
    </dxf>
    <dxf>
      <font>
        <color theme="1"/>
      </font>
      <fill>
        <patternFill patternType="solid">
          <fgColor auto="1"/>
          <bgColor theme="1"/>
        </patternFill>
      </fill>
      <border diagonalUp="0" diagonalDown="0">
        <left/>
        <right/>
        <top/>
        <bottom/>
        <vertical/>
        <horizontal/>
      </border>
    </dxf>
    <dxf>
      <border>
        <top style="thin">
          <color theme="6" tint="0.79998168889431442"/>
        </top>
        <bottom style="thin">
          <color theme="6" tint="0.79998168889431442"/>
        </bottom>
      </border>
    </dxf>
    <dxf>
      <border>
        <top style="thin">
          <color theme="6" tint="0.79998168889431442"/>
        </top>
        <bottom style="thin">
          <color theme="6" tint="0.79998168889431442"/>
        </bottom>
      </border>
    </dxf>
    <dxf>
      <fill>
        <patternFill patternType="solid">
          <fgColor theme="6" tint="0.79998168889431442"/>
          <bgColor theme="6" tint="0.79998168889431442"/>
        </patternFill>
      </fill>
      <border>
        <bottom style="thin">
          <color theme="6"/>
        </bottom>
      </border>
    </dxf>
    <dxf>
      <font>
        <color theme="0"/>
      </font>
      <fill>
        <patternFill patternType="solid">
          <fgColor theme="6" tint="0.39997558519241921"/>
          <bgColor theme="6" tint="0.39997558519241921"/>
        </patternFill>
      </fill>
      <border>
        <bottom style="thin">
          <color theme="6" tint="0.79998168889431442"/>
        </bottom>
        <horizontal style="thin">
          <color theme="6" tint="0.39997558519241921"/>
        </horizontal>
      </border>
    </dxf>
    <dxf>
      <border>
        <bottom style="thin">
          <color theme="6" tint="0.59999389629810485"/>
        </bottom>
      </border>
    </dxf>
    <dxf>
      <font>
        <b/>
        <color theme="1"/>
      </font>
      <fill>
        <patternFill patternType="solid">
          <fgColor theme="0" tint="-0.14999847407452621"/>
          <bgColor theme="0" tint="-0.14999847407452621"/>
        </patternFill>
      </fill>
    </dxf>
    <dxf>
      <font>
        <b/>
        <color theme="0"/>
      </font>
      <fill>
        <patternFill patternType="solid">
          <fgColor theme="6" tint="0.39997558519241921"/>
          <bgColor theme="6" tint="0.39997558519241921"/>
        </patternFill>
      </fill>
    </dxf>
    <dxf>
      <font>
        <b/>
        <color theme="0"/>
      </font>
    </dxf>
    <dxf>
      <border>
        <left style="thin">
          <color theme="6" tint="-0.249977111117893"/>
        </left>
        <right style="thin">
          <color theme="6" tint="-0.249977111117893"/>
        </right>
      </border>
    </dxf>
    <dxf>
      <border>
        <top style="thin">
          <color theme="6" tint="-0.249977111117893"/>
        </top>
        <bottom style="thin">
          <color theme="6" tint="-0.249977111117893"/>
        </bottom>
        <horizontal style="thin">
          <color theme="6" tint="-0.249977111117893"/>
        </horizontal>
      </border>
    </dxf>
    <dxf>
      <font>
        <b/>
        <color theme="1"/>
      </font>
      <border>
        <top style="double">
          <color theme="6" tint="-0.249977111117893"/>
        </top>
      </border>
    </dxf>
    <dxf>
      <font>
        <color theme="0"/>
      </font>
      <fill>
        <patternFill patternType="solid">
          <fgColor rgb="FF8989BC"/>
          <bgColor theme="6" tint="-0.249977111117893"/>
        </patternFill>
      </fill>
      <border>
        <horizontal style="thin">
          <color theme="6" tint="-0.249977111117893"/>
        </horizontal>
      </border>
    </dxf>
    <dxf>
      <font>
        <color theme="1"/>
      </font>
      <border>
        <horizontal style="thin">
          <color theme="6" tint="0.79998168889431442"/>
        </horizontal>
      </border>
    </dxf>
  </dxfs>
  <tableStyles count="2" defaultTableStyle="TableStyleMedium2" defaultPivotStyle="PivotStyleLight16">
    <tableStyle name="PivotStyleMedium4 2" table="0" count="13" xr9:uid="{FB926C91-FE76-4EA3-9571-7594AA2C6406}">
      <tableStyleElement type="wholeTable" dxfId="133"/>
      <tableStyleElement type="headerRow" dxfId="132"/>
      <tableStyleElement type="totalRow" dxfId="131"/>
      <tableStyleElement type="firstRowStripe" dxfId="130"/>
      <tableStyleElement type="firstColumnStripe" dxfId="129"/>
      <tableStyleElement type="firstHeaderCell" dxfId="128"/>
      <tableStyleElement type="firstSubtotalRow" dxfId="127"/>
      <tableStyleElement type="secondSubtotalRow" dxfId="126"/>
      <tableStyleElement type="firstColumnSubheading" dxfId="125"/>
      <tableStyleElement type="firstRowSubheading" dxfId="124"/>
      <tableStyleElement type="secondRowSubheading" dxfId="123"/>
      <tableStyleElement type="pageFieldLabels" dxfId="122"/>
      <tableStyleElement type="pageFieldValues" dxfId="121"/>
    </tableStyle>
    <tableStyle name="SlicerStyleDark3 2" pivot="0" table="0" count="10" xr9:uid="{121FABF3-A958-D640-8CBA-0DEC14FEA7B5}">
      <tableStyleElement type="wholeTable" dxfId="120"/>
      <tableStyleElement type="headerRow" dxfId="119"/>
    </tableStyle>
  </tableStyles>
  <colors>
    <mruColors>
      <color rgb="FF5A097C"/>
      <color rgb="FF00F1DF"/>
      <color rgb="FF0F11A7"/>
      <color rgb="FFC240D8"/>
      <color rgb="FFB889DB"/>
      <color rgb="FF9947F7"/>
      <color rgb="FF5063F3"/>
      <color rgb="FFB5D2EC"/>
      <color rgb="FF296EFC"/>
      <color rgb="FF070E0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B1231"/>
            <name val="Avenir Next LT Pro"/>
            <family val="2"/>
            <scheme val="none"/>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b val="0"/>
            <i val="0"/>
            <sz val="10"/>
            <color rgb="FF0B1231"/>
            <name val="Athiti Light"/>
            <charset val="222"/>
            <scheme val="none"/>
          </font>
          <fill>
            <patternFill patternType="solid">
              <fgColor auto="1"/>
              <bgColor theme="0"/>
            </patternFill>
          </fill>
          <border diagonalUp="0" diagonalDown="0">
            <left/>
            <right/>
            <top/>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val="0"/>
            <i val="0"/>
            <sz val="10"/>
            <color rgb="FF0B1231"/>
            <name val="Avenir Next LT Pro"/>
            <family val="2"/>
            <scheme val="none"/>
          </font>
          <fill>
            <patternFill patternType="solid">
              <fgColor theme="6"/>
              <bgColor theme="0"/>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val="0"/>
            <i val="0"/>
            <sz val="10"/>
            <color theme="0"/>
            <name val="Avenir Next LT Pro"/>
            <family val="2"/>
            <scheme val="none"/>
          </font>
          <fill>
            <gradientFill degree="90">
              <stop position="0">
                <color rgb="FF080E26"/>
              </stop>
              <stop position="1">
                <color rgb="FF080E26"/>
              </stop>
            </gradient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Series1</c:v>
          </c:tx>
          <c:spPr>
            <a:gradFill>
              <a:gsLst>
                <a:gs pos="0">
                  <a:srgbClr val="DC25FA"/>
                </a:gs>
                <a:gs pos="60000">
                  <a:srgbClr val="9947F7"/>
                </a:gs>
              </a:gsLst>
              <a:lin ang="5400000" scaled="1"/>
            </a:gradFill>
            <a:ln w="142875">
              <a:solidFill>
                <a:srgbClr val="000000"/>
              </a:solidFill>
            </a:ln>
          </c:spPr>
          <c:explosion val="4"/>
          <c:dPt>
            <c:idx val="0"/>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01-0AB6-458E-A470-46CBBEED0DA7}"/>
              </c:ext>
            </c:extLst>
          </c:dPt>
          <c:dPt>
            <c:idx val="1"/>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03-0AB6-458E-A470-46CBBEED0DA7}"/>
              </c:ext>
            </c:extLst>
          </c:dPt>
          <c:dPt>
            <c:idx val="2"/>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05-0AB6-458E-A470-46CBBEED0DA7}"/>
              </c:ext>
            </c:extLst>
          </c:dPt>
          <c:dPt>
            <c:idx val="3"/>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07-0AB6-458E-A470-46CBBEED0DA7}"/>
              </c:ext>
            </c:extLst>
          </c:dPt>
          <c:dPt>
            <c:idx val="4"/>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09-0AB6-458E-A470-46CBBEED0DA7}"/>
              </c:ext>
            </c:extLst>
          </c:dPt>
          <c:dPt>
            <c:idx val="5"/>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0B-0AB6-458E-A470-46CBBEED0DA7}"/>
              </c:ext>
            </c:extLst>
          </c:dPt>
          <c:dPt>
            <c:idx val="6"/>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0D-0AB6-458E-A470-46CBBEED0DA7}"/>
              </c:ext>
            </c:extLst>
          </c:dPt>
          <c:dPt>
            <c:idx val="7"/>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0F-0AB6-458E-A470-46CBBEED0DA7}"/>
              </c:ext>
            </c:extLst>
          </c:dPt>
          <c:dPt>
            <c:idx val="8"/>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11-0AB6-458E-A470-46CBBEED0DA7}"/>
              </c:ext>
            </c:extLst>
          </c:dPt>
          <c:dPt>
            <c:idx val="9"/>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13-0AB6-458E-A470-46CBBEED0DA7}"/>
              </c:ext>
            </c:extLst>
          </c:dPt>
          <c:dPt>
            <c:idx val="10"/>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15-0AB6-458E-A470-46CBBEED0DA7}"/>
              </c:ext>
            </c:extLst>
          </c:dPt>
          <c:dPt>
            <c:idx val="11"/>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17-0AB6-458E-A470-46CBBEED0DA7}"/>
              </c:ext>
            </c:extLst>
          </c:dPt>
          <c:dPt>
            <c:idx val="12"/>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19-0AB6-458E-A470-46CBBEED0DA7}"/>
              </c:ext>
            </c:extLst>
          </c:dPt>
          <c:dPt>
            <c:idx val="13"/>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1B-0AB6-458E-A470-46CBBEED0DA7}"/>
              </c:ext>
            </c:extLst>
          </c:dPt>
          <c:dPt>
            <c:idx val="14"/>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1D-0AB6-458E-A470-46CBBEED0DA7}"/>
              </c:ext>
            </c:extLst>
          </c:dPt>
          <c:dPt>
            <c:idx val="15"/>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1F-0AB6-458E-A470-46CBBEED0DA7}"/>
              </c:ext>
            </c:extLst>
          </c:dPt>
          <c:dPt>
            <c:idx val="16"/>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21-0AB6-458E-A470-46CBBEED0DA7}"/>
              </c:ext>
            </c:extLst>
          </c:dPt>
          <c:dPt>
            <c:idx val="17"/>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23-0AB6-458E-A470-46CBBEED0DA7}"/>
              </c:ext>
            </c:extLst>
          </c:dPt>
          <c:dPt>
            <c:idx val="18"/>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25-0AB6-458E-A470-46CBBEED0DA7}"/>
              </c:ext>
            </c:extLst>
          </c:dPt>
          <c:dPt>
            <c:idx val="19"/>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27-0AB6-458E-A470-46CBBEED0DA7}"/>
              </c:ext>
            </c:extLst>
          </c:dPt>
          <c:dPt>
            <c:idx val="20"/>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29-0AB6-458E-A470-46CBBEED0DA7}"/>
              </c:ext>
            </c:extLst>
          </c:dPt>
          <c:dPt>
            <c:idx val="21"/>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2B-0AB6-458E-A470-46CBBEED0DA7}"/>
              </c:ext>
            </c:extLst>
          </c:dPt>
          <c:dPt>
            <c:idx val="22"/>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2D-0AB6-458E-A470-46CBBEED0DA7}"/>
              </c:ext>
            </c:extLst>
          </c:dPt>
          <c:dPt>
            <c:idx val="23"/>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2F-0AB6-458E-A470-46CBBEED0DA7}"/>
              </c:ext>
            </c:extLst>
          </c:dPt>
          <c:dPt>
            <c:idx val="24"/>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31-0AB6-458E-A470-46CBBEED0DA7}"/>
              </c:ext>
            </c:extLst>
          </c:dPt>
          <c:dPt>
            <c:idx val="25"/>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33-0AB6-458E-A470-46CBBEED0DA7}"/>
              </c:ext>
            </c:extLst>
          </c:dPt>
          <c:dPt>
            <c:idx val="26"/>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35-0AB6-458E-A470-46CBBEED0DA7}"/>
              </c:ext>
            </c:extLst>
          </c:dPt>
          <c:dPt>
            <c:idx val="27"/>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37-0AB6-458E-A470-46CBBEED0DA7}"/>
              </c:ext>
            </c:extLst>
          </c:dPt>
          <c:dPt>
            <c:idx val="28"/>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39-0AB6-458E-A470-46CBBEED0DA7}"/>
              </c:ext>
            </c:extLst>
          </c:dPt>
          <c:dPt>
            <c:idx val="29"/>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3B-0AB6-458E-A470-46CBBEED0DA7}"/>
              </c:ext>
            </c:extLst>
          </c:dPt>
          <c:dPt>
            <c:idx val="30"/>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3D-0AB6-458E-A470-46CBBEED0DA7}"/>
              </c:ext>
            </c:extLst>
          </c:dPt>
          <c:dPt>
            <c:idx val="31"/>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3F-0AB6-458E-A470-46CBBEED0DA7}"/>
              </c:ext>
            </c:extLst>
          </c:dPt>
          <c:dPt>
            <c:idx val="32"/>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41-0AB6-458E-A470-46CBBEED0DA7}"/>
              </c:ext>
            </c:extLst>
          </c:dPt>
          <c:dPt>
            <c:idx val="33"/>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43-0AB6-458E-A470-46CBBEED0DA7}"/>
              </c:ext>
            </c:extLst>
          </c:dPt>
          <c:dPt>
            <c:idx val="34"/>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45-0AB6-458E-A470-46CBBEED0DA7}"/>
              </c:ext>
            </c:extLst>
          </c:dPt>
          <c:dPt>
            <c:idx val="35"/>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47-0AB6-458E-A470-46CBBEED0DA7}"/>
              </c:ext>
            </c:extLst>
          </c:dPt>
          <c:dPt>
            <c:idx val="36"/>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49-0AB6-458E-A470-46CBBEED0DA7}"/>
              </c:ext>
            </c:extLst>
          </c:dPt>
          <c:dPt>
            <c:idx val="37"/>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4B-0AB6-458E-A470-46CBBEED0DA7}"/>
              </c:ext>
            </c:extLst>
          </c:dPt>
          <c:dPt>
            <c:idx val="38"/>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4D-0AB6-458E-A470-46CBBEED0DA7}"/>
              </c:ext>
            </c:extLst>
          </c:dPt>
          <c:dPt>
            <c:idx val="39"/>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4F-0AB6-458E-A470-46CBBEED0DA7}"/>
              </c:ext>
            </c:extLst>
          </c:dPt>
          <c:dPt>
            <c:idx val="40"/>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51-0AB6-458E-A470-46CBBEED0DA7}"/>
              </c:ext>
            </c:extLst>
          </c:dPt>
          <c:dPt>
            <c:idx val="41"/>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53-0AB6-458E-A470-46CBBEED0DA7}"/>
              </c:ext>
            </c:extLst>
          </c:dPt>
          <c:dPt>
            <c:idx val="42"/>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55-0AB6-458E-A470-46CBBEED0DA7}"/>
              </c:ext>
            </c:extLst>
          </c:dPt>
          <c:dPt>
            <c:idx val="43"/>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57-0AB6-458E-A470-46CBBEED0DA7}"/>
              </c:ext>
            </c:extLst>
          </c:dPt>
          <c:dPt>
            <c:idx val="44"/>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59-0AB6-458E-A470-46CBBEED0DA7}"/>
              </c:ext>
            </c:extLst>
          </c:dPt>
          <c:dPt>
            <c:idx val="45"/>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5B-0AB6-458E-A470-46CBBEED0DA7}"/>
              </c:ext>
            </c:extLst>
          </c:dPt>
          <c:dPt>
            <c:idx val="46"/>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5D-0AB6-458E-A470-46CBBEED0DA7}"/>
              </c:ext>
            </c:extLst>
          </c:dPt>
          <c:dPt>
            <c:idx val="47"/>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5F-0AB6-458E-A470-46CBBEED0DA7}"/>
              </c:ext>
            </c:extLst>
          </c:dPt>
          <c:dPt>
            <c:idx val="48"/>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61-0AB6-458E-A470-46CBBEED0DA7}"/>
              </c:ext>
            </c:extLst>
          </c:dPt>
          <c:dPt>
            <c:idx val="49"/>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63-0AB6-458E-A470-46CBBEED0DA7}"/>
              </c:ext>
            </c:extLst>
          </c:dPt>
          <c:dPt>
            <c:idx val="50"/>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65-0AB6-458E-A470-46CBBEED0DA7}"/>
              </c:ext>
            </c:extLst>
          </c:dPt>
          <c:dPt>
            <c:idx val="51"/>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67-0AB6-458E-A470-46CBBEED0DA7}"/>
              </c:ext>
            </c:extLst>
          </c:dPt>
          <c:dPt>
            <c:idx val="52"/>
            <c:bubble3D val="0"/>
            <c:spPr>
              <a:gradFill>
                <a:gsLst>
                  <a:gs pos="0">
                    <a:srgbClr val="DC25FA"/>
                  </a:gs>
                  <a:gs pos="60000">
                    <a:srgbClr val="9947F7"/>
                  </a:gs>
                </a:gsLst>
                <a:lin ang="5400000" scaled="1"/>
              </a:gradFill>
              <a:ln w="142875">
                <a:solidFill>
                  <a:srgbClr val="000000"/>
                </a:solidFill>
              </a:ln>
              <a:effectLst/>
            </c:spPr>
            <c:extLst>
              <c:ext xmlns:c16="http://schemas.microsoft.com/office/drawing/2014/chart" uri="{C3380CC4-5D6E-409C-BE32-E72D297353CC}">
                <c16:uniqueId val="{00000069-0AB6-458E-A470-46CBBEED0DA7}"/>
              </c:ext>
            </c:extLst>
          </c:dPt>
          <c:val>
            <c:numLit>
              <c:formatCode>General</c:formatCode>
              <c:ptCount val="5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numLit>
          </c:val>
          <c:extLst>
            <c:ext xmlns:c16="http://schemas.microsoft.com/office/drawing/2014/chart" uri="{C3380CC4-5D6E-409C-BE32-E72D297353CC}">
              <c16:uniqueId val="{0000006A-0AB6-458E-A470-46CBBEED0DA7}"/>
            </c:ext>
          </c:extLst>
        </c:ser>
        <c:dLbls>
          <c:showLegendKey val="0"/>
          <c:showVal val="0"/>
          <c:showCatName val="0"/>
          <c:showSerName val="0"/>
          <c:showPercent val="0"/>
          <c:showBubbleSize val="0"/>
          <c:showLeaderLines val="1"/>
        </c:dLbls>
        <c:firstSliceAng val="0"/>
        <c:holeSize val="67"/>
      </c:doughnutChart>
      <c:doughnutChart>
        <c:varyColors val="1"/>
        <c:ser>
          <c:idx val="1"/>
          <c:order val="1"/>
          <c:tx>
            <c:v>series2</c:v>
          </c:tx>
          <c:spPr>
            <a:ln w="0">
              <a:solidFill>
                <a:sysClr val="windowText" lastClr="000000"/>
              </a:solidFill>
            </a:ln>
          </c:spPr>
          <c:dPt>
            <c:idx val="0"/>
            <c:bubble3D val="0"/>
            <c:spPr>
              <a:solidFill>
                <a:schemeClr val="accent1">
                  <a:alpha val="0"/>
                </a:schemeClr>
              </a:solidFill>
              <a:ln w="0">
                <a:solidFill>
                  <a:sysClr val="windowText" lastClr="000000"/>
                </a:solidFill>
              </a:ln>
              <a:effectLst/>
            </c:spPr>
            <c:extLst>
              <c:ext xmlns:c16="http://schemas.microsoft.com/office/drawing/2014/chart" uri="{C3380CC4-5D6E-409C-BE32-E72D297353CC}">
                <c16:uniqueId val="{0000006C-0AB6-458E-A470-46CBBEED0DA7}"/>
              </c:ext>
            </c:extLst>
          </c:dPt>
          <c:dPt>
            <c:idx val="1"/>
            <c:bubble3D val="0"/>
            <c:spPr>
              <a:solidFill>
                <a:schemeClr val="tx1"/>
              </a:solidFill>
              <a:ln w="0">
                <a:solidFill>
                  <a:sysClr val="windowText" lastClr="000000"/>
                </a:solidFill>
              </a:ln>
              <a:effectLst/>
            </c:spPr>
            <c:extLst>
              <c:ext xmlns:c16="http://schemas.microsoft.com/office/drawing/2014/chart" uri="{C3380CC4-5D6E-409C-BE32-E72D297353CC}">
                <c16:uniqueId val="{0000006E-0AB6-458E-A470-46CBBEED0DA7}"/>
              </c:ext>
            </c:extLst>
          </c:dPt>
          <c:val>
            <c:numRef>
              <c:f>'pivot tables'!$T$7:$U$7</c:f>
              <c:numCache>
                <c:formatCode>0%</c:formatCode>
                <c:ptCount val="2"/>
                <c:pt idx="0">
                  <c:v>0.80193337589140468</c:v>
                </c:pt>
                <c:pt idx="1">
                  <c:v>0.19806662410859532</c:v>
                </c:pt>
              </c:numCache>
            </c:numRef>
          </c:val>
          <c:extLst>
            <c:ext xmlns:c16="http://schemas.microsoft.com/office/drawing/2014/chart" uri="{C3380CC4-5D6E-409C-BE32-E72D297353CC}">
              <c16:uniqueId val="{0000006F-0AB6-458E-A470-46CBBEED0DA7}"/>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848012848503773E-2"/>
          <c:y val="6.2465930584070212E-2"/>
          <c:w val="0.90130055908449891"/>
          <c:h val="0.8417724179181687"/>
        </c:manualLayout>
      </c:layout>
      <c:bubbleChart>
        <c:varyColors val="0"/>
        <c:ser>
          <c:idx val="0"/>
          <c:order val="0"/>
          <c:tx>
            <c:v>Income sources</c:v>
          </c:tx>
          <c:spPr>
            <a:gradFill flip="none" rotWithShape="1">
              <a:gsLst>
                <a:gs pos="34000">
                  <a:srgbClr val="100D83"/>
                </a:gs>
                <a:gs pos="86000">
                  <a:srgbClr val="7417BD"/>
                </a:gs>
              </a:gsLst>
              <a:path path="circle">
                <a:fillToRect l="100000" t="100000"/>
              </a:path>
              <a:tileRect r="-100000" b="-100000"/>
            </a:gradFill>
            <a:ln w="25400">
              <a:noFill/>
            </a:ln>
            <a:effectLst>
              <a:outerShdw blurRad="127000" sx="109000" sy="109000" algn="ctr" rotWithShape="0">
                <a:srgbClr val="7417BD">
                  <a:alpha val="80000"/>
                </a:srgbClr>
              </a:outerShdw>
            </a:effectLst>
          </c:spPr>
          <c:invertIfNegative val="0"/>
          <c:dLbls>
            <c:dLbl>
              <c:idx val="0"/>
              <c:tx>
                <c:rich>
                  <a:bodyPr/>
                  <a:lstStyle/>
                  <a:p>
                    <a:fld id="{44AE05B4-F638-4A6A-A6DA-DD7BFCF41FB0}"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F887-4C42-A5D9-769D1ABE855D}"/>
                </c:ext>
              </c:extLst>
            </c:dLbl>
            <c:dLbl>
              <c:idx val="1"/>
              <c:tx>
                <c:rich>
                  <a:bodyPr/>
                  <a:lstStyle/>
                  <a:p>
                    <a:fld id="{BDA616FC-B953-4B26-962B-7716F04332BD}"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887-4C42-A5D9-769D1ABE855D}"/>
                </c:ext>
              </c:extLst>
            </c:dLbl>
            <c:dLbl>
              <c:idx val="2"/>
              <c:tx>
                <c:rich>
                  <a:bodyPr/>
                  <a:lstStyle/>
                  <a:p>
                    <a:fld id="{748BD15B-2FDB-4EEF-ABD8-2BF0C4F235E0}"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887-4C42-A5D9-769D1ABE855D}"/>
                </c:ext>
              </c:extLst>
            </c:dLbl>
            <c:dLbl>
              <c:idx val="3"/>
              <c:tx>
                <c:rich>
                  <a:bodyPr/>
                  <a:lstStyle/>
                  <a:p>
                    <a:fld id="{FA6B9A28-0883-48E7-A8FD-3B7CAE9A8DD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887-4C42-A5D9-769D1ABE855D}"/>
                </c:ext>
              </c:extLst>
            </c:dLbl>
            <c:dLbl>
              <c:idx val="4"/>
              <c:tx>
                <c:rich>
                  <a:bodyPr/>
                  <a:lstStyle/>
                  <a:p>
                    <a:fld id="{DA65037B-C459-48C1-A7DC-85EF8FC36BD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887-4C42-A5D9-769D1ABE855D}"/>
                </c:ext>
              </c:extLst>
            </c:dLbl>
            <c:dLbl>
              <c:idx val="5"/>
              <c:tx>
                <c:rich>
                  <a:bodyPr/>
                  <a:lstStyle/>
                  <a:p>
                    <a:fld id="{786D6713-B0A3-41D8-8E0B-8FEB035C1F2A}"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887-4C42-A5D9-769D1ABE85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 tables'!$I$7:$I$12</c:f>
              <c:numCache>
                <c:formatCode>General</c:formatCode>
                <c:ptCount val="6"/>
                <c:pt idx="0">
                  <c:v>1</c:v>
                </c:pt>
                <c:pt idx="1">
                  <c:v>7</c:v>
                </c:pt>
                <c:pt idx="2">
                  <c:v>4</c:v>
                </c:pt>
                <c:pt idx="3">
                  <c:v>2</c:v>
                </c:pt>
                <c:pt idx="4">
                  <c:v>6</c:v>
                </c:pt>
                <c:pt idx="5">
                  <c:v>5</c:v>
                </c:pt>
              </c:numCache>
            </c:numRef>
          </c:xVal>
          <c:yVal>
            <c:numRef>
              <c:f>'pivot tables'!$J$7:$J$12</c:f>
              <c:numCache>
                <c:formatCode>General</c:formatCode>
                <c:ptCount val="6"/>
                <c:pt idx="0">
                  <c:v>3</c:v>
                </c:pt>
                <c:pt idx="1">
                  <c:v>2</c:v>
                </c:pt>
                <c:pt idx="2">
                  <c:v>1</c:v>
                </c:pt>
                <c:pt idx="3">
                  <c:v>8</c:v>
                </c:pt>
                <c:pt idx="4">
                  <c:v>6</c:v>
                </c:pt>
                <c:pt idx="5">
                  <c:v>9</c:v>
                </c:pt>
              </c:numCache>
            </c:numRef>
          </c:yVal>
          <c:bubbleSize>
            <c:numRef>
              <c:f>'pivot tables'!$K$7:$K$12</c:f>
              <c:numCache>
                <c:formatCode>_(* #,##0.00_);_(* \(#,##0.00\);_(* "-"??_);_(@_)</c:formatCode>
                <c:ptCount val="6"/>
                <c:pt idx="0">
                  <c:v>177100</c:v>
                </c:pt>
                <c:pt idx="1">
                  <c:v>130229.14500000003</c:v>
                </c:pt>
                <c:pt idx="2">
                  <c:v>61203.859999999986</c:v>
                </c:pt>
                <c:pt idx="3">
                  <c:v>157387.38500000001</c:v>
                </c:pt>
                <c:pt idx="4">
                  <c:v>77421.900000000009</c:v>
                </c:pt>
                <c:pt idx="5">
                  <c:v>117541.05249999998</c:v>
                </c:pt>
              </c:numCache>
            </c:numRef>
          </c:bubbleSize>
          <c:bubble3D val="0"/>
          <c:extLst>
            <c:ext xmlns:c15="http://schemas.microsoft.com/office/drawing/2012/chart" uri="{02D57815-91ED-43cb-92C2-25804820EDAC}">
              <c15:datalabelsRange>
                <c15:f>'pivot tables'!$M$7:$M$12</c15:f>
                <c15:dlblRangeCache>
                  <c:ptCount val="6"/>
                  <c:pt idx="1">
                    <c:v>130229.145</c:v>
                  </c:pt>
                  <c:pt idx="2">
                    <c:v>61203.86</c:v>
                  </c:pt>
                  <c:pt idx="3">
                    <c:v>157387.385</c:v>
                  </c:pt>
                  <c:pt idx="4">
                    <c:v>77421.9</c:v>
                  </c:pt>
                  <c:pt idx="5">
                    <c:v>117541.0525</c:v>
                  </c:pt>
                </c15:dlblRangeCache>
              </c15:datalabelsRange>
            </c:ext>
            <c:ext xmlns:c16="http://schemas.microsoft.com/office/drawing/2014/chart" uri="{C3380CC4-5D6E-409C-BE32-E72D297353CC}">
              <c16:uniqueId val="{00000006-F887-4C42-A5D9-769D1ABE855D}"/>
            </c:ext>
          </c:extLst>
        </c:ser>
        <c:ser>
          <c:idx val="1"/>
          <c:order val="1"/>
          <c:tx>
            <c:v>Max</c:v>
          </c:tx>
          <c:spPr>
            <a:gradFill>
              <a:gsLst>
                <a:gs pos="27000">
                  <a:srgbClr val="100D83"/>
                </a:gs>
                <a:gs pos="81000">
                  <a:srgbClr val="DD115E"/>
                </a:gs>
              </a:gsLst>
              <a:path path="circle">
                <a:fillToRect l="100000" t="100000"/>
              </a:path>
            </a:gradFill>
            <a:ln w="25400">
              <a:noFill/>
            </a:ln>
            <a:effectLst>
              <a:outerShdw blurRad="152400" sx="105000" sy="105000" algn="ctr" rotWithShape="0">
                <a:srgbClr val="DD115E">
                  <a:alpha val="88000"/>
                </a:srgbClr>
              </a:outerShdw>
            </a:effectLst>
          </c:spPr>
          <c:invertIfNegative val="0"/>
          <c:dLbls>
            <c:dLbl>
              <c:idx val="0"/>
              <c:tx>
                <c:rich>
                  <a:bodyPr/>
                  <a:lstStyle/>
                  <a:p>
                    <a:fld id="{F664C474-10DF-4268-90AF-A4B18A113B4F}"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887-4C42-A5D9-769D1ABE855D}"/>
                </c:ext>
              </c:extLst>
            </c:dLbl>
            <c:dLbl>
              <c:idx val="1"/>
              <c:tx>
                <c:rich>
                  <a:bodyPr/>
                  <a:lstStyle/>
                  <a:p>
                    <a:fld id="{C8C1A1D3-9F13-4E0C-8E82-339D28FF60E4}"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887-4C42-A5D9-769D1ABE855D}"/>
                </c:ext>
              </c:extLst>
            </c:dLbl>
            <c:dLbl>
              <c:idx val="2"/>
              <c:tx>
                <c:rich>
                  <a:bodyPr/>
                  <a:lstStyle/>
                  <a:p>
                    <a:fld id="{989116A0-CAE3-4BC2-900D-1B89EEB425E8}"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F887-4C42-A5D9-769D1ABE855D}"/>
                </c:ext>
              </c:extLst>
            </c:dLbl>
            <c:dLbl>
              <c:idx val="3"/>
              <c:tx>
                <c:rich>
                  <a:bodyPr/>
                  <a:lstStyle/>
                  <a:p>
                    <a:fld id="{3EABFEF7-A58F-47DD-A328-0CF776886254}"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887-4C42-A5D9-769D1ABE855D}"/>
                </c:ext>
              </c:extLst>
            </c:dLbl>
            <c:dLbl>
              <c:idx val="4"/>
              <c:tx>
                <c:rich>
                  <a:bodyPr/>
                  <a:lstStyle/>
                  <a:p>
                    <a:fld id="{9B18A47D-C642-4236-BB13-47BF1DFC2612}" type="CELLRANGE">
                      <a:rPr lang="en-US"/>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887-4C42-A5D9-769D1ABE855D}"/>
                </c:ext>
              </c:extLst>
            </c:dLbl>
            <c:dLbl>
              <c:idx val="5"/>
              <c:tx>
                <c:rich>
                  <a:bodyPr/>
                  <a:lstStyle/>
                  <a:p>
                    <a:fld id="{F7DEC32E-5D28-4B37-977E-8FA2E822A4C1}"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887-4C42-A5D9-769D1ABE8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'pivot tables'!$I$7:$I$12</c:f>
              <c:numCache>
                <c:formatCode>General</c:formatCode>
                <c:ptCount val="6"/>
                <c:pt idx="0">
                  <c:v>1</c:v>
                </c:pt>
                <c:pt idx="1">
                  <c:v>7</c:v>
                </c:pt>
                <c:pt idx="2">
                  <c:v>4</c:v>
                </c:pt>
                <c:pt idx="3">
                  <c:v>2</c:v>
                </c:pt>
                <c:pt idx="4">
                  <c:v>6</c:v>
                </c:pt>
                <c:pt idx="5">
                  <c:v>5</c:v>
                </c:pt>
              </c:numCache>
            </c:numRef>
          </c:xVal>
          <c:yVal>
            <c:numRef>
              <c:f>'pivot tables'!$J$7:$J$12</c:f>
              <c:numCache>
                <c:formatCode>General</c:formatCode>
                <c:ptCount val="6"/>
                <c:pt idx="0">
                  <c:v>3</c:v>
                </c:pt>
                <c:pt idx="1">
                  <c:v>2</c:v>
                </c:pt>
                <c:pt idx="2">
                  <c:v>1</c:v>
                </c:pt>
                <c:pt idx="3">
                  <c:v>8</c:v>
                </c:pt>
                <c:pt idx="4">
                  <c:v>6</c:v>
                </c:pt>
                <c:pt idx="5">
                  <c:v>9</c:v>
                </c:pt>
              </c:numCache>
            </c:numRef>
          </c:yVal>
          <c:bubbleSize>
            <c:numRef>
              <c:f>'pivot tables'!$L$7:$L$12</c:f>
              <c:numCache>
                <c:formatCode>General</c:formatCode>
                <c:ptCount val="6"/>
                <c:pt idx="0">
                  <c:v>177100</c:v>
                </c:pt>
                <c:pt idx="1">
                  <c:v>0</c:v>
                </c:pt>
                <c:pt idx="2">
                  <c:v>0</c:v>
                </c:pt>
                <c:pt idx="3">
                  <c:v>0</c:v>
                </c:pt>
                <c:pt idx="4">
                  <c:v>0</c:v>
                </c:pt>
                <c:pt idx="5">
                  <c:v>0</c:v>
                </c:pt>
              </c:numCache>
            </c:numRef>
          </c:bubbleSize>
          <c:bubble3D val="0"/>
          <c:extLst>
            <c:ext xmlns:c15="http://schemas.microsoft.com/office/drawing/2012/chart" uri="{02D57815-91ED-43cb-92C2-25804820EDAC}">
              <c15:datalabelsRange>
                <c15:f>'pivot tables'!$L$7:$L$12</c15:f>
                <c15:dlblRangeCache>
                  <c:ptCount val="6"/>
                  <c:pt idx="0">
                    <c:v>177100</c:v>
                  </c:pt>
                </c15:dlblRangeCache>
              </c15:datalabelsRange>
            </c:ext>
            <c:ext xmlns:c16="http://schemas.microsoft.com/office/drawing/2014/chart" uri="{C3380CC4-5D6E-409C-BE32-E72D297353CC}">
              <c16:uniqueId val="{0000000D-F887-4C42-A5D9-769D1ABE855D}"/>
            </c:ext>
          </c:extLst>
        </c:ser>
        <c:dLbls>
          <c:showLegendKey val="0"/>
          <c:showVal val="0"/>
          <c:showCatName val="0"/>
          <c:showSerName val="0"/>
          <c:showPercent val="0"/>
          <c:showBubbleSize val="0"/>
        </c:dLbls>
        <c:bubbleScale val="70"/>
        <c:showNegBubbles val="0"/>
        <c:axId val="89068096"/>
        <c:axId val="89071424"/>
      </c:bubbleChart>
      <c:valAx>
        <c:axId val="89068096"/>
        <c:scaling>
          <c:orientation val="minMax"/>
          <c:max val="10"/>
          <c:min val="0"/>
        </c:scaling>
        <c:delete val="1"/>
        <c:axPos val="b"/>
        <c:numFmt formatCode="General" sourceLinked="1"/>
        <c:majorTickMark val="none"/>
        <c:minorTickMark val="none"/>
        <c:tickLblPos val="nextTo"/>
        <c:crossAx val="89071424"/>
        <c:crosses val="autoZero"/>
        <c:crossBetween val="midCat"/>
      </c:valAx>
      <c:valAx>
        <c:axId val="89071424"/>
        <c:scaling>
          <c:orientation val="minMax"/>
          <c:max val="10"/>
          <c:min val="0"/>
        </c:scaling>
        <c:delete val="1"/>
        <c:axPos val="l"/>
        <c:numFmt formatCode="General" sourceLinked="1"/>
        <c:majorTickMark val="none"/>
        <c:minorTickMark val="none"/>
        <c:tickLblPos val="nextTo"/>
        <c:crossAx val="890680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.xlsm]pivot tables!PivotTable3</c:name>
    <c:fmtId val="4"/>
  </c:pivotSource>
  <c:chart>
    <c:autoTitleDeleted val="0"/>
    <c:pivotFmts>
      <c:pivotFmt>
        <c:idx val="0"/>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27000">
                <a:srgbClr val="100D83"/>
              </a:gs>
              <a:gs pos="92000">
                <a:schemeClr val="tx1"/>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27000">
                <a:srgbClr val="100D83"/>
              </a:gs>
              <a:gs pos="92000">
                <a:schemeClr val="tx1"/>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2700"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35000">
                <a:srgbClr val="100D83"/>
              </a:gs>
              <a:gs pos="92000">
                <a:srgbClr val="100D83">
                  <a:alpha val="16000"/>
                </a:srgbClr>
              </a:gs>
            </a:gsLst>
            <a:lin ang="54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5875" cap="rnd">
            <a:solidFill>
              <a:srgbClr val="194AF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 tables'!$Z$6</c:f>
              <c:strCache>
                <c:ptCount val="1"/>
                <c:pt idx="0">
                  <c:v>Sum of Income2</c:v>
                </c:pt>
              </c:strCache>
            </c:strRef>
          </c:tx>
          <c:spPr>
            <a:gradFill flip="none" rotWithShape="1">
              <a:gsLst>
                <a:gs pos="35000">
                  <a:srgbClr val="100D83"/>
                </a:gs>
                <a:gs pos="92000">
                  <a:srgbClr val="100D83">
                    <a:alpha val="16000"/>
                  </a:srgbClr>
                </a:gs>
              </a:gsLst>
              <a:lin ang="5400000" scaled="0"/>
              <a:tileRect/>
            </a:gradFill>
            <a:ln>
              <a:noFill/>
            </a:ln>
            <a:effectLst/>
          </c:spPr>
          <c:cat>
            <c:strRef>
              <c:f>'pivot tables'!$X$7:$X$19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tables'!$Z$7:$Z$19</c:f>
              <c:numCache>
                <c:formatCode>_(* #,##0_);_(* \(#,##0\);_(* "-"??_);_(@_)</c:formatCode>
                <c:ptCount val="12"/>
                <c:pt idx="0">
                  <c:v>64934.67</c:v>
                </c:pt>
                <c:pt idx="1">
                  <c:v>58642.049999999996</c:v>
                </c:pt>
                <c:pt idx="2">
                  <c:v>57630.7</c:v>
                </c:pt>
                <c:pt idx="3">
                  <c:v>58950.7</c:v>
                </c:pt>
                <c:pt idx="4">
                  <c:v>60548.14</c:v>
                </c:pt>
                <c:pt idx="5">
                  <c:v>55608</c:v>
                </c:pt>
                <c:pt idx="6">
                  <c:v>57630.7</c:v>
                </c:pt>
                <c:pt idx="7">
                  <c:v>60977.822499999995</c:v>
                </c:pt>
                <c:pt idx="8">
                  <c:v>59906.11</c:v>
                </c:pt>
                <c:pt idx="9">
                  <c:v>66177.665000000008</c:v>
                </c:pt>
                <c:pt idx="10">
                  <c:v>62246.084999999992</c:v>
                </c:pt>
                <c:pt idx="11">
                  <c:v>57630.7</c:v>
                </c:pt>
              </c:numCache>
            </c:numRef>
          </c:val>
          <c:extLst>
            <c:ext xmlns:c16="http://schemas.microsoft.com/office/drawing/2014/chart" uri="{C3380CC4-5D6E-409C-BE32-E72D297353CC}">
              <c16:uniqueId val="{00000000-5191-489C-ACE6-073C327FC1D4}"/>
            </c:ext>
          </c:extLst>
        </c:ser>
        <c:dLbls>
          <c:showLegendKey val="0"/>
          <c:showVal val="0"/>
          <c:showCatName val="0"/>
          <c:showSerName val="0"/>
          <c:showPercent val="0"/>
          <c:showBubbleSize val="0"/>
        </c:dLbls>
        <c:axId val="164296479"/>
        <c:axId val="164298559"/>
      </c:areaChart>
      <c:lineChart>
        <c:grouping val="standard"/>
        <c:varyColors val="0"/>
        <c:ser>
          <c:idx val="0"/>
          <c:order val="0"/>
          <c:tx>
            <c:strRef>
              <c:f>'pivot tables'!$Y$6</c:f>
              <c:strCache>
                <c:ptCount val="1"/>
                <c:pt idx="0">
                  <c:v>Sum of Income</c:v>
                </c:pt>
              </c:strCache>
            </c:strRef>
          </c:tx>
          <c:spPr>
            <a:ln w="15875" cap="rnd">
              <a:solidFill>
                <a:srgbClr val="194AFE"/>
              </a:solidFill>
              <a:round/>
            </a:ln>
            <a:effectLst/>
          </c:spPr>
          <c:marker>
            <c:symbol val="none"/>
          </c:marker>
          <c:cat>
            <c:strRef>
              <c:f>'pivot tables'!$X$7:$X$19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tables'!$Y$7:$Y$19</c:f>
              <c:numCache>
                <c:formatCode>_(* #,##0_);_(* \(#,##0\);_(* "-"??_);_(@_)</c:formatCode>
                <c:ptCount val="12"/>
                <c:pt idx="0">
                  <c:v>64934.67</c:v>
                </c:pt>
                <c:pt idx="1">
                  <c:v>58642.049999999996</c:v>
                </c:pt>
                <c:pt idx="2">
                  <c:v>57630.7</c:v>
                </c:pt>
                <c:pt idx="3">
                  <c:v>58950.7</c:v>
                </c:pt>
                <c:pt idx="4">
                  <c:v>60548.14</c:v>
                </c:pt>
                <c:pt idx="5">
                  <c:v>55608</c:v>
                </c:pt>
                <c:pt idx="6">
                  <c:v>57630.7</c:v>
                </c:pt>
                <c:pt idx="7">
                  <c:v>60977.822499999995</c:v>
                </c:pt>
                <c:pt idx="8">
                  <c:v>59906.11</c:v>
                </c:pt>
                <c:pt idx="9">
                  <c:v>66177.665000000008</c:v>
                </c:pt>
                <c:pt idx="10">
                  <c:v>62246.084999999992</c:v>
                </c:pt>
                <c:pt idx="11">
                  <c:v>57630.7</c:v>
                </c:pt>
              </c:numCache>
            </c:numRef>
          </c:val>
          <c:smooth val="0"/>
          <c:extLst>
            <c:ext xmlns:c16="http://schemas.microsoft.com/office/drawing/2014/chart" uri="{C3380CC4-5D6E-409C-BE32-E72D297353CC}">
              <c16:uniqueId val="{00000001-5191-489C-ACE6-073C327FC1D4}"/>
            </c:ext>
          </c:extLst>
        </c:ser>
        <c:dLbls>
          <c:showLegendKey val="0"/>
          <c:showVal val="0"/>
          <c:showCatName val="0"/>
          <c:showSerName val="0"/>
          <c:showPercent val="0"/>
          <c:showBubbleSize val="0"/>
        </c:dLbls>
        <c:marker val="1"/>
        <c:smooth val="0"/>
        <c:axId val="164296479"/>
        <c:axId val="164298559"/>
      </c:lineChart>
      <c:catAx>
        <c:axId val="1642964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4298559"/>
        <c:crosses val="autoZero"/>
        <c:auto val="1"/>
        <c:lblAlgn val="ctr"/>
        <c:lblOffset val="100"/>
        <c:noMultiLvlLbl val="0"/>
      </c:catAx>
      <c:valAx>
        <c:axId val="164298559"/>
        <c:scaling>
          <c:orientation val="minMax"/>
        </c:scaling>
        <c:delete val="1"/>
        <c:axPos val="l"/>
        <c:numFmt formatCode="_(* #,##0_);_(* \(#,##0\);_(* &quot;-&quot;??_);_(@_)" sourceLinked="1"/>
        <c:majorTickMark val="out"/>
        <c:minorTickMark val="none"/>
        <c:tickLblPos val="nextTo"/>
        <c:crossAx val="16429647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.xlsm]pivot tables!PivotTable4</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68000">
                <a:srgbClr val="C240D8"/>
              </a:gs>
              <a:gs pos="28000">
                <a:srgbClr val="9BF8F2"/>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tables'!$AF$6</c:f>
              <c:strCache>
                <c:ptCount val="1"/>
                <c:pt idx="0">
                  <c:v>Total</c:v>
                </c:pt>
              </c:strCache>
            </c:strRef>
          </c:tx>
          <c:spPr>
            <a:gradFill flip="none" rotWithShape="1">
              <a:gsLst>
                <a:gs pos="68000">
                  <a:srgbClr val="C240D8"/>
                </a:gs>
                <a:gs pos="28000">
                  <a:srgbClr val="9BF8F2"/>
                </a:gs>
              </a:gsLst>
              <a:lin ang="0" scaled="1"/>
              <a:tileRect/>
            </a:gradFill>
            <a:ln>
              <a:noFill/>
            </a:ln>
            <a:effectLst/>
          </c:spPr>
          <c:invertIfNegative val="0"/>
          <c:cat>
            <c:strRef>
              <c:f>'pivot tables'!$AE$7:$AE$19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tables'!$AF$7:$AF$19</c:f>
              <c:numCache>
                <c:formatCode>_(* #,##0_);_(* \(#,##0\);_(* "-"??_);_(@_)</c:formatCode>
                <c:ptCount val="12"/>
                <c:pt idx="0">
                  <c:v>12986.934000000001</c:v>
                </c:pt>
                <c:pt idx="1">
                  <c:v>11728.41</c:v>
                </c:pt>
                <c:pt idx="2">
                  <c:v>11526.14</c:v>
                </c:pt>
                <c:pt idx="3">
                  <c:v>11790.14</c:v>
                </c:pt>
                <c:pt idx="4">
                  <c:v>12109.628000000001</c:v>
                </c:pt>
                <c:pt idx="5">
                  <c:v>11121.599999999999</c:v>
                </c:pt>
                <c:pt idx="6">
                  <c:v>11526.14</c:v>
                </c:pt>
                <c:pt idx="7">
                  <c:v>12195.5645</c:v>
                </c:pt>
                <c:pt idx="8">
                  <c:v>11981.222000000002</c:v>
                </c:pt>
                <c:pt idx="9">
                  <c:v>13235.532999999999</c:v>
                </c:pt>
                <c:pt idx="10">
                  <c:v>12449.217000000002</c:v>
                </c:pt>
                <c:pt idx="11">
                  <c:v>11526.14</c:v>
                </c:pt>
              </c:numCache>
            </c:numRef>
          </c:val>
          <c:extLst>
            <c:ext xmlns:c16="http://schemas.microsoft.com/office/drawing/2014/chart" uri="{C3380CC4-5D6E-409C-BE32-E72D297353CC}">
              <c16:uniqueId val="{00000000-8E28-46BD-8434-408B5BB8118C}"/>
            </c:ext>
          </c:extLst>
        </c:ser>
        <c:dLbls>
          <c:showLegendKey val="0"/>
          <c:showVal val="0"/>
          <c:showCatName val="0"/>
          <c:showSerName val="0"/>
          <c:showPercent val="0"/>
          <c:showBubbleSize val="0"/>
        </c:dLbls>
        <c:gapWidth val="230"/>
        <c:axId val="130395296"/>
        <c:axId val="130418592"/>
      </c:barChart>
      <c:catAx>
        <c:axId val="13039529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0418592"/>
        <c:crosses val="autoZero"/>
        <c:auto val="1"/>
        <c:lblAlgn val="ctr"/>
        <c:lblOffset val="100"/>
        <c:noMultiLvlLbl val="0"/>
      </c:catAx>
      <c:valAx>
        <c:axId val="130418592"/>
        <c:scaling>
          <c:orientation val="minMax"/>
        </c:scaling>
        <c:delete val="1"/>
        <c:axPos val="b"/>
        <c:numFmt formatCode="_(* #,##0_);_(* \(#,##0\);_(* &quot;-&quot;??_);_(@_)" sourceLinked="1"/>
        <c:majorTickMark val="none"/>
        <c:minorTickMark val="none"/>
        <c:tickLblPos val="nextTo"/>
        <c:crossAx val="130395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Statistics .xlsm]pivot tables!PivotTable5</c:name>
    <c:fmtId val="13"/>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00D83"/>
          </a:solidFill>
          <a:ln w="19050">
            <a:solidFill>
              <a:schemeClr val="lt1"/>
            </a:solidFill>
          </a:ln>
          <a:effectLst/>
        </c:spPr>
      </c:pivotFmt>
      <c:pivotFmt>
        <c:idx val="3"/>
        <c:spPr>
          <a:solidFill>
            <a:srgbClr val="100D83"/>
          </a:solidFill>
          <a:ln w="19050">
            <a:solidFill>
              <a:schemeClr val="lt1"/>
            </a:solidFill>
          </a:ln>
          <a:effectLst/>
        </c:spPr>
      </c:pivotFmt>
      <c:pivotFmt>
        <c:idx val="4"/>
        <c:spPr>
          <a:solidFill>
            <a:srgbClr val="9BF8F2"/>
          </a:solidFill>
          <a:ln w="19050">
            <a:solidFill>
              <a:schemeClr val="lt1"/>
            </a:solidFill>
          </a:ln>
          <a:effectLst/>
        </c:spPr>
      </c:pivotFmt>
      <c:pivotFmt>
        <c:idx val="5"/>
        <c:spPr>
          <a:solidFill>
            <a:srgbClr val="9BF8F2"/>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100D83"/>
          </a:solidFill>
          <a:ln w="19050">
            <a:solidFill>
              <a:schemeClr val="lt1"/>
            </a:solidFill>
          </a:ln>
          <a:effectLst/>
        </c:spPr>
      </c:pivotFmt>
      <c:pivotFmt>
        <c:idx val="8"/>
        <c:spPr>
          <a:solidFill>
            <a:srgbClr val="9BF8F2"/>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100D83"/>
          </a:solidFill>
          <a:ln w="19050">
            <a:solidFill>
              <a:schemeClr val="lt1"/>
            </a:solidFill>
          </a:ln>
          <a:effectLst/>
        </c:spPr>
      </c:pivotFmt>
      <c:pivotFmt>
        <c:idx val="11"/>
        <c:spPr>
          <a:solidFill>
            <a:srgbClr val="9BF8F2"/>
          </a:solidFill>
          <a:ln w="19050">
            <a:solidFill>
              <a:schemeClr val="lt1"/>
            </a:solidFill>
          </a:ln>
          <a:effectLst/>
        </c:spPr>
      </c:pivotFmt>
      <c:pivotFmt>
        <c:idx val="12"/>
        <c:spPr>
          <a:solidFill>
            <a:schemeClr val="accent1"/>
          </a:solidFill>
          <a:ln w="19050">
            <a:solidFill>
              <a:srgbClr val="100D8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100D83"/>
          </a:solidFill>
          <a:ln w="19050">
            <a:solidFill>
              <a:srgbClr val="100D83"/>
            </a:solidFill>
          </a:ln>
          <a:effectLst/>
        </c:spPr>
      </c:pivotFmt>
      <c:pivotFmt>
        <c:idx val="14"/>
        <c:spPr>
          <a:solidFill>
            <a:srgbClr val="9BF8F2"/>
          </a:solidFill>
          <a:ln w="19050">
            <a:solidFill>
              <a:srgbClr val="100D83"/>
            </a:solidFill>
          </a:ln>
          <a:effectLst/>
        </c:spPr>
      </c:pivotFmt>
      <c:pivotFmt>
        <c:idx val="15"/>
        <c:spPr>
          <a:solidFill>
            <a:schemeClr val="accent1"/>
          </a:solidFill>
          <a:ln w="19050">
            <a:solidFill>
              <a:srgbClr val="070E2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100D83"/>
          </a:solidFill>
          <a:ln w="19050">
            <a:solidFill>
              <a:srgbClr val="070E25"/>
            </a:solidFill>
          </a:ln>
          <a:effectLst/>
        </c:spPr>
      </c:pivotFmt>
      <c:pivotFmt>
        <c:idx val="17"/>
        <c:spPr>
          <a:solidFill>
            <a:srgbClr val="9BF8F2"/>
          </a:solidFill>
          <a:ln w="19050">
            <a:solidFill>
              <a:srgbClr val="070E25"/>
            </a:solidFill>
          </a:ln>
          <a:effectLst/>
        </c:spPr>
      </c:pivotFmt>
    </c:pivotFmts>
    <c:plotArea>
      <c:layout/>
      <c:doughnutChart>
        <c:varyColors val="1"/>
        <c:ser>
          <c:idx val="0"/>
          <c:order val="0"/>
          <c:tx>
            <c:strRef>
              <c:f>'pivot tables'!$AL$6</c:f>
              <c:strCache>
                <c:ptCount val="1"/>
                <c:pt idx="0">
                  <c:v>Sum of Income</c:v>
                </c:pt>
              </c:strCache>
            </c:strRef>
          </c:tx>
          <c:spPr>
            <a:ln>
              <a:solidFill>
                <a:srgbClr val="100D83"/>
              </a:solidFill>
            </a:ln>
          </c:spPr>
          <c:dPt>
            <c:idx val="0"/>
            <c:bubble3D val="0"/>
            <c:spPr>
              <a:solidFill>
                <a:srgbClr val="100D83"/>
              </a:solidFill>
              <a:ln w="19050">
                <a:solidFill>
                  <a:srgbClr val="100D83"/>
                </a:solidFill>
              </a:ln>
              <a:effectLst/>
            </c:spPr>
            <c:extLst>
              <c:ext xmlns:c16="http://schemas.microsoft.com/office/drawing/2014/chart" uri="{C3380CC4-5D6E-409C-BE32-E72D297353CC}">
                <c16:uniqueId val="{00000001-4A1B-49AD-9D34-C93513F3B909}"/>
              </c:ext>
            </c:extLst>
          </c:dPt>
          <c:dPt>
            <c:idx val="1"/>
            <c:bubble3D val="0"/>
            <c:spPr>
              <a:solidFill>
                <a:srgbClr val="9BF8F2"/>
              </a:solidFill>
              <a:ln w="19050">
                <a:solidFill>
                  <a:srgbClr val="100D83"/>
                </a:solidFill>
              </a:ln>
              <a:effectLst/>
            </c:spPr>
            <c:extLst>
              <c:ext xmlns:c16="http://schemas.microsoft.com/office/drawing/2014/chart" uri="{C3380CC4-5D6E-409C-BE32-E72D297353CC}">
                <c16:uniqueId val="{00000003-4A1B-49AD-9D34-C93513F3B909}"/>
              </c:ext>
            </c:extLst>
          </c:dPt>
          <c:cat>
            <c:strRef>
              <c:f>'pivot tables'!$AK$7:$AK$9</c:f>
              <c:strCache>
                <c:ptCount val="2"/>
                <c:pt idx="0">
                  <c:v>B2B</c:v>
                </c:pt>
                <c:pt idx="1">
                  <c:v>B2C</c:v>
                </c:pt>
              </c:strCache>
            </c:strRef>
          </c:cat>
          <c:val>
            <c:numRef>
              <c:f>'pivot tables'!$AL$7:$AL$9</c:f>
              <c:numCache>
                <c:formatCode>_(* #,##0_);_(* \(#,##0\);_(* "-"??_);_(@_)</c:formatCode>
                <c:ptCount val="2"/>
                <c:pt idx="0">
                  <c:v>459822.86249999999</c:v>
                </c:pt>
                <c:pt idx="1">
                  <c:v>261060.48000000004</c:v>
                </c:pt>
              </c:numCache>
            </c:numRef>
          </c:val>
          <c:extLst>
            <c:ext xmlns:c16="http://schemas.microsoft.com/office/drawing/2014/chart" uri="{C3380CC4-5D6E-409C-BE32-E72D297353CC}">
              <c16:uniqueId val="{00000004-4A1B-49AD-9D34-C93513F3B909}"/>
            </c:ext>
          </c:extLst>
        </c:ser>
        <c:ser>
          <c:idx val="1"/>
          <c:order val="1"/>
          <c:tx>
            <c:strRef>
              <c:f>'pivot tables'!$AM$6</c:f>
              <c:strCache>
                <c:ptCount val="1"/>
                <c:pt idx="0">
                  <c:v>Sum of Income2</c:v>
                </c:pt>
              </c:strCache>
            </c:strRef>
          </c:tx>
          <c:spPr>
            <a:ln>
              <a:solidFill>
                <a:srgbClr val="070E25"/>
              </a:solidFill>
            </a:ln>
          </c:spPr>
          <c:dPt>
            <c:idx val="0"/>
            <c:bubble3D val="0"/>
            <c:spPr>
              <a:solidFill>
                <a:srgbClr val="100D83"/>
              </a:solidFill>
              <a:ln w="19050">
                <a:solidFill>
                  <a:srgbClr val="070E25"/>
                </a:solidFill>
              </a:ln>
              <a:effectLst/>
            </c:spPr>
            <c:extLst>
              <c:ext xmlns:c16="http://schemas.microsoft.com/office/drawing/2014/chart" uri="{C3380CC4-5D6E-409C-BE32-E72D297353CC}">
                <c16:uniqueId val="{00000006-4A1B-49AD-9D34-C93513F3B909}"/>
              </c:ext>
            </c:extLst>
          </c:dPt>
          <c:dPt>
            <c:idx val="1"/>
            <c:bubble3D val="0"/>
            <c:spPr>
              <a:solidFill>
                <a:srgbClr val="9BF8F2"/>
              </a:solidFill>
              <a:ln w="19050">
                <a:solidFill>
                  <a:srgbClr val="070E25"/>
                </a:solidFill>
              </a:ln>
              <a:effectLst/>
            </c:spPr>
            <c:extLst>
              <c:ext xmlns:c16="http://schemas.microsoft.com/office/drawing/2014/chart" uri="{C3380CC4-5D6E-409C-BE32-E72D297353CC}">
                <c16:uniqueId val="{00000008-4A1B-49AD-9D34-C93513F3B909}"/>
              </c:ext>
            </c:extLst>
          </c:dPt>
          <c:cat>
            <c:strRef>
              <c:f>'pivot tables'!$AK$7:$AK$9</c:f>
              <c:strCache>
                <c:ptCount val="2"/>
                <c:pt idx="0">
                  <c:v>B2B</c:v>
                </c:pt>
                <c:pt idx="1">
                  <c:v>B2C</c:v>
                </c:pt>
              </c:strCache>
            </c:strRef>
          </c:cat>
          <c:val>
            <c:numRef>
              <c:f>'pivot tables'!$AM$7:$AM$9</c:f>
              <c:numCache>
                <c:formatCode>0.00%</c:formatCode>
                <c:ptCount val="2"/>
                <c:pt idx="0">
                  <c:v>0.63786029637659436</c:v>
                </c:pt>
                <c:pt idx="1">
                  <c:v>0.36213970362340564</c:v>
                </c:pt>
              </c:numCache>
            </c:numRef>
          </c:val>
          <c:extLst>
            <c:ext xmlns:c16="http://schemas.microsoft.com/office/drawing/2014/chart" uri="{C3380CC4-5D6E-409C-BE32-E72D297353CC}">
              <c16:uniqueId val="{00000009-4A1B-49AD-9D34-C93513F3B90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lumMod val="10000"/>
                </a:schemeClr>
              </a:solidFill>
              <a:ln w="19050">
                <a:noFill/>
              </a:ln>
              <a:effectLst/>
            </c:spPr>
            <c:extLst>
              <c:ext xmlns:c16="http://schemas.microsoft.com/office/drawing/2014/chart" uri="{C3380CC4-5D6E-409C-BE32-E72D297353CC}">
                <c16:uniqueId val="{00000001-AA87-40C3-9FD6-7779016E9490}"/>
              </c:ext>
            </c:extLst>
          </c:dPt>
          <c:dPt>
            <c:idx val="1"/>
            <c:bubble3D val="0"/>
            <c:spPr>
              <a:gradFill flip="none" rotWithShape="1">
                <a:gsLst>
                  <a:gs pos="31000">
                    <a:srgbClr val="0C35A8"/>
                  </a:gs>
                  <a:gs pos="82000">
                    <a:srgbClr val="9BF8F2"/>
                  </a:gs>
                </a:gsLst>
                <a:lin ang="2700000" scaled="1"/>
                <a:tileRect/>
              </a:gradFill>
              <a:ln w="19050">
                <a:noFill/>
              </a:ln>
              <a:effectLst/>
            </c:spPr>
            <c:extLst>
              <c:ext xmlns:c16="http://schemas.microsoft.com/office/drawing/2014/chart" uri="{C3380CC4-5D6E-409C-BE32-E72D297353CC}">
                <c16:uniqueId val="{00000003-AA87-40C3-9FD6-7779016E9490}"/>
              </c:ext>
            </c:extLst>
          </c:dPt>
          <c:cat>
            <c:strRef>
              <c:f>'pivot tables'!$BX$4:$BY$4</c:f>
              <c:strCache>
                <c:ptCount val="2"/>
                <c:pt idx="0">
                  <c:v>Remaining Percentage</c:v>
                </c:pt>
                <c:pt idx="1">
                  <c:v>Actual</c:v>
                </c:pt>
              </c:strCache>
            </c:strRef>
          </c:cat>
          <c:val>
            <c:numRef>
              <c:f>'pivot tables'!$BX$5:$BY$5</c:f>
              <c:numCache>
                <c:formatCode>0%</c:formatCode>
                <c:ptCount val="2"/>
                <c:pt idx="0">
                  <c:v>0.25304472396566757</c:v>
                </c:pt>
                <c:pt idx="1">
                  <c:v>0.74695527603433243</c:v>
                </c:pt>
              </c:numCache>
            </c:numRef>
          </c:val>
          <c:extLst>
            <c:ext xmlns:c16="http://schemas.microsoft.com/office/drawing/2014/chart" uri="{C3380CC4-5D6E-409C-BE32-E72D297353CC}">
              <c16:uniqueId val="{00000004-AA87-40C3-9FD6-7779016E9490}"/>
            </c:ext>
          </c:extLst>
        </c:ser>
        <c:dLbls>
          <c:showLegendKey val="0"/>
          <c:showVal val="0"/>
          <c:showCatName val="0"/>
          <c:showSerName val="0"/>
          <c:showPercent val="0"/>
          <c:showBubbleSize val="0"/>
          <c:showLeaderLines val="1"/>
        </c:dLbls>
        <c:firstSliceAng val="0"/>
        <c:holeSize val="74"/>
      </c:doughnutChart>
      <c:scatterChart>
        <c:scatterStyle val="lineMarker"/>
        <c:varyColors val="0"/>
        <c:ser>
          <c:idx val="1"/>
          <c:order val="1"/>
          <c:tx>
            <c:v>series2</c:v>
          </c:tx>
          <c:spPr>
            <a:ln w="25400" cap="rnd">
              <a:noFill/>
              <a:round/>
            </a:ln>
            <a:effectLst/>
          </c:spPr>
          <c:marker>
            <c:symbol val="circle"/>
            <c:size val="25"/>
            <c:spPr>
              <a:solidFill>
                <a:srgbClr val="9BF8F2"/>
              </a:solidFill>
              <a:ln w="9525">
                <a:solidFill>
                  <a:srgbClr val="9BF8F2"/>
                </a:solidFill>
              </a:ln>
              <a:effectLst/>
            </c:spPr>
          </c:marker>
          <c:dPt>
            <c:idx val="0"/>
            <c:marker>
              <c:symbol val="circle"/>
              <c:size val="25"/>
              <c:spPr>
                <a:solidFill>
                  <a:srgbClr val="0C35A8"/>
                </a:solidFill>
                <a:ln w="9525">
                  <a:solidFill>
                    <a:srgbClr val="0C35A8"/>
                  </a:solidFill>
                </a:ln>
                <a:effectLst/>
              </c:spPr>
            </c:marker>
            <c:bubble3D val="0"/>
            <c:extLst>
              <c:ext xmlns:c16="http://schemas.microsoft.com/office/drawing/2014/chart" uri="{C3380CC4-5D6E-409C-BE32-E72D297353CC}">
                <c16:uniqueId val="{00000005-AA87-40C3-9FD6-7779016E9490}"/>
              </c:ext>
            </c:extLst>
          </c:dPt>
          <c:xVal>
            <c:numRef>
              <c:f>'pivot tables'!$CB$5:$CB$6</c:f>
              <c:numCache>
                <c:formatCode>General</c:formatCode>
                <c:ptCount val="2"/>
                <c:pt idx="0">
                  <c:v>0</c:v>
                </c:pt>
                <c:pt idx="1">
                  <c:v>0.99981701632435738</c:v>
                </c:pt>
              </c:numCache>
            </c:numRef>
          </c:xVal>
          <c:yVal>
            <c:numRef>
              <c:f>'pivot tables'!$CC$5:$CC$6</c:f>
              <c:numCache>
                <c:formatCode>General</c:formatCode>
                <c:ptCount val="2"/>
                <c:pt idx="0">
                  <c:v>1</c:v>
                </c:pt>
                <c:pt idx="1">
                  <c:v>-1.9129398010904981E-2</c:v>
                </c:pt>
              </c:numCache>
            </c:numRef>
          </c:yVal>
          <c:smooth val="0"/>
          <c:extLst>
            <c:ext xmlns:c16="http://schemas.microsoft.com/office/drawing/2014/chart" uri="{C3380CC4-5D6E-409C-BE32-E72D297353CC}">
              <c16:uniqueId val="{00000006-AA87-40C3-9FD6-7779016E9490}"/>
            </c:ext>
          </c:extLst>
        </c:ser>
        <c:dLbls>
          <c:showLegendKey val="0"/>
          <c:showVal val="0"/>
          <c:showCatName val="0"/>
          <c:showSerName val="0"/>
          <c:showPercent val="0"/>
          <c:showBubbleSize val="0"/>
        </c:dLbls>
        <c:axId val="182712031"/>
        <c:axId val="182727007"/>
      </c:scatterChart>
      <c:valAx>
        <c:axId val="182727007"/>
        <c:scaling>
          <c:orientation val="minMax"/>
          <c:max val="1.1500000000000001"/>
          <c:min val="-1.1500000000000001"/>
        </c:scaling>
        <c:delete val="1"/>
        <c:axPos val="l"/>
        <c:numFmt formatCode="General" sourceLinked="1"/>
        <c:majorTickMark val="out"/>
        <c:minorTickMark val="none"/>
        <c:tickLblPos val="nextTo"/>
        <c:crossAx val="182712031"/>
        <c:crosses val="autoZero"/>
        <c:crossBetween val="midCat"/>
      </c:valAx>
      <c:valAx>
        <c:axId val="182712031"/>
        <c:scaling>
          <c:orientation val="minMax"/>
          <c:max val="1.1500000000000001"/>
          <c:min val="-1.1500000000000001"/>
        </c:scaling>
        <c:delete val="1"/>
        <c:axPos val="b"/>
        <c:numFmt formatCode="General" sourceLinked="1"/>
        <c:majorTickMark val="out"/>
        <c:minorTickMark val="none"/>
        <c:tickLblPos val="nextTo"/>
        <c:crossAx val="182727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 tables'!$BQ$5</c:f>
              <c:strCache>
                <c:ptCount val="1"/>
                <c:pt idx="0">
                  <c:v>Brazil</c:v>
                </c:pt>
              </c:strCache>
            </c:strRef>
          </c:tx>
          <c:spPr>
            <a:gradFill flip="none" rotWithShape="1">
              <a:gsLst>
                <a:gs pos="0">
                  <a:srgbClr val="FF0000"/>
                </a:gs>
                <a:gs pos="100000">
                  <a:srgbClr val="CC0E62"/>
                </a:gs>
              </a:gsLst>
              <a:lin ang="16200000" scaled="1"/>
              <a:tileRect/>
            </a:gradFill>
            <a:ln>
              <a:noFill/>
            </a:ln>
            <a:effectLst/>
          </c:spPr>
          <c:invertIfNegative val="0"/>
          <c:val>
            <c:numRef>
              <c:f>'pivot tables'!$BR$5</c:f>
              <c:numCache>
                <c:formatCode>0%</c:formatCode>
                <c:ptCount val="1"/>
                <c:pt idx="0">
                  <c:v>8.7047363864558594E-2</c:v>
                </c:pt>
              </c:numCache>
            </c:numRef>
          </c:val>
          <c:extLst>
            <c:ext xmlns:c16="http://schemas.microsoft.com/office/drawing/2014/chart" uri="{C3380CC4-5D6E-409C-BE32-E72D297353CC}">
              <c16:uniqueId val="{00000000-5117-43A3-B434-E7A6345C2664}"/>
            </c:ext>
          </c:extLst>
        </c:ser>
        <c:ser>
          <c:idx val="1"/>
          <c:order val="1"/>
          <c:tx>
            <c:strRef>
              <c:f>'pivot tables'!$BQ$6</c:f>
              <c:strCache>
                <c:ptCount val="1"/>
                <c:pt idx="0">
                  <c:v>Canada</c:v>
                </c:pt>
              </c:strCache>
            </c:strRef>
          </c:tx>
          <c:spPr>
            <a:gradFill>
              <a:gsLst>
                <a:gs pos="0">
                  <a:srgbClr val="012ED1"/>
                </a:gs>
                <a:gs pos="100000">
                  <a:srgbClr val="345FFE"/>
                </a:gs>
              </a:gsLst>
              <a:lin ang="16200000" scaled="1"/>
            </a:gradFill>
            <a:ln>
              <a:noFill/>
            </a:ln>
            <a:effectLst/>
          </c:spPr>
          <c:invertIfNegative val="0"/>
          <c:val>
            <c:numRef>
              <c:f>'pivot tables'!$BR$6</c:f>
              <c:numCache>
                <c:formatCode>0%</c:formatCode>
                <c:ptCount val="1"/>
                <c:pt idx="0">
                  <c:v>8.9368884847722735E-2</c:v>
                </c:pt>
              </c:numCache>
            </c:numRef>
          </c:val>
          <c:extLst>
            <c:ext xmlns:c16="http://schemas.microsoft.com/office/drawing/2014/chart" uri="{C3380CC4-5D6E-409C-BE32-E72D297353CC}">
              <c16:uniqueId val="{00000001-5117-43A3-B434-E7A6345C2664}"/>
            </c:ext>
          </c:extLst>
        </c:ser>
        <c:ser>
          <c:idx val="2"/>
          <c:order val="2"/>
          <c:tx>
            <c:strRef>
              <c:f>'pivot tables'!$BQ$7</c:f>
              <c:strCache>
                <c:ptCount val="1"/>
                <c:pt idx="0">
                  <c:v>Egypt</c:v>
                </c:pt>
              </c:strCache>
            </c:strRef>
          </c:tx>
          <c:spPr>
            <a:gradFill flip="none" rotWithShape="1">
              <a:gsLst>
                <a:gs pos="0">
                  <a:srgbClr val="D39F08"/>
                </a:gs>
                <a:gs pos="100000">
                  <a:srgbClr val="E7E200"/>
                </a:gs>
              </a:gsLst>
              <a:lin ang="16200000" scaled="1"/>
              <a:tileRect/>
            </a:gradFill>
            <a:ln>
              <a:noFill/>
            </a:ln>
            <a:effectLst/>
          </c:spPr>
          <c:invertIfNegative val="0"/>
          <c:val>
            <c:numRef>
              <c:f>'pivot tables'!$BR$7</c:f>
              <c:numCache>
                <c:formatCode>0%</c:formatCode>
                <c:ptCount val="1"/>
                <c:pt idx="0">
                  <c:v>0.24730002273155963</c:v>
                </c:pt>
              </c:numCache>
            </c:numRef>
          </c:val>
          <c:extLst>
            <c:ext xmlns:c16="http://schemas.microsoft.com/office/drawing/2014/chart" uri="{C3380CC4-5D6E-409C-BE32-E72D297353CC}">
              <c16:uniqueId val="{00000002-5117-43A3-B434-E7A6345C2664}"/>
            </c:ext>
          </c:extLst>
        </c:ser>
        <c:ser>
          <c:idx val="3"/>
          <c:order val="3"/>
          <c:tx>
            <c:strRef>
              <c:f>'pivot tables'!$BQ$8</c:f>
              <c:strCache>
                <c:ptCount val="1"/>
                <c:pt idx="0">
                  <c:v>Russia</c:v>
                </c:pt>
              </c:strCache>
            </c:strRef>
          </c:tx>
          <c:spPr>
            <a:gradFill flip="none" rotWithShape="1">
              <a:gsLst>
                <a:gs pos="0">
                  <a:srgbClr val="9BF8F2"/>
                </a:gs>
                <a:gs pos="100000">
                  <a:srgbClr val="345FFE"/>
                </a:gs>
              </a:gsLst>
              <a:lin ang="5400000" scaled="1"/>
              <a:tileRect/>
            </a:gradFill>
            <a:ln>
              <a:noFill/>
            </a:ln>
            <a:effectLst/>
          </c:spPr>
          <c:invertIfNegative val="0"/>
          <c:val>
            <c:numRef>
              <c:f>'pivot tables'!$BR$8</c:f>
              <c:numCache>
                <c:formatCode>0%</c:formatCode>
                <c:ptCount val="1"/>
                <c:pt idx="0">
                  <c:v>0.26528697384903344</c:v>
                </c:pt>
              </c:numCache>
            </c:numRef>
          </c:val>
          <c:extLst>
            <c:ext xmlns:c16="http://schemas.microsoft.com/office/drawing/2014/chart" uri="{C3380CC4-5D6E-409C-BE32-E72D297353CC}">
              <c16:uniqueId val="{00000003-5117-43A3-B434-E7A6345C2664}"/>
            </c:ext>
          </c:extLst>
        </c:ser>
        <c:ser>
          <c:idx val="4"/>
          <c:order val="4"/>
          <c:tx>
            <c:strRef>
              <c:f>'pivot tables'!$BQ$9</c:f>
              <c:strCache>
                <c:ptCount val="1"/>
                <c:pt idx="0">
                  <c:v>United Kingdom</c:v>
                </c:pt>
              </c:strCache>
            </c:strRef>
          </c:tx>
          <c:spPr>
            <a:gradFill>
              <a:gsLst>
                <a:gs pos="0">
                  <a:srgbClr val="0C35A8"/>
                </a:gs>
                <a:gs pos="100000">
                  <a:srgbClr val="001358"/>
                </a:gs>
              </a:gsLst>
              <a:lin ang="5400000" scaled="1"/>
            </a:gradFill>
            <a:ln>
              <a:noFill/>
            </a:ln>
            <a:effectLst/>
          </c:spPr>
          <c:invertIfNegative val="0"/>
          <c:val>
            <c:numRef>
              <c:f>'pivot tables'!$BR$9</c:f>
              <c:numCache>
                <c:formatCode>0%</c:formatCode>
                <c:ptCount val="1"/>
                <c:pt idx="0">
                  <c:v>0.15634476521200807</c:v>
                </c:pt>
              </c:numCache>
            </c:numRef>
          </c:val>
          <c:extLst>
            <c:ext xmlns:c16="http://schemas.microsoft.com/office/drawing/2014/chart" uri="{C3380CC4-5D6E-409C-BE32-E72D297353CC}">
              <c16:uniqueId val="{00000004-5117-43A3-B434-E7A6345C2664}"/>
            </c:ext>
          </c:extLst>
        </c:ser>
        <c:ser>
          <c:idx val="5"/>
          <c:order val="5"/>
          <c:tx>
            <c:strRef>
              <c:f>'pivot tables'!$BQ$10</c:f>
              <c:strCache>
                <c:ptCount val="1"/>
                <c:pt idx="0">
                  <c:v>USA</c:v>
                </c:pt>
              </c:strCache>
            </c:strRef>
          </c:tx>
          <c:spPr>
            <a:gradFill>
              <a:gsLst>
                <a:gs pos="0">
                  <a:srgbClr val="934BC9"/>
                </a:gs>
                <a:gs pos="100000">
                  <a:srgbClr val="4C216D"/>
                </a:gs>
              </a:gsLst>
              <a:lin ang="5400000" scaled="1"/>
            </a:gradFill>
            <a:ln>
              <a:noFill/>
            </a:ln>
            <a:effectLst/>
          </c:spPr>
          <c:invertIfNegative val="0"/>
          <c:val>
            <c:numRef>
              <c:f>'pivot tables'!$BR$10</c:f>
              <c:numCache>
                <c:formatCode>0%</c:formatCode>
                <c:ptCount val="1"/>
                <c:pt idx="0">
                  <c:v>0.15465198949511755</c:v>
                </c:pt>
              </c:numCache>
            </c:numRef>
          </c:val>
          <c:extLst>
            <c:ext xmlns:c16="http://schemas.microsoft.com/office/drawing/2014/chart" uri="{C3380CC4-5D6E-409C-BE32-E72D297353CC}">
              <c16:uniqueId val="{00000005-5117-43A3-B434-E7A6345C2664}"/>
            </c:ext>
          </c:extLst>
        </c:ser>
        <c:dLbls>
          <c:showLegendKey val="0"/>
          <c:showVal val="0"/>
          <c:showCatName val="0"/>
          <c:showSerName val="0"/>
          <c:showPercent val="0"/>
          <c:showBubbleSize val="0"/>
        </c:dLbls>
        <c:gapWidth val="150"/>
        <c:overlap val="100"/>
        <c:axId val="877948640"/>
        <c:axId val="877950720"/>
      </c:barChart>
      <c:catAx>
        <c:axId val="877948640"/>
        <c:scaling>
          <c:orientation val="minMax"/>
        </c:scaling>
        <c:delete val="1"/>
        <c:axPos val="l"/>
        <c:numFmt formatCode="General" sourceLinked="1"/>
        <c:majorTickMark val="none"/>
        <c:minorTickMark val="none"/>
        <c:tickLblPos val="nextTo"/>
        <c:crossAx val="877950720"/>
        <c:crosses val="autoZero"/>
        <c:auto val="1"/>
        <c:lblAlgn val="ctr"/>
        <c:lblOffset val="100"/>
        <c:noMultiLvlLbl val="0"/>
      </c:catAx>
      <c:valAx>
        <c:axId val="877950720"/>
        <c:scaling>
          <c:orientation val="minMax"/>
        </c:scaling>
        <c:delete val="1"/>
        <c:axPos val="b"/>
        <c:numFmt formatCode="0%" sourceLinked="1"/>
        <c:majorTickMark val="none"/>
        <c:minorTickMark val="none"/>
        <c:tickLblPos val="nextTo"/>
        <c:crossAx val="87794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gradFill flip="none" rotWithShape="1">
              <a:gsLst>
                <a:gs pos="52000">
                  <a:srgbClr val="00F1DF"/>
                </a:gs>
                <a:gs pos="0">
                  <a:srgbClr val="9947F7"/>
                </a:gs>
              </a:gsLst>
              <a:lin ang="5400000" scaled="1"/>
              <a:tileRect/>
            </a:gradFill>
            <a:ln>
              <a:noFill/>
            </a:ln>
            <a:effectLst/>
          </c:spPr>
          <c:invertIfNegative val="0"/>
          <c:val>
            <c:numRef>
              <c:f>'pivot tables'!$CH$5</c:f>
              <c:numCache>
                <c:formatCode>0.0%</c:formatCode>
                <c:ptCount val="1"/>
                <c:pt idx="0">
                  <c:v>0.22799999999999998</c:v>
                </c:pt>
              </c:numCache>
            </c:numRef>
          </c:val>
          <c:extLst>
            <c:ext xmlns:c16="http://schemas.microsoft.com/office/drawing/2014/chart" uri="{C3380CC4-5D6E-409C-BE32-E72D297353CC}">
              <c16:uniqueId val="{00000000-AE5D-42D1-A64B-F69F6921F7F1}"/>
            </c:ext>
          </c:extLst>
        </c:ser>
        <c:ser>
          <c:idx val="1"/>
          <c:order val="1"/>
          <c:spPr>
            <a:solidFill>
              <a:schemeClr val="tx1"/>
            </a:solidFill>
            <a:ln>
              <a:noFill/>
            </a:ln>
            <a:effectLst/>
          </c:spPr>
          <c:invertIfNegative val="0"/>
          <c:val>
            <c:numRef>
              <c:f>'pivot tables'!$CI$5</c:f>
              <c:numCache>
                <c:formatCode>0.0%</c:formatCode>
                <c:ptCount val="1"/>
                <c:pt idx="0">
                  <c:v>0.77200000000000002</c:v>
                </c:pt>
              </c:numCache>
            </c:numRef>
          </c:val>
          <c:extLst>
            <c:ext xmlns:c16="http://schemas.microsoft.com/office/drawing/2014/chart" uri="{C3380CC4-5D6E-409C-BE32-E72D297353CC}">
              <c16:uniqueId val="{00000001-AE5D-42D1-A64B-F69F6921F7F1}"/>
            </c:ext>
          </c:extLst>
        </c:ser>
        <c:dLbls>
          <c:showLegendKey val="0"/>
          <c:showVal val="0"/>
          <c:showCatName val="0"/>
          <c:showSerName val="0"/>
          <c:showPercent val="0"/>
          <c:showBubbleSize val="0"/>
        </c:dLbls>
        <c:gapWidth val="150"/>
        <c:overlap val="100"/>
        <c:axId val="1231813567"/>
        <c:axId val="1231822303"/>
      </c:barChart>
      <c:catAx>
        <c:axId val="1231813567"/>
        <c:scaling>
          <c:orientation val="minMax"/>
        </c:scaling>
        <c:delete val="1"/>
        <c:axPos val="b"/>
        <c:majorTickMark val="none"/>
        <c:minorTickMark val="none"/>
        <c:tickLblPos val="nextTo"/>
        <c:crossAx val="1231822303"/>
        <c:crosses val="autoZero"/>
        <c:auto val="1"/>
        <c:lblAlgn val="ctr"/>
        <c:lblOffset val="100"/>
        <c:noMultiLvlLbl val="0"/>
      </c:catAx>
      <c:valAx>
        <c:axId val="1231822303"/>
        <c:scaling>
          <c:orientation val="minMax"/>
          <c:max val="1"/>
        </c:scaling>
        <c:delete val="1"/>
        <c:axPos val="l"/>
        <c:numFmt formatCode="0.0%" sourceLinked="1"/>
        <c:majorTickMark val="none"/>
        <c:minorTickMark val="none"/>
        <c:tickLblPos val="nextTo"/>
        <c:crossAx val="12318135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Geographically!A1"/><Relationship Id="rId7" Type="http://schemas.openxmlformats.org/officeDocument/2006/relationships/image" Target="../media/image3.sv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chart" Target="../charts/chart5.xml"/><Relationship Id="rId5" Type="http://schemas.openxmlformats.org/officeDocument/2006/relationships/hyperlink" Target="#'Income source'!A1"/><Relationship Id="rId10" Type="http://schemas.openxmlformats.org/officeDocument/2006/relationships/chart" Target="../charts/chart4.xml"/><Relationship Id="rId4" Type="http://schemas.openxmlformats.org/officeDocument/2006/relationships/hyperlink" Target="https://www.lpu.in/" TargetMode="External"/><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image" Target="../media/image11.svg"/><Relationship Id="rId13" Type="http://schemas.openxmlformats.org/officeDocument/2006/relationships/image" Target="../media/image1.png"/><Relationship Id="rId18" Type="http://schemas.openxmlformats.org/officeDocument/2006/relationships/image" Target="../media/image3.svg"/><Relationship Id="rId3" Type="http://schemas.openxmlformats.org/officeDocument/2006/relationships/image" Target="../media/image6.png"/><Relationship Id="rId21" Type="http://schemas.openxmlformats.org/officeDocument/2006/relationships/chart" Target="../charts/chart8.xml"/><Relationship Id="rId7" Type="http://schemas.openxmlformats.org/officeDocument/2006/relationships/image" Target="../media/image10.png"/><Relationship Id="rId12" Type="http://schemas.openxmlformats.org/officeDocument/2006/relationships/image" Target="../media/image15.svg"/><Relationship Id="rId17" Type="http://schemas.openxmlformats.org/officeDocument/2006/relationships/image" Target="../media/image2.png"/><Relationship Id="rId2" Type="http://schemas.openxmlformats.org/officeDocument/2006/relationships/image" Target="../media/image5.svg"/><Relationship Id="rId16" Type="http://schemas.openxmlformats.org/officeDocument/2006/relationships/hyperlink" Target="#'Income source'!A1"/><Relationship Id="rId20" Type="http://schemas.openxmlformats.org/officeDocument/2006/relationships/chart" Target="../charts/chart7.xml"/><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hyperlink" Target="https://www.lpu.in/" TargetMode="External"/><Relationship Id="rId10" Type="http://schemas.openxmlformats.org/officeDocument/2006/relationships/image" Target="../media/image13.svg"/><Relationship Id="rId19" Type="http://schemas.openxmlformats.org/officeDocument/2006/relationships/chart" Target="../charts/chart6.xml"/><Relationship Id="rId4" Type="http://schemas.openxmlformats.org/officeDocument/2006/relationships/image" Target="../media/image7.svg"/><Relationship Id="rId9" Type="http://schemas.openxmlformats.org/officeDocument/2006/relationships/image" Target="../media/image12.png"/><Relationship Id="rId14" Type="http://schemas.openxmlformats.org/officeDocument/2006/relationships/hyperlink" Target="#Geographically!A1"/></Relationships>
</file>

<file path=xl/drawings/drawing1.xml><?xml version="1.0" encoding="utf-8"?>
<xdr:wsDr xmlns:xdr="http://schemas.openxmlformats.org/drawingml/2006/spreadsheetDrawing" xmlns:a="http://schemas.openxmlformats.org/drawingml/2006/main">
  <xdr:twoCellAnchor>
    <xdr:from>
      <xdr:col>11</xdr:col>
      <xdr:colOff>559908</xdr:colOff>
      <xdr:row>9</xdr:row>
      <xdr:rowOff>76298</xdr:rowOff>
    </xdr:from>
    <xdr:to>
      <xdr:col>20</xdr:col>
      <xdr:colOff>589442</xdr:colOff>
      <xdr:row>31</xdr:row>
      <xdr:rowOff>124297</xdr:rowOff>
    </xdr:to>
    <xdr:graphicFrame macro="">
      <xdr:nvGraphicFramePr>
        <xdr:cNvPr id="78" name="Chart 77">
          <a:extLst>
            <a:ext uri="{FF2B5EF4-FFF2-40B4-BE49-F238E27FC236}">
              <a16:creationId xmlns:a16="http://schemas.microsoft.com/office/drawing/2014/main" id="{2A6D7BA6-862A-48AF-8A2E-78971860AC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35</xdr:col>
      <xdr:colOff>581187</xdr:colOff>
      <xdr:row>2</xdr:row>
      <xdr:rowOff>12192</xdr:rowOff>
    </xdr:to>
    <xdr:grpSp>
      <xdr:nvGrpSpPr>
        <xdr:cNvPr id="46" name="Group 45">
          <a:extLst>
            <a:ext uri="{FF2B5EF4-FFF2-40B4-BE49-F238E27FC236}">
              <a16:creationId xmlns:a16="http://schemas.microsoft.com/office/drawing/2014/main" id="{675E8821-7466-489E-8D7A-B024CED25AE2}"/>
            </a:ext>
          </a:extLst>
        </xdr:cNvPr>
        <xdr:cNvGrpSpPr/>
      </xdr:nvGrpSpPr>
      <xdr:grpSpPr>
        <a:xfrm>
          <a:off x="0" y="0"/>
          <a:ext cx="21694937" cy="393192"/>
          <a:chOff x="0" y="0"/>
          <a:chExt cx="19037979" cy="393192"/>
        </a:xfrm>
      </xdr:grpSpPr>
      <xdr:sp macro="" textlink="">
        <xdr:nvSpPr>
          <xdr:cNvPr id="2" name="Rectangle 1">
            <a:extLst>
              <a:ext uri="{FF2B5EF4-FFF2-40B4-BE49-F238E27FC236}">
                <a16:creationId xmlns:a16="http://schemas.microsoft.com/office/drawing/2014/main" id="{FA2F043A-A855-4449-94F5-9C9451E8837D}"/>
              </a:ext>
            </a:extLst>
          </xdr:cNvPr>
          <xdr:cNvSpPr/>
        </xdr:nvSpPr>
        <xdr:spPr>
          <a:xfrm>
            <a:off x="0" y="0"/>
            <a:ext cx="19037979" cy="393192"/>
          </a:xfrm>
          <a:prstGeom prst="rect">
            <a:avLst/>
          </a:prstGeom>
          <a:solidFill>
            <a:srgbClr val="1D1D3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a:p>
        </xdr:txBody>
      </xdr:sp>
      <xdr:pic>
        <xdr:nvPicPr>
          <xdr:cNvPr id="4" name="Picture 3" descr="lpu sae india collegiate club Logo PNG Vector (AI) Free Download">
            <a:extLst>
              <a:ext uri="{FF2B5EF4-FFF2-40B4-BE49-F238E27FC236}">
                <a16:creationId xmlns:a16="http://schemas.microsoft.com/office/drawing/2014/main" id="{A6D4FA30-2864-4D61-9A28-D7790936E9C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584" y="11430"/>
            <a:ext cx="387326" cy="37719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 name="TextBox 4">
            <a:extLst>
              <a:ext uri="{FF2B5EF4-FFF2-40B4-BE49-F238E27FC236}">
                <a16:creationId xmlns:a16="http://schemas.microsoft.com/office/drawing/2014/main" id="{62C7E88D-1E3B-49DC-A15C-7B3864488143}"/>
              </a:ext>
            </a:extLst>
          </xdr:cNvPr>
          <xdr:cNvSpPr txBox="1"/>
        </xdr:nvSpPr>
        <xdr:spPr>
          <a:xfrm>
            <a:off x="362669" y="61715"/>
            <a:ext cx="450566" cy="24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100">
                <a:solidFill>
                  <a:schemeClr val="bg1">
                    <a:lumMod val="95000"/>
                  </a:schemeClr>
                </a:solidFill>
                <a:latin typeface="Berlin Sans FB" panose="020E0602020502020306" pitchFamily="34" charset="0"/>
              </a:rPr>
              <a:t>LPU</a:t>
            </a:r>
          </a:p>
        </xdr:txBody>
      </xdr:sp>
      <xdr:sp macro="" textlink="">
        <xdr:nvSpPr>
          <xdr:cNvPr id="8" name="TextBox 7">
            <a:hlinkClick xmlns:r="http://schemas.openxmlformats.org/officeDocument/2006/relationships" r:id="rId3" tooltip="Geographically"/>
            <a:extLst>
              <a:ext uri="{FF2B5EF4-FFF2-40B4-BE49-F238E27FC236}">
                <a16:creationId xmlns:a16="http://schemas.microsoft.com/office/drawing/2014/main" id="{27A44475-3B11-427E-9661-52AA4E590943}"/>
              </a:ext>
            </a:extLst>
          </xdr:cNvPr>
          <xdr:cNvSpPr txBox="1"/>
        </xdr:nvSpPr>
        <xdr:spPr>
          <a:xfrm>
            <a:off x="15501229" y="85863"/>
            <a:ext cx="1149503" cy="2437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a:solidFill>
                  <a:schemeClr val="bg1">
                    <a:lumMod val="95000"/>
                  </a:schemeClr>
                </a:solidFill>
                <a:effectLst/>
                <a:latin typeface="Berlin Sans FB" panose="020E0602020502020306" pitchFamily="34" charset="0"/>
                <a:ea typeface="+mn-ea"/>
                <a:cs typeface="+mn-cs"/>
              </a:rPr>
              <a:t>Geographically</a:t>
            </a:r>
            <a:endParaRPr lang="en-IN" sz="1100">
              <a:solidFill>
                <a:schemeClr val="bg1">
                  <a:lumMod val="95000"/>
                </a:schemeClr>
              </a:solidFill>
              <a:latin typeface="Berlin Sans FB" panose="020E0602020502020306" pitchFamily="34" charset="0"/>
            </a:endParaRPr>
          </a:p>
        </xdr:txBody>
      </xdr:sp>
      <xdr:sp macro="" textlink="">
        <xdr:nvSpPr>
          <xdr:cNvPr id="39" name="TextBox 38">
            <a:hlinkClick xmlns:r="http://schemas.openxmlformats.org/officeDocument/2006/relationships" r:id="rId4" tooltip="www.lpu.in"/>
            <a:extLst>
              <a:ext uri="{FF2B5EF4-FFF2-40B4-BE49-F238E27FC236}">
                <a16:creationId xmlns:a16="http://schemas.microsoft.com/office/drawing/2014/main" id="{2FDF296D-0375-4A5E-B8BB-6665DF5CFED3}"/>
              </a:ext>
            </a:extLst>
          </xdr:cNvPr>
          <xdr:cNvSpPr txBox="1"/>
        </xdr:nvSpPr>
        <xdr:spPr>
          <a:xfrm>
            <a:off x="3362325" y="68752"/>
            <a:ext cx="619125" cy="24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a:solidFill>
                  <a:schemeClr val="bg1">
                    <a:lumMod val="95000"/>
                  </a:schemeClr>
                </a:solidFill>
                <a:effectLst/>
                <a:latin typeface="Berlin Sans FB" panose="020E0602020502020306" pitchFamily="34" charset="0"/>
                <a:ea typeface="+mn-ea"/>
                <a:cs typeface="+mn-cs"/>
              </a:rPr>
              <a:t>Browse</a:t>
            </a:r>
            <a:endParaRPr lang="en-IN" sz="1100">
              <a:solidFill>
                <a:schemeClr val="bg1">
                  <a:lumMod val="95000"/>
                </a:schemeClr>
              </a:solidFill>
              <a:latin typeface="Berlin Sans FB" panose="020E0602020502020306" pitchFamily="34" charset="0"/>
            </a:endParaRPr>
          </a:p>
        </xdr:txBody>
      </xdr:sp>
      <xdr:sp macro="" textlink="">
        <xdr:nvSpPr>
          <xdr:cNvPr id="41" name="TextBox 40">
            <a:hlinkClick xmlns:r="http://schemas.openxmlformats.org/officeDocument/2006/relationships" r:id="rId5" tooltip="Income sources"/>
            <a:extLst>
              <a:ext uri="{FF2B5EF4-FFF2-40B4-BE49-F238E27FC236}">
                <a16:creationId xmlns:a16="http://schemas.microsoft.com/office/drawing/2014/main" id="{D13C4477-3E28-4D6E-96E3-76BE0858BBF5}"/>
              </a:ext>
            </a:extLst>
          </xdr:cNvPr>
          <xdr:cNvSpPr txBox="1"/>
        </xdr:nvSpPr>
        <xdr:spPr>
          <a:xfrm>
            <a:off x="14334116" y="48956"/>
            <a:ext cx="1076274" cy="24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N" sz="1100">
                <a:solidFill>
                  <a:schemeClr val="bg1">
                    <a:lumMod val="95000"/>
                  </a:schemeClr>
                </a:solidFill>
                <a:effectLst/>
                <a:latin typeface="Berlin Sans FB" panose="020E0602020502020306" pitchFamily="34" charset="0"/>
                <a:ea typeface="+mn-ea"/>
                <a:cs typeface="+mn-cs"/>
              </a:rPr>
              <a:t>Income</a:t>
            </a:r>
            <a:r>
              <a:rPr lang="en-IN" sz="1100" baseline="0">
                <a:solidFill>
                  <a:schemeClr val="bg1">
                    <a:lumMod val="95000"/>
                  </a:schemeClr>
                </a:solidFill>
                <a:effectLst/>
                <a:latin typeface="Berlin Sans FB" panose="020E0602020502020306" pitchFamily="34" charset="0"/>
                <a:ea typeface="+mn-ea"/>
                <a:cs typeface="+mn-cs"/>
              </a:rPr>
              <a:t> sources</a:t>
            </a:r>
            <a:endParaRPr lang="en-IN" sz="1100">
              <a:solidFill>
                <a:schemeClr val="bg1">
                  <a:lumMod val="95000"/>
                </a:schemeClr>
              </a:solidFill>
              <a:latin typeface="Berlin Sans FB" panose="020E0602020502020306" pitchFamily="34" charset="0"/>
            </a:endParaRPr>
          </a:p>
        </xdr:txBody>
      </xdr:sp>
      <xdr:pic>
        <xdr:nvPicPr>
          <xdr:cNvPr id="44" name="Graphic 43" descr="Chevron arrows with solid fill">
            <a:extLst>
              <a:ext uri="{FF2B5EF4-FFF2-40B4-BE49-F238E27FC236}">
                <a16:creationId xmlns:a16="http://schemas.microsoft.com/office/drawing/2014/main" id="{2BC1215B-7751-4E92-8F44-11A92AC6FFF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146578" y="66675"/>
            <a:ext cx="254305" cy="247650"/>
          </a:xfrm>
          <a:prstGeom prst="rect">
            <a:avLst/>
          </a:prstGeom>
        </xdr:spPr>
      </xdr:pic>
      <xdr:sp macro="" textlink="">
        <xdr:nvSpPr>
          <xdr:cNvPr id="45" name="Rectangle: Rounded Corners 44">
            <a:extLst>
              <a:ext uri="{FF2B5EF4-FFF2-40B4-BE49-F238E27FC236}">
                <a16:creationId xmlns:a16="http://schemas.microsoft.com/office/drawing/2014/main" id="{E9F26DDE-49E8-441F-B573-BA129E727E15}"/>
              </a:ext>
            </a:extLst>
          </xdr:cNvPr>
          <xdr:cNvSpPr/>
        </xdr:nvSpPr>
        <xdr:spPr>
          <a:xfrm>
            <a:off x="14448683" y="301633"/>
            <a:ext cx="281692" cy="45720"/>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xdr:col>
      <xdr:colOff>227646</xdr:colOff>
      <xdr:row>3</xdr:row>
      <xdr:rowOff>190499</xdr:rowOff>
    </xdr:from>
    <xdr:to>
      <xdr:col>4</xdr:col>
      <xdr:colOff>562926</xdr:colOff>
      <xdr:row>6</xdr:row>
      <xdr:rowOff>48767</xdr:rowOff>
    </xdr:to>
    <xdr:sp macro="" textlink="">
      <xdr:nvSpPr>
        <xdr:cNvPr id="12" name="Rectangle: Rounded Corners 11">
          <a:extLst>
            <a:ext uri="{FF2B5EF4-FFF2-40B4-BE49-F238E27FC236}">
              <a16:creationId xmlns:a16="http://schemas.microsoft.com/office/drawing/2014/main" id="{38A50EF7-6A31-41F6-AED8-4929C1F922C8}"/>
            </a:ext>
          </a:extLst>
        </xdr:cNvPr>
        <xdr:cNvSpPr/>
      </xdr:nvSpPr>
      <xdr:spPr>
        <a:xfrm>
          <a:off x="1446846" y="761999"/>
          <a:ext cx="1554480" cy="429768"/>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275976</xdr:colOff>
      <xdr:row>4</xdr:row>
      <xdr:rowOff>91163</xdr:rowOff>
    </xdr:from>
    <xdr:to>
      <xdr:col>4</xdr:col>
      <xdr:colOff>514596</xdr:colOff>
      <xdr:row>5</xdr:row>
      <xdr:rowOff>148103</xdr:rowOff>
    </xdr:to>
    <xdr:sp macro="" textlink="">
      <xdr:nvSpPr>
        <xdr:cNvPr id="13" name="TextBox 12">
          <a:extLst>
            <a:ext uri="{FF2B5EF4-FFF2-40B4-BE49-F238E27FC236}">
              <a16:creationId xmlns:a16="http://schemas.microsoft.com/office/drawing/2014/main" id="{1ECAABB8-7DF6-4BD4-8AE9-B9AF8F29BDC5}"/>
            </a:ext>
          </a:extLst>
        </xdr:cNvPr>
        <xdr:cNvSpPr txBox="1"/>
      </xdr:nvSpPr>
      <xdr:spPr>
        <a:xfrm>
          <a:off x="1495176" y="853163"/>
          <a:ext cx="1457820" cy="24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100">
              <a:solidFill>
                <a:schemeClr val="bg1">
                  <a:lumMod val="95000"/>
                </a:schemeClr>
              </a:solidFill>
              <a:latin typeface="Berlin Sans FB" panose="020E0602020502020306" pitchFamily="34" charset="0"/>
            </a:rPr>
            <a:t>Income</a:t>
          </a:r>
          <a:r>
            <a:rPr lang="en-IN" sz="1100" baseline="0">
              <a:solidFill>
                <a:schemeClr val="bg1">
                  <a:lumMod val="95000"/>
                </a:schemeClr>
              </a:solidFill>
              <a:latin typeface="Berlin Sans FB" panose="020E0602020502020306" pitchFamily="34" charset="0"/>
            </a:rPr>
            <a:t> sources</a:t>
          </a:r>
          <a:endParaRPr lang="en-IN" sz="1100">
            <a:solidFill>
              <a:schemeClr val="bg1">
                <a:lumMod val="95000"/>
              </a:schemeClr>
            </a:solidFill>
            <a:latin typeface="Berlin Sans FB" panose="020E0602020502020306" pitchFamily="34" charset="0"/>
          </a:endParaRPr>
        </a:p>
      </xdr:txBody>
    </xdr:sp>
    <xdr:clientData/>
  </xdr:twoCellAnchor>
  <xdr:twoCellAnchor>
    <xdr:from>
      <xdr:col>2</xdr:col>
      <xdr:colOff>171449</xdr:colOff>
      <xdr:row>6</xdr:row>
      <xdr:rowOff>95249</xdr:rowOff>
    </xdr:from>
    <xdr:to>
      <xdr:col>6</xdr:col>
      <xdr:colOff>123825</xdr:colOff>
      <xdr:row>13</xdr:row>
      <xdr:rowOff>28575</xdr:rowOff>
    </xdr:to>
    <xdr:sp macro="" textlink="">
      <xdr:nvSpPr>
        <xdr:cNvPr id="14" name="TextBox 13">
          <a:extLst>
            <a:ext uri="{FF2B5EF4-FFF2-40B4-BE49-F238E27FC236}">
              <a16:creationId xmlns:a16="http://schemas.microsoft.com/office/drawing/2014/main" id="{8601DF63-5A0E-44AF-A43B-6689BED4207B}"/>
            </a:ext>
          </a:extLst>
        </xdr:cNvPr>
        <xdr:cNvSpPr txBox="1"/>
      </xdr:nvSpPr>
      <xdr:spPr>
        <a:xfrm>
          <a:off x="1390649" y="1238249"/>
          <a:ext cx="2390776" cy="126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IN" sz="1100">
              <a:solidFill>
                <a:schemeClr val="bg1">
                  <a:lumMod val="95000"/>
                </a:schemeClr>
              </a:solidFill>
              <a:latin typeface="Berlin Sans FB" panose="020E0602020502020306" pitchFamily="34" charset="0"/>
            </a:rPr>
            <a:t>Grand</a:t>
          </a:r>
          <a:r>
            <a:rPr lang="en-IN" sz="1100" baseline="0">
              <a:solidFill>
                <a:schemeClr val="bg1">
                  <a:lumMod val="95000"/>
                </a:schemeClr>
              </a:solidFill>
              <a:latin typeface="Berlin Sans FB" panose="020E0602020502020306" pitchFamily="34" charset="0"/>
            </a:rPr>
            <a:t> total of income, and their breakdowns showing the achievements percentage and highlight for most valuable source, Marketing stratergies and operating profit.</a:t>
          </a:r>
          <a:endParaRPr lang="en-IN" sz="1100">
            <a:solidFill>
              <a:schemeClr val="bg1">
                <a:lumMod val="95000"/>
              </a:schemeClr>
            </a:solidFill>
            <a:latin typeface="Berlin Sans FB" panose="020E0602020502020306" pitchFamily="34" charset="0"/>
          </a:endParaRPr>
        </a:p>
      </xdr:txBody>
    </xdr:sp>
    <xdr:clientData/>
  </xdr:twoCellAnchor>
  <xdr:twoCellAnchor>
    <xdr:from>
      <xdr:col>9</xdr:col>
      <xdr:colOff>231838</xdr:colOff>
      <xdr:row>1</xdr:row>
      <xdr:rowOff>140128</xdr:rowOff>
    </xdr:from>
    <xdr:to>
      <xdr:col>27</xdr:col>
      <xdr:colOff>93573</xdr:colOff>
      <xdr:row>40</xdr:row>
      <xdr:rowOff>134308</xdr:rowOff>
    </xdr:to>
    <xdr:graphicFrame macro="">
      <xdr:nvGraphicFramePr>
        <xdr:cNvPr id="20" name="Chart 19">
          <a:extLst>
            <a:ext uri="{FF2B5EF4-FFF2-40B4-BE49-F238E27FC236}">
              <a16:creationId xmlns:a16="http://schemas.microsoft.com/office/drawing/2014/main" id="{1CB29E59-0E4D-4996-8069-70A548811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418169</xdr:colOff>
      <xdr:row>13</xdr:row>
      <xdr:rowOff>65157</xdr:rowOff>
    </xdr:from>
    <xdr:to>
      <xdr:col>6</xdr:col>
      <xdr:colOff>592407</xdr:colOff>
      <xdr:row>15</xdr:row>
      <xdr:rowOff>81312</xdr:rowOff>
    </xdr:to>
    <mc:AlternateContent xmlns:mc="http://schemas.openxmlformats.org/markup-compatibility/2006" xmlns:a14="http://schemas.microsoft.com/office/drawing/2010/main">
      <mc:Choice Requires="a14">
        <xdr:graphicFrame macro="">
          <xdr:nvGraphicFramePr>
            <xdr:cNvPr id="21" name="Year">
              <a:extLst>
                <a:ext uri="{FF2B5EF4-FFF2-40B4-BE49-F238E27FC236}">
                  <a16:creationId xmlns:a16="http://schemas.microsoft.com/office/drawing/2014/main" id="{3074A067-2300-4C0C-A2F5-74065472F84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18169" y="2614495"/>
              <a:ext cx="3872179" cy="4083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81310</xdr:colOff>
      <xdr:row>17</xdr:row>
      <xdr:rowOff>17191</xdr:rowOff>
    </xdr:from>
    <xdr:to>
      <xdr:col>7</xdr:col>
      <xdr:colOff>34847</xdr:colOff>
      <xdr:row>23</xdr:row>
      <xdr:rowOff>162622</xdr:rowOff>
    </xdr:to>
    <xdr:grpSp>
      <xdr:nvGrpSpPr>
        <xdr:cNvPr id="3" name="Group 2">
          <a:extLst>
            <a:ext uri="{FF2B5EF4-FFF2-40B4-BE49-F238E27FC236}">
              <a16:creationId xmlns:a16="http://schemas.microsoft.com/office/drawing/2014/main" id="{F3B2532E-01B3-415E-B4DA-46C6BB901E2B}"/>
            </a:ext>
          </a:extLst>
        </xdr:cNvPr>
        <xdr:cNvGrpSpPr/>
      </xdr:nvGrpSpPr>
      <xdr:grpSpPr>
        <a:xfrm>
          <a:off x="684560" y="3255691"/>
          <a:ext cx="3573037" cy="1288431"/>
          <a:chOff x="813109" y="3072160"/>
          <a:chExt cx="3199279" cy="1260553"/>
        </a:xfrm>
      </xdr:grpSpPr>
      <xdr:sp macro="" textlink="">
        <xdr:nvSpPr>
          <xdr:cNvPr id="15" name="TextBox 14">
            <a:extLst>
              <a:ext uri="{FF2B5EF4-FFF2-40B4-BE49-F238E27FC236}">
                <a16:creationId xmlns:a16="http://schemas.microsoft.com/office/drawing/2014/main" id="{79D1749A-8D8B-4935-8179-53BFEF583901}"/>
              </a:ext>
            </a:extLst>
          </xdr:cNvPr>
          <xdr:cNvSpPr txBox="1"/>
        </xdr:nvSpPr>
        <xdr:spPr>
          <a:xfrm>
            <a:off x="978751" y="3072160"/>
            <a:ext cx="2814659" cy="3812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800">
                <a:solidFill>
                  <a:schemeClr val="bg1">
                    <a:lumMod val="95000"/>
                  </a:schemeClr>
                </a:solidFill>
                <a:latin typeface="Berlin Sans FB" panose="020E0602020502020306" pitchFamily="34" charset="0"/>
              </a:rPr>
              <a:t>Financial</a:t>
            </a:r>
            <a:r>
              <a:rPr lang="en-IN" sz="2800" baseline="0">
                <a:solidFill>
                  <a:schemeClr val="bg1">
                    <a:lumMod val="95000"/>
                  </a:schemeClr>
                </a:solidFill>
                <a:latin typeface="Berlin Sans FB" panose="020E0602020502020306" pitchFamily="34" charset="0"/>
              </a:rPr>
              <a:t> Statistics</a:t>
            </a:r>
            <a:endParaRPr lang="en-IN" sz="2800">
              <a:solidFill>
                <a:schemeClr val="bg1">
                  <a:lumMod val="95000"/>
                </a:schemeClr>
              </a:solidFill>
              <a:latin typeface="Berlin Sans FB" panose="020E0602020502020306" pitchFamily="34" charset="0"/>
            </a:endParaRPr>
          </a:p>
        </xdr:txBody>
      </xdr:sp>
      <xdr:sp macro="" textlink="'pivot tables'!R7">
        <xdr:nvSpPr>
          <xdr:cNvPr id="22" name="TextBox 21">
            <a:extLst>
              <a:ext uri="{FF2B5EF4-FFF2-40B4-BE49-F238E27FC236}">
                <a16:creationId xmlns:a16="http://schemas.microsoft.com/office/drawing/2014/main" id="{50E4FAFE-AA44-47FA-B040-929C684BADBC}"/>
              </a:ext>
            </a:extLst>
          </xdr:cNvPr>
          <xdr:cNvSpPr txBox="1"/>
        </xdr:nvSpPr>
        <xdr:spPr>
          <a:xfrm>
            <a:off x="813109" y="3484754"/>
            <a:ext cx="2869117" cy="4878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6287D84A-1026-451D-A8A9-6146644B83C7}" type="TxLink">
              <a:rPr lang="en-US" sz="4400" b="0" i="0" u="none" strike="noStrike">
                <a:solidFill>
                  <a:schemeClr val="bg1"/>
                </a:solidFill>
                <a:latin typeface="Arial" panose="020B0604020202020204" pitchFamily="34" charset="0"/>
                <a:cs typeface="Arial" panose="020B0604020202020204" pitchFamily="34" charset="0"/>
              </a:rPr>
              <a:pPr algn="ctr"/>
              <a:t> 8,98,932 </a:t>
            </a:fld>
            <a:endParaRPr lang="en-IN" sz="8800">
              <a:solidFill>
                <a:schemeClr val="bg1"/>
              </a:solidFill>
              <a:latin typeface="Arial" panose="020B0604020202020204" pitchFamily="34" charset="0"/>
              <a:cs typeface="Arial" panose="020B0604020202020204" pitchFamily="34" charset="0"/>
            </a:endParaRPr>
          </a:p>
        </xdr:txBody>
      </xdr:sp>
      <xdr:sp macro="" textlink="">
        <xdr:nvSpPr>
          <xdr:cNvPr id="23" name="TextBox 22">
            <a:extLst>
              <a:ext uri="{FF2B5EF4-FFF2-40B4-BE49-F238E27FC236}">
                <a16:creationId xmlns:a16="http://schemas.microsoft.com/office/drawing/2014/main" id="{23D6CE02-76B7-496A-92DF-5972EBEF0FF6}"/>
              </a:ext>
            </a:extLst>
          </xdr:cNvPr>
          <xdr:cNvSpPr txBox="1"/>
        </xdr:nvSpPr>
        <xdr:spPr>
          <a:xfrm>
            <a:off x="964116" y="4007469"/>
            <a:ext cx="1282663" cy="325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400">
                <a:solidFill>
                  <a:schemeClr val="bg1">
                    <a:lumMod val="95000"/>
                  </a:schemeClr>
                </a:solidFill>
                <a:latin typeface="Berlin Sans FB" panose="020E0602020502020306" pitchFamily="34" charset="0"/>
              </a:rPr>
              <a:t>Income</a:t>
            </a:r>
            <a:r>
              <a:rPr lang="en-IN" sz="1400" baseline="0">
                <a:solidFill>
                  <a:schemeClr val="bg1">
                    <a:lumMod val="95000"/>
                  </a:schemeClr>
                </a:solidFill>
                <a:latin typeface="Berlin Sans FB" panose="020E0602020502020306" pitchFamily="34" charset="0"/>
              </a:rPr>
              <a:t> Target</a:t>
            </a:r>
            <a:endParaRPr lang="en-IN" sz="1400">
              <a:solidFill>
                <a:schemeClr val="bg1">
                  <a:lumMod val="95000"/>
                </a:schemeClr>
              </a:solidFill>
              <a:latin typeface="Berlin Sans FB" panose="020E0602020502020306" pitchFamily="34" charset="0"/>
            </a:endParaRPr>
          </a:p>
        </xdr:txBody>
      </xdr:sp>
      <xdr:sp macro="" textlink="'pivot tables'!Q7">
        <xdr:nvSpPr>
          <xdr:cNvPr id="24" name="TextBox 23">
            <a:extLst>
              <a:ext uri="{FF2B5EF4-FFF2-40B4-BE49-F238E27FC236}">
                <a16:creationId xmlns:a16="http://schemas.microsoft.com/office/drawing/2014/main" id="{04BD1DD7-A075-4F55-8043-BE799A12AD3D}"/>
              </a:ext>
            </a:extLst>
          </xdr:cNvPr>
          <xdr:cNvSpPr txBox="1"/>
        </xdr:nvSpPr>
        <xdr:spPr>
          <a:xfrm>
            <a:off x="2729725" y="4007469"/>
            <a:ext cx="1282663" cy="325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FF5E259-012D-4A13-99B0-DB6A3B0AA3F0}" type="TxLink">
              <a:rPr lang="en-US" sz="1400">
                <a:solidFill>
                  <a:schemeClr val="bg1">
                    <a:lumMod val="95000"/>
                  </a:schemeClr>
                </a:solidFill>
                <a:latin typeface="Berlin Sans FB" panose="020E0602020502020306" pitchFamily="34" charset="0"/>
                <a:ea typeface="+mn-ea"/>
                <a:cs typeface="+mn-cs"/>
              </a:rPr>
              <a:pPr marL="0" indent="0" algn="ctr"/>
              <a:t> 7,20,883 </a:t>
            </a:fld>
            <a:endParaRPr lang="en-IN" sz="1400">
              <a:solidFill>
                <a:schemeClr val="bg1">
                  <a:lumMod val="95000"/>
                </a:schemeClr>
              </a:solidFill>
              <a:latin typeface="Berlin Sans FB" panose="020E0602020502020306" pitchFamily="34" charset="0"/>
              <a:ea typeface="+mn-ea"/>
              <a:cs typeface="+mn-cs"/>
            </a:endParaRPr>
          </a:p>
        </xdr:txBody>
      </xdr:sp>
    </xdr:grpSp>
    <xdr:clientData/>
  </xdr:twoCellAnchor>
  <xdr:twoCellAnchor>
    <xdr:from>
      <xdr:col>15</xdr:col>
      <xdr:colOff>48390</xdr:colOff>
      <xdr:row>18</xdr:row>
      <xdr:rowOff>184219</xdr:rowOff>
    </xdr:from>
    <xdr:to>
      <xdr:col>17</xdr:col>
      <xdr:colOff>583031</xdr:colOff>
      <xdr:row>22</xdr:row>
      <xdr:rowOff>170212</xdr:rowOff>
    </xdr:to>
    <xdr:grpSp>
      <xdr:nvGrpSpPr>
        <xdr:cNvPr id="6" name="Group 5">
          <a:extLst>
            <a:ext uri="{FF2B5EF4-FFF2-40B4-BE49-F238E27FC236}">
              <a16:creationId xmlns:a16="http://schemas.microsoft.com/office/drawing/2014/main" id="{B6199EFF-6FCB-4076-985F-488E4065487A}"/>
            </a:ext>
          </a:extLst>
        </xdr:cNvPr>
        <xdr:cNvGrpSpPr/>
      </xdr:nvGrpSpPr>
      <xdr:grpSpPr>
        <a:xfrm>
          <a:off x="9097140" y="3613219"/>
          <a:ext cx="1741141" cy="747993"/>
          <a:chOff x="7704044" y="4006104"/>
          <a:chExt cx="1777476" cy="770405"/>
        </a:xfrm>
      </xdr:grpSpPr>
      <xdr:sp macro="" textlink="'pivot tables'!T7">
        <xdr:nvSpPr>
          <xdr:cNvPr id="25" name="TextBox 24">
            <a:extLst>
              <a:ext uri="{FF2B5EF4-FFF2-40B4-BE49-F238E27FC236}">
                <a16:creationId xmlns:a16="http://schemas.microsoft.com/office/drawing/2014/main" id="{48D8CFAE-5B15-4782-BD19-E6866828AA48}"/>
              </a:ext>
            </a:extLst>
          </xdr:cNvPr>
          <xdr:cNvSpPr txBox="1"/>
        </xdr:nvSpPr>
        <xdr:spPr>
          <a:xfrm>
            <a:off x="7704044" y="4006104"/>
            <a:ext cx="1777476" cy="3992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317695B2-5521-4CC1-BB0F-9D18F261D76E}" type="TxLink">
              <a:rPr lang="en-US" sz="2800" b="0" i="0" u="none" strike="noStrike">
                <a:solidFill>
                  <a:schemeClr val="bg1"/>
                </a:solidFill>
                <a:latin typeface="Arial"/>
                <a:cs typeface="Arial"/>
              </a:rPr>
              <a:pPr algn="ctr"/>
              <a:t>80%</a:t>
            </a:fld>
            <a:endParaRPr lang="en-IN" sz="34400">
              <a:solidFill>
                <a:schemeClr val="bg1"/>
              </a:solidFill>
              <a:latin typeface="Arial" panose="020B0604020202020204" pitchFamily="34" charset="0"/>
              <a:cs typeface="Arial" panose="020B0604020202020204" pitchFamily="34" charset="0"/>
            </a:endParaRPr>
          </a:p>
        </xdr:txBody>
      </xdr:sp>
      <xdr:sp macro="" textlink="">
        <xdr:nvSpPr>
          <xdr:cNvPr id="26" name="TextBox 25">
            <a:extLst>
              <a:ext uri="{FF2B5EF4-FFF2-40B4-BE49-F238E27FC236}">
                <a16:creationId xmlns:a16="http://schemas.microsoft.com/office/drawing/2014/main" id="{6FB23E43-8E8D-4262-BE5C-0D2A1584CB5D}"/>
              </a:ext>
            </a:extLst>
          </xdr:cNvPr>
          <xdr:cNvSpPr txBox="1"/>
        </xdr:nvSpPr>
        <xdr:spPr>
          <a:xfrm>
            <a:off x="7798499" y="4510370"/>
            <a:ext cx="1474370" cy="266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100">
                <a:solidFill>
                  <a:schemeClr val="bg1">
                    <a:lumMod val="95000"/>
                  </a:schemeClr>
                </a:solidFill>
                <a:latin typeface="Berlin Sans FB" panose="020E0602020502020306" pitchFamily="34" charset="0"/>
              </a:rPr>
              <a:t>Income</a:t>
            </a:r>
            <a:r>
              <a:rPr lang="en-IN" sz="1100" baseline="0">
                <a:solidFill>
                  <a:schemeClr val="bg1">
                    <a:lumMod val="95000"/>
                  </a:schemeClr>
                </a:solidFill>
                <a:latin typeface="Berlin Sans FB" panose="020E0602020502020306" pitchFamily="34" charset="0"/>
              </a:rPr>
              <a:t> Achieved</a:t>
            </a:r>
            <a:endParaRPr lang="en-IN" sz="1100">
              <a:solidFill>
                <a:schemeClr val="bg1">
                  <a:lumMod val="95000"/>
                </a:schemeClr>
              </a:solidFill>
              <a:latin typeface="Berlin Sans FB" panose="020E0602020502020306" pitchFamily="34" charset="0"/>
            </a:endParaRPr>
          </a:p>
        </xdr:txBody>
      </xdr:sp>
    </xdr:grpSp>
    <xdr:clientData/>
  </xdr:twoCellAnchor>
  <xdr:twoCellAnchor>
    <xdr:from>
      <xdr:col>1</xdr:col>
      <xdr:colOff>193035</xdr:colOff>
      <xdr:row>24</xdr:row>
      <xdr:rowOff>56033</xdr:rowOff>
    </xdr:from>
    <xdr:to>
      <xdr:col>6</xdr:col>
      <xdr:colOff>409039</xdr:colOff>
      <xdr:row>31</xdr:row>
      <xdr:rowOff>186580</xdr:rowOff>
    </xdr:to>
    <xdr:graphicFrame macro="">
      <xdr:nvGraphicFramePr>
        <xdr:cNvPr id="28" name="Chart 27">
          <a:extLst>
            <a:ext uri="{FF2B5EF4-FFF2-40B4-BE49-F238E27FC236}">
              <a16:creationId xmlns:a16="http://schemas.microsoft.com/office/drawing/2014/main" id="{D78B9629-C308-43DF-82C6-783B22EE90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252132</xdr:colOff>
      <xdr:row>32</xdr:row>
      <xdr:rowOff>154081</xdr:rowOff>
    </xdr:from>
    <xdr:to>
      <xdr:col>6</xdr:col>
      <xdr:colOff>383009</xdr:colOff>
      <xdr:row>34</xdr:row>
      <xdr:rowOff>161705</xdr:rowOff>
    </xdr:to>
    <xdr:sp macro="" textlink="">
      <xdr:nvSpPr>
        <xdr:cNvPr id="29" name="TextBox 28">
          <a:extLst>
            <a:ext uri="{FF2B5EF4-FFF2-40B4-BE49-F238E27FC236}">
              <a16:creationId xmlns:a16="http://schemas.microsoft.com/office/drawing/2014/main" id="{51B1F537-5F1E-4D8E-B3BE-BE1D51500C5F}"/>
            </a:ext>
          </a:extLst>
        </xdr:cNvPr>
        <xdr:cNvSpPr txBox="1"/>
      </xdr:nvSpPr>
      <xdr:spPr>
        <a:xfrm>
          <a:off x="868456" y="6429375"/>
          <a:ext cx="3212494"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chemeClr val="bg1">
                  <a:lumMod val="95000"/>
                </a:schemeClr>
              </a:solidFill>
              <a:latin typeface="Berlin Sans FB" panose="020E0602020502020306" pitchFamily="34" charset="0"/>
            </a:rPr>
            <a:t>Quantity</a:t>
          </a:r>
          <a:r>
            <a:rPr lang="en-IN" sz="2000" baseline="0">
              <a:solidFill>
                <a:schemeClr val="bg1">
                  <a:lumMod val="95000"/>
                </a:schemeClr>
              </a:solidFill>
              <a:latin typeface="Berlin Sans FB" panose="020E0602020502020306" pitchFamily="34" charset="0"/>
            </a:rPr>
            <a:t> of items</a:t>
          </a:r>
          <a:endParaRPr lang="en-IN" sz="2000">
            <a:solidFill>
              <a:schemeClr val="bg1">
                <a:lumMod val="95000"/>
              </a:schemeClr>
            </a:solidFill>
            <a:latin typeface="Berlin Sans FB" panose="020E0602020502020306" pitchFamily="34" charset="0"/>
          </a:endParaRPr>
        </a:p>
      </xdr:txBody>
    </xdr:sp>
    <xdr:clientData/>
  </xdr:twoCellAnchor>
  <xdr:twoCellAnchor>
    <xdr:from>
      <xdr:col>1</xdr:col>
      <xdr:colOff>216695</xdr:colOff>
      <xdr:row>35</xdr:row>
      <xdr:rowOff>154081</xdr:rowOff>
    </xdr:from>
    <xdr:to>
      <xdr:col>7</xdr:col>
      <xdr:colOff>252132</xdr:colOff>
      <xdr:row>48</xdr:row>
      <xdr:rowOff>188039</xdr:rowOff>
    </xdr:to>
    <xdr:grpSp>
      <xdr:nvGrpSpPr>
        <xdr:cNvPr id="11" name="Group 10">
          <a:extLst>
            <a:ext uri="{FF2B5EF4-FFF2-40B4-BE49-F238E27FC236}">
              <a16:creationId xmlns:a16="http://schemas.microsoft.com/office/drawing/2014/main" id="{D9F77173-DC2F-4873-AC3C-622E307C4D80}"/>
            </a:ext>
          </a:extLst>
        </xdr:cNvPr>
        <xdr:cNvGrpSpPr/>
      </xdr:nvGrpSpPr>
      <xdr:grpSpPr>
        <a:xfrm>
          <a:off x="819945" y="6821581"/>
          <a:ext cx="3654937" cy="2637458"/>
          <a:chOff x="823914" y="6821581"/>
          <a:chExt cx="3678749" cy="2629521"/>
        </a:xfrm>
      </xdr:grpSpPr>
      <xdr:grpSp>
        <xdr:nvGrpSpPr>
          <xdr:cNvPr id="9" name="Group 8">
            <a:extLst>
              <a:ext uri="{FF2B5EF4-FFF2-40B4-BE49-F238E27FC236}">
                <a16:creationId xmlns:a16="http://schemas.microsoft.com/office/drawing/2014/main" id="{7DA58EF3-D3B6-448C-8D7E-6D74D7E8D405}"/>
              </a:ext>
            </a:extLst>
          </xdr:cNvPr>
          <xdr:cNvGrpSpPr/>
        </xdr:nvGrpSpPr>
        <xdr:grpSpPr>
          <a:xfrm>
            <a:off x="1109801" y="6821581"/>
            <a:ext cx="1319074" cy="2629521"/>
            <a:chOff x="1118906" y="7017684"/>
            <a:chExt cx="1346388" cy="2583296"/>
          </a:xfrm>
        </xdr:grpSpPr>
        <xdr:grpSp>
          <xdr:nvGrpSpPr>
            <xdr:cNvPr id="7" name="Group 6">
              <a:extLst>
                <a:ext uri="{FF2B5EF4-FFF2-40B4-BE49-F238E27FC236}">
                  <a16:creationId xmlns:a16="http://schemas.microsoft.com/office/drawing/2014/main" id="{BB98863F-18F2-42C3-8780-4082B9A2EFBF}"/>
                </a:ext>
              </a:extLst>
            </xdr:cNvPr>
            <xdr:cNvGrpSpPr/>
          </xdr:nvGrpSpPr>
          <xdr:grpSpPr>
            <a:xfrm>
              <a:off x="1118906" y="7017684"/>
              <a:ext cx="1346388" cy="2163075"/>
              <a:chOff x="1118906" y="7017684"/>
              <a:chExt cx="1346388" cy="2163075"/>
            </a:xfrm>
          </xdr:grpSpPr>
          <xdr:sp macro="" textlink="'pivot tables'!H7">
            <xdr:nvSpPr>
              <xdr:cNvPr id="27" name="TextBox 26">
                <a:extLst>
                  <a:ext uri="{FF2B5EF4-FFF2-40B4-BE49-F238E27FC236}">
                    <a16:creationId xmlns:a16="http://schemas.microsoft.com/office/drawing/2014/main" id="{68D892D6-636D-478F-A999-E84E5D5BDDD2}"/>
                  </a:ext>
                </a:extLst>
              </xdr:cNvPr>
              <xdr:cNvSpPr txBox="1"/>
            </xdr:nvSpPr>
            <xdr:spPr>
              <a:xfrm>
                <a:off x="1118906" y="7017684"/>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fld id="{C97B7DC6-4E20-455D-9570-4992282D1629}" type="TxLink">
                  <a:rPr lang="en-US" sz="1400" b="0" i="0" u="none" strike="noStrike">
                    <a:solidFill>
                      <a:schemeClr val="bg1"/>
                    </a:solidFill>
                    <a:latin typeface="Arial"/>
                    <a:cs typeface="Arial"/>
                  </a:rPr>
                  <a:pPr algn="l"/>
                  <a:t>Usage fees</a:t>
                </a:fld>
                <a:endParaRPr lang="en-IN" sz="2800">
                  <a:solidFill>
                    <a:schemeClr val="bg1"/>
                  </a:solidFill>
                  <a:latin typeface="Berlin Sans FB" panose="020E0602020502020306" pitchFamily="34" charset="0"/>
                </a:endParaRPr>
              </a:p>
            </xdr:txBody>
          </xdr:sp>
          <xdr:sp macro="" textlink="'pivot tables'!H8">
            <xdr:nvSpPr>
              <xdr:cNvPr id="30" name="TextBox 29">
                <a:extLst>
                  <a:ext uri="{FF2B5EF4-FFF2-40B4-BE49-F238E27FC236}">
                    <a16:creationId xmlns:a16="http://schemas.microsoft.com/office/drawing/2014/main" id="{5F9CFAD5-6942-41E3-8989-B0DF495EFF13}"/>
                  </a:ext>
                </a:extLst>
              </xdr:cNvPr>
              <xdr:cNvSpPr txBox="1"/>
            </xdr:nvSpPr>
            <xdr:spPr>
              <a:xfrm>
                <a:off x="1118906" y="7437905"/>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7C080C30-A9C4-4B5D-B5BE-35513D54808A}" type="TxLink">
                  <a:rPr lang="en-US" sz="1400" b="0" i="0" u="none" strike="noStrike">
                    <a:solidFill>
                      <a:schemeClr val="bg1"/>
                    </a:solidFill>
                    <a:latin typeface="Arial"/>
                    <a:ea typeface="+mn-ea"/>
                    <a:cs typeface="Arial"/>
                  </a:rPr>
                  <a:pPr marL="0" indent="0" algn="l"/>
                  <a:t>Subscription</a:t>
                </a:fld>
                <a:endParaRPr lang="en-IN" sz="1400" b="0" i="0" u="none" strike="noStrike">
                  <a:solidFill>
                    <a:schemeClr val="bg1"/>
                  </a:solidFill>
                  <a:latin typeface="Arial"/>
                  <a:ea typeface="+mn-ea"/>
                  <a:cs typeface="Arial"/>
                </a:endParaRPr>
              </a:p>
            </xdr:txBody>
          </xdr:sp>
          <xdr:sp macro="" textlink="'pivot tables'!H9">
            <xdr:nvSpPr>
              <xdr:cNvPr id="31" name="TextBox 30">
                <a:extLst>
                  <a:ext uri="{FF2B5EF4-FFF2-40B4-BE49-F238E27FC236}">
                    <a16:creationId xmlns:a16="http://schemas.microsoft.com/office/drawing/2014/main" id="{A99277BF-A163-4595-9B17-385E959B6869}"/>
                  </a:ext>
                </a:extLst>
              </xdr:cNvPr>
              <xdr:cNvSpPr txBox="1"/>
            </xdr:nvSpPr>
            <xdr:spPr>
              <a:xfrm>
                <a:off x="1118906" y="7900147"/>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3625F0F3-13AB-42F5-A4C2-E2C2EA2E73A7}" type="TxLink">
                  <a:rPr lang="en-US" sz="1400" b="0" i="0" u="none" strike="noStrike">
                    <a:solidFill>
                      <a:schemeClr val="bg1"/>
                    </a:solidFill>
                    <a:latin typeface="Arial"/>
                    <a:ea typeface="+mn-ea"/>
                    <a:cs typeface="Arial"/>
                  </a:rPr>
                  <a:pPr marL="0" indent="0" algn="l"/>
                  <a:t>Renting</a:t>
                </a:fld>
                <a:endParaRPr lang="en-IN" sz="1400" b="0" i="0" u="none" strike="noStrike">
                  <a:solidFill>
                    <a:schemeClr val="bg1"/>
                  </a:solidFill>
                  <a:latin typeface="Arial"/>
                  <a:ea typeface="+mn-ea"/>
                  <a:cs typeface="Arial"/>
                </a:endParaRPr>
              </a:p>
            </xdr:txBody>
          </xdr:sp>
          <xdr:sp macro="" textlink="'pivot tables'!H10">
            <xdr:nvSpPr>
              <xdr:cNvPr id="32" name="TextBox 31">
                <a:extLst>
                  <a:ext uri="{FF2B5EF4-FFF2-40B4-BE49-F238E27FC236}">
                    <a16:creationId xmlns:a16="http://schemas.microsoft.com/office/drawing/2014/main" id="{AB6E26F8-EA22-48F3-9A58-E3200AF72CE0}"/>
                  </a:ext>
                </a:extLst>
              </xdr:cNvPr>
              <xdr:cNvSpPr txBox="1"/>
            </xdr:nvSpPr>
            <xdr:spPr>
              <a:xfrm>
                <a:off x="1118906" y="8348382"/>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E368D270-661D-4D16-B820-CDF57FAEFBAE}" type="TxLink">
                  <a:rPr lang="en-US" sz="1400" b="0" i="0" u="none" strike="noStrike">
                    <a:solidFill>
                      <a:schemeClr val="bg1"/>
                    </a:solidFill>
                    <a:latin typeface="Arial"/>
                    <a:ea typeface="+mn-ea"/>
                    <a:cs typeface="Arial"/>
                  </a:rPr>
                  <a:pPr marL="0" indent="0" algn="l"/>
                  <a:t>Licensing</a:t>
                </a:fld>
                <a:endParaRPr lang="en-IN" sz="1400" b="0" i="0" u="none" strike="noStrike">
                  <a:solidFill>
                    <a:schemeClr val="bg1"/>
                  </a:solidFill>
                  <a:latin typeface="Arial"/>
                  <a:ea typeface="+mn-ea"/>
                  <a:cs typeface="Arial"/>
                </a:endParaRPr>
              </a:p>
            </xdr:txBody>
          </xdr:sp>
          <xdr:sp macro="" textlink="'pivot tables'!H11">
            <xdr:nvSpPr>
              <xdr:cNvPr id="33" name="TextBox 32">
                <a:extLst>
                  <a:ext uri="{FF2B5EF4-FFF2-40B4-BE49-F238E27FC236}">
                    <a16:creationId xmlns:a16="http://schemas.microsoft.com/office/drawing/2014/main" id="{9FE7C757-BD76-4ADB-92BC-0B4BA1E52AF5}"/>
                  </a:ext>
                </a:extLst>
              </xdr:cNvPr>
              <xdr:cNvSpPr txBox="1"/>
            </xdr:nvSpPr>
            <xdr:spPr>
              <a:xfrm>
                <a:off x="1118906" y="8780929"/>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8A9958C1-CABA-4497-A3BF-41FE4C8B16F0}" type="TxLink">
                  <a:rPr lang="en-US" sz="1400" b="0" i="0" u="none" strike="noStrike">
                    <a:solidFill>
                      <a:schemeClr val="bg1"/>
                    </a:solidFill>
                    <a:latin typeface="Arial"/>
                    <a:ea typeface="+mn-ea"/>
                    <a:cs typeface="Arial"/>
                  </a:rPr>
                  <a:pPr marL="0" indent="0" algn="l"/>
                  <a:t>Asset sale</a:t>
                </a:fld>
                <a:endParaRPr lang="en-IN" sz="1400" b="0" i="0" u="none" strike="noStrike">
                  <a:solidFill>
                    <a:schemeClr val="bg1"/>
                  </a:solidFill>
                  <a:latin typeface="Arial"/>
                  <a:ea typeface="+mn-ea"/>
                  <a:cs typeface="Arial"/>
                </a:endParaRPr>
              </a:p>
            </xdr:txBody>
          </xdr:sp>
        </xdr:grpSp>
        <xdr:sp macro="" textlink="'pivot tables'!H12">
          <xdr:nvSpPr>
            <xdr:cNvPr id="34" name="TextBox 33">
              <a:extLst>
                <a:ext uri="{FF2B5EF4-FFF2-40B4-BE49-F238E27FC236}">
                  <a16:creationId xmlns:a16="http://schemas.microsoft.com/office/drawing/2014/main" id="{34B4FA16-87BF-4881-AF0C-A1951BE91AF9}"/>
                </a:ext>
              </a:extLst>
            </xdr:cNvPr>
            <xdr:cNvSpPr txBox="1"/>
          </xdr:nvSpPr>
          <xdr:spPr>
            <a:xfrm>
              <a:off x="1118906" y="9201150"/>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l"/>
              <a:fld id="{5127F1C7-DDEB-4687-B14B-0B81A25AC216}" type="TxLink">
                <a:rPr lang="en-US" sz="1400" b="0" i="0" u="none" strike="noStrike">
                  <a:solidFill>
                    <a:schemeClr val="bg1"/>
                  </a:solidFill>
                  <a:latin typeface="Arial"/>
                  <a:ea typeface="+mn-ea"/>
                  <a:cs typeface="Arial"/>
                </a:rPr>
                <a:pPr marL="0" indent="0" algn="l"/>
                <a:t>Advertising</a:t>
              </a:fld>
              <a:endParaRPr lang="en-IN" sz="1400" b="0" i="0" u="none" strike="noStrike">
                <a:solidFill>
                  <a:schemeClr val="bg1"/>
                </a:solidFill>
                <a:latin typeface="Arial"/>
                <a:ea typeface="+mn-ea"/>
                <a:cs typeface="Arial"/>
              </a:endParaRPr>
            </a:p>
          </xdr:txBody>
        </xdr:sp>
      </xdr:grpSp>
      <xdr:grpSp>
        <xdr:nvGrpSpPr>
          <xdr:cNvPr id="35" name="Group 34">
            <a:extLst>
              <a:ext uri="{FF2B5EF4-FFF2-40B4-BE49-F238E27FC236}">
                <a16:creationId xmlns:a16="http://schemas.microsoft.com/office/drawing/2014/main" id="{C3D2BF92-5E0A-4A73-ADBD-859D218492E8}"/>
              </a:ext>
            </a:extLst>
          </xdr:cNvPr>
          <xdr:cNvGrpSpPr/>
        </xdr:nvGrpSpPr>
        <xdr:grpSpPr>
          <a:xfrm>
            <a:off x="2582956" y="6821581"/>
            <a:ext cx="1130394" cy="2629521"/>
            <a:chOff x="1118906" y="7017684"/>
            <a:chExt cx="1346388" cy="2583296"/>
          </a:xfrm>
        </xdr:grpSpPr>
        <xdr:grpSp>
          <xdr:nvGrpSpPr>
            <xdr:cNvPr id="36" name="Group 35">
              <a:extLst>
                <a:ext uri="{FF2B5EF4-FFF2-40B4-BE49-F238E27FC236}">
                  <a16:creationId xmlns:a16="http://schemas.microsoft.com/office/drawing/2014/main" id="{C526CAB0-7CE5-4232-A7A6-EAA403C0CE58}"/>
                </a:ext>
              </a:extLst>
            </xdr:cNvPr>
            <xdr:cNvGrpSpPr/>
          </xdr:nvGrpSpPr>
          <xdr:grpSpPr>
            <a:xfrm>
              <a:off x="1118906" y="7017684"/>
              <a:ext cx="1346388" cy="2163075"/>
              <a:chOff x="1118906" y="7017684"/>
              <a:chExt cx="1346388" cy="2163075"/>
            </a:xfrm>
          </xdr:grpSpPr>
          <xdr:sp macro="" textlink="'pivot tables'!O7">
            <xdr:nvSpPr>
              <xdr:cNvPr id="38" name="TextBox 37">
                <a:extLst>
                  <a:ext uri="{FF2B5EF4-FFF2-40B4-BE49-F238E27FC236}">
                    <a16:creationId xmlns:a16="http://schemas.microsoft.com/office/drawing/2014/main" id="{BAD13B05-AE05-4876-8ED8-6AF94061C238}"/>
                  </a:ext>
                </a:extLst>
              </xdr:cNvPr>
              <xdr:cNvSpPr txBox="1"/>
            </xdr:nvSpPr>
            <xdr:spPr>
              <a:xfrm>
                <a:off x="1118906" y="7017684"/>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38A831FD-F540-4766-8875-9273B82EAD60}" type="TxLink">
                  <a:rPr lang="en-US" sz="1400" b="0" i="0" u="none" strike="noStrike">
                    <a:solidFill>
                      <a:schemeClr val="bg1"/>
                    </a:solidFill>
                    <a:latin typeface="Arial"/>
                    <a:cs typeface="Arial"/>
                  </a:rPr>
                  <a:pPr algn="ctr"/>
                  <a:t>10%</a:t>
                </a:fld>
                <a:endParaRPr lang="en-IN" sz="3600">
                  <a:solidFill>
                    <a:schemeClr val="bg1"/>
                  </a:solidFill>
                  <a:latin typeface="Berlin Sans FB" panose="020E0602020502020306" pitchFamily="34" charset="0"/>
                </a:endParaRPr>
              </a:p>
            </xdr:txBody>
          </xdr:sp>
          <xdr:sp macro="" textlink="'pivot tables'!O8">
            <xdr:nvSpPr>
              <xdr:cNvPr id="40" name="TextBox 39">
                <a:extLst>
                  <a:ext uri="{FF2B5EF4-FFF2-40B4-BE49-F238E27FC236}">
                    <a16:creationId xmlns:a16="http://schemas.microsoft.com/office/drawing/2014/main" id="{83C8D480-E355-4F46-B991-52E76BAAF342}"/>
                  </a:ext>
                </a:extLst>
              </xdr:cNvPr>
              <xdr:cNvSpPr txBox="1"/>
            </xdr:nvSpPr>
            <xdr:spPr>
              <a:xfrm>
                <a:off x="1118906" y="7437905"/>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EC14361-EB32-4E0A-96E8-2AE4D6BBC7D2}" type="TxLink">
                  <a:rPr lang="en-US" sz="1400" b="0" i="0" u="none" strike="noStrike">
                    <a:solidFill>
                      <a:schemeClr val="bg1"/>
                    </a:solidFill>
                    <a:latin typeface="Arial"/>
                    <a:ea typeface="+mn-ea"/>
                    <a:cs typeface="Arial"/>
                  </a:rPr>
                  <a:pPr marL="0" indent="0" algn="ctr"/>
                  <a:t>11%</a:t>
                </a:fld>
                <a:endParaRPr lang="en-IN" sz="1800" b="0" i="0" u="none" strike="noStrike">
                  <a:solidFill>
                    <a:schemeClr val="bg1"/>
                  </a:solidFill>
                  <a:latin typeface="Arial"/>
                  <a:ea typeface="+mn-ea"/>
                  <a:cs typeface="Arial"/>
                </a:endParaRPr>
              </a:p>
            </xdr:txBody>
          </xdr:sp>
          <xdr:sp macro="" textlink="'pivot tables'!O9">
            <xdr:nvSpPr>
              <xdr:cNvPr id="42" name="TextBox 41">
                <a:extLst>
                  <a:ext uri="{FF2B5EF4-FFF2-40B4-BE49-F238E27FC236}">
                    <a16:creationId xmlns:a16="http://schemas.microsoft.com/office/drawing/2014/main" id="{2258EA97-5430-4BC6-8F38-1B6BC6903B2E}"/>
                  </a:ext>
                </a:extLst>
              </xdr:cNvPr>
              <xdr:cNvSpPr txBox="1"/>
            </xdr:nvSpPr>
            <xdr:spPr>
              <a:xfrm>
                <a:off x="1118906" y="7900147"/>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8A89AEB-B627-4FB6-B515-EC45C431F5A6}" type="TxLink">
                  <a:rPr lang="en-US" sz="1400" b="0" i="0" u="none" strike="noStrike">
                    <a:solidFill>
                      <a:schemeClr val="bg1"/>
                    </a:solidFill>
                    <a:latin typeface="Arial"/>
                    <a:ea typeface="+mn-ea"/>
                    <a:cs typeface="Arial"/>
                  </a:rPr>
                  <a:pPr marL="0" indent="0" algn="ctr"/>
                  <a:t>14%</a:t>
                </a:fld>
                <a:endParaRPr lang="en-IN" sz="1800" b="0" i="0" u="none" strike="noStrike">
                  <a:solidFill>
                    <a:schemeClr val="bg1"/>
                  </a:solidFill>
                  <a:latin typeface="Arial"/>
                  <a:ea typeface="+mn-ea"/>
                  <a:cs typeface="Arial"/>
                </a:endParaRPr>
              </a:p>
            </xdr:txBody>
          </xdr:sp>
          <xdr:sp macro="" textlink="'pivot tables'!O10">
            <xdr:nvSpPr>
              <xdr:cNvPr id="43" name="TextBox 42">
                <a:extLst>
                  <a:ext uri="{FF2B5EF4-FFF2-40B4-BE49-F238E27FC236}">
                    <a16:creationId xmlns:a16="http://schemas.microsoft.com/office/drawing/2014/main" id="{9E9C33A6-416B-49A0-9B36-4BF39F21F017}"/>
                  </a:ext>
                </a:extLst>
              </xdr:cNvPr>
              <xdr:cNvSpPr txBox="1"/>
            </xdr:nvSpPr>
            <xdr:spPr>
              <a:xfrm>
                <a:off x="1118906" y="8348382"/>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57F5031-05B9-47FC-99D8-821143E150A4}" type="TxLink">
                  <a:rPr lang="en-US" sz="1400" b="0" i="0" u="none" strike="noStrike">
                    <a:solidFill>
                      <a:schemeClr val="bg1"/>
                    </a:solidFill>
                    <a:latin typeface="Arial"/>
                    <a:ea typeface="+mn-ea"/>
                    <a:cs typeface="Arial"/>
                  </a:rPr>
                  <a:pPr marL="0" indent="0" algn="ctr"/>
                  <a:t>62%</a:t>
                </a:fld>
                <a:endParaRPr lang="en-IN" sz="1800" b="0" i="0" u="none" strike="noStrike">
                  <a:solidFill>
                    <a:schemeClr val="bg1"/>
                  </a:solidFill>
                  <a:latin typeface="Arial"/>
                  <a:ea typeface="+mn-ea"/>
                  <a:cs typeface="Arial"/>
                </a:endParaRPr>
              </a:p>
            </xdr:txBody>
          </xdr:sp>
          <xdr:sp macro="" textlink="'pivot tables'!O11">
            <xdr:nvSpPr>
              <xdr:cNvPr id="47" name="TextBox 46">
                <a:extLst>
                  <a:ext uri="{FF2B5EF4-FFF2-40B4-BE49-F238E27FC236}">
                    <a16:creationId xmlns:a16="http://schemas.microsoft.com/office/drawing/2014/main" id="{8FAB21A8-286A-427B-BAB6-90B32ADCD4CB}"/>
                  </a:ext>
                </a:extLst>
              </xdr:cNvPr>
              <xdr:cNvSpPr txBox="1"/>
            </xdr:nvSpPr>
            <xdr:spPr>
              <a:xfrm>
                <a:off x="1118906" y="8780929"/>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9C0B075-AA75-4C91-8E36-1A62144A48D2}" type="TxLink">
                  <a:rPr lang="en-US" sz="1400" b="0" i="0" u="none" strike="noStrike">
                    <a:solidFill>
                      <a:schemeClr val="bg1"/>
                    </a:solidFill>
                    <a:latin typeface="Arial"/>
                    <a:ea typeface="+mn-ea"/>
                    <a:cs typeface="Arial"/>
                  </a:rPr>
                  <a:pPr marL="0" indent="0" algn="ctr"/>
                  <a:t>0%</a:t>
                </a:fld>
                <a:endParaRPr lang="en-IN" sz="1800" b="0" i="0" u="none" strike="noStrike">
                  <a:solidFill>
                    <a:schemeClr val="bg1"/>
                  </a:solidFill>
                  <a:latin typeface="Arial"/>
                  <a:ea typeface="+mn-ea"/>
                  <a:cs typeface="Arial"/>
                </a:endParaRPr>
              </a:p>
            </xdr:txBody>
          </xdr:sp>
        </xdr:grpSp>
        <xdr:sp macro="" textlink="'pivot tables'!O12">
          <xdr:nvSpPr>
            <xdr:cNvPr id="37" name="TextBox 36">
              <a:extLst>
                <a:ext uri="{FF2B5EF4-FFF2-40B4-BE49-F238E27FC236}">
                  <a16:creationId xmlns:a16="http://schemas.microsoft.com/office/drawing/2014/main" id="{3E39A4C6-6A30-4675-8C29-0210A2FE0B2F}"/>
                </a:ext>
              </a:extLst>
            </xdr:cNvPr>
            <xdr:cNvSpPr txBox="1"/>
          </xdr:nvSpPr>
          <xdr:spPr>
            <a:xfrm>
              <a:off x="1118906" y="9201150"/>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7340637D-48AA-4927-8A6C-EE16E76D9CE6}" type="TxLink">
                <a:rPr lang="en-US" sz="1400" b="0" i="0" u="none" strike="noStrike">
                  <a:solidFill>
                    <a:schemeClr val="bg1"/>
                  </a:solidFill>
                  <a:latin typeface="Arial"/>
                  <a:ea typeface="+mn-ea"/>
                  <a:cs typeface="Arial"/>
                </a:rPr>
                <a:pPr marL="0" indent="0" algn="ctr"/>
                <a:t>2%</a:t>
              </a:fld>
              <a:endParaRPr lang="en-IN" sz="1800" b="0" i="0" u="none" strike="noStrike">
                <a:solidFill>
                  <a:schemeClr val="bg1"/>
                </a:solidFill>
                <a:latin typeface="Arial"/>
                <a:ea typeface="+mn-ea"/>
                <a:cs typeface="Arial"/>
              </a:endParaRPr>
            </a:p>
          </xdr:txBody>
        </xdr:sp>
      </xdr:grpSp>
      <xdr:grpSp>
        <xdr:nvGrpSpPr>
          <xdr:cNvPr id="48" name="Group 47">
            <a:extLst>
              <a:ext uri="{FF2B5EF4-FFF2-40B4-BE49-F238E27FC236}">
                <a16:creationId xmlns:a16="http://schemas.microsoft.com/office/drawing/2014/main" id="{E3659EEC-EE35-4F25-8F2C-125E6BA9BB3D}"/>
              </a:ext>
            </a:extLst>
          </xdr:cNvPr>
          <xdr:cNvGrpSpPr/>
        </xdr:nvGrpSpPr>
        <xdr:grpSpPr>
          <a:xfrm>
            <a:off x="3372270" y="6821581"/>
            <a:ext cx="1130393" cy="2629521"/>
            <a:chOff x="1118906" y="7017684"/>
            <a:chExt cx="1346388" cy="2583296"/>
          </a:xfrm>
        </xdr:grpSpPr>
        <xdr:grpSp>
          <xdr:nvGrpSpPr>
            <xdr:cNvPr id="49" name="Group 48">
              <a:extLst>
                <a:ext uri="{FF2B5EF4-FFF2-40B4-BE49-F238E27FC236}">
                  <a16:creationId xmlns:a16="http://schemas.microsoft.com/office/drawing/2014/main" id="{785BE474-E5F3-49C9-B8F8-0EDFFDF0260F}"/>
                </a:ext>
              </a:extLst>
            </xdr:cNvPr>
            <xdr:cNvGrpSpPr/>
          </xdr:nvGrpSpPr>
          <xdr:grpSpPr>
            <a:xfrm>
              <a:off x="1118906" y="7017684"/>
              <a:ext cx="1346388" cy="2163075"/>
              <a:chOff x="1118906" y="7017684"/>
              <a:chExt cx="1346388" cy="2163075"/>
            </a:xfrm>
          </xdr:grpSpPr>
          <xdr:sp macro="" textlink="'pivot tables'!N7">
            <xdr:nvSpPr>
              <xdr:cNvPr id="51" name="TextBox 50">
                <a:extLst>
                  <a:ext uri="{FF2B5EF4-FFF2-40B4-BE49-F238E27FC236}">
                    <a16:creationId xmlns:a16="http://schemas.microsoft.com/office/drawing/2014/main" id="{090DB733-8841-411C-93F4-911BE693C7C8}"/>
                  </a:ext>
                </a:extLst>
              </xdr:cNvPr>
              <xdr:cNvSpPr txBox="1"/>
            </xdr:nvSpPr>
            <xdr:spPr>
              <a:xfrm>
                <a:off x="1118906" y="7017684"/>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D8B3963D-923D-4053-A6D2-D62AA1C24016}" type="TxLink">
                  <a:rPr lang="en-US" sz="1400" b="0" i="0" u="none" strike="noStrike">
                    <a:solidFill>
                      <a:schemeClr val="bg1"/>
                    </a:solidFill>
                    <a:latin typeface="Arial"/>
                    <a:cs typeface="Arial"/>
                  </a:rPr>
                  <a:pPr algn="ctr"/>
                  <a:t> 11,856 </a:t>
                </a:fld>
                <a:endParaRPr lang="en-IN" sz="4400">
                  <a:solidFill>
                    <a:schemeClr val="bg1"/>
                  </a:solidFill>
                  <a:latin typeface="Berlin Sans FB" panose="020E0602020502020306" pitchFamily="34" charset="0"/>
                </a:endParaRPr>
              </a:p>
            </xdr:txBody>
          </xdr:sp>
          <xdr:sp macro="" textlink="'pivot tables'!N8">
            <xdr:nvSpPr>
              <xdr:cNvPr id="52" name="TextBox 51">
                <a:extLst>
                  <a:ext uri="{FF2B5EF4-FFF2-40B4-BE49-F238E27FC236}">
                    <a16:creationId xmlns:a16="http://schemas.microsoft.com/office/drawing/2014/main" id="{D1C612DC-3DB4-4C87-BF18-384FB256D6B5}"/>
                  </a:ext>
                </a:extLst>
              </xdr:cNvPr>
              <xdr:cNvSpPr txBox="1"/>
            </xdr:nvSpPr>
            <xdr:spPr>
              <a:xfrm>
                <a:off x="1118906" y="7437905"/>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2E322A-2BA7-49CA-A431-85BE29FA18F6}" type="TxLink">
                  <a:rPr lang="en-US" sz="1400" b="0" i="0" u="none" strike="noStrike">
                    <a:solidFill>
                      <a:schemeClr val="bg1"/>
                    </a:solidFill>
                    <a:latin typeface="Arial"/>
                    <a:ea typeface="+mn-ea"/>
                    <a:cs typeface="Arial"/>
                  </a:rPr>
                  <a:pPr marL="0" indent="0" algn="ctr"/>
                  <a:t> 13,188 </a:t>
                </a:fld>
                <a:endParaRPr lang="en-IN" sz="2400" b="0" i="0" u="none" strike="noStrike">
                  <a:solidFill>
                    <a:schemeClr val="bg1"/>
                  </a:solidFill>
                  <a:latin typeface="Arial"/>
                  <a:ea typeface="+mn-ea"/>
                  <a:cs typeface="Arial"/>
                </a:endParaRPr>
              </a:p>
            </xdr:txBody>
          </xdr:sp>
          <xdr:sp macro="" textlink="'pivot tables'!N9">
            <xdr:nvSpPr>
              <xdr:cNvPr id="53" name="TextBox 52">
                <a:extLst>
                  <a:ext uri="{FF2B5EF4-FFF2-40B4-BE49-F238E27FC236}">
                    <a16:creationId xmlns:a16="http://schemas.microsoft.com/office/drawing/2014/main" id="{82772A2B-4681-439E-AF3C-3AE5DDC169F3}"/>
                  </a:ext>
                </a:extLst>
              </xdr:cNvPr>
              <xdr:cNvSpPr txBox="1"/>
            </xdr:nvSpPr>
            <xdr:spPr>
              <a:xfrm>
                <a:off x="1118906" y="7900147"/>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7208CF2C-E161-4346-A961-48C3759FF8E4}" type="TxLink">
                  <a:rPr lang="en-US" sz="1400" b="0" i="0" u="none" strike="noStrike">
                    <a:solidFill>
                      <a:schemeClr val="bg1"/>
                    </a:solidFill>
                    <a:latin typeface="Arial"/>
                    <a:ea typeface="+mn-ea"/>
                    <a:cs typeface="Arial"/>
                  </a:rPr>
                  <a:pPr marL="0" indent="0" algn="ctr"/>
                  <a:t> 16,488 </a:t>
                </a:fld>
                <a:endParaRPr lang="en-IN" sz="2400" b="0" i="0" u="none" strike="noStrike">
                  <a:solidFill>
                    <a:schemeClr val="bg1"/>
                  </a:solidFill>
                  <a:latin typeface="Arial"/>
                  <a:ea typeface="+mn-ea"/>
                  <a:cs typeface="Arial"/>
                </a:endParaRPr>
              </a:p>
            </xdr:txBody>
          </xdr:sp>
          <xdr:sp macro="" textlink="'pivot tables'!N10">
            <xdr:nvSpPr>
              <xdr:cNvPr id="54" name="TextBox 53">
                <a:extLst>
                  <a:ext uri="{FF2B5EF4-FFF2-40B4-BE49-F238E27FC236}">
                    <a16:creationId xmlns:a16="http://schemas.microsoft.com/office/drawing/2014/main" id="{98BA786D-E62A-40E8-8C19-FF06388D9967}"/>
                  </a:ext>
                </a:extLst>
              </xdr:cNvPr>
              <xdr:cNvSpPr txBox="1"/>
            </xdr:nvSpPr>
            <xdr:spPr>
              <a:xfrm>
                <a:off x="1118906" y="8348382"/>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32190799-4B0A-4A33-9589-1FA9A42BC5B3}" type="TxLink">
                  <a:rPr lang="en-US" sz="1400" b="0" i="0" u="none" strike="noStrike">
                    <a:solidFill>
                      <a:schemeClr val="bg1"/>
                    </a:solidFill>
                    <a:latin typeface="Arial"/>
                    <a:ea typeface="+mn-ea"/>
                    <a:cs typeface="Arial"/>
                  </a:rPr>
                  <a:pPr marL="0" indent="0" algn="ctr"/>
                  <a:t> 72,768 </a:t>
                </a:fld>
                <a:endParaRPr lang="en-IN" sz="2400" b="0" i="0" u="none" strike="noStrike">
                  <a:solidFill>
                    <a:schemeClr val="bg1"/>
                  </a:solidFill>
                  <a:latin typeface="Arial"/>
                  <a:ea typeface="+mn-ea"/>
                  <a:cs typeface="Arial"/>
                </a:endParaRPr>
              </a:p>
            </xdr:txBody>
          </xdr:sp>
          <xdr:sp macro="" textlink="'pivot tables'!N11">
            <xdr:nvSpPr>
              <xdr:cNvPr id="55" name="TextBox 54">
                <a:extLst>
                  <a:ext uri="{FF2B5EF4-FFF2-40B4-BE49-F238E27FC236}">
                    <a16:creationId xmlns:a16="http://schemas.microsoft.com/office/drawing/2014/main" id="{B851B8CD-0E8E-45BB-A973-6B620009C7C5}"/>
                  </a:ext>
                </a:extLst>
              </xdr:cNvPr>
              <xdr:cNvSpPr txBox="1"/>
            </xdr:nvSpPr>
            <xdr:spPr>
              <a:xfrm>
                <a:off x="1118906" y="8780929"/>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3D47EB5-254B-4719-96F0-818891DCA57C}" type="TxLink">
                  <a:rPr lang="en-US" sz="1400" b="0" i="0" u="none" strike="noStrike">
                    <a:solidFill>
                      <a:schemeClr val="bg1"/>
                    </a:solidFill>
                    <a:latin typeface="Arial"/>
                    <a:ea typeface="+mn-ea"/>
                    <a:cs typeface="Arial"/>
                  </a:rPr>
                  <a:pPr marL="0" indent="0" algn="ctr"/>
                  <a:t> 26 </a:t>
                </a:fld>
                <a:endParaRPr lang="en-IN" sz="2400" b="0" i="0" u="none" strike="noStrike">
                  <a:solidFill>
                    <a:schemeClr val="bg1"/>
                  </a:solidFill>
                  <a:latin typeface="Arial"/>
                  <a:ea typeface="+mn-ea"/>
                  <a:cs typeface="Arial"/>
                </a:endParaRPr>
              </a:p>
            </xdr:txBody>
          </xdr:sp>
        </xdr:grpSp>
        <xdr:sp macro="" textlink="'pivot tables'!N12">
          <xdr:nvSpPr>
            <xdr:cNvPr id="50" name="TextBox 49">
              <a:extLst>
                <a:ext uri="{FF2B5EF4-FFF2-40B4-BE49-F238E27FC236}">
                  <a16:creationId xmlns:a16="http://schemas.microsoft.com/office/drawing/2014/main" id="{83F50069-9DD8-4C70-BA07-9C511E69AFDB}"/>
                </a:ext>
              </a:extLst>
            </xdr:cNvPr>
            <xdr:cNvSpPr txBox="1"/>
          </xdr:nvSpPr>
          <xdr:spPr>
            <a:xfrm>
              <a:off x="1118906" y="9201150"/>
              <a:ext cx="1346388" cy="399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7A17118-952C-42A2-8B0A-B552A131E9EC}" type="TxLink">
                <a:rPr lang="en-US" sz="1400" b="0" i="0" u="none" strike="noStrike">
                  <a:solidFill>
                    <a:schemeClr val="bg1"/>
                  </a:solidFill>
                  <a:latin typeface="Arial"/>
                  <a:ea typeface="+mn-ea"/>
                  <a:cs typeface="Arial"/>
                </a:rPr>
                <a:pPr marL="0" indent="0" algn="ctr"/>
                <a:t> 2,844 </a:t>
              </a:fld>
              <a:endParaRPr lang="en-IN" sz="2400" b="0" i="0" u="none" strike="noStrike">
                <a:solidFill>
                  <a:schemeClr val="bg1"/>
                </a:solidFill>
                <a:latin typeface="Arial"/>
                <a:ea typeface="+mn-ea"/>
                <a:cs typeface="Arial"/>
              </a:endParaRPr>
            </a:p>
          </xdr:txBody>
        </xdr:sp>
      </xdr:grpSp>
      <xdr:grpSp>
        <xdr:nvGrpSpPr>
          <xdr:cNvPr id="10" name="Group 9">
            <a:extLst>
              <a:ext uri="{FF2B5EF4-FFF2-40B4-BE49-F238E27FC236}">
                <a16:creationId xmlns:a16="http://schemas.microsoft.com/office/drawing/2014/main" id="{3A98E063-97B9-4327-85F9-5A8B14CA950C}"/>
              </a:ext>
            </a:extLst>
          </xdr:cNvPr>
          <xdr:cNvGrpSpPr/>
        </xdr:nvGrpSpPr>
        <xdr:grpSpPr>
          <a:xfrm>
            <a:off x="823914" y="6905626"/>
            <a:ext cx="226218" cy="2466974"/>
            <a:chOff x="669133" y="6869907"/>
            <a:chExt cx="226218" cy="2466974"/>
          </a:xfrm>
        </xdr:grpSpPr>
        <xdr:sp macro="" textlink="">
          <xdr:nvSpPr>
            <xdr:cNvPr id="56" name="TextBox 55">
              <a:extLst>
                <a:ext uri="{FF2B5EF4-FFF2-40B4-BE49-F238E27FC236}">
                  <a16:creationId xmlns:a16="http://schemas.microsoft.com/office/drawing/2014/main" id="{63F6DDEA-A782-4672-BEBA-C0EE8495BEE5}"/>
                </a:ext>
              </a:extLst>
            </xdr:cNvPr>
            <xdr:cNvSpPr txBox="1"/>
          </xdr:nvSpPr>
          <xdr:spPr>
            <a:xfrm>
              <a:off x="669133" y="6869907"/>
              <a:ext cx="226218" cy="250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sp macro="" textlink="">
          <xdr:nvSpPr>
            <xdr:cNvPr id="58" name="TextBox 57">
              <a:extLst>
                <a:ext uri="{FF2B5EF4-FFF2-40B4-BE49-F238E27FC236}">
                  <a16:creationId xmlns:a16="http://schemas.microsoft.com/office/drawing/2014/main" id="{82E63976-4C76-42D9-B529-12FD69E2367E}"/>
                </a:ext>
              </a:extLst>
            </xdr:cNvPr>
            <xdr:cNvSpPr txBox="1"/>
          </xdr:nvSpPr>
          <xdr:spPr>
            <a:xfrm>
              <a:off x="669133" y="7298531"/>
              <a:ext cx="226218" cy="250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sp macro="" textlink="">
          <xdr:nvSpPr>
            <xdr:cNvPr id="59" name="TextBox 58">
              <a:extLst>
                <a:ext uri="{FF2B5EF4-FFF2-40B4-BE49-F238E27FC236}">
                  <a16:creationId xmlns:a16="http://schemas.microsoft.com/office/drawing/2014/main" id="{7DF95B89-4CD5-4672-B49E-A7CBC189867E}"/>
                </a:ext>
              </a:extLst>
            </xdr:cNvPr>
            <xdr:cNvSpPr txBox="1"/>
          </xdr:nvSpPr>
          <xdr:spPr>
            <a:xfrm>
              <a:off x="669133" y="7772399"/>
              <a:ext cx="226218" cy="250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sp macro="" textlink="">
          <xdr:nvSpPr>
            <xdr:cNvPr id="60" name="TextBox 59">
              <a:extLst>
                <a:ext uri="{FF2B5EF4-FFF2-40B4-BE49-F238E27FC236}">
                  <a16:creationId xmlns:a16="http://schemas.microsoft.com/office/drawing/2014/main" id="{9E3F0D72-08BB-48C4-A177-9DBA8C8B2A6B}"/>
                </a:ext>
              </a:extLst>
            </xdr:cNvPr>
            <xdr:cNvSpPr txBox="1"/>
          </xdr:nvSpPr>
          <xdr:spPr>
            <a:xfrm>
              <a:off x="669133" y="8246268"/>
              <a:ext cx="226218" cy="250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sp macro="" textlink="">
          <xdr:nvSpPr>
            <xdr:cNvPr id="61" name="TextBox 60">
              <a:extLst>
                <a:ext uri="{FF2B5EF4-FFF2-40B4-BE49-F238E27FC236}">
                  <a16:creationId xmlns:a16="http://schemas.microsoft.com/office/drawing/2014/main" id="{751ACBBB-81D5-4B29-9E0A-E94DBB6DD978}"/>
                </a:ext>
              </a:extLst>
            </xdr:cNvPr>
            <xdr:cNvSpPr txBox="1"/>
          </xdr:nvSpPr>
          <xdr:spPr>
            <a:xfrm>
              <a:off x="669133" y="8684418"/>
              <a:ext cx="226218" cy="250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sp macro="" textlink="">
          <xdr:nvSpPr>
            <xdr:cNvPr id="62" name="TextBox 61">
              <a:extLst>
                <a:ext uri="{FF2B5EF4-FFF2-40B4-BE49-F238E27FC236}">
                  <a16:creationId xmlns:a16="http://schemas.microsoft.com/office/drawing/2014/main" id="{1981BE44-7535-4DC7-97A9-62AA24A6158F}"/>
                </a:ext>
              </a:extLst>
            </xdr:cNvPr>
            <xdr:cNvSpPr txBox="1"/>
          </xdr:nvSpPr>
          <xdr:spPr>
            <a:xfrm>
              <a:off x="669133" y="9086850"/>
              <a:ext cx="226218" cy="250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grpSp>
    </xdr:grpSp>
    <xdr:clientData/>
  </xdr:twoCellAnchor>
  <xdr:twoCellAnchor>
    <xdr:from>
      <xdr:col>27</xdr:col>
      <xdr:colOff>390428</xdr:colOff>
      <xdr:row>3</xdr:row>
      <xdr:rowOff>79731</xdr:rowOff>
    </xdr:from>
    <xdr:to>
      <xdr:col>29</xdr:col>
      <xdr:colOff>299276</xdr:colOff>
      <xdr:row>10</xdr:row>
      <xdr:rowOff>49255</xdr:rowOff>
    </xdr:to>
    <xdr:grpSp>
      <xdr:nvGrpSpPr>
        <xdr:cNvPr id="19" name="Group 18">
          <a:extLst>
            <a:ext uri="{FF2B5EF4-FFF2-40B4-BE49-F238E27FC236}">
              <a16:creationId xmlns:a16="http://schemas.microsoft.com/office/drawing/2014/main" id="{068EA404-66CB-4EB8-A13D-817653413853}"/>
            </a:ext>
          </a:extLst>
        </xdr:cNvPr>
        <xdr:cNvGrpSpPr/>
      </xdr:nvGrpSpPr>
      <xdr:grpSpPr>
        <a:xfrm>
          <a:off x="16678178" y="651231"/>
          <a:ext cx="1115348" cy="1303024"/>
          <a:chOff x="12642628" y="1466616"/>
          <a:chExt cx="1135055" cy="1272368"/>
        </a:xfrm>
      </xdr:grpSpPr>
      <xdr:sp macro="" textlink="">
        <xdr:nvSpPr>
          <xdr:cNvPr id="16" name="Rectangle: Rounded Corners 15">
            <a:extLst>
              <a:ext uri="{FF2B5EF4-FFF2-40B4-BE49-F238E27FC236}">
                <a16:creationId xmlns:a16="http://schemas.microsoft.com/office/drawing/2014/main" id="{8E1BBEAF-5310-40A9-8601-FB8F411DD361}"/>
              </a:ext>
            </a:extLst>
          </xdr:cNvPr>
          <xdr:cNvSpPr/>
        </xdr:nvSpPr>
        <xdr:spPr>
          <a:xfrm>
            <a:off x="12689052" y="1466616"/>
            <a:ext cx="1013582" cy="1272368"/>
          </a:xfrm>
          <a:prstGeom prst="roundRect">
            <a:avLst/>
          </a:prstGeom>
          <a:solidFill>
            <a:srgbClr val="070E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TextBox 16">
            <a:extLst>
              <a:ext uri="{FF2B5EF4-FFF2-40B4-BE49-F238E27FC236}">
                <a16:creationId xmlns:a16="http://schemas.microsoft.com/office/drawing/2014/main" id="{93D6CC18-56DA-4351-AAA5-59DCA7962AAB}"/>
              </a:ext>
            </a:extLst>
          </xdr:cNvPr>
          <xdr:cNvSpPr txBox="1"/>
        </xdr:nvSpPr>
        <xdr:spPr>
          <a:xfrm>
            <a:off x="12642628" y="2155527"/>
            <a:ext cx="1135055" cy="483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IN" sz="1600">
                <a:solidFill>
                  <a:schemeClr val="bg1"/>
                </a:solidFill>
                <a:latin typeface="Arial" panose="020B0604020202020204" pitchFamily="34" charset="0"/>
                <a:cs typeface="Arial" panose="020B0604020202020204" pitchFamily="34" charset="0"/>
              </a:rPr>
              <a:t>Average</a:t>
            </a:r>
          </a:p>
          <a:p>
            <a:pPr algn="ctr"/>
            <a:r>
              <a:rPr lang="en-IN" sz="1050">
                <a:solidFill>
                  <a:schemeClr val="bg1"/>
                </a:solidFill>
                <a:latin typeface="Arial" panose="020B0604020202020204" pitchFamily="34" charset="0"/>
                <a:cs typeface="Arial" panose="020B0604020202020204" pitchFamily="34" charset="0"/>
              </a:rPr>
              <a:t>Monthly</a:t>
            </a:r>
            <a:r>
              <a:rPr lang="en-IN" sz="1050" baseline="0">
                <a:solidFill>
                  <a:schemeClr val="bg1"/>
                </a:solidFill>
                <a:latin typeface="Arial" panose="020B0604020202020204" pitchFamily="34" charset="0"/>
                <a:cs typeface="Arial" panose="020B0604020202020204" pitchFamily="34" charset="0"/>
              </a:rPr>
              <a:t> Income</a:t>
            </a:r>
            <a:endParaRPr lang="en-IN" sz="1050">
              <a:solidFill>
                <a:schemeClr val="bg1"/>
              </a:solidFill>
              <a:latin typeface="Arial" panose="020B0604020202020204" pitchFamily="34" charset="0"/>
              <a:cs typeface="Arial" panose="020B0604020202020204" pitchFamily="34" charset="0"/>
            </a:endParaRPr>
          </a:p>
        </xdr:txBody>
      </xdr:sp>
      <xdr:sp macro="" textlink="'pivot tables'!AB7">
        <xdr:nvSpPr>
          <xdr:cNvPr id="18" name="TextBox 17">
            <a:extLst>
              <a:ext uri="{FF2B5EF4-FFF2-40B4-BE49-F238E27FC236}">
                <a16:creationId xmlns:a16="http://schemas.microsoft.com/office/drawing/2014/main" id="{976B7DFB-EA5B-4119-B469-D3BEB625B77A}"/>
              </a:ext>
            </a:extLst>
          </xdr:cNvPr>
          <xdr:cNvSpPr txBox="1"/>
        </xdr:nvSpPr>
        <xdr:spPr>
          <a:xfrm>
            <a:off x="12656206" y="1839310"/>
            <a:ext cx="1061983"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8D7F30-15C4-4170-8541-5653161FE6A5}" type="TxLink">
              <a:rPr lang="en-US" sz="2000" b="0" i="0" u="none" strike="noStrike">
                <a:solidFill>
                  <a:schemeClr val="bg1"/>
                </a:solidFill>
                <a:latin typeface="Arial"/>
                <a:cs typeface="Arial"/>
              </a:rPr>
              <a:pPr/>
              <a:t> 60,074 </a:t>
            </a:fld>
            <a:endParaRPr lang="en-IN" sz="1400" b="0">
              <a:solidFill>
                <a:schemeClr val="bg1"/>
              </a:solidFill>
            </a:endParaRPr>
          </a:p>
        </xdr:txBody>
      </xdr:sp>
      <xdr:sp macro="" textlink="">
        <xdr:nvSpPr>
          <xdr:cNvPr id="63" name="TextBox 62">
            <a:extLst>
              <a:ext uri="{FF2B5EF4-FFF2-40B4-BE49-F238E27FC236}">
                <a16:creationId xmlns:a16="http://schemas.microsoft.com/office/drawing/2014/main" id="{F9304770-A393-46C1-B189-4C96A1788773}"/>
              </a:ext>
            </a:extLst>
          </xdr:cNvPr>
          <xdr:cNvSpPr txBox="1"/>
        </xdr:nvSpPr>
        <xdr:spPr>
          <a:xfrm>
            <a:off x="12923353" y="1576551"/>
            <a:ext cx="543027" cy="288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400" b="1">
                <a:solidFill>
                  <a:srgbClr val="FFFF00"/>
                </a:solidFill>
                <a:latin typeface="Arial" panose="020B0604020202020204" pitchFamily="34" charset="0"/>
                <a:cs typeface="Arial" panose="020B0604020202020204" pitchFamily="34" charset="0"/>
              </a:rPr>
              <a:t>Ū</a:t>
            </a:r>
            <a:endParaRPr lang="en-IN" sz="1050" b="1">
              <a:solidFill>
                <a:srgbClr val="FFFF00"/>
              </a:solidFill>
              <a:latin typeface="Arial" panose="020B0604020202020204" pitchFamily="34" charset="0"/>
              <a:cs typeface="Arial" panose="020B0604020202020204" pitchFamily="34" charset="0"/>
            </a:endParaRPr>
          </a:p>
        </xdr:txBody>
      </xdr:sp>
    </xdr:grpSp>
    <xdr:clientData/>
  </xdr:twoCellAnchor>
  <xdr:twoCellAnchor>
    <xdr:from>
      <xdr:col>27</xdr:col>
      <xdr:colOff>436852</xdr:colOff>
      <xdr:row>10</xdr:row>
      <xdr:rowOff>180416</xdr:rowOff>
    </xdr:from>
    <xdr:to>
      <xdr:col>29</xdr:col>
      <xdr:colOff>224227</xdr:colOff>
      <xdr:row>30</xdr:row>
      <xdr:rowOff>91134</xdr:rowOff>
    </xdr:to>
    <xdr:sp macro="" textlink="">
      <xdr:nvSpPr>
        <xdr:cNvPr id="64" name="Rectangle: Rounded Corners 63">
          <a:extLst>
            <a:ext uri="{FF2B5EF4-FFF2-40B4-BE49-F238E27FC236}">
              <a16:creationId xmlns:a16="http://schemas.microsoft.com/office/drawing/2014/main" id="{6BAAA24C-2D35-465B-AF9A-EF462F8DBF25}"/>
            </a:ext>
          </a:extLst>
        </xdr:cNvPr>
        <xdr:cNvSpPr/>
      </xdr:nvSpPr>
      <xdr:spPr>
        <a:xfrm>
          <a:off x="16736676" y="2058585"/>
          <a:ext cx="994769" cy="3667056"/>
        </a:xfrm>
        <a:prstGeom prst="roundRect">
          <a:avLst/>
        </a:prstGeom>
        <a:solidFill>
          <a:srgbClr val="070E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27</xdr:col>
      <xdr:colOff>382110</xdr:colOff>
      <xdr:row>12</xdr:row>
      <xdr:rowOff>3546</xdr:rowOff>
    </xdr:from>
    <xdr:to>
      <xdr:col>29</xdr:col>
      <xdr:colOff>290958</xdr:colOff>
      <xdr:row>14</xdr:row>
      <xdr:rowOff>114451</xdr:rowOff>
    </xdr:to>
    <xdr:sp macro="" textlink="">
      <xdr:nvSpPr>
        <xdr:cNvPr id="65" name="TextBox 64">
          <a:extLst>
            <a:ext uri="{FF2B5EF4-FFF2-40B4-BE49-F238E27FC236}">
              <a16:creationId xmlns:a16="http://schemas.microsoft.com/office/drawing/2014/main" id="{69E526CA-2327-49AD-8643-21AF04B7FB96}"/>
            </a:ext>
          </a:extLst>
        </xdr:cNvPr>
        <xdr:cNvSpPr txBox="1"/>
      </xdr:nvSpPr>
      <xdr:spPr>
        <a:xfrm>
          <a:off x="16681934" y="2257349"/>
          <a:ext cx="1116242" cy="486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600">
              <a:solidFill>
                <a:schemeClr val="bg1"/>
              </a:solidFill>
              <a:latin typeface="Arial" panose="020B0604020202020204" pitchFamily="34" charset="0"/>
              <a:cs typeface="Arial" panose="020B0604020202020204" pitchFamily="34" charset="0"/>
            </a:rPr>
            <a:t>Operating</a:t>
          </a:r>
        </a:p>
        <a:p>
          <a:pPr algn="ctr"/>
          <a:r>
            <a:rPr lang="en-IN" sz="1050">
              <a:solidFill>
                <a:schemeClr val="bg1"/>
              </a:solidFill>
              <a:latin typeface="Arial" panose="020B0604020202020204" pitchFamily="34" charset="0"/>
              <a:cs typeface="Arial" panose="020B0604020202020204" pitchFamily="34" charset="0"/>
            </a:rPr>
            <a:t>Profits</a:t>
          </a:r>
        </a:p>
      </xdr:txBody>
    </xdr:sp>
    <xdr:clientData/>
  </xdr:twoCellAnchor>
  <xdr:twoCellAnchor>
    <xdr:from>
      <xdr:col>27</xdr:col>
      <xdr:colOff>447801</xdr:colOff>
      <xdr:row>13</xdr:row>
      <xdr:rowOff>123976</xdr:rowOff>
    </xdr:from>
    <xdr:to>
      <xdr:col>29</xdr:col>
      <xdr:colOff>239784</xdr:colOff>
      <xdr:row>28</xdr:row>
      <xdr:rowOff>36392</xdr:rowOff>
    </xdr:to>
    <xdr:graphicFrame macro="">
      <xdr:nvGraphicFramePr>
        <xdr:cNvPr id="66" name="Chart 65">
          <a:extLst>
            <a:ext uri="{FF2B5EF4-FFF2-40B4-BE49-F238E27FC236}">
              <a16:creationId xmlns:a16="http://schemas.microsoft.com/office/drawing/2014/main" id="{7C58C72A-B3F1-4F79-9EFD-7D9DB026E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371162</xdr:colOff>
      <xdr:row>27</xdr:row>
      <xdr:rowOff>58289</xdr:rowOff>
    </xdr:from>
    <xdr:to>
      <xdr:col>29</xdr:col>
      <xdr:colOff>280010</xdr:colOff>
      <xdr:row>29</xdr:row>
      <xdr:rowOff>170890</xdr:rowOff>
    </xdr:to>
    <xdr:sp macro="" textlink="'pivot tables'!AH7">
      <xdr:nvSpPr>
        <xdr:cNvPr id="68" name="TextBox 67">
          <a:extLst>
            <a:ext uri="{FF2B5EF4-FFF2-40B4-BE49-F238E27FC236}">
              <a16:creationId xmlns:a16="http://schemas.microsoft.com/office/drawing/2014/main" id="{F187AE2E-083F-4E8C-9996-CD1E801F79DA}"/>
            </a:ext>
          </a:extLst>
        </xdr:cNvPr>
        <xdr:cNvSpPr txBox="1"/>
      </xdr:nvSpPr>
      <xdr:spPr>
        <a:xfrm>
          <a:off x="16670986" y="5129345"/>
          <a:ext cx="1116242" cy="4882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29432513-BADA-4DFD-9EA3-BD7780DA172A}" type="TxLink">
            <a:rPr lang="en-US" sz="1200" b="0" i="0" u="none" strike="noStrike">
              <a:solidFill>
                <a:schemeClr val="bg1"/>
              </a:solidFill>
              <a:latin typeface="Arial"/>
              <a:cs typeface="Arial"/>
            </a:rPr>
            <a:pPr algn="ctr"/>
            <a:t>144176.6685</a:t>
          </a:fld>
          <a:endParaRPr lang="en-IN" sz="1800">
            <a:solidFill>
              <a:schemeClr val="bg1"/>
            </a:solidFill>
            <a:latin typeface="Arial" panose="020B0604020202020204" pitchFamily="34" charset="0"/>
            <a:cs typeface="Arial" panose="020B0604020202020204" pitchFamily="34" charset="0"/>
          </a:endParaRPr>
        </a:p>
      </xdr:txBody>
    </xdr:sp>
    <xdr:clientData/>
  </xdr:twoCellAnchor>
  <xdr:twoCellAnchor>
    <xdr:from>
      <xdr:col>27</xdr:col>
      <xdr:colOff>408079</xdr:colOff>
      <xdr:row>31</xdr:row>
      <xdr:rowOff>15131</xdr:rowOff>
    </xdr:from>
    <xdr:to>
      <xdr:col>29</xdr:col>
      <xdr:colOff>195454</xdr:colOff>
      <xdr:row>46</xdr:row>
      <xdr:rowOff>103736</xdr:rowOff>
    </xdr:to>
    <xdr:sp macro="" textlink="">
      <xdr:nvSpPr>
        <xdr:cNvPr id="69" name="Rectangle: Rounded Corners 68">
          <a:extLst>
            <a:ext uri="{FF2B5EF4-FFF2-40B4-BE49-F238E27FC236}">
              <a16:creationId xmlns:a16="http://schemas.microsoft.com/office/drawing/2014/main" id="{D14EE800-C68E-4B47-8C2D-DD250BAB5DA6}"/>
            </a:ext>
          </a:extLst>
        </xdr:cNvPr>
        <xdr:cNvSpPr/>
      </xdr:nvSpPr>
      <xdr:spPr>
        <a:xfrm>
          <a:off x="16707903" y="5837455"/>
          <a:ext cx="994769" cy="3026598"/>
        </a:xfrm>
        <a:prstGeom prst="roundRect">
          <a:avLst/>
        </a:prstGeom>
        <a:solidFill>
          <a:srgbClr val="070E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27</xdr:col>
      <xdr:colOff>166067</xdr:colOff>
      <xdr:row>36</xdr:row>
      <xdr:rowOff>113713</xdr:rowOff>
    </xdr:from>
    <xdr:to>
      <xdr:col>29</xdr:col>
      <xdr:colOff>441007</xdr:colOff>
      <xdr:row>41</xdr:row>
      <xdr:rowOff>161223</xdr:rowOff>
    </xdr:to>
    <xdr:graphicFrame macro="">
      <xdr:nvGraphicFramePr>
        <xdr:cNvPr id="67" name="Chart 66">
          <a:extLst>
            <a:ext uri="{FF2B5EF4-FFF2-40B4-BE49-F238E27FC236}">
              <a16:creationId xmlns:a16="http://schemas.microsoft.com/office/drawing/2014/main" id="{140733ED-2C0D-49E5-902D-32B4D35BFB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341625</xdr:colOff>
      <xdr:row>33</xdr:row>
      <xdr:rowOff>92762</xdr:rowOff>
    </xdr:from>
    <xdr:to>
      <xdr:col>29</xdr:col>
      <xdr:colOff>250473</xdr:colOff>
      <xdr:row>35</xdr:row>
      <xdr:rowOff>160227</xdr:rowOff>
    </xdr:to>
    <xdr:sp macro="" textlink="'pivot tables'!AP7">
      <xdr:nvSpPr>
        <xdr:cNvPr id="70" name="TextBox 69">
          <a:extLst>
            <a:ext uri="{FF2B5EF4-FFF2-40B4-BE49-F238E27FC236}">
              <a16:creationId xmlns:a16="http://schemas.microsoft.com/office/drawing/2014/main" id="{BA17EA55-AF15-4635-90AB-21431194CA49}"/>
            </a:ext>
          </a:extLst>
        </xdr:cNvPr>
        <xdr:cNvSpPr txBox="1"/>
      </xdr:nvSpPr>
      <xdr:spPr>
        <a:xfrm>
          <a:off x="16641449" y="6290720"/>
          <a:ext cx="1116242" cy="4430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5B06A7D5-9CCD-477F-A51E-F486980A5D20}" type="TxLink">
            <a:rPr lang="en-US" sz="1200" b="0" i="0" u="none" strike="noStrike">
              <a:solidFill>
                <a:schemeClr val="bg1"/>
              </a:solidFill>
              <a:latin typeface="Arial"/>
              <a:cs typeface="Arial"/>
            </a:rPr>
            <a:pPr algn="ctr"/>
            <a:t> 4,59,823 </a:t>
          </a:fld>
          <a:endParaRPr lang="en-IN" sz="1800">
            <a:solidFill>
              <a:schemeClr val="bg1"/>
            </a:solidFill>
            <a:latin typeface="Arial" panose="020B0604020202020204" pitchFamily="34" charset="0"/>
            <a:cs typeface="Arial" panose="020B0604020202020204" pitchFamily="34" charset="0"/>
          </a:endParaRPr>
        </a:p>
      </xdr:txBody>
    </xdr:sp>
    <xdr:clientData/>
  </xdr:twoCellAnchor>
  <xdr:twoCellAnchor>
    <xdr:from>
      <xdr:col>27</xdr:col>
      <xdr:colOff>350042</xdr:colOff>
      <xdr:row>35</xdr:row>
      <xdr:rowOff>1967</xdr:rowOff>
    </xdr:from>
    <xdr:to>
      <xdr:col>29</xdr:col>
      <xdr:colOff>258890</xdr:colOff>
      <xdr:row>37</xdr:row>
      <xdr:rowOff>69432</xdr:rowOff>
    </xdr:to>
    <xdr:sp macro="" textlink="'pivot tables'!AQ7">
      <xdr:nvSpPr>
        <xdr:cNvPr id="71" name="TextBox 70">
          <a:extLst>
            <a:ext uri="{FF2B5EF4-FFF2-40B4-BE49-F238E27FC236}">
              <a16:creationId xmlns:a16="http://schemas.microsoft.com/office/drawing/2014/main" id="{6A8AB00D-632B-4BD5-9EF2-A5109BF31FC5}"/>
            </a:ext>
          </a:extLst>
        </xdr:cNvPr>
        <xdr:cNvSpPr txBox="1"/>
      </xdr:nvSpPr>
      <xdr:spPr>
        <a:xfrm>
          <a:off x="16649866" y="6575559"/>
          <a:ext cx="1116242" cy="443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FD77F24-B4F4-4785-A89A-5983A783C532}" type="TxLink">
            <a:rPr lang="en-US" sz="1100" b="0" i="0" u="none" strike="noStrike">
              <a:solidFill>
                <a:schemeClr val="bg1"/>
              </a:solidFill>
              <a:latin typeface="Arial"/>
              <a:cs typeface="Arial"/>
            </a:rPr>
            <a:pPr algn="ctr"/>
            <a:t>63.79%</a:t>
          </a:fld>
          <a:endParaRPr lang="en-IN" sz="1800">
            <a:solidFill>
              <a:schemeClr val="bg1"/>
            </a:solidFill>
            <a:latin typeface="Arial" panose="020B0604020202020204" pitchFamily="34" charset="0"/>
            <a:cs typeface="Arial" panose="020B0604020202020204" pitchFamily="34" charset="0"/>
          </a:endParaRPr>
        </a:p>
      </xdr:txBody>
    </xdr:sp>
    <xdr:clientData/>
  </xdr:twoCellAnchor>
  <xdr:twoCellAnchor>
    <xdr:from>
      <xdr:col>27</xdr:col>
      <xdr:colOff>352702</xdr:colOff>
      <xdr:row>31</xdr:row>
      <xdr:rowOff>92665</xdr:rowOff>
    </xdr:from>
    <xdr:to>
      <xdr:col>29</xdr:col>
      <xdr:colOff>261550</xdr:colOff>
      <xdr:row>33</xdr:row>
      <xdr:rowOff>158785</xdr:rowOff>
    </xdr:to>
    <xdr:sp macro="" textlink="">
      <xdr:nvSpPr>
        <xdr:cNvPr id="73" name="TextBox 72">
          <a:extLst>
            <a:ext uri="{FF2B5EF4-FFF2-40B4-BE49-F238E27FC236}">
              <a16:creationId xmlns:a16="http://schemas.microsoft.com/office/drawing/2014/main" id="{4814B207-54C0-4955-8DAA-BCE8A3BBD9D7}"/>
            </a:ext>
          </a:extLst>
        </xdr:cNvPr>
        <xdr:cNvSpPr txBox="1"/>
      </xdr:nvSpPr>
      <xdr:spPr>
        <a:xfrm>
          <a:off x="16652526" y="5914989"/>
          <a:ext cx="1116242" cy="4417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a:solidFill>
                <a:schemeClr val="bg1"/>
              </a:solidFill>
              <a:latin typeface="Arial" panose="020B0604020202020204" pitchFamily="34" charset="0"/>
              <a:cs typeface="Arial" panose="020B0604020202020204" pitchFamily="34" charset="0"/>
            </a:rPr>
            <a:t>B2B</a:t>
          </a:r>
          <a:endParaRPr lang="en-IN" sz="1100">
            <a:solidFill>
              <a:schemeClr val="bg1"/>
            </a:solidFill>
            <a:latin typeface="Arial" panose="020B0604020202020204" pitchFamily="34" charset="0"/>
            <a:cs typeface="Arial" panose="020B0604020202020204" pitchFamily="34" charset="0"/>
          </a:endParaRPr>
        </a:p>
      </xdr:txBody>
    </xdr:sp>
    <xdr:clientData/>
  </xdr:twoCellAnchor>
  <xdr:twoCellAnchor>
    <xdr:from>
      <xdr:col>27</xdr:col>
      <xdr:colOff>352701</xdr:colOff>
      <xdr:row>41</xdr:row>
      <xdr:rowOff>15132</xdr:rowOff>
    </xdr:from>
    <xdr:to>
      <xdr:col>29</xdr:col>
      <xdr:colOff>261549</xdr:colOff>
      <xdr:row>43</xdr:row>
      <xdr:rowOff>83688</xdr:rowOff>
    </xdr:to>
    <xdr:sp macro="" textlink="'pivot tables'!AP8">
      <xdr:nvSpPr>
        <xdr:cNvPr id="74" name="TextBox 73">
          <a:extLst>
            <a:ext uri="{FF2B5EF4-FFF2-40B4-BE49-F238E27FC236}">
              <a16:creationId xmlns:a16="http://schemas.microsoft.com/office/drawing/2014/main" id="{BF26418B-C69B-487D-BFC3-D1D67365EEBE}"/>
            </a:ext>
          </a:extLst>
        </xdr:cNvPr>
        <xdr:cNvSpPr txBox="1"/>
      </xdr:nvSpPr>
      <xdr:spPr>
        <a:xfrm>
          <a:off x="16652525" y="7836364"/>
          <a:ext cx="1116242" cy="444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441E8CF0-DA11-4DC6-B333-91A3D41CEDB8}" type="TxLink">
            <a:rPr lang="en-US" sz="1100" b="0" i="0" u="none" strike="noStrike">
              <a:solidFill>
                <a:schemeClr val="bg1"/>
              </a:solidFill>
              <a:latin typeface="Arial"/>
              <a:cs typeface="Arial"/>
            </a:rPr>
            <a:pPr algn="ctr"/>
            <a:t> 2,61,060 </a:t>
          </a:fld>
          <a:endParaRPr lang="en-IN" sz="1800">
            <a:solidFill>
              <a:schemeClr val="bg1"/>
            </a:solidFill>
            <a:latin typeface="Arial" panose="020B0604020202020204" pitchFamily="34" charset="0"/>
            <a:cs typeface="Arial" panose="020B0604020202020204" pitchFamily="34" charset="0"/>
          </a:endParaRPr>
        </a:p>
      </xdr:txBody>
    </xdr:sp>
    <xdr:clientData/>
  </xdr:twoCellAnchor>
  <xdr:twoCellAnchor>
    <xdr:from>
      <xdr:col>27</xdr:col>
      <xdr:colOff>361118</xdr:colOff>
      <xdr:row>42</xdr:row>
      <xdr:rowOff>112154</xdr:rowOff>
    </xdr:from>
    <xdr:to>
      <xdr:col>29</xdr:col>
      <xdr:colOff>269966</xdr:colOff>
      <xdr:row>44</xdr:row>
      <xdr:rowOff>180242</xdr:rowOff>
    </xdr:to>
    <xdr:sp macro="" textlink="'pivot tables'!AQ8">
      <xdr:nvSpPr>
        <xdr:cNvPr id="75" name="TextBox 74">
          <a:extLst>
            <a:ext uri="{FF2B5EF4-FFF2-40B4-BE49-F238E27FC236}">
              <a16:creationId xmlns:a16="http://schemas.microsoft.com/office/drawing/2014/main" id="{6C96D13F-70A3-44C3-83BA-F8991BFA3BAE}"/>
            </a:ext>
          </a:extLst>
        </xdr:cNvPr>
        <xdr:cNvSpPr txBox="1"/>
      </xdr:nvSpPr>
      <xdr:spPr>
        <a:xfrm>
          <a:off x="16660942" y="8121203"/>
          <a:ext cx="1116242" cy="443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296409B6-DA34-42D7-A060-ACB4B3E56D48}" type="TxLink">
            <a:rPr lang="en-US" sz="1100" b="0" i="0" u="none" strike="noStrike">
              <a:solidFill>
                <a:schemeClr val="bg1"/>
              </a:solidFill>
              <a:latin typeface="Arial"/>
              <a:cs typeface="Arial"/>
            </a:rPr>
            <a:pPr algn="ctr"/>
            <a:t>36.21%</a:t>
          </a:fld>
          <a:endParaRPr lang="en-IN" sz="1800">
            <a:solidFill>
              <a:schemeClr val="bg1"/>
            </a:solidFill>
            <a:latin typeface="Arial" panose="020B0604020202020204" pitchFamily="34" charset="0"/>
            <a:cs typeface="Arial" panose="020B0604020202020204" pitchFamily="34" charset="0"/>
          </a:endParaRPr>
        </a:p>
      </xdr:txBody>
    </xdr:sp>
    <xdr:clientData/>
  </xdr:twoCellAnchor>
  <xdr:twoCellAnchor>
    <xdr:from>
      <xdr:col>27</xdr:col>
      <xdr:colOff>341626</xdr:colOff>
      <xdr:row>44</xdr:row>
      <xdr:rowOff>37282</xdr:rowOff>
    </xdr:from>
    <xdr:to>
      <xdr:col>29</xdr:col>
      <xdr:colOff>250474</xdr:colOff>
      <xdr:row>46</xdr:row>
      <xdr:rowOff>103871</xdr:rowOff>
    </xdr:to>
    <xdr:sp macro="" textlink="">
      <xdr:nvSpPr>
        <xdr:cNvPr id="76" name="TextBox 75">
          <a:extLst>
            <a:ext uri="{FF2B5EF4-FFF2-40B4-BE49-F238E27FC236}">
              <a16:creationId xmlns:a16="http://schemas.microsoft.com/office/drawing/2014/main" id="{90CCC7F7-9A89-4585-A6EF-994E02E7456F}"/>
            </a:ext>
          </a:extLst>
        </xdr:cNvPr>
        <xdr:cNvSpPr txBox="1"/>
      </xdr:nvSpPr>
      <xdr:spPr>
        <a:xfrm>
          <a:off x="16641450" y="8421965"/>
          <a:ext cx="1116242" cy="4422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a:solidFill>
                <a:schemeClr val="bg1"/>
              </a:solidFill>
              <a:latin typeface="Arial" panose="020B0604020202020204" pitchFamily="34" charset="0"/>
              <a:cs typeface="Arial" panose="020B0604020202020204" pitchFamily="34" charset="0"/>
            </a:rPr>
            <a:t>B2C</a:t>
          </a:r>
          <a:endParaRPr lang="en-IN" sz="1100">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476250</xdr:colOff>
      <xdr:row>2</xdr:row>
      <xdr:rowOff>47609</xdr:rowOff>
    </xdr:from>
    <xdr:to>
      <xdr:col>31</xdr:col>
      <xdr:colOff>86591</xdr:colOff>
      <xdr:row>42</xdr:row>
      <xdr:rowOff>47609</xdr:rowOff>
    </xdr:to>
    <xdr:sp macro="[0]!Group60_Click" textlink="">
      <xdr:nvSpPr>
        <xdr:cNvPr id="50" name="Freeform: Shape 49">
          <a:extLst>
            <a:ext uri="{FF2B5EF4-FFF2-40B4-BE49-F238E27FC236}">
              <a16:creationId xmlns:a16="http://schemas.microsoft.com/office/drawing/2014/main" id="{2BF3D0C1-90EB-4864-9160-AE0AE6E4B56D}"/>
            </a:ext>
          </a:extLst>
        </xdr:cNvPr>
        <xdr:cNvSpPr/>
      </xdr:nvSpPr>
      <xdr:spPr>
        <a:xfrm flipV="1">
          <a:off x="5325341" y="428609"/>
          <a:ext cx="13551477" cy="7620000"/>
        </a:xfrm>
        <a:custGeom>
          <a:avLst/>
          <a:gdLst>
            <a:gd name="connsiteX0" fmla="*/ 0 w 12192000"/>
            <a:gd name="connsiteY0" fmla="*/ 6858000 h 6858000"/>
            <a:gd name="connsiteX1" fmla="*/ 12192000 w 12192000"/>
            <a:gd name="connsiteY1" fmla="*/ 6858000 h 6858000"/>
            <a:gd name="connsiteX2" fmla="*/ 12192000 w 12192000"/>
            <a:gd name="connsiteY2" fmla="*/ 0 h 6858000"/>
            <a:gd name="connsiteX3" fmla="*/ 0 w 12192000"/>
            <a:gd name="connsiteY3" fmla="*/ 0 h 6858000"/>
            <a:gd name="connsiteX4" fmla="*/ 0 w 12192000"/>
            <a:gd name="connsiteY4" fmla="*/ 6858000 h 6858000"/>
            <a:gd name="connsiteX5" fmla="*/ 4251188 w 12192000"/>
            <a:gd name="connsiteY5" fmla="*/ 6501146 h 6858000"/>
            <a:gd name="connsiteX6" fmla="*/ 4216369 w 12192000"/>
            <a:gd name="connsiteY6" fmla="*/ 6466327 h 6858000"/>
            <a:gd name="connsiteX7" fmla="*/ 4251188 w 12192000"/>
            <a:gd name="connsiteY7" fmla="*/ 6431508 h 6858000"/>
            <a:gd name="connsiteX8" fmla="*/ 4286007 w 12192000"/>
            <a:gd name="connsiteY8" fmla="*/ 6466327 h 6858000"/>
            <a:gd name="connsiteX9" fmla="*/ 4251188 w 12192000"/>
            <a:gd name="connsiteY9" fmla="*/ 6501146 h 6858000"/>
            <a:gd name="connsiteX10" fmla="*/ 4336080 w 12192000"/>
            <a:gd name="connsiteY10" fmla="*/ 6501146 h 6858000"/>
            <a:gd name="connsiteX11" fmla="*/ 4301261 w 12192000"/>
            <a:gd name="connsiteY11" fmla="*/ 6466327 h 6858000"/>
            <a:gd name="connsiteX12" fmla="*/ 4336080 w 12192000"/>
            <a:gd name="connsiteY12" fmla="*/ 6431508 h 6858000"/>
            <a:gd name="connsiteX13" fmla="*/ 4370899 w 12192000"/>
            <a:gd name="connsiteY13" fmla="*/ 6466327 h 6858000"/>
            <a:gd name="connsiteX14" fmla="*/ 4336080 w 12192000"/>
            <a:gd name="connsiteY14" fmla="*/ 6501146 h 6858000"/>
            <a:gd name="connsiteX15" fmla="*/ 4420973 w 12192000"/>
            <a:gd name="connsiteY15" fmla="*/ 6501146 h 6858000"/>
            <a:gd name="connsiteX16" fmla="*/ 4386154 w 12192000"/>
            <a:gd name="connsiteY16" fmla="*/ 6466327 h 6858000"/>
            <a:gd name="connsiteX17" fmla="*/ 4420973 w 12192000"/>
            <a:gd name="connsiteY17" fmla="*/ 6431508 h 6858000"/>
            <a:gd name="connsiteX18" fmla="*/ 4455792 w 12192000"/>
            <a:gd name="connsiteY18" fmla="*/ 6466327 h 6858000"/>
            <a:gd name="connsiteX19" fmla="*/ 4420973 w 12192000"/>
            <a:gd name="connsiteY19" fmla="*/ 6501146 h 6858000"/>
            <a:gd name="connsiteX20" fmla="*/ 4505866 w 12192000"/>
            <a:gd name="connsiteY20" fmla="*/ 6501146 h 6858000"/>
            <a:gd name="connsiteX21" fmla="*/ 4471047 w 12192000"/>
            <a:gd name="connsiteY21" fmla="*/ 6466327 h 6858000"/>
            <a:gd name="connsiteX22" fmla="*/ 4505866 w 12192000"/>
            <a:gd name="connsiteY22" fmla="*/ 6431508 h 6858000"/>
            <a:gd name="connsiteX23" fmla="*/ 4540684 w 12192000"/>
            <a:gd name="connsiteY23" fmla="*/ 6466327 h 6858000"/>
            <a:gd name="connsiteX24" fmla="*/ 4505866 w 12192000"/>
            <a:gd name="connsiteY24" fmla="*/ 6501146 h 6858000"/>
            <a:gd name="connsiteX25" fmla="*/ 4590758 w 12192000"/>
            <a:gd name="connsiteY25" fmla="*/ 6501146 h 6858000"/>
            <a:gd name="connsiteX26" fmla="*/ 4555939 w 12192000"/>
            <a:gd name="connsiteY26" fmla="*/ 6466327 h 6858000"/>
            <a:gd name="connsiteX27" fmla="*/ 4590758 w 12192000"/>
            <a:gd name="connsiteY27" fmla="*/ 6431508 h 6858000"/>
            <a:gd name="connsiteX28" fmla="*/ 4625577 w 12192000"/>
            <a:gd name="connsiteY28" fmla="*/ 6466327 h 6858000"/>
            <a:gd name="connsiteX29" fmla="*/ 4590758 w 12192000"/>
            <a:gd name="connsiteY29" fmla="*/ 6501146 h 6858000"/>
            <a:gd name="connsiteX30" fmla="*/ 4081403 w 12192000"/>
            <a:gd name="connsiteY30" fmla="*/ 6416286 h 6858000"/>
            <a:gd name="connsiteX31" fmla="*/ 4046584 w 12192000"/>
            <a:gd name="connsiteY31" fmla="*/ 6381467 h 6858000"/>
            <a:gd name="connsiteX32" fmla="*/ 4081403 w 12192000"/>
            <a:gd name="connsiteY32" fmla="*/ 6346648 h 6858000"/>
            <a:gd name="connsiteX33" fmla="*/ 4116222 w 12192000"/>
            <a:gd name="connsiteY33" fmla="*/ 6381467 h 6858000"/>
            <a:gd name="connsiteX34" fmla="*/ 4081403 w 12192000"/>
            <a:gd name="connsiteY34" fmla="*/ 6416286 h 6858000"/>
            <a:gd name="connsiteX35" fmla="*/ 4166296 w 12192000"/>
            <a:gd name="connsiteY35" fmla="*/ 6416286 h 6858000"/>
            <a:gd name="connsiteX36" fmla="*/ 4131477 w 12192000"/>
            <a:gd name="connsiteY36" fmla="*/ 6381467 h 6858000"/>
            <a:gd name="connsiteX37" fmla="*/ 4166296 w 12192000"/>
            <a:gd name="connsiteY37" fmla="*/ 6346648 h 6858000"/>
            <a:gd name="connsiteX38" fmla="*/ 4201114 w 12192000"/>
            <a:gd name="connsiteY38" fmla="*/ 6381467 h 6858000"/>
            <a:gd name="connsiteX39" fmla="*/ 4166296 w 12192000"/>
            <a:gd name="connsiteY39" fmla="*/ 6416286 h 6858000"/>
            <a:gd name="connsiteX40" fmla="*/ 4251188 w 12192000"/>
            <a:gd name="connsiteY40" fmla="*/ 6416286 h 6858000"/>
            <a:gd name="connsiteX41" fmla="*/ 4216369 w 12192000"/>
            <a:gd name="connsiteY41" fmla="*/ 6381467 h 6858000"/>
            <a:gd name="connsiteX42" fmla="*/ 4251188 w 12192000"/>
            <a:gd name="connsiteY42" fmla="*/ 6346648 h 6858000"/>
            <a:gd name="connsiteX43" fmla="*/ 4286007 w 12192000"/>
            <a:gd name="connsiteY43" fmla="*/ 6381467 h 6858000"/>
            <a:gd name="connsiteX44" fmla="*/ 4251188 w 12192000"/>
            <a:gd name="connsiteY44" fmla="*/ 6416286 h 6858000"/>
            <a:gd name="connsiteX45" fmla="*/ 4336080 w 12192000"/>
            <a:gd name="connsiteY45" fmla="*/ 6416286 h 6858000"/>
            <a:gd name="connsiteX46" fmla="*/ 4301261 w 12192000"/>
            <a:gd name="connsiteY46" fmla="*/ 6381467 h 6858000"/>
            <a:gd name="connsiteX47" fmla="*/ 4336080 w 12192000"/>
            <a:gd name="connsiteY47" fmla="*/ 6346648 h 6858000"/>
            <a:gd name="connsiteX48" fmla="*/ 4370899 w 12192000"/>
            <a:gd name="connsiteY48" fmla="*/ 6381467 h 6858000"/>
            <a:gd name="connsiteX49" fmla="*/ 4336080 w 12192000"/>
            <a:gd name="connsiteY49" fmla="*/ 6416286 h 6858000"/>
            <a:gd name="connsiteX50" fmla="*/ 4420973 w 12192000"/>
            <a:gd name="connsiteY50" fmla="*/ 6416286 h 6858000"/>
            <a:gd name="connsiteX51" fmla="*/ 4386154 w 12192000"/>
            <a:gd name="connsiteY51" fmla="*/ 6381467 h 6858000"/>
            <a:gd name="connsiteX52" fmla="*/ 4420973 w 12192000"/>
            <a:gd name="connsiteY52" fmla="*/ 6346648 h 6858000"/>
            <a:gd name="connsiteX53" fmla="*/ 4455792 w 12192000"/>
            <a:gd name="connsiteY53" fmla="*/ 6381467 h 6858000"/>
            <a:gd name="connsiteX54" fmla="*/ 4420973 w 12192000"/>
            <a:gd name="connsiteY54" fmla="*/ 6416286 h 6858000"/>
            <a:gd name="connsiteX55" fmla="*/ 4505866 w 12192000"/>
            <a:gd name="connsiteY55" fmla="*/ 6416286 h 6858000"/>
            <a:gd name="connsiteX56" fmla="*/ 4471047 w 12192000"/>
            <a:gd name="connsiteY56" fmla="*/ 6381467 h 6858000"/>
            <a:gd name="connsiteX57" fmla="*/ 4505866 w 12192000"/>
            <a:gd name="connsiteY57" fmla="*/ 6346648 h 6858000"/>
            <a:gd name="connsiteX58" fmla="*/ 4540684 w 12192000"/>
            <a:gd name="connsiteY58" fmla="*/ 6381467 h 6858000"/>
            <a:gd name="connsiteX59" fmla="*/ 4505866 w 12192000"/>
            <a:gd name="connsiteY59" fmla="*/ 6416286 h 6858000"/>
            <a:gd name="connsiteX60" fmla="*/ 4590758 w 12192000"/>
            <a:gd name="connsiteY60" fmla="*/ 6416286 h 6858000"/>
            <a:gd name="connsiteX61" fmla="*/ 4555939 w 12192000"/>
            <a:gd name="connsiteY61" fmla="*/ 6381467 h 6858000"/>
            <a:gd name="connsiteX62" fmla="*/ 4590758 w 12192000"/>
            <a:gd name="connsiteY62" fmla="*/ 6346648 h 6858000"/>
            <a:gd name="connsiteX63" fmla="*/ 4625577 w 12192000"/>
            <a:gd name="connsiteY63" fmla="*/ 6381467 h 6858000"/>
            <a:gd name="connsiteX64" fmla="*/ 4590758 w 12192000"/>
            <a:gd name="connsiteY64" fmla="*/ 6416286 h 6858000"/>
            <a:gd name="connsiteX65" fmla="*/ 4675650 w 12192000"/>
            <a:gd name="connsiteY65" fmla="*/ 6416286 h 6858000"/>
            <a:gd name="connsiteX66" fmla="*/ 4640831 w 12192000"/>
            <a:gd name="connsiteY66" fmla="*/ 6381467 h 6858000"/>
            <a:gd name="connsiteX67" fmla="*/ 4675650 w 12192000"/>
            <a:gd name="connsiteY67" fmla="*/ 6346648 h 6858000"/>
            <a:gd name="connsiteX68" fmla="*/ 4710469 w 12192000"/>
            <a:gd name="connsiteY68" fmla="*/ 6381467 h 6858000"/>
            <a:gd name="connsiteX69" fmla="*/ 4675650 w 12192000"/>
            <a:gd name="connsiteY69" fmla="*/ 6416286 h 6858000"/>
            <a:gd name="connsiteX70" fmla="*/ 5100113 w 12192000"/>
            <a:gd name="connsiteY70" fmla="*/ 6416286 h 6858000"/>
            <a:gd name="connsiteX71" fmla="*/ 5065294 w 12192000"/>
            <a:gd name="connsiteY71" fmla="*/ 6381467 h 6858000"/>
            <a:gd name="connsiteX72" fmla="*/ 5100113 w 12192000"/>
            <a:gd name="connsiteY72" fmla="*/ 6346648 h 6858000"/>
            <a:gd name="connsiteX73" fmla="*/ 5134932 w 12192000"/>
            <a:gd name="connsiteY73" fmla="*/ 6381467 h 6858000"/>
            <a:gd name="connsiteX74" fmla="*/ 5100113 w 12192000"/>
            <a:gd name="connsiteY74" fmla="*/ 6416286 h 6858000"/>
            <a:gd name="connsiteX75" fmla="*/ 5185006 w 12192000"/>
            <a:gd name="connsiteY75" fmla="*/ 6416286 h 6858000"/>
            <a:gd name="connsiteX76" fmla="*/ 5150187 w 12192000"/>
            <a:gd name="connsiteY76" fmla="*/ 6381467 h 6858000"/>
            <a:gd name="connsiteX77" fmla="*/ 5185006 w 12192000"/>
            <a:gd name="connsiteY77" fmla="*/ 6346648 h 6858000"/>
            <a:gd name="connsiteX78" fmla="*/ 5219824 w 12192000"/>
            <a:gd name="connsiteY78" fmla="*/ 6381467 h 6858000"/>
            <a:gd name="connsiteX79" fmla="*/ 5185006 w 12192000"/>
            <a:gd name="connsiteY79" fmla="*/ 6416286 h 6858000"/>
            <a:gd name="connsiteX80" fmla="*/ 5354790 w 12192000"/>
            <a:gd name="connsiteY80" fmla="*/ 6416286 h 6858000"/>
            <a:gd name="connsiteX81" fmla="*/ 5319971 w 12192000"/>
            <a:gd name="connsiteY81" fmla="*/ 6381467 h 6858000"/>
            <a:gd name="connsiteX82" fmla="*/ 5354790 w 12192000"/>
            <a:gd name="connsiteY82" fmla="*/ 6346648 h 6858000"/>
            <a:gd name="connsiteX83" fmla="*/ 5389609 w 12192000"/>
            <a:gd name="connsiteY83" fmla="*/ 6381467 h 6858000"/>
            <a:gd name="connsiteX84" fmla="*/ 5354790 w 12192000"/>
            <a:gd name="connsiteY84" fmla="*/ 6416286 h 6858000"/>
            <a:gd name="connsiteX85" fmla="*/ 7646890 w 12192000"/>
            <a:gd name="connsiteY85" fmla="*/ 6416286 h 6858000"/>
            <a:gd name="connsiteX86" fmla="*/ 7612065 w 12192000"/>
            <a:gd name="connsiteY86" fmla="*/ 6381467 h 6858000"/>
            <a:gd name="connsiteX87" fmla="*/ 7646890 w 12192000"/>
            <a:gd name="connsiteY87" fmla="*/ 6346648 h 6858000"/>
            <a:gd name="connsiteX88" fmla="*/ 7681703 w 12192000"/>
            <a:gd name="connsiteY88" fmla="*/ 6381467 h 6858000"/>
            <a:gd name="connsiteX89" fmla="*/ 7646890 w 12192000"/>
            <a:gd name="connsiteY89" fmla="*/ 6416286 h 6858000"/>
            <a:gd name="connsiteX90" fmla="*/ 3572048 w 12192000"/>
            <a:gd name="connsiteY90" fmla="*/ 6331425 h 6858000"/>
            <a:gd name="connsiteX91" fmla="*/ 3537229 w 12192000"/>
            <a:gd name="connsiteY91" fmla="*/ 6296606 h 6858000"/>
            <a:gd name="connsiteX92" fmla="*/ 3572048 w 12192000"/>
            <a:gd name="connsiteY92" fmla="*/ 6261788 h 6858000"/>
            <a:gd name="connsiteX93" fmla="*/ 3606867 w 12192000"/>
            <a:gd name="connsiteY93" fmla="*/ 6296606 h 6858000"/>
            <a:gd name="connsiteX94" fmla="*/ 3572048 w 12192000"/>
            <a:gd name="connsiteY94" fmla="*/ 6331425 h 6858000"/>
            <a:gd name="connsiteX95" fmla="*/ 3741833 w 12192000"/>
            <a:gd name="connsiteY95" fmla="*/ 6331425 h 6858000"/>
            <a:gd name="connsiteX96" fmla="*/ 3707014 w 12192000"/>
            <a:gd name="connsiteY96" fmla="*/ 6296606 h 6858000"/>
            <a:gd name="connsiteX97" fmla="*/ 3741833 w 12192000"/>
            <a:gd name="connsiteY97" fmla="*/ 6261788 h 6858000"/>
            <a:gd name="connsiteX98" fmla="*/ 3776652 w 12192000"/>
            <a:gd name="connsiteY98" fmla="*/ 6296606 h 6858000"/>
            <a:gd name="connsiteX99" fmla="*/ 3741833 w 12192000"/>
            <a:gd name="connsiteY99" fmla="*/ 6331425 h 6858000"/>
            <a:gd name="connsiteX100" fmla="*/ 3996511 w 12192000"/>
            <a:gd name="connsiteY100" fmla="*/ 6331425 h 6858000"/>
            <a:gd name="connsiteX101" fmla="*/ 3961692 w 12192000"/>
            <a:gd name="connsiteY101" fmla="*/ 6296606 h 6858000"/>
            <a:gd name="connsiteX102" fmla="*/ 3996511 w 12192000"/>
            <a:gd name="connsiteY102" fmla="*/ 6261788 h 6858000"/>
            <a:gd name="connsiteX103" fmla="*/ 4031330 w 12192000"/>
            <a:gd name="connsiteY103" fmla="*/ 6296606 h 6858000"/>
            <a:gd name="connsiteX104" fmla="*/ 3996511 w 12192000"/>
            <a:gd name="connsiteY104" fmla="*/ 6331425 h 6858000"/>
            <a:gd name="connsiteX105" fmla="*/ 4081403 w 12192000"/>
            <a:gd name="connsiteY105" fmla="*/ 6331425 h 6858000"/>
            <a:gd name="connsiteX106" fmla="*/ 4046584 w 12192000"/>
            <a:gd name="connsiteY106" fmla="*/ 6296606 h 6858000"/>
            <a:gd name="connsiteX107" fmla="*/ 4081403 w 12192000"/>
            <a:gd name="connsiteY107" fmla="*/ 6261788 h 6858000"/>
            <a:gd name="connsiteX108" fmla="*/ 4116222 w 12192000"/>
            <a:gd name="connsiteY108" fmla="*/ 6296606 h 6858000"/>
            <a:gd name="connsiteX109" fmla="*/ 4081403 w 12192000"/>
            <a:gd name="connsiteY109" fmla="*/ 6331425 h 6858000"/>
            <a:gd name="connsiteX110" fmla="*/ 4420973 w 12192000"/>
            <a:gd name="connsiteY110" fmla="*/ 6331425 h 6858000"/>
            <a:gd name="connsiteX111" fmla="*/ 4386154 w 12192000"/>
            <a:gd name="connsiteY111" fmla="*/ 6296606 h 6858000"/>
            <a:gd name="connsiteX112" fmla="*/ 4420973 w 12192000"/>
            <a:gd name="connsiteY112" fmla="*/ 6261788 h 6858000"/>
            <a:gd name="connsiteX113" fmla="*/ 4455792 w 12192000"/>
            <a:gd name="connsiteY113" fmla="*/ 6296606 h 6858000"/>
            <a:gd name="connsiteX114" fmla="*/ 4420973 w 12192000"/>
            <a:gd name="connsiteY114" fmla="*/ 6331425 h 6858000"/>
            <a:gd name="connsiteX115" fmla="*/ 4505866 w 12192000"/>
            <a:gd name="connsiteY115" fmla="*/ 6331425 h 6858000"/>
            <a:gd name="connsiteX116" fmla="*/ 4471047 w 12192000"/>
            <a:gd name="connsiteY116" fmla="*/ 6296606 h 6858000"/>
            <a:gd name="connsiteX117" fmla="*/ 4505866 w 12192000"/>
            <a:gd name="connsiteY117" fmla="*/ 6261788 h 6858000"/>
            <a:gd name="connsiteX118" fmla="*/ 4540684 w 12192000"/>
            <a:gd name="connsiteY118" fmla="*/ 6296606 h 6858000"/>
            <a:gd name="connsiteX119" fmla="*/ 4505866 w 12192000"/>
            <a:gd name="connsiteY119" fmla="*/ 6331425 h 6858000"/>
            <a:gd name="connsiteX120" fmla="*/ 4760543 w 12192000"/>
            <a:gd name="connsiteY120" fmla="*/ 6331425 h 6858000"/>
            <a:gd name="connsiteX121" fmla="*/ 4725724 w 12192000"/>
            <a:gd name="connsiteY121" fmla="*/ 6296606 h 6858000"/>
            <a:gd name="connsiteX122" fmla="*/ 4760543 w 12192000"/>
            <a:gd name="connsiteY122" fmla="*/ 6261788 h 6858000"/>
            <a:gd name="connsiteX123" fmla="*/ 4795362 w 12192000"/>
            <a:gd name="connsiteY123" fmla="*/ 6296606 h 6858000"/>
            <a:gd name="connsiteX124" fmla="*/ 4760543 w 12192000"/>
            <a:gd name="connsiteY124" fmla="*/ 6331425 h 6858000"/>
            <a:gd name="connsiteX125" fmla="*/ 4930328 w 12192000"/>
            <a:gd name="connsiteY125" fmla="*/ 6331425 h 6858000"/>
            <a:gd name="connsiteX126" fmla="*/ 4895509 w 12192000"/>
            <a:gd name="connsiteY126" fmla="*/ 6296606 h 6858000"/>
            <a:gd name="connsiteX127" fmla="*/ 4930328 w 12192000"/>
            <a:gd name="connsiteY127" fmla="*/ 6261788 h 6858000"/>
            <a:gd name="connsiteX128" fmla="*/ 4965147 w 12192000"/>
            <a:gd name="connsiteY128" fmla="*/ 6296606 h 6858000"/>
            <a:gd name="connsiteX129" fmla="*/ 4930328 w 12192000"/>
            <a:gd name="connsiteY129" fmla="*/ 6331425 h 6858000"/>
            <a:gd name="connsiteX130" fmla="*/ 5100113 w 12192000"/>
            <a:gd name="connsiteY130" fmla="*/ 6331425 h 6858000"/>
            <a:gd name="connsiteX131" fmla="*/ 5065294 w 12192000"/>
            <a:gd name="connsiteY131" fmla="*/ 6296606 h 6858000"/>
            <a:gd name="connsiteX132" fmla="*/ 5100113 w 12192000"/>
            <a:gd name="connsiteY132" fmla="*/ 6261788 h 6858000"/>
            <a:gd name="connsiteX133" fmla="*/ 5134932 w 12192000"/>
            <a:gd name="connsiteY133" fmla="*/ 6296606 h 6858000"/>
            <a:gd name="connsiteX134" fmla="*/ 5100113 w 12192000"/>
            <a:gd name="connsiteY134" fmla="*/ 6331425 h 6858000"/>
            <a:gd name="connsiteX135" fmla="*/ 5185006 w 12192000"/>
            <a:gd name="connsiteY135" fmla="*/ 6331425 h 6858000"/>
            <a:gd name="connsiteX136" fmla="*/ 5150187 w 12192000"/>
            <a:gd name="connsiteY136" fmla="*/ 6296606 h 6858000"/>
            <a:gd name="connsiteX137" fmla="*/ 5185006 w 12192000"/>
            <a:gd name="connsiteY137" fmla="*/ 6261788 h 6858000"/>
            <a:gd name="connsiteX138" fmla="*/ 5219824 w 12192000"/>
            <a:gd name="connsiteY138" fmla="*/ 6296606 h 6858000"/>
            <a:gd name="connsiteX139" fmla="*/ 5185006 w 12192000"/>
            <a:gd name="connsiteY139" fmla="*/ 6331425 h 6858000"/>
            <a:gd name="connsiteX140" fmla="*/ 5269898 w 12192000"/>
            <a:gd name="connsiteY140" fmla="*/ 6331425 h 6858000"/>
            <a:gd name="connsiteX141" fmla="*/ 5235079 w 12192000"/>
            <a:gd name="connsiteY141" fmla="*/ 6296606 h 6858000"/>
            <a:gd name="connsiteX142" fmla="*/ 5269898 w 12192000"/>
            <a:gd name="connsiteY142" fmla="*/ 6261788 h 6858000"/>
            <a:gd name="connsiteX143" fmla="*/ 5304717 w 12192000"/>
            <a:gd name="connsiteY143" fmla="*/ 6296606 h 6858000"/>
            <a:gd name="connsiteX144" fmla="*/ 5269898 w 12192000"/>
            <a:gd name="connsiteY144" fmla="*/ 6331425 h 6858000"/>
            <a:gd name="connsiteX145" fmla="*/ 5354790 w 12192000"/>
            <a:gd name="connsiteY145" fmla="*/ 6331425 h 6858000"/>
            <a:gd name="connsiteX146" fmla="*/ 5319971 w 12192000"/>
            <a:gd name="connsiteY146" fmla="*/ 6296606 h 6858000"/>
            <a:gd name="connsiteX147" fmla="*/ 5354790 w 12192000"/>
            <a:gd name="connsiteY147" fmla="*/ 6261788 h 6858000"/>
            <a:gd name="connsiteX148" fmla="*/ 5389609 w 12192000"/>
            <a:gd name="connsiteY148" fmla="*/ 6296606 h 6858000"/>
            <a:gd name="connsiteX149" fmla="*/ 5354790 w 12192000"/>
            <a:gd name="connsiteY149" fmla="*/ 6331425 h 6858000"/>
            <a:gd name="connsiteX150" fmla="*/ 5439683 w 12192000"/>
            <a:gd name="connsiteY150" fmla="*/ 6331425 h 6858000"/>
            <a:gd name="connsiteX151" fmla="*/ 5404864 w 12192000"/>
            <a:gd name="connsiteY151" fmla="*/ 6296606 h 6858000"/>
            <a:gd name="connsiteX152" fmla="*/ 5439683 w 12192000"/>
            <a:gd name="connsiteY152" fmla="*/ 6261788 h 6858000"/>
            <a:gd name="connsiteX153" fmla="*/ 5474502 w 12192000"/>
            <a:gd name="connsiteY153" fmla="*/ 6296606 h 6858000"/>
            <a:gd name="connsiteX154" fmla="*/ 5439683 w 12192000"/>
            <a:gd name="connsiteY154" fmla="*/ 6331425 h 6858000"/>
            <a:gd name="connsiteX155" fmla="*/ 7052644 w 12192000"/>
            <a:gd name="connsiteY155" fmla="*/ 6331425 h 6858000"/>
            <a:gd name="connsiteX156" fmla="*/ 7017818 w 12192000"/>
            <a:gd name="connsiteY156" fmla="*/ 6296606 h 6858000"/>
            <a:gd name="connsiteX157" fmla="*/ 7052644 w 12192000"/>
            <a:gd name="connsiteY157" fmla="*/ 6261788 h 6858000"/>
            <a:gd name="connsiteX158" fmla="*/ 7087456 w 12192000"/>
            <a:gd name="connsiteY158" fmla="*/ 6296606 h 6858000"/>
            <a:gd name="connsiteX159" fmla="*/ 7052644 w 12192000"/>
            <a:gd name="connsiteY159" fmla="*/ 6331425 h 6858000"/>
            <a:gd name="connsiteX160" fmla="*/ 7731784 w 12192000"/>
            <a:gd name="connsiteY160" fmla="*/ 6331425 h 6858000"/>
            <a:gd name="connsiteX161" fmla="*/ 7696958 w 12192000"/>
            <a:gd name="connsiteY161" fmla="*/ 6296606 h 6858000"/>
            <a:gd name="connsiteX162" fmla="*/ 7731784 w 12192000"/>
            <a:gd name="connsiteY162" fmla="*/ 6261788 h 6858000"/>
            <a:gd name="connsiteX163" fmla="*/ 7766596 w 12192000"/>
            <a:gd name="connsiteY163" fmla="*/ 6296606 h 6858000"/>
            <a:gd name="connsiteX164" fmla="*/ 7731784 w 12192000"/>
            <a:gd name="connsiteY164" fmla="*/ 6331425 h 6858000"/>
            <a:gd name="connsiteX165" fmla="*/ 7816676 w 12192000"/>
            <a:gd name="connsiteY165" fmla="*/ 6331425 h 6858000"/>
            <a:gd name="connsiteX166" fmla="*/ 7781850 w 12192000"/>
            <a:gd name="connsiteY166" fmla="*/ 6296606 h 6858000"/>
            <a:gd name="connsiteX167" fmla="*/ 7816676 w 12192000"/>
            <a:gd name="connsiteY167" fmla="*/ 6261788 h 6858000"/>
            <a:gd name="connsiteX168" fmla="*/ 7851488 w 12192000"/>
            <a:gd name="connsiteY168" fmla="*/ 6296606 h 6858000"/>
            <a:gd name="connsiteX169" fmla="*/ 7816676 w 12192000"/>
            <a:gd name="connsiteY169" fmla="*/ 6331425 h 6858000"/>
            <a:gd name="connsiteX170" fmla="*/ 9005170 w 12192000"/>
            <a:gd name="connsiteY170" fmla="*/ 6331425 h 6858000"/>
            <a:gd name="connsiteX171" fmla="*/ 8970345 w 12192000"/>
            <a:gd name="connsiteY171" fmla="*/ 6296606 h 6858000"/>
            <a:gd name="connsiteX172" fmla="*/ 9005170 w 12192000"/>
            <a:gd name="connsiteY172" fmla="*/ 6261788 h 6858000"/>
            <a:gd name="connsiteX173" fmla="*/ 9039983 w 12192000"/>
            <a:gd name="connsiteY173" fmla="*/ 6296606 h 6858000"/>
            <a:gd name="connsiteX174" fmla="*/ 9005170 w 12192000"/>
            <a:gd name="connsiteY174" fmla="*/ 6331425 h 6858000"/>
            <a:gd name="connsiteX175" fmla="*/ 9174956 w 12192000"/>
            <a:gd name="connsiteY175" fmla="*/ 6331425 h 6858000"/>
            <a:gd name="connsiteX176" fmla="*/ 9140130 w 12192000"/>
            <a:gd name="connsiteY176" fmla="*/ 6296606 h 6858000"/>
            <a:gd name="connsiteX177" fmla="*/ 9174956 w 12192000"/>
            <a:gd name="connsiteY177" fmla="*/ 6261788 h 6858000"/>
            <a:gd name="connsiteX178" fmla="*/ 9209768 w 12192000"/>
            <a:gd name="connsiteY178" fmla="*/ 6296606 h 6858000"/>
            <a:gd name="connsiteX179" fmla="*/ 9174956 w 12192000"/>
            <a:gd name="connsiteY179" fmla="*/ 6331425 h 6858000"/>
            <a:gd name="connsiteX180" fmla="*/ 3232478 w 12192000"/>
            <a:gd name="connsiteY180" fmla="*/ 6246565 h 6858000"/>
            <a:gd name="connsiteX181" fmla="*/ 3197659 w 12192000"/>
            <a:gd name="connsiteY181" fmla="*/ 6211747 h 6858000"/>
            <a:gd name="connsiteX182" fmla="*/ 3232478 w 12192000"/>
            <a:gd name="connsiteY182" fmla="*/ 6176928 h 6858000"/>
            <a:gd name="connsiteX183" fmla="*/ 3267297 w 12192000"/>
            <a:gd name="connsiteY183" fmla="*/ 6211747 h 6858000"/>
            <a:gd name="connsiteX184" fmla="*/ 3232478 w 12192000"/>
            <a:gd name="connsiteY184" fmla="*/ 6246565 h 6858000"/>
            <a:gd name="connsiteX185" fmla="*/ 3317371 w 12192000"/>
            <a:gd name="connsiteY185" fmla="*/ 6246565 h 6858000"/>
            <a:gd name="connsiteX186" fmla="*/ 3282552 w 12192000"/>
            <a:gd name="connsiteY186" fmla="*/ 6211747 h 6858000"/>
            <a:gd name="connsiteX187" fmla="*/ 3317371 w 12192000"/>
            <a:gd name="connsiteY187" fmla="*/ 6176928 h 6858000"/>
            <a:gd name="connsiteX188" fmla="*/ 3352190 w 12192000"/>
            <a:gd name="connsiteY188" fmla="*/ 6211747 h 6858000"/>
            <a:gd name="connsiteX189" fmla="*/ 3317371 w 12192000"/>
            <a:gd name="connsiteY189" fmla="*/ 6246565 h 6858000"/>
            <a:gd name="connsiteX190" fmla="*/ 3487156 w 12192000"/>
            <a:gd name="connsiteY190" fmla="*/ 6246565 h 6858000"/>
            <a:gd name="connsiteX191" fmla="*/ 3452337 w 12192000"/>
            <a:gd name="connsiteY191" fmla="*/ 6211747 h 6858000"/>
            <a:gd name="connsiteX192" fmla="*/ 3487156 w 12192000"/>
            <a:gd name="connsiteY192" fmla="*/ 6176928 h 6858000"/>
            <a:gd name="connsiteX193" fmla="*/ 3521974 w 12192000"/>
            <a:gd name="connsiteY193" fmla="*/ 6211747 h 6858000"/>
            <a:gd name="connsiteX194" fmla="*/ 3487156 w 12192000"/>
            <a:gd name="connsiteY194" fmla="*/ 6246565 h 6858000"/>
            <a:gd name="connsiteX195" fmla="*/ 3741833 w 12192000"/>
            <a:gd name="connsiteY195" fmla="*/ 6246565 h 6858000"/>
            <a:gd name="connsiteX196" fmla="*/ 3707014 w 12192000"/>
            <a:gd name="connsiteY196" fmla="*/ 6211747 h 6858000"/>
            <a:gd name="connsiteX197" fmla="*/ 3741833 w 12192000"/>
            <a:gd name="connsiteY197" fmla="*/ 6176928 h 6858000"/>
            <a:gd name="connsiteX198" fmla="*/ 3776652 w 12192000"/>
            <a:gd name="connsiteY198" fmla="*/ 6211747 h 6858000"/>
            <a:gd name="connsiteX199" fmla="*/ 3741833 w 12192000"/>
            <a:gd name="connsiteY199" fmla="*/ 6246565 h 6858000"/>
            <a:gd name="connsiteX200" fmla="*/ 3996511 w 12192000"/>
            <a:gd name="connsiteY200" fmla="*/ 6246565 h 6858000"/>
            <a:gd name="connsiteX201" fmla="*/ 3961692 w 12192000"/>
            <a:gd name="connsiteY201" fmla="*/ 6211747 h 6858000"/>
            <a:gd name="connsiteX202" fmla="*/ 3996511 w 12192000"/>
            <a:gd name="connsiteY202" fmla="*/ 6176928 h 6858000"/>
            <a:gd name="connsiteX203" fmla="*/ 4031330 w 12192000"/>
            <a:gd name="connsiteY203" fmla="*/ 6211747 h 6858000"/>
            <a:gd name="connsiteX204" fmla="*/ 3996511 w 12192000"/>
            <a:gd name="connsiteY204" fmla="*/ 6246565 h 6858000"/>
            <a:gd name="connsiteX205" fmla="*/ 4166296 w 12192000"/>
            <a:gd name="connsiteY205" fmla="*/ 6246565 h 6858000"/>
            <a:gd name="connsiteX206" fmla="*/ 4131477 w 12192000"/>
            <a:gd name="connsiteY206" fmla="*/ 6211747 h 6858000"/>
            <a:gd name="connsiteX207" fmla="*/ 4166296 w 12192000"/>
            <a:gd name="connsiteY207" fmla="*/ 6176928 h 6858000"/>
            <a:gd name="connsiteX208" fmla="*/ 4201114 w 12192000"/>
            <a:gd name="connsiteY208" fmla="*/ 6211747 h 6858000"/>
            <a:gd name="connsiteX209" fmla="*/ 4166296 w 12192000"/>
            <a:gd name="connsiteY209" fmla="*/ 6246565 h 6858000"/>
            <a:gd name="connsiteX210" fmla="*/ 4251188 w 12192000"/>
            <a:gd name="connsiteY210" fmla="*/ 6246565 h 6858000"/>
            <a:gd name="connsiteX211" fmla="*/ 4216369 w 12192000"/>
            <a:gd name="connsiteY211" fmla="*/ 6211747 h 6858000"/>
            <a:gd name="connsiteX212" fmla="*/ 4251188 w 12192000"/>
            <a:gd name="connsiteY212" fmla="*/ 6176928 h 6858000"/>
            <a:gd name="connsiteX213" fmla="*/ 4286007 w 12192000"/>
            <a:gd name="connsiteY213" fmla="*/ 6211747 h 6858000"/>
            <a:gd name="connsiteX214" fmla="*/ 4251188 w 12192000"/>
            <a:gd name="connsiteY214" fmla="*/ 6246565 h 6858000"/>
            <a:gd name="connsiteX215" fmla="*/ 4336080 w 12192000"/>
            <a:gd name="connsiteY215" fmla="*/ 6246565 h 6858000"/>
            <a:gd name="connsiteX216" fmla="*/ 4301261 w 12192000"/>
            <a:gd name="connsiteY216" fmla="*/ 6211747 h 6858000"/>
            <a:gd name="connsiteX217" fmla="*/ 4336080 w 12192000"/>
            <a:gd name="connsiteY217" fmla="*/ 6176928 h 6858000"/>
            <a:gd name="connsiteX218" fmla="*/ 4370899 w 12192000"/>
            <a:gd name="connsiteY218" fmla="*/ 6211747 h 6858000"/>
            <a:gd name="connsiteX219" fmla="*/ 4336080 w 12192000"/>
            <a:gd name="connsiteY219" fmla="*/ 6246565 h 6858000"/>
            <a:gd name="connsiteX220" fmla="*/ 4420973 w 12192000"/>
            <a:gd name="connsiteY220" fmla="*/ 6246565 h 6858000"/>
            <a:gd name="connsiteX221" fmla="*/ 4386154 w 12192000"/>
            <a:gd name="connsiteY221" fmla="*/ 6211747 h 6858000"/>
            <a:gd name="connsiteX222" fmla="*/ 4420973 w 12192000"/>
            <a:gd name="connsiteY222" fmla="*/ 6176928 h 6858000"/>
            <a:gd name="connsiteX223" fmla="*/ 4455792 w 12192000"/>
            <a:gd name="connsiteY223" fmla="*/ 6211747 h 6858000"/>
            <a:gd name="connsiteX224" fmla="*/ 4420973 w 12192000"/>
            <a:gd name="connsiteY224" fmla="*/ 6246565 h 6858000"/>
            <a:gd name="connsiteX225" fmla="*/ 4590758 w 12192000"/>
            <a:gd name="connsiteY225" fmla="*/ 6246565 h 6858000"/>
            <a:gd name="connsiteX226" fmla="*/ 4555939 w 12192000"/>
            <a:gd name="connsiteY226" fmla="*/ 6211747 h 6858000"/>
            <a:gd name="connsiteX227" fmla="*/ 4590758 w 12192000"/>
            <a:gd name="connsiteY227" fmla="*/ 6176928 h 6858000"/>
            <a:gd name="connsiteX228" fmla="*/ 4625577 w 12192000"/>
            <a:gd name="connsiteY228" fmla="*/ 6211747 h 6858000"/>
            <a:gd name="connsiteX229" fmla="*/ 4590758 w 12192000"/>
            <a:gd name="connsiteY229" fmla="*/ 6246565 h 6858000"/>
            <a:gd name="connsiteX230" fmla="*/ 4675650 w 12192000"/>
            <a:gd name="connsiteY230" fmla="*/ 6246565 h 6858000"/>
            <a:gd name="connsiteX231" fmla="*/ 4640831 w 12192000"/>
            <a:gd name="connsiteY231" fmla="*/ 6211747 h 6858000"/>
            <a:gd name="connsiteX232" fmla="*/ 4675650 w 12192000"/>
            <a:gd name="connsiteY232" fmla="*/ 6176928 h 6858000"/>
            <a:gd name="connsiteX233" fmla="*/ 4710469 w 12192000"/>
            <a:gd name="connsiteY233" fmla="*/ 6211747 h 6858000"/>
            <a:gd name="connsiteX234" fmla="*/ 4675650 w 12192000"/>
            <a:gd name="connsiteY234" fmla="*/ 6246565 h 6858000"/>
            <a:gd name="connsiteX235" fmla="*/ 4760543 w 12192000"/>
            <a:gd name="connsiteY235" fmla="*/ 6246565 h 6858000"/>
            <a:gd name="connsiteX236" fmla="*/ 4725724 w 12192000"/>
            <a:gd name="connsiteY236" fmla="*/ 6211747 h 6858000"/>
            <a:gd name="connsiteX237" fmla="*/ 4760543 w 12192000"/>
            <a:gd name="connsiteY237" fmla="*/ 6176928 h 6858000"/>
            <a:gd name="connsiteX238" fmla="*/ 4795362 w 12192000"/>
            <a:gd name="connsiteY238" fmla="*/ 6211747 h 6858000"/>
            <a:gd name="connsiteX239" fmla="*/ 4760543 w 12192000"/>
            <a:gd name="connsiteY239" fmla="*/ 6246565 h 6858000"/>
            <a:gd name="connsiteX240" fmla="*/ 4845436 w 12192000"/>
            <a:gd name="connsiteY240" fmla="*/ 6246565 h 6858000"/>
            <a:gd name="connsiteX241" fmla="*/ 4810617 w 12192000"/>
            <a:gd name="connsiteY241" fmla="*/ 6211747 h 6858000"/>
            <a:gd name="connsiteX242" fmla="*/ 4845436 w 12192000"/>
            <a:gd name="connsiteY242" fmla="*/ 6176928 h 6858000"/>
            <a:gd name="connsiteX243" fmla="*/ 4880254 w 12192000"/>
            <a:gd name="connsiteY243" fmla="*/ 6211747 h 6858000"/>
            <a:gd name="connsiteX244" fmla="*/ 4845436 w 12192000"/>
            <a:gd name="connsiteY244" fmla="*/ 6246565 h 6858000"/>
            <a:gd name="connsiteX245" fmla="*/ 4930328 w 12192000"/>
            <a:gd name="connsiteY245" fmla="*/ 6246565 h 6858000"/>
            <a:gd name="connsiteX246" fmla="*/ 4895509 w 12192000"/>
            <a:gd name="connsiteY246" fmla="*/ 6211747 h 6858000"/>
            <a:gd name="connsiteX247" fmla="*/ 4930328 w 12192000"/>
            <a:gd name="connsiteY247" fmla="*/ 6176928 h 6858000"/>
            <a:gd name="connsiteX248" fmla="*/ 4965147 w 12192000"/>
            <a:gd name="connsiteY248" fmla="*/ 6211747 h 6858000"/>
            <a:gd name="connsiteX249" fmla="*/ 4930328 w 12192000"/>
            <a:gd name="connsiteY249" fmla="*/ 6246565 h 6858000"/>
            <a:gd name="connsiteX250" fmla="*/ 5015220 w 12192000"/>
            <a:gd name="connsiteY250" fmla="*/ 6246565 h 6858000"/>
            <a:gd name="connsiteX251" fmla="*/ 4980401 w 12192000"/>
            <a:gd name="connsiteY251" fmla="*/ 6211747 h 6858000"/>
            <a:gd name="connsiteX252" fmla="*/ 5015220 w 12192000"/>
            <a:gd name="connsiteY252" fmla="*/ 6176928 h 6858000"/>
            <a:gd name="connsiteX253" fmla="*/ 5050039 w 12192000"/>
            <a:gd name="connsiteY253" fmla="*/ 6211747 h 6858000"/>
            <a:gd name="connsiteX254" fmla="*/ 5015220 w 12192000"/>
            <a:gd name="connsiteY254" fmla="*/ 6246565 h 6858000"/>
            <a:gd name="connsiteX255" fmla="*/ 5100113 w 12192000"/>
            <a:gd name="connsiteY255" fmla="*/ 6246565 h 6858000"/>
            <a:gd name="connsiteX256" fmla="*/ 5065294 w 12192000"/>
            <a:gd name="connsiteY256" fmla="*/ 6211747 h 6858000"/>
            <a:gd name="connsiteX257" fmla="*/ 5100113 w 12192000"/>
            <a:gd name="connsiteY257" fmla="*/ 6176928 h 6858000"/>
            <a:gd name="connsiteX258" fmla="*/ 5134932 w 12192000"/>
            <a:gd name="connsiteY258" fmla="*/ 6211747 h 6858000"/>
            <a:gd name="connsiteX259" fmla="*/ 5100113 w 12192000"/>
            <a:gd name="connsiteY259" fmla="*/ 6246565 h 6858000"/>
            <a:gd name="connsiteX260" fmla="*/ 5185006 w 12192000"/>
            <a:gd name="connsiteY260" fmla="*/ 6246565 h 6858000"/>
            <a:gd name="connsiteX261" fmla="*/ 5150187 w 12192000"/>
            <a:gd name="connsiteY261" fmla="*/ 6211747 h 6858000"/>
            <a:gd name="connsiteX262" fmla="*/ 5185006 w 12192000"/>
            <a:gd name="connsiteY262" fmla="*/ 6176928 h 6858000"/>
            <a:gd name="connsiteX263" fmla="*/ 5219824 w 12192000"/>
            <a:gd name="connsiteY263" fmla="*/ 6211747 h 6858000"/>
            <a:gd name="connsiteX264" fmla="*/ 5185006 w 12192000"/>
            <a:gd name="connsiteY264" fmla="*/ 6246565 h 6858000"/>
            <a:gd name="connsiteX265" fmla="*/ 5269898 w 12192000"/>
            <a:gd name="connsiteY265" fmla="*/ 6246565 h 6858000"/>
            <a:gd name="connsiteX266" fmla="*/ 5235079 w 12192000"/>
            <a:gd name="connsiteY266" fmla="*/ 6211747 h 6858000"/>
            <a:gd name="connsiteX267" fmla="*/ 5269898 w 12192000"/>
            <a:gd name="connsiteY267" fmla="*/ 6176928 h 6858000"/>
            <a:gd name="connsiteX268" fmla="*/ 5304717 w 12192000"/>
            <a:gd name="connsiteY268" fmla="*/ 6211747 h 6858000"/>
            <a:gd name="connsiteX269" fmla="*/ 5269898 w 12192000"/>
            <a:gd name="connsiteY269" fmla="*/ 6246565 h 6858000"/>
            <a:gd name="connsiteX270" fmla="*/ 5354790 w 12192000"/>
            <a:gd name="connsiteY270" fmla="*/ 6246565 h 6858000"/>
            <a:gd name="connsiteX271" fmla="*/ 5319971 w 12192000"/>
            <a:gd name="connsiteY271" fmla="*/ 6211747 h 6858000"/>
            <a:gd name="connsiteX272" fmla="*/ 5354790 w 12192000"/>
            <a:gd name="connsiteY272" fmla="*/ 6176928 h 6858000"/>
            <a:gd name="connsiteX273" fmla="*/ 5389609 w 12192000"/>
            <a:gd name="connsiteY273" fmla="*/ 6211747 h 6858000"/>
            <a:gd name="connsiteX274" fmla="*/ 5354790 w 12192000"/>
            <a:gd name="connsiteY274" fmla="*/ 6246565 h 6858000"/>
            <a:gd name="connsiteX275" fmla="*/ 6967750 w 12192000"/>
            <a:gd name="connsiteY275" fmla="*/ 6246565 h 6858000"/>
            <a:gd name="connsiteX276" fmla="*/ 6932925 w 12192000"/>
            <a:gd name="connsiteY276" fmla="*/ 6211747 h 6858000"/>
            <a:gd name="connsiteX277" fmla="*/ 6967750 w 12192000"/>
            <a:gd name="connsiteY277" fmla="*/ 6176928 h 6858000"/>
            <a:gd name="connsiteX278" fmla="*/ 7002563 w 12192000"/>
            <a:gd name="connsiteY278" fmla="*/ 6211747 h 6858000"/>
            <a:gd name="connsiteX279" fmla="*/ 6967750 w 12192000"/>
            <a:gd name="connsiteY279" fmla="*/ 6246565 h 6858000"/>
            <a:gd name="connsiteX280" fmla="*/ 7986460 w 12192000"/>
            <a:gd name="connsiteY280" fmla="*/ 6246565 h 6858000"/>
            <a:gd name="connsiteX281" fmla="*/ 7951635 w 12192000"/>
            <a:gd name="connsiteY281" fmla="*/ 6211747 h 6858000"/>
            <a:gd name="connsiteX282" fmla="*/ 7986460 w 12192000"/>
            <a:gd name="connsiteY282" fmla="*/ 6176928 h 6858000"/>
            <a:gd name="connsiteX283" fmla="*/ 8021273 w 12192000"/>
            <a:gd name="connsiteY283" fmla="*/ 6211747 h 6858000"/>
            <a:gd name="connsiteX284" fmla="*/ 7986460 w 12192000"/>
            <a:gd name="connsiteY284" fmla="*/ 6246565 h 6858000"/>
            <a:gd name="connsiteX285" fmla="*/ 8920278 w 12192000"/>
            <a:gd name="connsiteY285" fmla="*/ 6246565 h 6858000"/>
            <a:gd name="connsiteX286" fmla="*/ 8885453 w 12192000"/>
            <a:gd name="connsiteY286" fmla="*/ 6211747 h 6858000"/>
            <a:gd name="connsiteX287" fmla="*/ 8920278 w 12192000"/>
            <a:gd name="connsiteY287" fmla="*/ 6176928 h 6858000"/>
            <a:gd name="connsiteX288" fmla="*/ 8955090 w 12192000"/>
            <a:gd name="connsiteY288" fmla="*/ 6211747 h 6858000"/>
            <a:gd name="connsiteX289" fmla="*/ 8920278 w 12192000"/>
            <a:gd name="connsiteY289" fmla="*/ 6246565 h 6858000"/>
            <a:gd name="connsiteX290" fmla="*/ 9005170 w 12192000"/>
            <a:gd name="connsiteY290" fmla="*/ 6246565 h 6858000"/>
            <a:gd name="connsiteX291" fmla="*/ 8970345 w 12192000"/>
            <a:gd name="connsiteY291" fmla="*/ 6211747 h 6858000"/>
            <a:gd name="connsiteX292" fmla="*/ 9005170 w 12192000"/>
            <a:gd name="connsiteY292" fmla="*/ 6176928 h 6858000"/>
            <a:gd name="connsiteX293" fmla="*/ 9039983 w 12192000"/>
            <a:gd name="connsiteY293" fmla="*/ 6211747 h 6858000"/>
            <a:gd name="connsiteX294" fmla="*/ 9005170 w 12192000"/>
            <a:gd name="connsiteY294" fmla="*/ 6246565 h 6858000"/>
            <a:gd name="connsiteX295" fmla="*/ 3147586 w 12192000"/>
            <a:gd name="connsiteY295" fmla="*/ 6161706 h 6858000"/>
            <a:gd name="connsiteX296" fmla="*/ 3112767 w 12192000"/>
            <a:gd name="connsiteY296" fmla="*/ 6126887 h 6858000"/>
            <a:gd name="connsiteX297" fmla="*/ 3147586 w 12192000"/>
            <a:gd name="connsiteY297" fmla="*/ 6092068 h 6858000"/>
            <a:gd name="connsiteX298" fmla="*/ 3182404 w 12192000"/>
            <a:gd name="connsiteY298" fmla="*/ 6126887 h 6858000"/>
            <a:gd name="connsiteX299" fmla="*/ 3147586 w 12192000"/>
            <a:gd name="connsiteY299" fmla="*/ 6161706 h 6858000"/>
            <a:gd name="connsiteX300" fmla="*/ 3826726 w 12192000"/>
            <a:gd name="connsiteY300" fmla="*/ 6161706 h 6858000"/>
            <a:gd name="connsiteX301" fmla="*/ 3791907 w 12192000"/>
            <a:gd name="connsiteY301" fmla="*/ 6126887 h 6858000"/>
            <a:gd name="connsiteX302" fmla="*/ 3826726 w 12192000"/>
            <a:gd name="connsiteY302" fmla="*/ 6092068 h 6858000"/>
            <a:gd name="connsiteX303" fmla="*/ 3861544 w 12192000"/>
            <a:gd name="connsiteY303" fmla="*/ 6126887 h 6858000"/>
            <a:gd name="connsiteX304" fmla="*/ 3826726 w 12192000"/>
            <a:gd name="connsiteY304" fmla="*/ 6161706 h 6858000"/>
            <a:gd name="connsiteX305" fmla="*/ 4081403 w 12192000"/>
            <a:gd name="connsiteY305" fmla="*/ 6161706 h 6858000"/>
            <a:gd name="connsiteX306" fmla="*/ 4046584 w 12192000"/>
            <a:gd name="connsiteY306" fmla="*/ 6126887 h 6858000"/>
            <a:gd name="connsiteX307" fmla="*/ 4081403 w 12192000"/>
            <a:gd name="connsiteY307" fmla="*/ 6092068 h 6858000"/>
            <a:gd name="connsiteX308" fmla="*/ 4116222 w 12192000"/>
            <a:gd name="connsiteY308" fmla="*/ 6126887 h 6858000"/>
            <a:gd name="connsiteX309" fmla="*/ 4081403 w 12192000"/>
            <a:gd name="connsiteY309" fmla="*/ 6161706 h 6858000"/>
            <a:gd name="connsiteX310" fmla="*/ 4166296 w 12192000"/>
            <a:gd name="connsiteY310" fmla="*/ 6161706 h 6858000"/>
            <a:gd name="connsiteX311" fmla="*/ 4131477 w 12192000"/>
            <a:gd name="connsiteY311" fmla="*/ 6126887 h 6858000"/>
            <a:gd name="connsiteX312" fmla="*/ 4166296 w 12192000"/>
            <a:gd name="connsiteY312" fmla="*/ 6092068 h 6858000"/>
            <a:gd name="connsiteX313" fmla="*/ 4201114 w 12192000"/>
            <a:gd name="connsiteY313" fmla="*/ 6126887 h 6858000"/>
            <a:gd name="connsiteX314" fmla="*/ 4166296 w 12192000"/>
            <a:gd name="connsiteY314" fmla="*/ 6161706 h 6858000"/>
            <a:gd name="connsiteX315" fmla="*/ 4251188 w 12192000"/>
            <a:gd name="connsiteY315" fmla="*/ 6161706 h 6858000"/>
            <a:gd name="connsiteX316" fmla="*/ 4216369 w 12192000"/>
            <a:gd name="connsiteY316" fmla="*/ 6126887 h 6858000"/>
            <a:gd name="connsiteX317" fmla="*/ 4251188 w 12192000"/>
            <a:gd name="connsiteY317" fmla="*/ 6092068 h 6858000"/>
            <a:gd name="connsiteX318" fmla="*/ 4286007 w 12192000"/>
            <a:gd name="connsiteY318" fmla="*/ 6126887 h 6858000"/>
            <a:gd name="connsiteX319" fmla="*/ 4251188 w 12192000"/>
            <a:gd name="connsiteY319" fmla="*/ 6161706 h 6858000"/>
            <a:gd name="connsiteX320" fmla="*/ 4590758 w 12192000"/>
            <a:gd name="connsiteY320" fmla="*/ 6161706 h 6858000"/>
            <a:gd name="connsiteX321" fmla="*/ 4555939 w 12192000"/>
            <a:gd name="connsiteY321" fmla="*/ 6126887 h 6858000"/>
            <a:gd name="connsiteX322" fmla="*/ 4590758 w 12192000"/>
            <a:gd name="connsiteY322" fmla="*/ 6092068 h 6858000"/>
            <a:gd name="connsiteX323" fmla="*/ 4625577 w 12192000"/>
            <a:gd name="connsiteY323" fmla="*/ 6126887 h 6858000"/>
            <a:gd name="connsiteX324" fmla="*/ 4590758 w 12192000"/>
            <a:gd name="connsiteY324" fmla="*/ 6161706 h 6858000"/>
            <a:gd name="connsiteX325" fmla="*/ 4675650 w 12192000"/>
            <a:gd name="connsiteY325" fmla="*/ 6161706 h 6858000"/>
            <a:gd name="connsiteX326" fmla="*/ 4640831 w 12192000"/>
            <a:gd name="connsiteY326" fmla="*/ 6126887 h 6858000"/>
            <a:gd name="connsiteX327" fmla="*/ 4675650 w 12192000"/>
            <a:gd name="connsiteY327" fmla="*/ 6092068 h 6858000"/>
            <a:gd name="connsiteX328" fmla="*/ 4710469 w 12192000"/>
            <a:gd name="connsiteY328" fmla="*/ 6126887 h 6858000"/>
            <a:gd name="connsiteX329" fmla="*/ 4675650 w 12192000"/>
            <a:gd name="connsiteY329" fmla="*/ 6161706 h 6858000"/>
            <a:gd name="connsiteX330" fmla="*/ 4760543 w 12192000"/>
            <a:gd name="connsiteY330" fmla="*/ 6161706 h 6858000"/>
            <a:gd name="connsiteX331" fmla="*/ 4725724 w 12192000"/>
            <a:gd name="connsiteY331" fmla="*/ 6126887 h 6858000"/>
            <a:gd name="connsiteX332" fmla="*/ 4760543 w 12192000"/>
            <a:gd name="connsiteY332" fmla="*/ 6092068 h 6858000"/>
            <a:gd name="connsiteX333" fmla="*/ 4795362 w 12192000"/>
            <a:gd name="connsiteY333" fmla="*/ 6126887 h 6858000"/>
            <a:gd name="connsiteX334" fmla="*/ 4760543 w 12192000"/>
            <a:gd name="connsiteY334" fmla="*/ 6161706 h 6858000"/>
            <a:gd name="connsiteX335" fmla="*/ 4845436 w 12192000"/>
            <a:gd name="connsiteY335" fmla="*/ 6161706 h 6858000"/>
            <a:gd name="connsiteX336" fmla="*/ 4810617 w 12192000"/>
            <a:gd name="connsiteY336" fmla="*/ 6126887 h 6858000"/>
            <a:gd name="connsiteX337" fmla="*/ 4845436 w 12192000"/>
            <a:gd name="connsiteY337" fmla="*/ 6092068 h 6858000"/>
            <a:gd name="connsiteX338" fmla="*/ 4880254 w 12192000"/>
            <a:gd name="connsiteY338" fmla="*/ 6126887 h 6858000"/>
            <a:gd name="connsiteX339" fmla="*/ 4845436 w 12192000"/>
            <a:gd name="connsiteY339" fmla="*/ 6161706 h 6858000"/>
            <a:gd name="connsiteX340" fmla="*/ 4930328 w 12192000"/>
            <a:gd name="connsiteY340" fmla="*/ 6161706 h 6858000"/>
            <a:gd name="connsiteX341" fmla="*/ 4895509 w 12192000"/>
            <a:gd name="connsiteY341" fmla="*/ 6126887 h 6858000"/>
            <a:gd name="connsiteX342" fmla="*/ 4930328 w 12192000"/>
            <a:gd name="connsiteY342" fmla="*/ 6092068 h 6858000"/>
            <a:gd name="connsiteX343" fmla="*/ 4965147 w 12192000"/>
            <a:gd name="connsiteY343" fmla="*/ 6126887 h 6858000"/>
            <a:gd name="connsiteX344" fmla="*/ 4930328 w 12192000"/>
            <a:gd name="connsiteY344" fmla="*/ 6161706 h 6858000"/>
            <a:gd name="connsiteX345" fmla="*/ 5015220 w 12192000"/>
            <a:gd name="connsiteY345" fmla="*/ 6161706 h 6858000"/>
            <a:gd name="connsiteX346" fmla="*/ 4980401 w 12192000"/>
            <a:gd name="connsiteY346" fmla="*/ 6126887 h 6858000"/>
            <a:gd name="connsiteX347" fmla="*/ 5015220 w 12192000"/>
            <a:gd name="connsiteY347" fmla="*/ 6092068 h 6858000"/>
            <a:gd name="connsiteX348" fmla="*/ 5050039 w 12192000"/>
            <a:gd name="connsiteY348" fmla="*/ 6126887 h 6858000"/>
            <a:gd name="connsiteX349" fmla="*/ 5015220 w 12192000"/>
            <a:gd name="connsiteY349" fmla="*/ 6161706 h 6858000"/>
            <a:gd name="connsiteX350" fmla="*/ 5100113 w 12192000"/>
            <a:gd name="connsiteY350" fmla="*/ 6161706 h 6858000"/>
            <a:gd name="connsiteX351" fmla="*/ 5065294 w 12192000"/>
            <a:gd name="connsiteY351" fmla="*/ 6126887 h 6858000"/>
            <a:gd name="connsiteX352" fmla="*/ 5100113 w 12192000"/>
            <a:gd name="connsiteY352" fmla="*/ 6092068 h 6858000"/>
            <a:gd name="connsiteX353" fmla="*/ 5134932 w 12192000"/>
            <a:gd name="connsiteY353" fmla="*/ 6126887 h 6858000"/>
            <a:gd name="connsiteX354" fmla="*/ 5100113 w 12192000"/>
            <a:gd name="connsiteY354" fmla="*/ 6161706 h 6858000"/>
            <a:gd name="connsiteX355" fmla="*/ 5185006 w 12192000"/>
            <a:gd name="connsiteY355" fmla="*/ 6161706 h 6858000"/>
            <a:gd name="connsiteX356" fmla="*/ 5150187 w 12192000"/>
            <a:gd name="connsiteY356" fmla="*/ 6126887 h 6858000"/>
            <a:gd name="connsiteX357" fmla="*/ 5185006 w 12192000"/>
            <a:gd name="connsiteY357" fmla="*/ 6092068 h 6858000"/>
            <a:gd name="connsiteX358" fmla="*/ 5219824 w 12192000"/>
            <a:gd name="connsiteY358" fmla="*/ 6126887 h 6858000"/>
            <a:gd name="connsiteX359" fmla="*/ 5185006 w 12192000"/>
            <a:gd name="connsiteY359" fmla="*/ 6161706 h 6858000"/>
            <a:gd name="connsiteX360" fmla="*/ 5269898 w 12192000"/>
            <a:gd name="connsiteY360" fmla="*/ 6161706 h 6858000"/>
            <a:gd name="connsiteX361" fmla="*/ 5235079 w 12192000"/>
            <a:gd name="connsiteY361" fmla="*/ 6126887 h 6858000"/>
            <a:gd name="connsiteX362" fmla="*/ 5269898 w 12192000"/>
            <a:gd name="connsiteY362" fmla="*/ 6092068 h 6858000"/>
            <a:gd name="connsiteX363" fmla="*/ 5304717 w 12192000"/>
            <a:gd name="connsiteY363" fmla="*/ 6126887 h 6858000"/>
            <a:gd name="connsiteX364" fmla="*/ 5269898 w 12192000"/>
            <a:gd name="connsiteY364" fmla="*/ 6161706 h 6858000"/>
            <a:gd name="connsiteX365" fmla="*/ 5354790 w 12192000"/>
            <a:gd name="connsiteY365" fmla="*/ 6161706 h 6858000"/>
            <a:gd name="connsiteX366" fmla="*/ 5319971 w 12192000"/>
            <a:gd name="connsiteY366" fmla="*/ 6126887 h 6858000"/>
            <a:gd name="connsiteX367" fmla="*/ 5354790 w 12192000"/>
            <a:gd name="connsiteY367" fmla="*/ 6092068 h 6858000"/>
            <a:gd name="connsiteX368" fmla="*/ 5389609 w 12192000"/>
            <a:gd name="connsiteY368" fmla="*/ 6126887 h 6858000"/>
            <a:gd name="connsiteX369" fmla="*/ 5354790 w 12192000"/>
            <a:gd name="connsiteY369" fmla="*/ 6161706 h 6858000"/>
            <a:gd name="connsiteX370" fmla="*/ 5439683 w 12192000"/>
            <a:gd name="connsiteY370" fmla="*/ 6161706 h 6858000"/>
            <a:gd name="connsiteX371" fmla="*/ 5404864 w 12192000"/>
            <a:gd name="connsiteY371" fmla="*/ 6126887 h 6858000"/>
            <a:gd name="connsiteX372" fmla="*/ 5439683 w 12192000"/>
            <a:gd name="connsiteY372" fmla="*/ 6092068 h 6858000"/>
            <a:gd name="connsiteX373" fmla="*/ 5474502 w 12192000"/>
            <a:gd name="connsiteY373" fmla="*/ 6126887 h 6858000"/>
            <a:gd name="connsiteX374" fmla="*/ 5439683 w 12192000"/>
            <a:gd name="connsiteY374" fmla="*/ 6161706 h 6858000"/>
            <a:gd name="connsiteX375" fmla="*/ 5524576 w 12192000"/>
            <a:gd name="connsiteY375" fmla="*/ 6161706 h 6858000"/>
            <a:gd name="connsiteX376" fmla="*/ 5489757 w 12192000"/>
            <a:gd name="connsiteY376" fmla="*/ 6126887 h 6858000"/>
            <a:gd name="connsiteX377" fmla="*/ 5524576 w 12192000"/>
            <a:gd name="connsiteY377" fmla="*/ 6092068 h 6858000"/>
            <a:gd name="connsiteX378" fmla="*/ 5559394 w 12192000"/>
            <a:gd name="connsiteY378" fmla="*/ 6126887 h 6858000"/>
            <a:gd name="connsiteX379" fmla="*/ 5524576 w 12192000"/>
            <a:gd name="connsiteY379" fmla="*/ 6161706 h 6858000"/>
            <a:gd name="connsiteX380" fmla="*/ 6797966 w 12192000"/>
            <a:gd name="connsiteY380" fmla="*/ 6161706 h 6858000"/>
            <a:gd name="connsiteX381" fmla="*/ 6763140 w 12192000"/>
            <a:gd name="connsiteY381" fmla="*/ 6126887 h 6858000"/>
            <a:gd name="connsiteX382" fmla="*/ 6797966 w 12192000"/>
            <a:gd name="connsiteY382" fmla="*/ 6092068 h 6858000"/>
            <a:gd name="connsiteX383" fmla="*/ 6832778 w 12192000"/>
            <a:gd name="connsiteY383" fmla="*/ 6126887 h 6858000"/>
            <a:gd name="connsiteX384" fmla="*/ 6797966 w 12192000"/>
            <a:gd name="connsiteY384" fmla="*/ 6161706 h 6858000"/>
            <a:gd name="connsiteX385" fmla="*/ 6967750 w 12192000"/>
            <a:gd name="connsiteY385" fmla="*/ 6161706 h 6858000"/>
            <a:gd name="connsiteX386" fmla="*/ 6932925 w 12192000"/>
            <a:gd name="connsiteY386" fmla="*/ 6126887 h 6858000"/>
            <a:gd name="connsiteX387" fmla="*/ 6967750 w 12192000"/>
            <a:gd name="connsiteY387" fmla="*/ 6092068 h 6858000"/>
            <a:gd name="connsiteX388" fmla="*/ 7002563 w 12192000"/>
            <a:gd name="connsiteY388" fmla="*/ 6126887 h 6858000"/>
            <a:gd name="connsiteX389" fmla="*/ 6967750 w 12192000"/>
            <a:gd name="connsiteY389" fmla="*/ 6161706 h 6858000"/>
            <a:gd name="connsiteX390" fmla="*/ 8071353 w 12192000"/>
            <a:gd name="connsiteY390" fmla="*/ 6161706 h 6858000"/>
            <a:gd name="connsiteX391" fmla="*/ 8036527 w 12192000"/>
            <a:gd name="connsiteY391" fmla="*/ 6126887 h 6858000"/>
            <a:gd name="connsiteX392" fmla="*/ 8071353 w 12192000"/>
            <a:gd name="connsiteY392" fmla="*/ 6092068 h 6858000"/>
            <a:gd name="connsiteX393" fmla="*/ 8106165 w 12192000"/>
            <a:gd name="connsiteY393" fmla="*/ 6126887 h 6858000"/>
            <a:gd name="connsiteX394" fmla="*/ 8071353 w 12192000"/>
            <a:gd name="connsiteY394" fmla="*/ 6161706 h 6858000"/>
            <a:gd name="connsiteX395" fmla="*/ 8241138 w 12192000"/>
            <a:gd name="connsiteY395" fmla="*/ 6161706 h 6858000"/>
            <a:gd name="connsiteX396" fmla="*/ 8206313 w 12192000"/>
            <a:gd name="connsiteY396" fmla="*/ 6126887 h 6858000"/>
            <a:gd name="connsiteX397" fmla="*/ 8241138 w 12192000"/>
            <a:gd name="connsiteY397" fmla="*/ 6092068 h 6858000"/>
            <a:gd name="connsiteX398" fmla="*/ 8275950 w 12192000"/>
            <a:gd name="connsiteY398" fmla="*/ 6126887 h 6858000"/>
            <a:gd name="connsiteX399" fmla="*/ 8241138 w 12192000"/>
            <a:gd name="connsiteY399" fmla="*/ 6161706 h 6858000"/>
            <a:gd name="connsiteX400" fmla="*/ 9090063 w 12192000"/>
            <a:gd name="connsiteY400" fmla="*/ 6161706 h 6858000"/>
            <a:gd name="connsiteX401" fmla="*/ 9055237 w 12192000"/>
            <a:gd name="connsiteY401" fmla="*/ 6126887 h 6858000"/>
            <a:gd name="connsiteX402" fmla="*/ 9090063 w 12192000"/>
            <a:gd name="connsiteY402" fmla="*/ 6092068 h 6858000"/>
            <a:gd name="connsiteX403" fmla="*/ 9124875 w 12192000"/>
            <a:gd name="connsiteY403" fmla="*/ 6126887 h 6858000"/>
            <a:gd name="connsiteX404" fmla="*/ 9090063 w 12192000"/>
            <a:gd name="connsiteY404" fmla="*/ 6161706 h 6858000"/>
            <a:gd name="connsiteX405" fmla="*/ 3317371 w 12192000"/>
            <a:gd name="connsiteY405" fmla="*/ 6076846 h 6858000"/>
            <a:gd name="connsiteX406" fmla="*/ 3282552 w 12192000"/>
            <a:gd name="connsiteY406" fmla="*/ 6042027 h 6858000"/>
            <a:gd name="connsiteX407" fmla="*/ 3317371 w 12192000"/>
            <a:gd name="connsiteY407" fmla="*/ 6007208 h 6858000"/>
            <a:gd name="connsiteX408" fmla="*/ 3352190 w 12192000"/>
            <a:gd name="connsiteY408" fmla="*/ 6042027 h 6858000"/>
            <a:gd name="connsiteX409" fmla="*/ 3317371 w 12192000"/>
            <a:gd name="connsiteY409" fmla="*/ 6076846 h 6858000"/>
            <a:gd name="connsiteX410" fmla="*/ 3487156 w 12192000"/>
            <a:gd name="connsiteY410" fmla="*/ 6076846 h 6858000"/>
            <a:gd name="connsiteX411" fmla="*/ 3452337 w 12192000"/>
            <a:gd name="connsiteY411" fmla="*/ 6042027 h 6858000"/>
            <a:gd name="connsiteX412" fmla="*/ 3487156 w 12192000"/>
            <a:gd name="connsiteY412" fmla="*/ 6007208 h 6858000"/>
            <a:gd name="connsiteX413" fmla="*/ 3521974 w 12192000"/>
            <a:gd name="connsiteY413" fmla="*/ 6042027 h 6858000"/>
            <a:gd name="connsiteX414" fmla="*/ 3487156 w 12192000"/>
            <a:gd name="connsiteY414" fmla="*/ 6076846 h 6858000"/>
            <a:gd name="connsiteX415" fmla="*/ 3656941 w 12192000"/>
            <a:gd name="connsiteY415" fmla="*/ 6076846 h 6858000"/>
            <a:gd name="connsiteX416" fmla="*/ 3622122 w 12192000"/>
            <a:gd name="connsiteY416" fmla="*/ 6042027 h 6858000"/>
            <a:gd name="connsiteX417" fmla="*/ 3656941 w 12192000"/>
            <a:gd name="connsiteY417" fmla="*/ 6007208 h 6858000"/>
            <a:gd name="connsiteX418" fmla="*/ 3691760 w 12192000"/>
            <a:gd name="connsiteY418" fmla="*/ 6042027 h 6858000"/>
            <a:gd name="connsiteX419" fmla="*/ 3656941 w 12192000"/>
            <a:gd name="connsiteY419" fmla="*/ 6076846 h 6858000"/>
            <a:gd name="connsiteX420" fmla="*/ 4166296 w 12192000"/>
            <a:gd name="connsiteY420" fmla="*/ 6076846 h 6858000"/>
            <a:gd name="connsiteX421" fmla="*/ 4131477 w 12192000"/>
            <a:gd name="connsiteY421" fmla="*/ 6042027 h 6858000"/>
            <a:gd name="connsiteX422" fmla="*/ 4166296 w 12192000"/>
            <a:gd name="connsiteY422" fmla="*/ 6007208 h 6858000"/>
            <a:gd name="connsiteX423" fmla="*/ 4201114 w 12192000"/>
            <a:gd name="connsiteY423" fmla="*/ 6042027 h 6858000"/>
            <a:gd name="connsiteX424" fmla="*/ 4166296 w 12192000"/>
            <a:gd name="connsiteY424" fmla="*/ 6076846 h 6858000"/>
            <a:gd name="connsiteX425" fmla="*/ 4420973 w 12192000"/>
            <a:gd name="connsiteY425" fmla="*/ 6076846 h 6858000"/>
            <a:gd name="connsiteX426" fmla="*/ 4386154 w 12192000"/>
            <a:gd name="connsiteY426" fmla="*/ 6042027 h 6858000"/>
            <a:gd name="connsiteX427" fmla="*/ 4420973 w 12192000"/>
            <a:gd name="connsiteY427" fmla="*/ 6007208 h 6858000"/>
            <a:gd name="connsiteX428" fmla="*/ 4455792 w 12192000"/>
            <a:gd name="connsiteY428" fmla="*/ 6042027 h 6858000"/>
            <a:gd name="connsiteX429" fmla="*/ 4420973 w 12192000"/>
            <a:gd name="connsiteY429" fmla="*/ 6076846 h 6858000"/>
            <a:gd name="connsiteX430" fmla="*/ 4505866 w 12192000"/>
            <a:gd name="connsiteY430" fmla="*/ 6076846 h 6858000"/>
            <a:gd name="connsiteX431" fmla="*/ 4471047 w 12192000"/>
            <a:gd name="connsiteY431" fmla="*/ 6042027 h 6858000"/>
            <a:gd name="connsiteX432" fmla="*/ 4505866 w 12192000"/>
            <a:gd name="connsiteY432" fmla="*/ 6007208 h 6858000"/>
            <a:gd name="connsiteX433" fmla="*/ 4540684 w 12192000"/>
            <a:gd name="connsiteY433" fmla="*/ 6042027 h 6858000"/>
            <a:gd name="connsiteX434" fmla="*/ 4505866 w 12192000"/>
            <a:gd name="connsiteY434" fmla="*/ 6076846 h 6858000"/>
            <a:gd name="connsiteX435" fmla="*/ 4590758 w 12192000"/>
            <a:gd name="connsiteY435" fmla="*/ 6076846 h 6858000"/>
            <a:gd name="connsiteX436" fmla="*/ 4555939 w 12192000"/>
            <a:gd name="connsiteY436" fmla="*/ 6042027 h 6858000"/>
            <a:gd name="connsiteX437" fmla="*/ 4590758 w 12192000"/>
            <a:gd name="connsiteY437" fmla="*/ 6007208 h 6858000"/>
            <a:gd name="connsiteX438" fmla="*/ 4625577 w 12192000"/>
            <a:gd name="connsiteY438" fmla="*/ 6042027 h 6858000"/>
            <a:gd name="connsiteX439" fmla="*/ 4590758 w 12192000"/>
            <a:gd name="connsiteY439" fmla="*/ 6076846 h 6858000"/>
            <a:gd name="connsiteX440" fmla="*/ 4675650 w 12192000"/>
            <a:gd name="connsiteY440" fmla="*/ 6076846 h 6858000"/>
            <a:gd name="connsiteX441" fmla="*/ 4640831 w 12192000"/>
            <a:gd name="connsiteY441" fmla="*/ 6042027 h 6858000"/>
            <a:gd name="connsiteX442" fmla="*/ 4675650 w 12192000"/>
            <a:gd name="connsiteY442" fmla="*/ 6007208 h 6858000"/>
            <a:gd name="connsiteX443" fmla="*/ 4710469 w 12192000"/>
            <a:gd name="connsiteY443" fmla="*/ 6042027 h 6858000"/>
            <a:gd name="connsiteX444" fmla="*/ 4675650 w 12192000"/>
            <a:gd name="connsiteY444" fmla="*/ 6076846 h 6858000"/>
            <a:gd name="connsiteX445" fmla="*/ 4760543 w 12192000"/>
            <a:gd name="connsiteY445" fmla="*/ 6076846 h 6858000"/>
            <a:gd name="connsiteX446" fmla="*/ 4725724 w 12192000"/>
            <a:gd name="connsiteY446" fmla="*/ 6042027 h 6858000"/>
            <a:gd name="connsiteX447" fmla="*/ 4760543 w 12192000"/>
            <a:gd name="connsiteY447" fmla="*/ 6007208 h 6858000"/>
            <a:gd name="connsiteX448" fmla="*/ 4795362 w 12192000"/>
            <a:gd name="connsiteY448" fmla="*/ 6042027 h 6858000"/>
            <a:gd name="connsiteX449" fmla="*/ 4760543 w 12192000"/>
            <a:gd name="connsiteY449" fmla="*/ 6076846 h 6858000"/>
            <a:gd name="connsiteX450" fmla="*/ 4845436 w 12192000"/>
            <a:gd name="connsiteY450" fmla="*/ 6076846 h 6858000"/>
            <a:gd name="connsiteX451" fmla="*/ 4810617 w 12192000"/>
            <a:gd name="connsiteY451" fmla="*/ 6042027 h 6858000"/>
            <a:gd name="connsiteX452" fmla="*/ 4845436 w 12192000"/>
            <a:gd name="connsiteY452" fmla="*/ 6007208 h 6858000"/>
            <a:gd name="connsiteX453" fmla="*/ 4880254 w 12192000"/>
            <a:gd name="connsiteY453" fmla="*/ 6042027 h 6858000"/>
            <a:gd name="connsiteX454" fmla="*/ 4845436 w 12192000"/>
            <a:gd name="connsiteY454" fmla="*/ 6076846 h 6858000"/>
            <a:gd name="connsiteX455" fmla="*/ 4930328 w 12192000"/>
            <a:gd name="connsiteY455" fmla="*/ 6076846 h 6858000"/>
            <a:gd name="connsiteX456" fmla="*/ 4895509 w 12192000"/>
            <a:gd name="connsiteY456" fmla="*/ 6042027 h 6858000"/>
            <a:gd name="connsiteX457" fmla="*/ 4930328 w 12192000"/>
            <a:gd name="connsiteY457" fmla="*/ 6007208 h 6858000"/>
            <a:gd name="connsiteX458" fmla="*/ 4965147 w 12192000"/>
            <a:gd name="connsiteY458" fmla="*/ 6042027 h 6858000"/>
            <a:gd name="connsiteX459" fmla="*/ 4930328 w 12192000"/>
            <a:gd name="connsiteY459" fmla="*/ 6076846 h 6858000"/>
            <a:gd name="connsiteX460" fmla="*/ 5015220 w 12192000"/>
            <a:gd name="connsiteY460" fmla="*/ 6076846 h 6858000"/>
            <a:gd name="connsiteX461" fmla="*/ 4980401 w 12192000"/>
            <a:gd name="connsiteY461" fmla="*/ 6042027 h 6858000"/>
            <a:gd name="connsiteX462" fmla="*/ 5015220 w 12192000"/>
            <a:gd name="connsiteY462" fmla="*/ 6007208 h 6858000"/>
            <a:gd name="connsiteX463" fmla="*/ 5050039 w 12192000"/>
            <a:gd name="connsiteY463" fmla="*/ 6042027 h 6858000"/>
            <a:gd name="connsiteX464" fmla="*/ 5015220 w 12192000"/>
            <a:gd name="connsiteY464" fmla="*/ 6076846 h 6858000"/>
            <a:gd name="connsiteX465" fmla="*/ 5100113 w 12192000"/>
            <a:gd name="connsiteY465" fmla="*/ 6076846 h 6858000"/>
            <a:gd name="connsiteX466" fmla="*/ 5065294 w 12192000"/>
            <a:gd name="connsiteY466" fmla="*/ 6042027 h 6858000"/>
            <a:gd name="connsiteX467" fmla="*/ 5100113 w 12192000"/>
            <a:gd name="connsiteY467" fmla="*/ 6007208 h 6858000"/>
            <a:gd name="connsiteX468" fmla="*/ 5134932 w 12192000"/>
            <a:gd name="connsiteY468" fmla="*/ 6042027 h 6858000"/>
            <a:gd name="connsiteX469" fmla="*/ 5100113 w 12192000"/>
            <a:gd name="connsiteY469" fmla="*/ 6076846 h 6858000"/>
            <a:gd name="connsiteX470" fmla="*/ 5185006 w 12192000"/>
            <a:gd name="connsiteY470" fmla="*/ 6076846 h 6858000"/>
            <a:gd name="connsiteX471" fmla="*/ 5150187 w 12192000"/>
            <a:gd name="connsiteY471" fmla="*/ 6042027 h 6858000"/>
            <a:gd name="connsiteX472" fmla="*/ 5185006 w 12192000"/>
            <a:gd name="connsiteY472" fmla="*/ 6007208 h 6858000"/>
            <a:gd name="connsiteX473" fmla="*/ 5219824 w 12192000"/>
            <a:gd name="connsiteY473" fmla="*/ 6042027 h 6858000"/>
            <a:gd name="connsiteX474" fmla="*/ 5185006 w 12192000"/>
            <a:gd name="connsiteY474" fmla="*/ 6076846 h 6858000"/>
            <a:gd name="connsiteX475" fmla="*/ 5269898 w 12192000"/>
            <a:gd name="connsiteY475" fmla="*/ 6076846 h 6858000"/>
            <a:gd name="connsiteX476" fmla="*/ 5235079 w 12192000"/>
            <a:gd name="connsiteY476" fmla="*/ 6042027 h 6858000"/>
            <a:gd name="connsiteX477" fmla="*/ 5269898 w 12192000"/>
            <a:gd name="connsiteY477" fmla="*/ 6007208 h 6858000"/>
            <a:gd name="connsiteX478" fmla="*/ 5304717 w 12192000"/>
            <a:gd name="connsiteY478" fmla="*/ 6042027 h 6858000"/>
            <a:gd name="connsiteX479" fmla="*/ 5269898 w 12192000"/>
            <a:gd name="connsiteY479" fmla="*/ 6076846 h 6858000"/>
            <a:gd name="connsiteX480" fmla="*/ 5354790 w 12192000"/>
            <a:gd name="connsiteY480" fmla="*/ 6076846 h 6858000"/>
            <a:gd name="connsiteX481" fmla="*/ 5319971 w 12192000"/>
            <a:gd name="connsiteY481" fmla="*/ 6042027 h 6858000"/>
            <a:gd name="connsiteX482" fmla="*/ 5354790 w 12192000"/>
            <a:gd name="connsiteY482" fmla="*/ 6007208 h 6858000"/>
            <a:gd name="connsiteX483" fmla="*/ 5389609 w 12192000"/>
            <a:gd name="connsiteY483" fmla="*/ 6042027 h 6858000"/>
            <a:gd name="connsiteX484" fmla="*/ 5354790 w 12192000"/>
            <a:gd name="connsiteY484" fmla="*/ 6076846 h 6858000"/>
            <a:gd name="connsiteX485" fmla="*/ 5439683 w 12192000"/>
            <a:gd name="connsiteY485" fmla="*/ 6076846 h 6858000"/>
            <a:gd name="connsiteX486" fmla="*/ 5404864 w 12192000"/>
            <a:gd name="connsiteY486" fmla="*/ 6042027 h 6858000"/>
            <a:gd name="connsiteX487" fmla="*/ 5439683 w 12192000"/>
            <a:gd name="connsiteY487" fmla="*/ 6007208 h 6858000"/>
            <a:gd name="connsiteX488" fmla="*/ 5474502 w 12192000"/>
            <a:gd name="connsiteY488" fmla="*/ 6042027 h 6858000"/>
            <a:gd name="connsiteX489" fmla="*/ 5439683 w 12192000"/>
            <a:gd name="connsiteY489" fmla="*/ 6076846 h 6858000"/>
            <a:gd name="connsiteX490" fmla="*/ 6288611 w 12192000"/>
            <a:gd name="connsiteY490" fmla="*/ 6076846 h 6858000"/>
            <a:gd name="connsiteX491" fmla="*/ 6253786 w 12192000"/>
            <a:gd name="connsiteY491" fmla="*/ 6042027 h 6858000"/>
            <a:gd name="connsiteX492" fmla="*/ 6288611 w 12192000"/>
            <a:gd name="connsiteY492" fmla="*/ 6007208 h 6858000"/>
            <a:gd name="connsiteX493" fmla="*/ 6323424 w 12192000"/>
            <a:gd name="connsiteY493" fmla="*/ 6042027 h 6858000"/>
            <a:gd name="connsiteX494" fmla="*/ 6288611 w 12192000"/>
            <a:gd name="connsiteY494" fmla="*/ 6076846 h 6858000"/>
            <a:gd name="connsiteX495" fmla="*/ 6373504 w 12192000"/>
            <a:gd name="connsiteY495" fmla="*/ 6076846 h 6858000"/>
            <a:gd name="connsiteX496" fmla="*/ 6338678 w 12192000"/>
            <a:gd name="connsiteY496" fmla="*/ 6042027 h 6858000"/>
            <a:gd name="connsiteX497" fmla="*/ 6373504 w 12192000"/>
            <a:gd name="connsiteY497" fmla="*/ 6007208 h 6858000"/>
            <a:gd name="connsiteX498" fmla="*/ 6408316 w 12192000"/>
            <a:gd name="connsiteY498" fmla="*/ 6042027 h 6858000"/>
            <a:gd name="connsiteX499" fmla="*/ 6373504 w 12192000"/>
            <a:gd name="connsiteY499" fmla="*/ 6076846 h 6858000"/>
            <a:gd name="connsiteX500" fmla="*/ 8071353 w 12192000"/>
            <a:gd name="connsiteY500" fmla="*/ 6076846 h 6858000"/>
            <a:gd name="connsiteX501" fmla="*/ 8036527 w 12192000"/>
            <a:gd name="connsiteY501" fmla="*/ 6042027 h 6858000"/>
            <a:gd name="connsiteX502" fmla="*/ 8071353 w 12192000"/>
            <a:gd name="connsiteY502" fmla="*/ 6007208 h 6858000"/>
            <a:gd name="connsiteX503" fmla="*/ 8106165 w 12192000"/>
            <a:gd name="connsiteY503" fmla="*/ 6042027 h 6858000"/>
            <a:gd name="connsiteX504" fmla="*/ 8071353 w 12192000"/>
            <a:gd name="connsiteY504" fmla="*/ 6076846 h 6858000"/>
            <a:gd name="connsiteX505" fmla="*/ 8156246 w 12192000"/>
            <a:gd name="connsiteY505" fmla="*/ 6076846 h 6858000"/>
            <a:gd name="connsiteX506" fmla="*/ 8121420 w 12192000"/>
            <a:gd name="connsiteY506" fmla="*/ 6042027 h 6858000"/>
            <a:gd name="connsiteX507" fmla="*/ 8156246 w 12192000"/>
            <a:gd name="connsiteY507" fmla="*/ 6007208 h 6858000"/>
            <a:gd name="connsiteX508" fmla="*/ 8191058 w 12192000"/>
            <a:gd name="connsiteY508" fmla="*/ 6042027 h 6858000"/>
            <a:gd name="connsiteX509" fmla="*/ 8156246 w 12192000"/>
            <a:gd name="connsiteY509" fmla="*/ 6076846 h 6858000"/>
            <a:gd name="connsiteX510" fmla="*/ 8241138 w 12192000"/>
            <a:gd name="connsiteY510" fmla="*/ 6076846 h 6858000"/>
            <a:gd name="connsiteX511" fmla="*/ 8206313 w 12192000"/>
            <a:gd name="connsiteY511" fmla="*/ 6042027 h 6858000"/>
            <a:gd name="connsiteX512" fmla="*/ 8241138 w 12192000"/>
            <a:gd name="connsiteY512" fmla="*/ 6007208 h 6858000"/>
            <a:gd name="connsiteX513" fmla="*/ 8275950 w 12192000"/>
            <a:gd name="connsiteY513" fmla="*/ 6042027 h 6858000"/>
            <a:gd name="connsiteX514" fmla="*/ 8241138 w 12192000"/>
            <a:gd name="connsiteY514" fmla="*/ 6076846 h 6858000"/>
            <a:gd name="connsiteX515" fmla="*/ 8326030 w 12192000"/>
            <a:gd name="connsiteY515" fmla="*/ 6076846 h 6858000"/>
            <a:gd name="connsiteX516" fmla="*/ 8291205 w 12192000"/>
            <a:gd name="connsiteY516" fmla="*/ 6042027 h 6858000"/>
            <a:gd name="connsiteX517" fmla="*/ 8326030 w 12192000"/>
            <a:gd name="connsiteY517" fmla="*/ 6007208 h 6858000"/>
            <a:gd name="connsiteX518" fmla="*/ 8360843 w 12192000"/>
            <a:gd name="connsiteY518" fmla="*/ 6042027 h 6858000"/>
            <a:gd name="connsiteX519" fmla="*/ 8326030 w 12192000"/>
            <a:gd name="connsiteY519" fmla="*/ 6076846 h 6858000"/>
            <a:gd name="connsiteX520" fmla="*/ 9344740 w 12192000"/>
            <a:gd name="connsiteY520" fmla="*/ 6076846 h 6858000"/>
            <a:gd name="connsiteX521" fmla="*/ 9309915 w 12192000"/>
            <a:gd name="connsiteY521" fmla="*/ 6042027 h 6858000"/>
            <a:gd name="connsiteX522" fmla="*/ 9344740 w 12192000"/>
            <a:gd name="connsiteY522" fmla="*/ 6007208 h 6858000"/>
            <a:gd name="connsiteX523" fmla="*/ 9379553 w 12192000"/>
            <a:gd name="connsiteY523" fmla="*/ 6042027 h 6858000"/>
            <a:gd name="connsiteX524" fmla="*/ 9344740 w 12192000"/>
            <a:gd name="connsiteY524" fmla="*/ 6076846 h 6858000"/>
            <a:gd name="connsiteX525" fmla="*/ 10108773 w 12192000"/>
            <a:gd name="connsiteY525" fmla="*/ 6076846 h 6858000"/>
            <a:gd name="connsiteX526" fmla="*/ 10073947 w 12192000"/>
            <a:gd name="connsiteY526" fmla="*/ 6042027 h 6858000"/>
            <a:gd name="connsiteX527" fmla="*/ 10108773 w 12192000"/>
            <a:gd name="connsiteY527" fmla="*/ 6007208 h 6858000"/>
            <a:gd name="connsiteX528" fmla="*/ 10143585 w 12192000"/>
            <a:gd name="connsiteY528" fmla="*/ 6042027 h 6858000"/>
            <a:gd name="connsiteX529" fmla="*/ 10108773 w 12192000"/>
            <a:gd name="connsiteY529" fmla="*/ 6076846 h 6858000"/>
            <a:gd name="connsiteX530" fmla="*/ 10193665 w 12192000"/>
            <a:gd name="connsiteY530" fmla="*/ 6076846 h 6858000"/>
            <a:gd name="connsiteX531" fmla="*/ 10158839 w 12192000"/>
            <a:gd name="connsiteY531" fmla="*/ 6042027 h 6858000"/>
            <a:gd name="connsiteX532" fmla="*/ 10193665 w 12192000"/>
            <a:gd name="connsiteY532" fmla="*/ 6007208 h 6858000"/>
            <a:gd name="connsiteX533" fmla="*/ 10228477 w 12192000"/>
            <a:gd name="connsiteY533" fmla="*/ 6042027 h 6858000"/>
            <a:gd name="connsiteX534" fmla="*/ 10193665 w 12192000"/>
            <a:gd name="connsiteY534" fmla="*/ 6076846 h 6858000"/>
            <a:gd name="connsiteX535" fmla="*/ 10278558 w 12192000"/>
            <a:gd name="connsiteY535" fmla="*/ 6076846 h 6858000"/>
            <a:gd name="connsiteX536" fmla="*/ 10243733 w 12192000"/>
            <a:gd name="connsiteY536" fmla="*/ 6042027 h 6858000"/>
            <a:gd name="connsiteX537" fmla="*/ 10278558 w 12192000"/>
            <a:gd name="connsiteY537" fmla="*/ 6007208 h 6858000"/>
            <a:gd name="connsiteX538" fmla="*/ 10313370 w 12192000"/>
            <a:gd name="connsiteY538" fmla="*/ 6042027 h 6858000"/>
            <a:gd name="connsiteX539" fmla="*/ 10278558 w 12192000"/>
            <a:gd name="connsiteY539" fmla="*/ 6076846 h 6858000"/>
            <a:gd name="connsiteX540" fmla="*/ 10363450 w 12192000"/>
            <a:gd name="connsiteY540" fmla="*/ 6076846 h 6858000"/>
            <a:gd name="connsiteX541" fmla="*/ 10328625 w 12192000"/>
            <a:gd name="connsiteY541" fmla="*/ 6042027 h 6858000"/>
            <a:gd name="connsiteX542" fmla="*/ 10363450 w 12192000"/>
            <a:gd name="connsiteY542" fmla="*/ 6007208 h 6858000"/>
            <a:gd name="connsiteX543" fmla="*/ 10398263 w 12192000"/>
            <a:gd name="connsiteY543" fmla="*/ 6042027 h 6858000"/>
            <a:gd name="connsiteX544" fmla="*/ 10363450 w 12192000"/>
            <a:gd name="connsiteY544" fmla="*/ 6076846 h 6858000"/>
            <a:gd name="connsiteX545" fmla="*/ 10448343 w 12192000"/>
            <a:gd name="connsiteY545" fmla="*/ 6076846 h 6858000"/>
            <a:gd name="connsiteX546" fmla="*/ 10413517 w 12192000"/>
            <a:gd name="connsiteY546" fmla="*/ 6042027 h 6858000"/>
            <a:gd name="connsiteX547" fmla="*/ 10448343 w 12192000"/>
            <a:gd name="connsiteY547" fmla="*/ 6007208 h 6858000"/>
            <a:gd name="connsiteX548" fmla="*/ 10483155 w 12192000"/>
            <a:gd name="connsiteY548" fmla="*/ 6042027 h 6858000"/>
            <a:gd name="connsiteX549" fmla="*/ 10448343 w 12192000"/>
            <a:gd name="connsiteY549" fmla="*/ 6076846 h 6858000"/>
            <a:gd name="connsiteX550" fmla="*/ 10618128 w 12192000"/>
            <a:gd name="connsiteY550" fmla="*/ 6076846 h 6858000"/>
            <a:gd name="connsiteX551" fmla="*/ 10583303 w 12192000"/>
            <a:gd name="connsiteY551" fmla="*/ 6042027 h 6858000"/>
            <a:gd name="connsiteX552" fmla="*/ 10618128 w 12192000"/>
            <a:gd name="connsiteY552" fmla="*/ 6007208 h 6858000"/>
            <a:gd name="connsiteX553" fmla="*/ 10652940 w 12192000"/>
            <a:gd name="connsiteY553" fmla="*/ 6042027 h 6858000"/>
            <a:gd name="connsiteX554" fmla="*/ 10618128 w 12192000"/>
            <a:gd name="connsiteY554" fmla="*/ 6076846 h 6858000"/>
            <a:gd name="connsiteX555" fmla="*/ 1959091 w 12192000"/>
            <a:gd name="connsiteY555" fmla="*/ 5991985 h 6858000"/>
            <a:gd name="connsiteX556" fmla="*/ 1924272 w 12192000"/>
            <a:gd name="connsiteY556" fmla="*/ 5957166 h 6858000"/>
            <a:gd name="connsiteX557" fmla="*/ 1959091 w 12192000"/>
            <a:gd name="connsiteY557" fmla="*/ 5922348 h 6858000"/>
            <a:gd name="connsiteX558" fmla="*/ 1993910 w 12192000"/>
            <a:gd name="connsiteY558" fmla="*/ 5957166 h 6858000"/>
            <a:gd name="connsiteX559" fmla="*/ 1959091 w 12192000"/>
            <a:gd name="connsiteY559" fmla="*/ 5991985 h 6858000"/>
            <a:gd name="connsiteX560" fmla="*/ 2043983 w 12192000"/>
            <a:gd name="connsiteY560" fmla="*/ 5991985 h 6858000"/>
            <a:gd name="connsiteX561" fmla="*/ 2009164 w 12192000"/>
            <a:gd name="connsiteY561" fmla="*/ 5957166 h 6858000"/>
            <a:gd name="connsiteX562" fmla="*/ 2043983 w 12192000"/>
            <a:gd name="connsiteY562" fmla="*/ 5922348 h 6858000"/>
            <a:gd name="connsiteX563" fmla="*/ 2078802 w 12192000"/>
            <a:gd name="connsiteY563" fmla="*/ 5957166 h 6858000"/>
            <a:gd name="connsiteX564" fmla="*/ 2043983 w 12192000"/>
            <a:gd name="connsiteY564" fmla="*/ 5991985 h 6858000"/>
            <a:gd name="connsiteX565" fmla="*/ 3062693 w 12192000"/>
            <a:gd name="connsiteY565" fmla="*/ 5991985 h 6858000"/>
            <a:gd name="connsiteX566" fmla="*/ 3027874 w 12192000"/>
            <a:gd name="connsiteY566" fmla="*/ 5957166 h 6858000"/>
            <a:gd name="connsiteX567" fmla="*/ 3062693 w 12192000"/>
            <a:gd name="connsiteY567" fmla="*/ 5922348 h 6858000"/>
            <a:gd name="connsiteX568" fmla="*/ 3097512 w 12192000"/>
            <a:gd name="connsiteY568" fmla="*/ 5957166 h 6858000"/>
            <a:gd name="connsiteX569" fmla="*/ 3062693 w 12192000"/>
            <a:gd name="connsiteY569" fmla="*/ 5991985 h 6858000"/>
            <a:gd name="connsiteX570" fmla="*/ 3317371 w 12192000"/>
            <a:gd name="connsiteY570" fmla="*/ 5991985 h 6858000"/>
            <a:gd name="connsiteX571" fmla="*/ 3282552 w 12192000"/>
            <a:gd name="connsiteY571" fmla="*/ 5957166 h 6858000"/>
            <a:gd name="connsiteX572" fmla="*/ 3317371 w 12192000"/>
            <a:gd name="connsiteY572" fmla="*/ 5922348 h 6858000"/>
            <a:gd name="connsiteX573" fmla="*/ 3352190 w 12192000"/>
            <a:gd name="connsiteY573" fmla="*/ 5957166 h 6858000"/>
            <a:gd name="connsiteX574" fmla="*/ 3317371 w 12192000"/>
            <a:gd name="connsiteY574" fmla="*/ 5991985 h 6858000"/>
            <a:gd name="connsiteX575" fmla="*/ 3402263 w 12192000"/>
            <a:gd name="connsiteY575" fmla="*/ 5991985 h 6858000"/>
            <a:gd name="connsiteX576" fmla="*/ 3367444 w 12192000"/>
            <a:gd name="connsiteY576" fmla="*/ 5957166 h 6858000"/>
            <a:gd name="connsiteX577" fmla="*/ 3402263 w 12192000"/>
            <a:gd name="connsiteY577" fmla="*/ 5922348 h 6858000"/>
            <a:gd name="connsiteX578" fmla="*/ 3437082 w 12192000"/>
            <a:gd name="connsiteY578" fmla="*/ 5957166 h 6858000"/>
            <a:gd name="connsiteX579" fmla="*/ 3402263 w 12192000"/>
            <a:gd name="connsiteY579" fmla="*/ 5991985 h 6858000"/>
            <a:gd name="connsiteX580" fmla="*/ 3487156 w 12192000"/>
            <a:gd name="connsiteY580" fmla="*/ 5991985 h 6858000"/>
            <a:gd name="connsiteX581" fmla="*/ 3452337 w 12192000"/>
            <a:gd name="connsiteY581" fmla="*/ 5957166 h 6858000"/>
            <a:gd name="connsiteX582" fmla="*/ 3487156 w 12192000"/>
            <a:gd name="connsiteY582" fmla="*/ 5922348 h 6858000"/>
            <a:gd name="connsiteX583" fmla="*/ 3521974 w 12192000"/>
            <a:gd name="connsiteY583" fmla="*/ 5957166 h 6858000"/>
            <a:gd name="connsiteX584" fmla="*/ 3487156 w 12192000"/>
            <a:gd name="connsiteY584" fmla="*/ 5991985 h 6858000"/>
            <a:gd name="connsiteX585" fmla="*/ 3656941 w 12192000"/>
            <a:gd name="connsiteY585" fmla="*/ 5991985 h 6858000"/>
            <a:gd name="connsiteX586" fmla="*/ 3622122 w 12192000"/>
            <a:gd name="connsiteY586" fmla="*/ 5957166 h 6858000"/>
            <a:gd name="connsiteX587" fmla="*/ 3656941 w 12192000"/>
            <a:gd name="connsiteY587" fmla="*/ 5922348 h 6858000"/>
            <a:gd name="connsiteX588" fmla="*/ 3691760 w 12192000"/>
            <a:gd name="connsiteY588" fmla="*/ 5957166 h 6858000"/>
            <a:gd name="connsiteX589" fmla="*/ 3656941 w 12192000"/>
            <a:gd name="connsiteY589" fmla="*/ 5991985 h 6858000"/>
            <a:gd name="connsiteX590" fmla="*/ 3826726 w 12192000"/>
            <a:gd name="connsiteY590" fmla="*/ 5991985 h 6858000"/>
            <a:gd name="connsiteX591" fmla="*/ 3791907 w 12192000"/>
            <a:gd name="connsiteY591" fmla="*/ 5957166 h 6858000"/>
            <a:gd name="connsiteX592" fmla="*/ 3826726 w 12192000"/>
            <a:gd name="connsiteY592" fmla="*/ 5922348 h 6858000"/>
            <a:gd name="connsiteX593" fmla="*/ 3861544 w 12192000"/>
            <a:gd name="connsiteY593" fmla="*/ 5957166 h 6858000"/>
            <a:gd name="connsiteX594" fmla="*/ 3826726 w 12192000"/>
            <a:gd name="connsiteY594" fmla="*/ 5991985 h 6858000"/>
            <a:gd name="connsiteX595" fmla="*/ 3996511 w 12192000"/>
            <a:gd name="connsiteY595" fmla="*/ 5991985 h 6858000"/>
            <a:gd name="connsiteX596" fmla="*/ 3961692 w 12192000"/>
            <a:gd name="connsiteY596" fmla="*/ 5957166 h 6858000"/>
            <a:gd name="connsiteX597" fmla="*/ 3996511 w 12192000"/>
            <a:gd name="connsiteY597" fmla="*/ 5922348 h 6858000"/>
            <a:gd name="connsiteX598" fmla="*/ 4031330 w 12192000"/>
            <a:gd name="connsiteY598" fmla="*/ 5957166 h 6858000"/>
            <a:gd name="connsiteX599" fmla="*/ 3996511 w 12192000"/>
            <a:gd name="connsiteY599" fmla="*/ 5991985 h 6858000"/>
            <a:gd name="connsiteX600" fmla="*/ 4081403 w 12192000"/>
            <a:gd name="connsiteY600" fmla="*/ 5991985 h 6858000"/>
            <a:gd name="connsiteX601" fmla="*/ 4046584 w 12192000"/>
            <a:gd name="connsiteY601" fmla="*/ 5957166 h 6858000"/>
            <a:gd name="connsiteX602" fmla="*/ 4081403 w 12192000"/>
            <a:gd name="connsiteY602" fmla="*/ 5922348 h 6858000"/>
            <a:gd name="connsiteX603" fmla="*/ 4116222 w 12192000"/>
            <a:gd name="connsiteY603" fmla="*/ 5957166 h 6858000"/>
            <a:gd name="connsiteX604" fmla="*/ 4081403 w 12192000"/>
            <a:gd name="connsiteY604" fmla="*/ 5991985 h 6858000"/>
            <a:gd name="connsiteX605" fmla="*/ 4420973 w 12192000"/>
            <a:gd name="connsiteY605" fmla="*/ 5991985 h 6858000"/>
            <a:gd name="connsiteX606" fmla="*/ 4386154 w 12192000"/>
            <a:gd name="connsiteY606" fmla="*/ 5957166 h 6858000"/>
            <a:gd name="connsiteX607" fmla="*/ 4420973 w 12192000"/>
            <a:gd name="connsiteY607" fmla="*/ 5922348 h 6858000"/>
            <a:gd name="connsiteX608" fmla="*/ 4455792 w 12192000"/>
            <a:gd name="connsiteY608" fmla="*/ 5957166 h 6858000"/>
            <a:gd name="connsiteX609" fmla="*/ 4420973 w 12192000"/>
            <a:gd name="connsiteY609" fmla="*/ 5991985 h 6858000"/>
            <a:gd name="connsiteX610" fmla="*/ 4505866 w 12192000"/>
            <a:gd name="connsiteY610" fmla="*/ 5991985 h 6858000"/>
            <a:gd name="connsiteX611" fmla="*/ 4471047 w 12192000"/>
            <a:gd name="connsiteY611" fmla="*/ 5957166 h 6858000"/>
            <a:gd name="connsiteX612" fmla="*/ 4505866 w 12192000"/>
            <a:gd name="connsiteY612" fmla="*/ 5922348 h 6858000"/>
            <a:gd name="connsiteX613" fmla="*/ 4540684 w 12192000"/>
            <a:gd name="connsiteY613" fmla="*/ 5957166 h 6858000"/>
            <a:gd name="connsiteX614" fmla="*/ 4505866 w 12192000"/>
            <a:gd name="connsiteY614" fmla="*/ 5991985 h 6858000"/>
            <a:gd name="connsiteX615" fmla="*/ 4590758 w 12192000"/>
            <a:gd name="connsiteY615" fmla="*/ 5991985 h 6858000"/>
            <a:gd name="connsiteX616" fmla="*/ 4555939 w 12192000"/>
            <a:gd name="connsiteY616" fmla="*/ 5957166 h 6858000"/>
            <a:gd name="connsiteX617" fmla="*/ 4590758 w 12192000"/>
            <a:gd name="connsiteY617" fmla="*/ 5922348 h 6858000"/>
            <a:gd name="connsiteX618" fmla="*/ 4625577 w 12192000"/>
            <a:gd name="connsiteY618" fmla="*/ 5957166 h 6858000"/>
            <a:gd name="connsiteX619" fmla="*/ 4590758 w 12192000"/>
            <a:gd name="connsiteY619" fmla="*/ 5991985 h 6858000"/>
            <a:gd name="connsiteX620" fmla="*/ 4675650 w 12192000"/>
            <a:gd name="connsiteY620" fmla="*/ 5991985 h 6858000"/>
            <a:gd name="connsiteX621" fmla="*/ 4640831 w 12192000"/>
            <a:gd name="connsiteY621" fmla="*/ 5957166 h 6858000"/>
            <a:gd name="connsiteX622" fmla="*/ 4675650 w 12192000"/>
            <a:gd name="connsiteY622" fmla="*/ 5922348 h 6858000"/>
            <a:gd name="connsiteX623" fmla="*/ 4710469 w 12192000"/>
            <a:gd name="connsiteY623" fmla="*/ 5957166 h 6858000"/>
            <a:gd name="connsiteX624" fmla="*/ 4675650 w 12192000"/>
            <a:gd name="connsiteY624" fmla="*/ 5991985 h 6858000"/>
            <a:gd name="connsiteX625" fmla="*/ 4760543 w 12192000"/>
            <a:gd name="connsiteY625" fmla="*/ 5991985 h 6858000"/>
            <a:gd name="connsiteX626" fmla="*/ 4725724 w 12192000"/>
            <a:gd name="connsiteY626" fmla="*/ 5957166 h 6858000"/>
            <a:gd name="connsiteX627" fmla="*/ 4760543 w 12192000"/>
            <a:gd name="connsiteY627" fmla="*/ 5922348 h 6858000"/>
            <a:gd name="connsiteX628" fmla="*/ 4795362 w 12192000"/>
            <a:gd name="connsiteY628" fmla="*/ 5957166 h 6858000"/>
            <a:gd name="connsiteX629" fmla="*/ 4760543 w 12192000"/>
            <a:gd name="connsiteY629" fmla="*/ 5991985 h 6858000"/>
            <a:gd name="connsiteX630" fmla="*/ 4845436 w 12192000"/>
            <a:gd name="connsiteY630" fmla="*/ 5991985 h 6858000"/>
            <a:gd name="connsiteX631" fmla="*/ 4810617 w 12192000"/>
            <a:gd name="connsiteY631" fmla="*/ 5957166 h 6858000"/>
            <a:gd name="connsiteX632" fmla="*/ 4845436 w 12192000"/>
            <a:gd name="connsiteY632" fmla="*/ 5922348 h 6858000"/>
            <a:gd name="connsiteX633" fmla="*/ 4880254 w 12192000"/>
            <a:gd name="connsiteY633" fmla="*/ 5957166 h 6858000"/>
            <a:gd name="connsiteX634" fmla="*/ 4845436 w 12192000"/>
            <a:gd name="connsiteY634" fmla="*/ 5991985 h 6858000"/>
            <a:gd name="connsiteX635" fmla="*/ 4930328 w 12192000"/>
            <a:gd name="connsiteY635" fmla="*/ 5991985 h 6858000"/>
            <a:gd name="connsiteX636" fmla="*/ 4895509 w 12192000"/>
            <a:gd name="connsiteY636" fmla="*/ 5957166 h 6858000"/>
            <a:gd name="connsiteX637" fmla="*/ 4930328 w 12192000"/>
            <a:gd name="connsiteY637" fmla="*/ 5922348 h 6858000"/>
            <a:gd name="connsiteX638" fmla="*/ 4965147 w 12192000"/>
            <a:gd name="connsiteY638" fmla="*/ 5957166 h 6858000"/>
            <a:gd name="connsiteX639" fmla="*/ 4930328 w 12192000"/>
            <a:gd name="connsiteY639" fmla="*/ 5991985 h 6858000"/>
            <a:gd name="connsiteX640" fmla="*/ 5015220 w 12192000"/>
            <a:gd name="connsiteY640" fmla="*/ 5991985 h 6858000"/>
            <a:gd name="connsiteX641" fmla="*/ 4980401 w 12192000"/>
            <a:gd name="connsiteY641" fmla="*/ 5957166 h 6858000"/>
            <a:gd name="connsiteX642" fmla="*/ 5015220 w 12192000"/>
            <a:gd name="connsiteY642" fmla="*/ 5922348 h 6858000"/>
            <a:gd name="connsiteX643" fmla="*/ 5050039 w 12192000"/>
            <a:gd name="connsiteY643" fmla="*/ 5957166 h 6858000"/>
            <a:gd name="connsiteX644" fmla="*/ 5015220 w 12192000"/>
            <a:gd name="connsiteY644" fmla="*/ 5991985 h 6858000"/>
            <a:gd name="connsiteX645" fmla="*/ 5100113 w 12192000"/>
            <a:gd name="connsiteY645" fmla="*/ 5991985 h 6858000"/>
            <a:gd name="connsiteX646" fmla="*/ 5065294 w 12192000"/>
            <a:gd name="connsiteY646" fmla="*/ 5957166 h 6858000"/>
            <a:gd name="connsiteX647" fmla="*/ 5100113 w 12192000"/>
            <a:gd name="connsiteY647" fmla="*/ 5922348 h 6858000"/>
            <a:gd name="connsiteX648" fmla="*/ 5134932 w 12192000"/>
            <a:gd name="connsiteY648" fmla="*/ 5957166 h 6858000"/>
            <a:gd name="connsiteX649" fmla="*/ 5100113 w 12192000"/>
            <a:gd name="connsiteY649" fmla="*/ 5991985 h 6858000"/>
            <a:gd name="connsiteX650" fmla="*/ 5185006 w 12192000"/>
            <a:gd name="connsiteY650" fmla="*/ 5991985 h 6858000"/>
            <a:gd name="connsiteX651" fmla="*/ 5150187 w 12192000"/>
            <a:gd name="connsiteY651" fmla="*/ 5957166 h 6858000"/>
            <a:gd name="connsiteX652" fmla="*/ 5185006 w 12192000"/>
            <a:gd name="connsiteY652" fmla="*/ 5922348 h 6858000"/>
            <a:gd name="connsiteX653" fmla="*/ 5219824 w 12192000"/>
            <a:gd name="connsiteY653" fmla="*/ 5957166 h 6858000"/>
            <a:gd name="connsiteX654" fmla="*/ 5185006 w 12192000"/>
            <a:gd name="connsiteY654" fmla="*/ 5991985 h 6858000"/>
            <a:gd name="connsiteX655" fmla="*/ 5269898 w 12192000"/>
            <a:gd name="connsiteY655" fmla="*/ 5991985 h 6858000"/>
            <a:gd name="connsiteX656" fmla="*/ 5235079 w 12192000"/>
            <a:gd name="connsiteY656" fmla="*/ 5957166 h 6858000"/>
            <a:gd name="connsiteX657" fmla="*/ 5269898 w 12192000"/>
            <a:gd name="connsiteY657" fmla="*/ 5922348 h 6858000"/>
            <a:gd name="connsiteX658" fmla="*/ 5304717 w 12192000"/>
            <a:gd name="connsiteY658" fmla="*/ 5957166 h 6858000"/>
            <a:gd name="connsiteX659" fmla="*/ 5269898 w 12192000"/>
            <a:gd name="connsiteY659" fmla="*/ 5991985 h 6858000"/>
            <a:gd name="connsiteX660" fmla="*/ 5354790 w 12192000"/>
            <a:gd name="connsiteY660" fmla="*/ 5991985 h 6858000"/>
            <a:gd name="connsiteX661" fmla="*/ 5319971 w 12192000"/>
            <a:gd name="connsiteY661" fmla="*/ 5957166 h 6858000"/>
            <a:gd name="connsiteX662" fmla="*/ 5354790 w 12192000"/>
            <a:gd name="connsiteY662" fmla="*/ 5922348 h 6858000"/>
            <a:gd name="connsiteX663" fmla="*/ 5389609 w 12192000"/>
            <a:gd name="connsiteY663" fmla="*/ 5957166 h 6858000"/>
            <a:gd name="connsiteX664" fmla="*/ 5354790 w 12192000"/>
            <a:gd name="connsiteY664" fmla="*/ 5991985 h 6858000"/>
            <a:gd name="connsiteX665" fmla="*/ 5439683 w 12192000"/>
            <a:gd name="connsiteY665" fmla="*/ 5991985 h 6858000"/>
            <a:gd name="connsiteX666" fmla="*/ 5404864 w 12192000"/>
            <a:gd name="connsiteY666" fmla="*/ 5957166 h 6858000"/>
            <a:gd name="connsiteX667" fmla="*/ 5439683 w 12192000"/>
            <a:gd name="connsiteY667" fmla="*/ 5922348 h 6858000"/>
            <a:gd name="connsiteX668" fmla="*/ 5474502 w 12192000"/>
            <a:gd name="connsiteY668" fmla="*/ 5957166 h 6858000"/>
            <a:gd name="connsiteX669" fmla="*/ 5439683 w 12192000"/>
            <a:gd name="connsiteY669" fmla="*/ 5991985 h 6858000"/>
            <a:gd name="connsiteX670" fmla="*/ 6118826 w 12192000"/>
            <a:gd name="connsiteY670" fmla="*/ 5991985 h 6858000"/>
            <a:gd name="connsiteX671" fmla="*/ 6084000 w 12192000"/>
            <a:gd name="connsiteY671" fmla="*/ 5957166 h 6858000"/>
            <a:gd name="connsiteX672" fmla="*/ 6118826 w 12192000"/>
            <a:gd name="connsiteY672" fmla="*/ 5922348 h 6858000"/>
            <a:gd name="connsiteX673" fmla="*/ 6153638 w 12192000"/>
            <a:gd name="connsiteY673" fmla="*/ 5957166 h 6858000"/>
            <a:gd name="connsiteX674" fmla="*/ 6118826 w 12192000"/>
            <a:gd name="connsiteY674" fmla="*/ 5991985 h 6858000"/>
            <a:gd name="connsiteX675" fmla="*/ 6203718 w 12192000"/>
            <a:gd name="connsiteY675" fmla="*/ 5991985 h 6858000"/>
            <a:gd name="connsiteX676" fmla="*/ 6168893 w 12192000"/>
            <a:gd name="connsiteY676" fmla="*/ 5957166 h 6858000"/>
            <a:gd name="connsiteX677" fmla="*/ 6203718 w 12192000"/>
            <a:gd name="connsiteY677" fmla="*/ 5922348 h 6858000"/>
            <a:gd name="connsiteX678" fmla="*/ 6238530 w 12192000"/>
            <a:gd name="connsiteY678" fmla="*/ 5957166 h 6858000"/>
            <a:gd name="connsiteX679" fmla="*/ 6203718 w 12192000"/>
            <a:gd name="connsiteY679" fmla="*/ 5991985 h 6858000"/>
            <a:gd name="connsiteX680" fmla="*/ 7986460 w 12192000"/>
            <a:gd name="connsiteY680" fmla="*/ 5991985 h 6858000"/>
            <a:gd name="connsiteX681" fmla="*/ 7951635 w 12192000"/>
            <a:gd name="connsiteY681" fmla="*/ 5957166 h 6858000"/>
            <a:gd name="connsiteX682" fmla="*/ 7986460 w 12192000"/>
            <a:gd name="connsiteY682" fmla="*/ 5922348 h 6858000"/>
            <a:gd name="connsiteX683" fmla="*/ 8021273 w 12192000"/>
            <a:gd name="connsiteY683" fmla="*/ 5957166 h 6858000"/>
            <a:gd name="connsiteX684" fmla="*/ 7986460 w 12192000"/>
            <a:gd name="connsiteY684" fmla="*/ 5991985 h 6858000"/>
            <a:gd name="connsiteX685" fmla="*/ 8071353 w 12192000"/>
            <a:gd name="connsiteY685" fmla="*/ 5991985 h 6858000"/>
            <a:gd name="connsiteX686" fmla="*/ 8036527 w 12192000"/>
            <a:gd name="connsiteY686" fmla="*/ 5957166 h 6858000"/>
            <a:gd name="connsiteX687" fmla="*/ 8071353 w 12192000"/>
            <a:gd name="connsiteY687" fmla="*/ 5922348 h 6858000"/>
            <a:gd name="connsiteX688" fmla="*/ 8106165 w 12192000"/>
            <a:gd name="connsiteY688" fmla="*/ 5957166 h 6858000"/>
            <a:gd name="connsiteX689" fmla="*/ 8071353 w 12192000"/>
            <a:gd name="connsiteY689" fmla="*/ 5991985 h 6858000"/>
            <a:gd name="connsiteX690" fmla="*/ 8156246 w 12192000"/>
            <a:gd name="connsiteY690" fmla="*/ 5991985 h 6858000"/>
            <a:gd name="connsiteX691" fmla="*/ 8121420 w 12192000"/>
            <a:gd name="connsiteY691" fmla="*/ 5957166 h 6858000"/>
            <a:gd name="connsiteX692" fmla="*/ 8156246 w 12192000"/>
            <a:gd name="connsiteY692" fmla="*/ 5922348 h 6858000"/>
            <a:gd name="connsiteX693" fmla="*/ 8191058 w 12192000"/>
            <a:gd name="connsiteY693" fmla="*/ 5957166 h 6858000"/>
            <a:gd name="connsiteX694" fmla="*/ 8156246 w 12192000"/>
            <a:gd name="connsiteY694" fmla="*/ 5991985 h 6858000"/>
            <a:gd name="connsiteX695" fmla="*/ 8241138 w 12192000"/>
            <a:gd name="connsiteY695" fmla="*/ 5991985 h 6858000"/>
            <a:gd name="connsiteX696" fmla="*/ 8206313 w 12192000"/>
            <a:gd name="connsiteY696" fmla="*/ 5957166 h 6858000"/>
            <a:gd name="connsiteX697" fmla="*/ 8241138 w 12192000"/>
            <a:gd name="connsiteY697" fmla="*/ 5922348 h 6858000"/>
            <a:gd name="connsiteX698" fmla="*/ 8275950 w 12192000"/>
            <a:gd name="connsiteY698" fmla="*/ 5957166 h 6858000"/>
            <a:gd name="connsiteX699" fmla="*/ 8241138 w 12192000"/>
            <a:gd name="connsiteY699" fmla="*/ 5991985 h 6858000"/>
            <a:gd name="connsiteX700" fmla="*/ 8326030 w 12192000"/>
            <a:gd name="connsiteY700" fmla="*/ 5991985 h 6858000"/>
            <a:gd name="connsiteX701" fmla="*/ 8291205 w 12192000"/>
            <a:gd name="connsiteY701" fmla="*/ 5957166 h 6858000"/>
            <a:gd name="connsiteX702" fmla="*/ 8326030 w 12192000"/>
            <a:gd name="connsiteY702" fmla="*/ 5922348 h 6858000"/>
            <a:gd name="connsiteX703" fmla="*/ 8360843 w 12192000"/>
            <a:gd name="connsiteY703" fmla="*/ 5957166 h 6858000"/>
            <a:gd name="connsiteX704" fmla="*/ 8326030 w 12192000"/>
            <a:gd name="connsiteY704" fmla="*/ 5991985 h 6858000"/>
            <a:gd name="connsiteX705" fmla="*/ 9259848 w 12192000"/>
            <a:gd name="connsiteY705" fmla="*/ 5991985 h 6858000"/>
            <a:gd name="connsiteX706" fmla="*/ 9225023 w 12192000"/>
            <a:gd name="connsiteY706" fmla="*/ 5957166 h 6858000"/>
            <a:gd name="connsiteX707" fmla="*/ 9259848 w 12192000"/>
            <a:gd name="connsiteY707" fmla="*/ 5922348 h 6858000"/>
            <a:gd name="connsiteX708" fmla="*/ 9294660 w 12192000"/>
            <a:gd name="connsiteY708" fmla="*/ 5957166 h 6858000"/>
            <a:gd name="connsiteX709" fmla="*/ 9259848 w 12192000"/>
            <a:gd name="connsiteY709" fmla="*/ 5991985 h 6858000"/>
            <a:gd name="connsiteX710" fmla="*/ 9344740 w 12192000"/>
            <a:gd name="connsiteY710" fmla="*/ 5991985 h 6858000"/>
            <a:gd name="connsiteX711" fmla="*/ 9309915 w 12192000"/>
            <a:gd name="connsiteY711" fmla="*/ 5957166 h 6858000"/>
            <a:gd name="connsiteX712" fmla="*/ 9344740 w 12192000"/>
            <a:gd name="connsiteY712" fmla="*/ 5922348 h 6858000"/>
            <a:gd name="connsiteX713" fmla="*/ 9379553 w 12192000"/>
            <a:gd name="connsiteY713" fmla="*/ 5957166 h 6858000"/>
            <a:gd name="connsiteX714" fmla="*/ 9344740 w 12192000"/>
            <a:gd name="connsiteY714" fmla="*/ 5991985 h 6858000"/>
            <a:gd name="connsiteX715" fmla="*/ 9429633 w 12192000"/>
            <a:gd name="connsiteY715" fmla="*/ 5991985 h 6858000"/>
            <a:gd name="connsiteX716" fmla="*/ 9394807 w 12192000"/>
            <a:gd name="connsiteY716" fmla="*/ 5957166 h 6858000"/>
            <a:gd name="connsiteX717" fmla="*/ 9429633 w 12192000"/>
            <a:gd name="connsiteY717" fmla="*/ 5922348 h 6858000"/>
            <a:gd name="connsiteX718" fmla="*/ 9464445 w 12192000"/>
            <a:gd name="connsiteY718" fmla="*/ 5957166 h 6858000"/>
            <a:gd name="connsiteX719" fmla="*/ 9429633 w 12192000"/>
            <a:gd name="connsiteY719" fmla="*/ 5991985 h 6858000"/>
            <a:gd name="connsiteX720" fmla="*/ 9599418 w 12192000"/>
            <a:gd name="connsiteY720" fmla="*/ 5991985 h 6858000"/>
            <a:gd name="connsiteX721" fmla="*/ 9564593 w 12192000"/>
            <a:gd name="connsiteY721" fmla="*/ 5957166 h 6858000"/>
            <a:gd name="connsiteX722" fmla="*/ 9599418 w 12192000"/>
            <a:gd name="connsiteY722" fmla="*/ 5922348 h 6858000"/>
            <a:gd name="connsiteX723" fmla="*/ 9634230 w 12192000"/>
            <a:gd name="connsiteY723" fmla="*/ 5957166 h 6858000"/>
            <a:gd name="connsiteX724" fmla="*/ 9599418 w 12192000"/>
            <a:gd name="connsiteY724" fmla="*/ 5991985 h 6858000"/>
            <a:gd name="connsiteX725" fmla="*/ 9684310 w 12192000"/>
            <a:gd name="connsiteY725" fmla="*/ 5991985 h 6858000"/>
            <a:gd name="connsiteX726" fmla="*/ 9649485 w 12192000"/>
            <a:gd name="connsiteY726" fmla="*/ 5957166 h 6858000"/>
            <a:gd name="connsiteX727" fmla="*/ 9684310 w 12192000"/>
            <a:gd name="connsiteY727" fmla="*/ 5922348 h 6858000"/>
            <a:gd name="connsiteX728" fmla="*/ 9719123 w 12192000"/>
            <a:gd name="connsiteY728" fmla="*/ 5957166 h 6858000"/>
            <a:gd name="connsiteX729" fmla="*/ 9684310 w 12192000"/>
            <a:gd name="connsiteY729" fmla="*/ 5991985 h 6858000"/>
            <a:gd name="connsiteX730" fmla="*/ 9938988 w 12192000"/>
            <a:gd name="connsiteY730" fmla="*/ 5991985 h 6858000"/>
            <a:gd name="connsiteX731" fmla="*/ 9904163 w 12192000"/>
            <a:gd name="connsiteY731" fmla="*/ 5957166 h 6858000"/>
            <a:gd name="connsiteX732" fmla="*/ 9938988 w 12192000"/>
            <a:gd name="connsiteY732" fmla="*/ 5922348 h 6858000"/>
            <a:gd name="connsiteX733" fmla="*/ 9973800 w 12192000"/>
            <a:gd name="connsiteY733" fmla="*/ 5957166 h 6858000"/>
            <a:gd name="connsiteX734" fmla="*/ 9938988 w 12192000"/>
            <a:gd name="connsiteY734" fmla="*/ 5991985 h 6858000"/>
            <a:gd name="connsiteX735" fmla="*/ 10023880 w 12192000"/>
            <a:gd name="connsiteY735" fmla="*/ 5991985 h 6858000"/>
            <a:gd name="connsiteX736" fmla="*/ 9989055 w 12192000"/>
            <a:gd name="connsiteY736" fmla="*/ 5957166 h 6858000"/>
            <a:gd name="connsiteX737" fmla="*/ 10023880 w 12192000"/>
            <a:gd name="connsiteY737" fmla="*/ 5922348 h 6858000"/>
            <a:gd name="connsiteX738" fmla="*/ 10058693 w 12192000"/>
            <a:gd name="connsiteY738" fmla="*/ 5957166 h 6858000"/>
            <a:gd name="connsiteX739" fmla="*/ 10023880 w 12192000"/>
            <a:gd name="connsiteY739" fmla="*/ 5991985 h 6858000"/>
            <a:gd name="connsiteX740" fmla="*/ 10108773 w 12192000"/>
            <a:gd name="connsiteY740" fmla="*/ 5991985 h 6858000"/>
            <a:gd name="connsiteX741" fmla="*/ 10073947 w 12192000"/>
            <a:gd name="connsiteY741" fmla="*/ 5957166 h 6858000"/>
            <a:gd name="connsiteX742" fmla="*/ 10108773 w 12192000"/>
            <a:gd name="connsiteY742" fmla="*/ 5922348 h 6858000"/>
            <a:gd name="connsiteX743" fmla="*/ 10143585 w 12192000"/>
            <a:gd name="connsiteY743" fmla="*/ 5957166 h 6858000"/>
            <a:gd name="connsiteX744" fmla="*/ 10108773 w 12192000"/>
            <a:gd name="connsiteY744" fmla="*/ 5991985 h 6858000"/>
            <a:gd name="connsiteX745" fmla="*/ 10193665 w 12192000"/>
            <a:gd name="connsiteY745" fmla="*/ 5991985 h 6858000"/>
            <a:gd name="connsiteX746" fmla="*/ 10158839 w 12192000"/>
            <a:gd name="connsiteY746" fmla="*/ 5957166 h 6858000"/>
            <a:gd name="connsiteX747" fmla="*/ 10193665 w 12192000"/>
            <a:gd name="connsiteY747" fmla="*/ 5922348 h 6858000"/>
            <a:gd name="connsiteX748" fmla="*/ 10228477 w 12192000"/>
            <a:gd name="connsiteY748" fmla="*/ 5957166 h 6858000"/>
            <a:gd name="connsiteX749" fmla="*/ 10193665 w 12192000"/>
            <a:gd name="connsiteY749" fmla="*/ 5991985 h 6858000"/>
            <a:gd name="connsiteX750" fmla="*/ 10278558 w 12192000"/>
            <a:gd name="connsiteY750" fmla="*/ 5991985 h 6858000"/>
            <a:gd name="connsiteX751" fmla="*/ 10243733 w 12192000"/>
            <a:gd name="connsiteY751" fmla="*/ 5957166 h 6858000"/>
            <a:gd name="connsiteX752" fmla="*/ 10278558 w 12192000"/>
            <a:gd name="connsiteY752" fmla="*/ 5922348 h 6858000"/>
            <a:gd name="connsiteX753" fmla="*/ 10313370 w 12192000"/>
            <a:gd name="connsiteY753" fmla="*/ 5957166 h 6858000"/>
            <a:gd name="connsiteX754" fmla="*/ 10278558 w 12192000"/>
            <a:gd name="connsiteY754" fmla="*/ 5991985 h 6858000"/>
            <a:gd name="connsiteX755" fmla="*/ 10363450 w 12192000"/>
            <a:gd name="connsiteY755" fmla="*/ 5991985 h 6858000"/>
            <a:gd name="connsiteX756" fmla="*/ 10328625 w 12192000"/>
            <a:gd name="connsiteY756" fmla="*/ 5957166 h 6858000"/>
            <a:gd name="connsiteX757" fmla="*/ 10363450 w 12192000"/>
            <a:gd name="connsiteY757" fmla="*/ 5922348 h 6858000"/>
            <a:gd name="connsiteX758" fmla="*/ 10398263 w 12192000"/>
            <a:gd name="connsiteY758" fmla="*/ 5957166 h 6858000"/>
            <a:gd name="connsiteX759" fmla="*/ 10363450 w 12192000"/>
            <a:gd name="connsiteY759" fmla="*/ 5991985 h 6858000"/>
            <a:gd name="connsiteX760" fmla="*/ 10448343 w 12192000"/>
            <a:gd name="connsiteY760" fmla="*/ 5991985 h 6858000"/>
            <a:gd name="connsiteX761" fmla="*/ 10413517 w 12192000"/>
            <a:gd name="connsiteY761" fmla="*/ 5957166 h 6858000"/>
            <a:gd name="connsiteX762" fmla="*/ 10448343 w 12192000"/>
            <a:gd name="connsiteY762" fmla="*/ 5922348 h 6858000"/>
            <a:gd name="connsiteX763" fmla="*/ 10483155 w 12192000"/>
            <a:gd name="connsiteY763" fmla="*/ 5957166 h 6858000"/>
            <a:gd name="connsiteX764" fmla="*/ 10448343 w 12192000"/>
            <a:gd name="connsiteY764" fmla="*/ 5991985 h 6858000"/>
            <a:gd name="connsiteX765" fmla="*/ 10533235 w 12192000"/>
            <a:gd name="connsiteY765" fmla="*/ 5991985 h 6858000"/>
            <a:gd name="connsiteX766" fmla="*/ 10498409 w 12192000"/>
            <a:gd name="connsiteY766" fmla="*/ 5957166 h 6858000"/>
            <a:gd name="connsiteX767" fmla="*/ 10533235 w 12192000"/>
            <a:gd name="connsiteY767" fmla="*/ 5922348 h 6858000"/>
            <a:gd name="connsiteX768" fmla="*/ 10568047 w 12192000"/>
            <a:gd name="connsiteY768" fmla="*/ 5957166 h 6858000"/>
            <a:gd name="connsiteX769" fmla="*/ 10533235 w 12192000"/>
            <a:gd name="connsiteY769" fmla="*/ 5991985 h 6858000"/>
            <a:gd name="connsiteX770" fmla="*/ 10618128 w 12192000"/>
            <a:gd name="connsiteY770" fmla="*/ 5991985 h 6858000"/>
            <a:gd name="connsiteX771" fmla="*/ 10583303 w 12192000"/>
            <a:gd name="connsiteY771" fmla="*/ 5957166 h 6858000"/>
            <a:gd name="connsiteX772" fmla="*/ 10618128 w 12192000"/>
            <a:gd name="connsiteY772" fmla="*/ 5922348 h 6858000"/>
            <a:gd name="connsiteX773" fmla="*/ 10652940 w 12192000"/>
            <a:gd name="connsiteY773" fmla="*/ 5957166 h 6858000"/>
            <a:gd name="connsiteX774" fmla="*/ 10618128 w 12192000"/>
            <a:gd name="connsiteY774" fmla="*/ 5991985 h 6858000"/>
            <a:gd name="connsiteX775" fmla="*/ 1704413 w 12192000"/>
            <a:gd name="connsiteY775" fmla="*/ 5907125 h 6858000"/>
            <a:gd name="connsiteX776" fmla="*/ 1669594 w 12192000"/>
            <a:gd name="connsiteY776" fmla="*/ 5872307 h 6858000"/>
            <a:gd name="connsiteX777" fmla="*/ 1704413 w 12192000"/>
            <a:gd name="connsiteY777" fmla="*/ 5837488 h 6858000"/>
            <a:gd name="connsiteX778" fmla="*/ 1739232 w 12192000"/>
            <a:gd name="connsiteY778" fmla="*/ 5872307 h 6858000"/>
            <a:gd name="connsiteX779" fmla="*/ 1704413 w 12192000"/>
            <a:gd name="connsiteY779" fmla="*/ 5907125 h 6858000"/>
            <a:gd name="connsiteX780" fmla="*/ 1789306 w 12192000"/>
            <a:gd name="connsiteY780" fmla="*/ 5907125 h 6858000"/>
            <a:gd name="connsiteX781" fmla="*/ 1754487 w 12192000"/>
            <a:gd name="connsiteY781" fmla="*/ 5872307 h 6858000"/>
            <a:gd name="connsiteX782" fmla="*/ 1789306 w 12192000"/>
            <a:gd name="connsiteY782" fmla="*/ 5837488 h 6858000"/>
            <a:gd name="connsiteX783" fmla="*/ 1824124 w 12192000"/>
            <a:gd name="connsiteY783" fmla="*/ 5872307 h 6858000"/>
            <a:gd name="connsiteX784" fmla="*/ 1789306 w 12192000"/>
            <a:gd name="connsiteY784" fmla="*/ 5907125 h 6858000"/>
            <a:gd name="connsiteX785" fmla="*/ 1874199 w 12192000"/>
            <a:gd name="connsiteY785" fmla="*/ 5907125 h 6858000"/>
            <a:gd name="connsiteX786" fmla="*/ 1839380 w 12192000"/>
            <a:gd name="connsiteY786" fmla="*/ 5872307 h 6858000"/>
            <a:gd name="connsiteX787" fmla="*/ 1874199 w 12192000"/>
            <a:gd name="connsiteY787" fmla="*/ 5837488 h 6858000"/>
            <a:gd name="connsiteX788" fmla="*/ 1909018 w 12192000"/>
            <a:gd name="connsiteY788" fmla="*/ 5872307 h 6858000"/>
            <a:gd name="connsiteX789" fmla="*/ 1874199 w 12192000"/>
            <a:gd name="connsiteY789" fmla="*/ 5907125 h 6858000"/>
            <a:gd name="connsiteX790" fmla="*/ 1959091 w 12192000"/>
            <a:gd name="connsiteY790" fmla="*/ 5907125 h 6858000"/>
            <a:gd name="connsiteX791" fmla="*/ 1924272 w 12192000"/>
            <a:gd name="connsiteY791" fmla="*/ 5872307 h 6858000"/>
            <a:gd name="connsiteX792" fmla="*/ 1959091 w 12192000"/>
            <a:gd name="connsiteY792" fmla="*/ 5837488 h 6858000"/>
            <a:gd name="connsiteX793" fmla="*/ 1993910 w 12192000"/>
            <a:gd name="connsiteY793" fmla="*/ 5872307 h 6858000"/>
            <a:gd name="connsiteX794" fmla="*/ 1959091 w 12192000"/>
            <a:gd name="connsiteY794" fmla="*/ 5907125 h 6858000"/>
            <a:gd name="connsiteX795" fmla="*/ 2043983 w 12192000"/>
            <a:gd name="connsiteY795" fmla="*/ 5907125 h 6858000"/>
            <a:gd name="connsiteX796" fmla="*/ 2009164 w 12192000"/>
            <a:gd name="connsiteY796" fmla="*/ 5872307 h 6858000"/>
            <a:gd name="connsiteX797" fmla="*/ 2043983 w 12192000"/>
            <a:gd name="connsiteY797" fmla="*/ 5837488 h 6858000"/>
            <a:gd name="connsiteX798" fmla="*/ 2078802 w 12192000"/>
            <a:gd name="connsiteY798" fmla="*/ 5872307 h 6858000"/>
            <a:gd name="connsiteX799" fmla="*/ 2043983 w 12192000"/>
            <a:gd name="connsiteY799" fmla="*/ 5907125 h 6858000"/>
            <a:gd name="connsiteX800" fmla="*/ 2128876 w 12192000"/>
            <a:gd name="connsiteY800" fmla="*/ 5907125 h 6858000"/>
            <a:gd name="connsiteX801" fmla="*/ 2094057 w 12192000"/>
            <a:gd name="connsiteY801" fmla="*/ 5872307 h 6858000"/>
            <a:gd name="connsiteX802" fmla="*/ 2128876 w 12192000"/>
            <a:gd name="connsiteY802" fmla="*/ 5837488 h 6858000"/>
            <a:gd name="connsiteX803" fmla="*/ 2163694 w 12192000"/>
            <a:gd name="connsiteY803" fmla="*/ 5872307 h 6858000"/>
            <a:gd name="connsiteX804" fmla="*/ 2128876 w 12192000"/>
            <a:gd name="connsiteY804" fmla="*/ 5907125 h 6858000"/>
            <a:gd name="connsiteX805" fmla="*/ 2977801 w 12192000"/>
            <a:gd name="connsiteY805" fmla="*/ 5907125 h 6858000"/>
            <a:gd name="connsiteX806" fmla="*/ 2942982 w 12192000"/>
            <a:gd name="connsiteY806" fmla="*/ 5872307 h 6858000"/>
            <a:gd name="connsiteX807" fmla="*/ 2977801 w 12192000"/>
            <a:gd name="connsiteY807" fmla="*/ 5837488 h 6858000"/>
            <a:gd name="connsiteX808" fmla="*/ 3012620 w 12192000"/>
            <a:gd name="connsiteY808" fmla="*/ 5872307 h 6858000"/>
            <a:gd name="connsiteX809" fmla="*/ 2977801 w 12192000"/>
            <a:gd name="connsiteY809" fmla="*/ 5907125 h 6858000"/>
            <a:gd name="connsiteX810" fmla="*/ 3062693 w 12192000"/>
            <a:gd name="connsiteY810" fmla="*/ 5907125 h 6858000"/>
            <a:gd name="connsiteX811" fmla="*/ 3027874 w 12192000"/>
            <a:gd name="connsiteY811" fmla="*/ 5872307 h 6858000"/>
            <a:gd name="connsiteX812" fmla="*/ 3062693 w 12192000"/>
            <a:gd name="connsiteY812" fmla="*/ 5837488 h 6858000"/>
            <a:gd name="connsiteX813" fmla="*/ 3097512 w 12192000"/>
            <a:gd name="connsiteY813" fmla="*/ 5872307 h 6858000"/>
            <a:gd name="connsiteX814" fmla="*/ 3062693 w 12192000"/>
            <a:gd name="connsiteY814" fmla="*/ 5907125 h 6858000"/>
            <a:gd name="connsiteX815" fmla="*/ 3147586 w 12192000"/>
            <a:gd name="connsiteY815" fmla="*/ 5907125 h 6858000"/>
            <a:gd name="connsiteX816" fmla="*/ 3112767 w 12192000"/>
            <a:gd name="connsiteY816" fmla="*/ 5872307 h 6858000"/>
            <a:gd name="connsiteX817" fmla="*/ 3147586 w 12192000"/>
            <a:gd name="connsiteY817" fmla="*/ 5837488 h 6858000"/>
            <a:gd name="connsiteX818" fmla="*/ 3182404 w 12192000"/>
            <a:gd name="connsiteY818" fmla="*/ 5872307 h 6858000"/>
            <a:gd name="connsiteX819" fmla="*/ 3147586 w 12192000"/>
            <a:gd name="connsiteY819" fmla="*/ 5907125 h 6858000"/>
            <a:gd name="connsiteX820" fmla="*/ 3826726 w 12192000"/>
            <a:gd name="connsiteY820" fmla="*/ 5907125 h 6858000"/>
            <a:gd name="connsiteX821" fmla="*/ 3791907 w 12192000"/>
            <a:gd name="connsiteY821" fmla="*/ 5872307 h 6858000"/>
            <a:gd name="connsiteX822" fmla="*/ 3826726 w 12192000"/>
            <a:gd name="connsiteY822" fmla="*/ 5837488 h 6858000"/>
            <a:gd name="connsiteX823" fmla="*/ 3861544 w 12192000"/>
            <a:gd name="connsiteY823" fmla="*/ 5872307 h 6858000"/>
            <a:gd name="connsiteX824" fmla="*/ 3826726 w 12192000"/>
            <a:gd name="connsiteY824" fmla="*/ 5907125 h 6858000"/>
            <a:gd name="connsiteX825" fmla="*/ 3911618 w 12192000"/>
            <a:gd name="connsiteY825" fmla="*/ 5907125 h 6858000"/>
            <a:gd name="connsiteX826" fmla="*/ 3876799 w 12192000"/>
            <a:gd name="connsiteY826" fmla="*/ 5872307 h 6858000"/>
            <a:gd name="connsiteX827" fmla="*/ 3911618 w 12192000"/>
            <a:gd name="connsiteY827" fmla="*/ 5837488 h 6858000"/>
            <a:gd name="connsiteX828" fmla="*/ 3946437 w 12192000"/>
            <a:gd name="connsiteY828" fmla="*/ 5872307 h 6858000"/>
            <a:gd name="connsiteX829" fmla="*/ 3911618 w 12192000"/>
            <a:gd name="connsiteY829" fmla="*/ 5907125 h 6858000"/>
            <a:gd name="connsiteX830" fmla="*/ 3996511 w 12192000"/>
            <a:gd name="connsiteY830" fmla="*/ 5907125 h 6858000"/>
            <a:gd name="connsiteX831" fmla="*/ 3961692 w 12192000"/>
            <a:gd name="connsiteY831" fmla="*/ 5872307 h 6858000"/>
            <a:gd name="connsiteX832" fmla="*/ 3996511 w 12192000"/>
            <a:gd name="connsiteY832" fmla="*/ 5837488 h 6858000"/>
            <a:gd name="connsiteX833" fmla="*/ 4031330 w 12192000"/>
            <a:gd name="connsiteY833" fmla="*/ 5872307 h 6858000"/>
            <a:gd name="connsiteX834" fmla="*/ 3996511 w 12192000"/>
            <a:gd name="connsiteY834" fmla="*/ 5907125 h 6858000"/>
            <a:gd name="connsiteX835" fmla="*/ 4336080 w 12192000"/>
            <a:gd name="connsiteY835" fmla="*/ 5907125 h 6858000"/>
            <a:gd name="connsiteX836" fmla="*/ 4301261 w 12192000"/>
            <a:gd name="connsiteY836" fmla="*/ 5872307 h 6858000"/>
            <a:gd name="connsiteX837" fmla="*/ 4336080 w 12192000"/>
            <a:gd name="connsiteY837" fmla="*/ 5837488 h 6858000"/>
            <a:gd name="connsiteX838" fmla="*/ 4370899 w 12192000"/>
            <a:gd name="connsiteY838" fmla="*/ 5872307 h 6858000"/>
            <a:gd name="connsiteX839" fmla="*/ 4336080 w 12192000"/>
            <a:gd name="connsiteY839" fmla="*/ 5907125 h 6858000"/>
            <a:gd name="connsiteX840" fmla="*/ 4420973 w 12192000"/>
            <a:gd name="connsiteY840" fmla="*/ 5907125 h 6858000"/>
            <a:gd name="connsiteX841" fmla="*/ 4386154 w 12192000"/>
            <a:gd name="connsiteY841" fmla="*/ 5872307 h 6858000"/>
            <a:gd name="connsiteX842" fmla="*/ 4420973 w 12192000"/>
            <a:gd name="connsiteY842" fmla="*/ 5837488 h 6858000"/>
            <a:gd name="connsiteX843" fmla="*/ 4455792 w 12192000"/>
            <a:gd name="connsiteY843" fmla="*/ 5872307 h 6858000"/>
            <a:gd name="connsiteX844" fmla="*/ 4420973 w 12192000"/>
            <a:gd name="connsiteY844" fmla="*/ 5907125 h 6858000"/>
            <a:gd name="connsiteX845" fmla="*/ 4505866 w 12192000"/>
            <a:gd name="connsiteY845" fmla="*/ 5907125 h 6858000"/>
            <a:gd name="connsiteX846" fmla="*/ 4471047 w 12192000"/>
            <a:gd name="connsiteY846" fmla="*/ 5872307 h 6858000"/>
            <a:gd name="connsiteX847" fmla="*/ 4505866 w 12192000"/>
            <a:gd name="connsiteY847" fmla="*/ 5837488 h 6858000"/>
            <a:gd name="connsiteX848" fmla="*/ 4540684 w 12192000"/>
            <a:gd name="connsiteY848" fmla="*/ 5872307 h 6858000"/>
            <a:gd name="connsiteX849" fmla="*/ 4505866 w 12192000"/>
            <a:gd name="connsiteY849" fmla="*/ 5907125 h 6858000"/>
            <a:gd name="connsiteX850" fmla="*/ 4590758 w 12192000"/>
            <a:gd name="connsiteY850" fmla="*/ 5907125 h 6858000"/>
            <a:gd name="connsiteX851" fmla="*/ 4555939 w 12192000"/>
            <a:gd name="connsiteY851" fmla="*/ 5872307 h 6858000"/>
            <a:gd name="connsiteX852" fmla="*/ 4590758 w 12192000"/>
            <a:gd name="connsiteY852" fmla="*/ 5837488 h 6858000"/>
            <a:gd name="connsiteX853" fmla="*/ 4625577 w 12192000"/>
            <a:gd name="connsiteY853" fmla="*/ 5872307 h 6858000"/>
            <a:gd name="connsiteX854" fmla="*/ 4590758 w 12192000"/>
            <a:gd name="connsiteY854" fmla="*/ 5907125 h 6858000"/>
            <a:gd name="connsiteX855" fmla="*/ 4675650 w 12192000"/>
            <a:gd name="connsiteY855" fmla="*/ 5907125 h 6858000"/>
            <a:gd name="connsiteX856" fmla="*/ 4640831 w 12192000"/>
            <a:gd name="connsiteY856" fmla="*/ 5872307 h 6858000"/>
            <a:gd name="connsiteX857" fmla="*/ 4675650 w 12192000"/>
            <a:gd name="connsiteY857" fmla="*/ 5837488 h 6858000"/>
            <a:gd name="connsiteX858" fmla="*/ 4710469 w 12192000"/>
            <a:gd name="connsiteY858" fmla="*/ 5872307 h 6858000"/>
            <a:gd name="connsiteX859" fmla="*/ 4675650 w 12192000"/>
            <a:gd name="connsiteY859" fmla="*/ 5907125 h 6858000"/>
            <a:gd name="connsiteX860" fmla="*/ 4760543 w 12192000"/>
            <a:gd name="connsiteY860" fmla="*/ 5907125 h 6858000"/>
            <a:gd name="connsiteX861" fmla="*/ 4725724 w 12192000"/>
            <a:gd name="connsiteY861" fmla="*/ 5872307 h 6858000"/>
            <a:gd name="connsiteX862" fmla="*/ 4760543 w 12192000"/>
            <a:gd name="connsiteY862" fmla="*/ 5837488 h 6858000"/>
            <a:gd name="connsiteX863" fmla="*/ 4795362 w 12192000"/>
            <a:gd name="connsiteY863" fmla="*/ 5872307 h 6858000"/>
            <a:gd name="connsiteX864" fmla="*/ 4760543 w 12192000"/>
            <a:gd name="connsiteY864" fmla="*/ 5907125 h 6858000"/>
            <a:gd name="connsiteX865" fmla="*/ 4845436 w 12192000"/>
            <a:gd name="connsiteY865" fmla="*/ 5907125 h 6858000"/>
            <a:gd name="connsiteX866" fmla="*/ 4810617 w 12192000"/>
            <a:gd name="connsiteY866" fmla="*/ 5872307 h 6858000"/>
            <a:gd name="connsiteX867" fmla="*/ 4845436 w 12192000"/>
            <a:gd name="connsiteY867" fmla="*/ 5837488 h 6858000"/>
            <a:gd name="connsiteX868" fmla="*/ 4880254 w 12192000"/>
            <a:gd name="connsiteY868" fmla="*/ 5872307 h 6858000"/>
            <a:gd name="connsiteX869" fmla="*/ 4845436 w 12192000"/>
            <a:gd name="connsiteY869" fmla="*/ 5907125 h 6858000"/>
            <a:gd name="connsiteX870" fmla="*/ 4930328 w 12192000"/>
            <a:gd name="connsiteY870" fmla="*/ 5907125 h 6858000"/>
            <a:gd name="connsiteX871" fmla="*/ 4895509 w 12192000"/>
            <a:gd name="connsiteY871" fmla="*/ 5872307 h 6858000"/>
            <a:gd name="connsiteX872" fmla="*/ 4930328 w 12192000"/>
            <a:gd name="connsiteY872" fmla="*/ 5837488 h 6858000"/>
            <a:gd name="connsiteX873" fmla="*/ 4965147 w 12192000"/>
            <a:gd name="connsiteY873" fmla="*/ 5872307 h 6858000"/>
            <a:gd name="connsiteX874" fmla="*/ 4930328 w 12192000"/>
            <a:gd name="connsiteY874" fmla="*/ 5907125 h 6858000"/>
            <a:gd name="connsiteX875" fmla="*/ 5015220 w 12192000"/>
            <a:gd name="connsiteY875" fmla="*/ 5907125 h 6858000"/>
            <a:gd name="connsiteX876" fmla="*/ 4980401 w 12192000"/>
            <a:gd name="connsiteY876" fmla="*/ 5872307 h 6858000"/>
            <a:gd name="connsiteX877" fmla="*/ 5015220 w 12192000"/>
            <a:gd name="connsiteY877" fmla="*/ 5837488 h 6858000"/>
            <a:gd name="connsiteX878" fmla="*/ 5050039 w 12192000"/>
            <a:gd name="connsiteY878" fmla="*/ 5872307 h 6858000"/>
            <a:gd name="connsiteX879" fmla="*/ 5015220 w 12192000"/>
            <a:gd name="connsiteY879" fmla="*/ 5907125 h 6858000"/>
            <a:gd name="connsiteX880" fmla="*/ 5100113 w 12192000"/>
            <a:gd name="connsiteY880" fmla="*/ 5907125 h 6858000"/>
            <a:gd name="connsiteX881" fmla="*/ 5065294 w 12192000"/>
            <a:gd name="connsiteY881" fmla="*/ 5872307 h 6858000"/>
            <a:gd name="connsiteX882" fmla="*/ 5100113 w 12192000"/>
            <a:gd name="connsiteY882" fmla="*/ 5837488 h 6858000"/>
            <a:gd name="connsiteX883" fmla="*/ 5134932 w 12192000"/>
            <a:gd name="connsiteY883" fmla="*/ 5872307 h 6858000"/>
            <a:gd name="connsiteX884" fmla="*/ 5100113 w 12192000"/>
            <a:gd name="connsiteY884" fmla="*/ 5907125 h 6858000"/>
            <a:gd name="connsiteX885" fmla="*/ 5185006 w 12192000"/>
            <a:gd name="connsiteY885" fmla="*/ 5907125 h 6858000"/>
            <a:gd name="connsiteX886" fmla="*/ 5150187 w 12192000"/>
            <a:gd name="connsiteY886" fmla="*/ 5872307 h 6858000"/>
            <a:gd name="connsiteX887" fmla="*/ 5185006 w 12192000"/>
            <a:gd name="connsiteY887" fmla="*/ 5837488 h 6858000"/>
            <a:gd name="connsiteX888" fmla="*/ 5219824 w 12192000"/>
            <a:gd name="connsiteY888" fmla="*/ 5872307 h 6858000"/>
            <a:gd name="connsiteX889" fmla="*/ 5185006 w 12192000"/>
            <a:gd name="connsiteY889" fmla="*/ 5907125 h 6858000"/>
            <a:gd name="connsiteX890" fmla="*/ 5269898 w 12192000"/>
            <a:gd name="connsiteY890" fmla="*/ 5907125 h 6858000"/>
            <a:gd name="connsiteX891" fmla="*/ 5235079 w 12192000"/>
            <a:gd name="connsiteY891" fmla="*/ 5872307 h 6858000"/>
            <a:gd name="connsiteX892" fmla="*/ 5269898 w 12192000"/>
            <a:gd name="connsiteY892" fmla="*/ 5837488 h 6858000"/>
            <a:gd name="connsiteX893" fmla="*/ 5304717 w 12192000"/>
            <a:gd name="connsiteY893" fmla="*/ 5872307 h 6858000"/>
            <a:gd name="connsiteX894" fmla="*/ 5269898 w 12192000"/>
            <a:gd name="connsiteY894" fmla="*/ 5907125 h 6858000"/>
            <a:gd name="connsiteX895" fmla="*/ 5354790 w 12192000"/>
            <a:gd name="connsiteY895" fmla="*/ 5907125 h 6858000"/>
            <a:gd name="connsiteX896" fmla="*/ 5319971 w 12192000"/>
            <a:gd name="connsiteY896" fmla="*/ 5872307 h 6858000"/>
            <a:gd name="connsiteX897" fmla="*/ 5354790 w 12192000"/>
            <a:gd name="connsiteY897" fmla="*/ 5837488 h 6858000"/>
            <a:gd name="connsiteX898" fmla="*/ 5389609 w 12192000"/>
            <a:gd name="connsiteY898" fmla="*/ 5872307 h 6858000"/>
            <a:gd name="connsiteX899" fmla="*/ 5354790 w 12192000"/>
            <a:gd name="connsiteY899" fmla="*/ 5907125 h 6858000"/>
            <a:gd name="connsiteX900" fmla="*/ 6203718 w 12192000"/>
            <a:gd name="connsiteY900" fmla="*/ 5907125 h 6858000"/>
            <a:gd name="connsiteX901" fmla="*/ 6168893 w 12192000"/>
            <a:gd name="connsiteY901" fmla="*/ 5872307 h 6858000"/>
            <a:gd name="connsiteX902" fmla="*/ 6203718 w 12192000"/>
            <a:gd name="connsiteY902" fmla="*/ 5837488 h 6858000"/>
            <a:gd name="connsiteX903" fmla="*/ 6238530 w 12192000"/>
            <a:gd name="connsiteY903" fmla="*/ 5872307 h 6858000"/>
            <a:gd name="connsiteX904" fmla="*/ 6203718 w 12192000"/>
            <a:gd name="connsiteY904" fmla="*/ 5907125 h 6858000"/>
            <a:gd name="connsiteX905" fmla="*/ 6288611 w 12192000"/>
            <a:gd name="connsiteY905" fmla="*/ 5907125 h 6858000"/>
            <a:gd name="connsiteX906" fmla="*/ 6253786 w 12192000"/>
            <a:gd name="connsiteY906" fmla="*/ 5872307 h 6858000"/>
            <a:gd name="connsiteX907" fmla="*/ 6288611 w 12192000"/>
            <a:gd name="connsiteY907" fmla="*/ 5837488 h 6858000"/>
            <a:gd name="connsiteX908" fmla="*/ 6323424 w 12192000"/>
            <a:gd name="connsiteY908" fmla="*/ 5872307 h 6858000"/>
            <a:gd name="connsiteX909" fmla="*/ 6288611 w 12192000"/>
            <a:gd name="connsiteY909" fmla="*/ 5907125 h 6858000"/>
            <a:gd name="connsiteX910" fmla="*/ 7307320 w 12192000"/>
            <a:gd name="connsiteY910" fmla="*/ 5907125 h 6858000"/>
            <a:gd name="connsiteX911" fmla="*/ 7272495 w 12192000"/>
            <a:gd name="connsiteY911" fmla="*/ 5872307 h 6858000"/>
            <a:gd name="connsiteX912" fmla="*/ 7307320 w 12192000"/>
            <a:gd name="connsiteY912" fmla="*/ 5837488 h 6858000"/>
            <a:gd name="connsiteX913" fmla="*/ 7342133 w 12192000"/>
            <a:gd name="connsiteY913" fmla="*/ 5872307 h 6858000"/>
            <a:gd name="connsiteX914" fmla="*/ 7307320 w 12192000"/>
            <a:gd name="connsiteY914" fmla="*/ 5907125 h 6858000"/>
            <a:gd name="connsiteX915" fmla="*/ 7901568 w 12192000"/>
            <a:gd name="connsiteY915" fmla="*/ 5907125 h 6858000"/>
            <a:gd name="connsiteX916" fmla="*/ 7866743 w 12192000"/>
            <a:gd name="connsiteY916" fmla="*/ 5872307 h 6858000"/>
            <a:gd name="connsiteX917" fmla="*/ 7901568 w 12192000"/>
            <a:gd name="connsiteY917" fmla="*/ 5837488 h 6858000"/>
            <a:gd name="connsiteX918" fmla="*/ 7936380 w 12192000"/>
            <a:gd name="connsiteY918" fmla="*/ 5872307 h 6858000"/>
            <a:gd name="connsiteX919" fmla="*/ 7901568 w 12192000"/>
            <a:gd name="connsiteY919" fmla="*/ 5907125 h 6858000"/>
            <a:gd name="connsiteX920" fmla="*/ 7986460 w 12192000"/>
            <a:gd name="connsiteY920" fmla="*/ 5907125 h 6858000"/>
            <a:gd name="connsiteX921" fmla="*/ 7951635 w 12192000"/>
            <a:gd name="connsiteY921" fmla="*/ 5872307 h 6858000"/>
            <a:gd name="connsiteX922" fmla="*/ 7986460 w 12192000"/>
            <a:gd name="connsiteY922" fmla="*/ 5837488 h 6858000"/>
            <a:gd name="connsiteX923" fmla="*/ 8021273 w 12192000"/>
            <a:gd name="connsiteY923" fmla="*/ 5872307 h 6858000"/>
            <a:gd name="connsiteX924" fmla="*/ 7986460 w 12192000"/>
            <a:gd name="connsiteY924" fmla="*/ 5907125 h 6858000"/>
            <a:gd name="connsiteX925" fmla="*/ 8071353 w 12192000"/>
            <a:gd name="connsiteY925" fmla="*/ 5907125 h 6858000"/>
            <a:gd name="connsiteX926" fmla="*/ 8036527 w 12192000"/>
            <a:gd name="connsiteY926" fmla="*/ 5872307 h 6858000"/>
            <a:gd name="connsiteX927" fmla="*/ 8071353 w 12192000"/>
            <a:gd name="connsiteY927" fmla="*/ 5837488 h 6858000"/>
            <a:gd name="connsiteX928" fmla="*/ 8106165 w 12192000"/>
            <a:gd name="connsiteY928" fmla="*/ 5872307 h 6858000"/>
            <a:gd name="connsiteX929" fmla="*/ 8071353 w 12192000"/>
            <a:gd name="connsiteY929" fmla="*/ 5907125 h 6858000"/>
            <a:gd name="connsiteX930" fmla="*/ 8241138 w 12192000"/>
            <a:gd name="connsiteY930" fmla="*/ 5907125 h 6858000"/>
            <a:gd name="connsiteX931" fmla="*/ 8206313 w 12192000"/>
            <a:gd name="connsiteY931" fmla="*/ 5872307 h 6858000"/>
            <a:gd name="connsiteX932" fmla="*/ 8241138 w 12192000"/>
            <a:gd name="connsiteY932" fmla="*/ 5837488 h 6858000"/>
            <a:gd name="connsiteX933" fmla="*/ 8275950 w 12192000"/>
            <a:gd name="connsiteY933" fmla="*/ 5872307 h 6858000"/>
            <a:gd name="connsiteX934" fmla="*/ 8241138 w 12192000"/>
            <a:gd name="connsiteY934" fmla="*/ 5907125 h 6858000"/>
            <a:gd name="connsiteX935" fmla="*/ 8580708 w 12192000"/>
            <a:gd name="connsiteY935" fmla="*/ 5907125 h 6858000"/>
            <a:gd name="connsiteX936" fmla="*/ 8545883 w 12192000"/>
            <a:gd name="connsiteY936" fmla="*/ 5872307 h 6858000"/>
            <a:gd name="connsiteX937" fmla="*/ 8580708 w 12192000"/>
            <a:gd name="connsiteY937" fmla="*/ 5837488 h 6858000"/>
            <a:gd name="connsiteX938" fmla="*/ 8615520 w 12192000"/>
            <a:gd name="connsiteY938" fmla="*/ 5872307 h 6858000"/>
            <a:gd name="connsiteX939" fmla="*/ 8580708 w 12192000"/>
            <a:gd name="connsiteY939" fmla="*/ 5907125 h 6858000"/>
            <a:gd name="connsiteX940" fmla="*/ 8750493 w 12192000"/>
            <a:gd name="connsiteY940" fmla="*/ 5907125 h 6858000"/>
            <a:gd name="connsiteX941" fmla="*/ 8715667 w 12192000"/>
            <a:gd name="connsiteY941" fmla="*/ 5872307 h 6858000"/>
            <a:gd name="connsiteX942" fmla="*/ 8750493 w 12192000"/>
            <a:gd name="connsiteY942" fmla="*/ 5837488 h 6858000"/>
            <a:gd name="connsiteX943" fmla="*/ 8785305 w 12192000"/>
            <a:gd name="connsiteY943" fmla="*/ 5872307 h 6858000"/>
            <a:gd name="connsiteX944" fmla="*/ 8750493 w 12192000"/>
            <a:gd name="connsiteY944" fmla="*/ 5907125 h 6858000"/>
            <a:gd name="connsiteX945" fmla="*/ 8835386 w 12192000"/>
            <a:gd name="connsiteY945" fmla="*/ 5907125 h 6858000"/>
            <a:gd name="connsiteX946" fmla="*/ 8800560 w 12192000"/>
            <a:gd name="connsiteY946" fmla="*/ 5872307 h 6858000"/>
            <a:gd name="connsiteX947" fmla="*/ 8835386 w 12192000"/>
            <a:gd name="connsiteY947" fmla="*/ 5837488 h 6858000"/>
            <a:gd name="connsiteX948" fmla="*/ 8870198 w 12192000"/>
            <a:gd name="connsiteY948" fmla="*/ 5872307 h 6858000"/>
            <a:gd name="connsiteX949" fmla="*/ 8835386 w 12192000"/>
            <a:gd name="connsiteY949" fmla="*/ 5907125 h 6858000"/>
            <a:gd name="connsiteX950" fmla="*/ 9174956 w 12192000"/>
            <a:gd name="connsiteY950" fmla="*/ 5907125 h 6858000"/>
            <a:gd name="connsiteX951" fmla="*/ 9140130 w 12192000"/>
            <a:gd name="connsiteY951" fmla="*/ 5872307 h 6858000"/>
            <a:gd name="connsiteX952" fmla="*/ 9174956 w 12192000"/>
            <a:gd name="connsiteY952" fmla="*/ 5837488 h 6858000"/>
            <a:gd name="connsiteX953" fmla="*/ 9209768 w 12192000"/>
            <a:gd name="connsiteY953" fmla="*/ 5872307 h 6858000"/>
            <a:gd name="connsiteX954" fmla="*/ 9174956 w 12192000"/>
            <a:gd name="connsiteY954" fmla="*/ 5907125 h 6858000"/>
            <a:gd name="connsiteX955" fmla="*/ 9259848 w 12192000"/>
            <a:gd name="connsiteY955" fmla="*/ 5907125 h 6858000"/>
            <a:gd name="connsiteX956" fmla="*/ 9225023 w 12192000"/>
            <a:gd name="connsiteY956" fmla="*/ 5872307 h 6858000"/>
            <a:gd name="connsiteX957" fmla="*/ 9259848 w 12192000"/>
            <a:gd name="connsiteY957" fmla="*/ 5837488 h 6858000"/>
            <a:gd name="connsiteX958" fmla="*/ 9294660 w 12192000"/>
            <a:gd name="connsiteY958" fmla="*/ 5872307 h 6858000"/>
            <a:gd name="connsiteX959" fmla="*/ 9259848 w 12192000"/>
            <a:gd name="connsiteY959" fmla="*/ 5907125 h 6858000"/>
            <a:gd name="connsiteX960" fmla="*/ 9344740 w 12192000"/>
            <a:gd name="connsiteY960" fmla="*/ 5907125 h 6858000"/>
            <a:gd name="connsiteX961" fmla="*/ 9309915 w 12192000"/>
            <a:gd name="connsiteY961" fmla="*/ 5872307 h 6858000"/>
            <a:gd name="connsiteX962" fmla="*/ 9344740 w 12192000"/>
            <a:gd name="connsiteY962" fmla="*/ 5837488 h 6858000"/>
            <a:gd name="connsiteX963" fmla="*/ 9379553 w 12192000"/>
            <a:gd name="connsiteY963" fmla="*/ 5872307 h 6858000"/>
            <a:gd name="connsiteX964" fmla="*/ 9344740 w 12192000"/>
            <a:gd name="connsiteY964" fmla="*/ 5907125 h 6858000"/>
            <a:gd name="connsiteX965" fmla="*/ 9429633 w 12192000"/>
            <a:gd name="connsiteY965" fmla="*/ 5907125 h 6858000"/>
            <a:gd name="connsiteX966" fmla="*/ 9394807 w 12192000"/>
            <a:gd name="connsiteY966" fmla="*/ 5872307 h 6858000"/>
            <a:gd name="connsiteX967" fmla="*/ 9429633 w 12192000"/>
            <a:gd name="connsiteY967" fmla="*/ 5837488 h 6858000"/>
            <a:gd name="connsiteX968" fmla="*/ 9464445 w 12192000"/>
            <a:gd name="connsiteY968" fmla="*/ 5872307 h 6858000"/>
            <a:gd name="connsiteX969" fmla="*/ 9429633 w 12192000"/>
            <a:gd name="connsiteY969" fmla="*/ 5907125 h 6858000"/>
            <a:gd name="connsiteX970" fmla="*/ 9514525 w 12192000"/>
            <a:gd name="connsiteY970" fmla="*/ 5907125 h 6858000"/>
            <a:gd name="connsiteX971" fmla="*/ 9479699 w 12192000"/>
            <a:gd name="connsiteY971" fmla="*/ 5872307 h 6858000"/>
            <a:gd name="connsiteX972" fmla="*/ 9514525 w 12192000"/>
            <a:gd name="connsiteY972" fmla="*/ 5837488 h 6858000"/>
            <a:gd name="connsiteX973" fmla="*/ 9549337 w 12192000"/>
            <a:gd name="connsiteY973" fmla="*/ 5872307 h 6858000"/>
            <a:gd name="connsiteX974" fmla="*/ 9514525 w 12192000"/>
            <a:gd name="connsiteY974" fmla="*/ 5907125 h 6858000"/>
            <a:gd name="connsiteX975" fmla="*/ 9599418 w 12192000"/>
            <a:gd name="connsiteY975" fmla="*/ 5907125 h 6858000"/>
            <a:gd name="connsiteX976" fmla="*/ 9564593 w 12192000"/>
            <a:gd name="connsiteY976" fmla="*/ 5872307 h 6858000"/>
            <a:gd name="connsiteX977" fmla="*/ 9599418 w 12192000"/>
            <a:gd name="connsiteY977" fmla="*/ 5837488 h 6858000"/>
            <a:gd name="connsiteX978" fmla="*/ 9634230 w 12192000"/>
            <a:gd name="connsiteY978" fmla="*/ 5872307 h 6858000"/>
            <a:gd name="connsiteX979" fmla="*/ 9599418 w 12192000"/>
            <a:gd name="connsiteY979" fmla="*/ 5907125 h 6858000"/>
            <a:gd name="connsiteX980" fmla="*/ 9684310 w 12192000"/>
            <a:gd name="connsiteY980" fmla="*/ 5907125 h 6858000"/>
            <a:gd name="connsiteX981" fmla="*/ 9649485 w 12192000"/>
            <a:gd name="connsiteY981" fmla="*/ 5872307 h 6858000"/>
            <a:gd name="connsiteX982" fmla="*/ 9684310 w 12192000"/>
            <a:gd name="connsiteY982" fmla="*/ 5837488 h 6858000"/>
            <a:gd name="connsiteX983" fmla="*/ 9719123 w 12192000"/>
            <a:gd name="connsiteY983" fmla="*/ 5872307 h 6858000"/>
            <a:gd name="connsiteX984" fmla="*/ 9684310 w 12192000"/>
            <a:gd name="connsiteY984" fmla="*/ 5907125 h 6858000"/>
            <a:gd name="connsiteX985" fmla="*/ 9769203 w 12192000"/>
            <a:gd name="connsiteY985" fmla="*/ 5907125 h 6858000"/>
            <a:gd name="connsiteX986" fmla="*/ 9734377 w 12192000"/>
            <a:gd name="connsiteY986" fmla="*/ 5872307 h 6858000"/>
            <a:gd name="connsiteX987" fmla="*/ 9769203 w 12192000"/>
            <a:gd name="connsiteY987" fmla="*/ 5837488 h 6858000"/>
            <a:gd name="connsiteX988" fmla="*/ 9804015 w 12192000"/>
            <a:gd name="connsiteY988" fmla="*/ 5872307 h 6858000"/>
            <a:gd name="connsiteX989" fmla="*/ 9769203 w 12192000"/>
            <a:gd name="connsiteY989" fmla="*/ 5907125 h 6858000"/>
            <a:gd name="connsiteX990" fmla="*/ 9854095 w 12192000"/>
            <a:gd name="connsiteY990" fmla="*/ 5907125 h 6858000"/>
            <a:gd name="connsiteX991" fmla="*/ 9819269 w 12192000"/>
            <a:gd name="connsiteY991" fmla="*/ 5872307 h 6858000"/>
            <a:gd name="connsiteX992" fmla="*/ 9854095 w 12192000"/>
            <a:gd name="connsiteY992" fmla="*/ 5837488 h 6858000"/>
            <a:gd name="connsiteX993" fmla="*/ 9888907 w 12192000"/>
            <a:gd name="connsiteY993" fmla="*/ 5872307 h 6858000"/>
            <a:gd name="connsiteX994" fmla="*/ 9854095 w 12192000"/>
            <a:gd name="connsiteY994" fmla="*/ 5907125 h 6858000"/>
            <a:gd name="connsiteX995" fmla="*/ 9938988 w 12192000"/>
            <a:gd name="connsiteY995" fmla="*/ 5907125 h 6858000"/>
            <a:gd name="connsiteX996" fmla="*/ 9904163 w 12192000"/>
            <a:gd name="connsiteY996" fmla="*/ 5872307 h 6858000"/>
            <a:gd name="connsiteX997" fmla="*/ 9938988 w 12192000"/>
            <a:gd name="connsiteY997" fmla="*/ 5837488 h 6858000"/>
            <a:gd name="connsiteX998" fmla="*/ 9973800 w 12192000"/>
            <a:gd name="connsiteY998" fmla="*/ 5872307 h 6858000"/>
            <a:gd name="connsiteX999" fmla="*/ 9938988 w 12192000"/>
            <a:gd name="connsiteY999" fmla="*/ 5907125 h 6858000"/>
            <a:gd name="connsiteX1000" fmla="*/ 10023880 w 12192000"/>
            <a:gd name="connsiteY1000" fmla="*/ 5907125 h 6858000"/>
            <a:gd name="connsiteX1001" fmla="*/ 9989055 w 12192000"/>
            <a:gd name="connsiteY1001" fmla="*/ 5872307 h 6858000"/>
            <a:gd name="connsiteX1002" fmla="*/ 10023880 w 12192000"/>
            <a:gd name="connsiteY1002" fmla="*/ 5837488 h 6858000"/>
            <a:gd name="connsiteX1003" fmla="*/ 10058693 w 12192000"/>
            <a:gd name="connsiteY1003" fmla="*/ 5872307 h 6858000"/>
            <a:gd name="connsiteX1004" fmla="*/ 10023880 w 12192000"/>
            <a:gd name="connsiteY1004" fmla="*/ 5907125 h 6858000"/>
            <a:gd name="connsiteX1005" fmla="*/ 10108773 w 12192000"/>
            <a:gd name="connsiteY1005" fmla="*/ 5907125 h 6858000"/>
            <a:gd name="connsiteX1006" fmla="*/ 10073947 w 12192000"/>
            <a:gd name="connsiteY1006" fmla="*/ 5872307 h 6858000"/>
            <a:gd name="connsiteX1007" fmla="*/ 10108773 w 12192000"/>
            <a:gd name="connsiteY1007" fmla="*/ 5837488 h 6858000"/>
            <a:gd name="connsiteX1008" fmla="*/ 10143585 w 12192000"/>
            <a:gd name="connsiteY1008" fmla="*/ 5872307 h 6858000"/>
            <a:gd name="connsiteX1009" fmla="*/ 10108773 w 12192000"/>
            <a:gd name="connsiteY1009" fmla="*/ 5907125 h 6858000"/>
            <a:gd name="connsiteX1010" fmla="*/ 10193665 w 12192000"/>
            <a:gd name="connsiteY1010" fmla="*/ 5907125 h 6858000"/>
            <a:gd name="connsiteX1011" fmla="*/ 10158839 w 12192000"/>
            <a:gd name="connsiteY1011" fmla="*/ 5872307 h 6858000"/>
            <a:gd name="connsiteX1012" fmla="*/ 10193665 w 12192000"/>
            <a:gd name="connsiteY1012" fmla="*/ 5837488 h 6858000"/>
            <a:gd name="connsiteX1013" fmla="*/ 10228477 w 12192000"/>
            <a:gd name="connsiteY1013" fmla="*/ 5872307 h 6858000"/>
            <a:gd name="connsiteX1014" fmla="*/ 10193665 w 12192000"/>
            <a:gd name="connsiteY1014" fmla="*/ 5907125 h 6858000"/>
            <a:gd name="connsiteX1015" fmla="*/ 10278558 w 12192000"/>
            <a:gd name="connsiteY1015" fmla="*/ 5907125 h 6858000"/>
            <a:gd name="connsiteX1016" fmla="*/ 10243733 w 12192000"/>
            <a:gd name="connsiteY1016" fmla="*/ 5872307 h 6858000"/>
            <a:gd name="connsiteX1017" fmla="*/ 10278558 w 12192000"/>
            <a:gd name="connsiteY1017" fmla="*/ 5837488 h 6858000"/>
            <a:gd name="connsiteX1018" fmla="*/ 10313370 w 12192000"/>
            <a:gd name="connsiteY1018" fmla="*/ 5872307 h 6858000"/>
            <a:gd name="connsiteX1019" fmla="*/ 10278558 w 12192000"/>
            <a:gd name="connsiteY1019" fmla="*/ 5907125 h 6858000"/>
            <a:gd name="connsiteX1020" fmla="*/ 10363450 w 12192000"/>
            <a:gd name="connsiteY1020" fmla="*/ 5907125 h 6858000"/>
            <a:gd name="connsiteX1021" fmla="*/ 10328625 w 12192000"/>
            <a:gd name="connsiteY1021" fmla="*/ 5872307 h 6858000"/>
            <a:gd name="connsiteX1022" fmla="*/ 10363450 w 12192000"/>
            <a:gd name="connsiteY1022" fmla="*/ 5837488 h 6858000"/>
            <a:gd name="connsiteX1023" fmla="*/ 10398263 w 12192000"/>
            <a:gd name="connsiteY1023" fmla="*/ 5872307 h 6858000"/>
            <a:gd name="connsiteX1024" fmla="*/ 10363450 w 12192000"/>
            <a:gd name="connsiteY1024" fmla="*/ 5907125 h 6858000"/>
            <a:gd name="connsiteX1025" fmla="*/ 10448343 w 12192000"/>
            <a:gd name="connsiteY1025" fmla="*/ 5907125 h 6858000"/>
            <a:gd name="connsiteX1026" fmla="*/ 10413517 w 12192000"/>
            <a:gd name="connsiteY1026" fmla="*/ 5872307 h 6858000"/>
            <a:gd name="connsiteX1027" fmla="*/ 10448343 w 12192000"/>
            <a:gd name="connsiteY1027" fmla="*/ 5837488 h 6858000"/>
            <a:gd name="connsiteX1028" fmla="*/ 10483155 w 12192000"/>
            <a:gd name="connsiteY1028" fmla="*/ 5872307 h 6858000"/>
            <a:gd name="connsiteX1029" fmla="*/ 10448343 w 12192000"/>
            <a:gd name="connsiteY1029" fmla="*/ 5907125 h 6858000"/>
            <a:gd name="connsiteX1030" fmla="*/ 10618128 w 12192000"/>
            <a:gd name="connsiteY1030" fmla="*/ 5907125 h 6858000"/>
            <a:gd name="connsiteX1031" fmla="*/ 10583303 w 12192000"/>
            <a:gd name="connsiteY1031" fmla="*/ 5872307 h 6858000"/>
            <a:gd name="connsiteX1032" fmla="*/ 10618128 w 12192000"/>
            <a:gd name="connsiteY1032" fmla="*/ 5837488 h 6858000"/>
            <a:gd name="connsiteX1033" fmla="*/ 10652940 w 12192000"/>
            <a:gd name="connsiteY1033" fmla="*/ 5872307 h 6858000"/>
            <a:gd name="connsiteX1034" fmla="*/ 10618128 w 12192000"/>
            <a:gd name="connsiteY1034" fmla="*/ 5907125 h 6858000"/>
            <a:gd name="connsiteX1035" fmla="*/ 1704413 w 12192000"/>
            <a:gd name="connsiteY1035" fmla="*/ 5822266 h 6858000"/>
            <a:gd name="connsiteX1036" fmla="*/ 1669594 w 12192000"/>
            <a:gd name="connsiteY1036" fmla="*/ 5787447 h 6858000"/>
            <a:gd name="connsiteX1037" fmla="*/ 1704413 w 12192000"/>
            <a:gd name="connsiteY1037" fmla="*/ 5752628 h 6858000"/>
            <a:gd name="connsiteX1038" fmla="*/ 1739232 w 12192000"/>
            <a:gd name="connsiteY1038" fmla="*/ 5787447 h 6858000"/>
            <a:gd name="connsiteX1039" fmla="*/ 1704413 w 12192000"/>
            <a:gd name="connsiteY1039" fmla="*/ 5822266 h 6858000"/>
            <a:gd name="connsiteX1040" fmla="*/ 1789306 w 12192000"/>
            <a:gd name="connsiteY1040" fmla="*/ 5822266 h 6858000"/>
            <a:gd name="connsiteX1041" fmla="*/ 1754487 w 12192000"/>
            <a:gd name="connsiteY1041" fmla="*/ 5787447 h 6858000"/>
            <a:gd name="connsiteX1042" fmla="*/ 1789306 w 12192000"/>
            <a:gd name="connsiteY1042" fmla="*/ 5752628 h 6858000"/>
            <a:gd name="connsiteX1043" fmla="*/ 1824124 w 12192000"/>
            <a:gd name="connsiteY1043" fmla="*/ 5787447 h 6858000"/>
            <a:gd name="connsiteX1044" fmla="*/ 1789306 w 12192000"/>
            <a:gd name="connsiteY1044" fmla="*/ 5822266 h 6858000"/>
            <a:gd name="connsiteX1045" fmla="*/ 1874199 w 12192000"/>
            <a:gd name="connsiteY1045" fmla="*/ 5822266 h 6858000"/>
            <a:gd name="connsiteX1046" fmla="*/ 1839380 w 12192000"/>
            <a:gd name="connsiteY1046" fmla="*/ 5787447 h 6858000"/>
            <a:gd name="connsiteX1047" fmla="*/ 1874199 w 12192000"/>
            <a:gd name="connsiteY1047" fmla="*/ 5752628 h 6858000"/>
            <a:gd name="connsiteX1048" fmla="*/ 1909018 w 12192000"/>
            <a:gd name="connsiteY1048" fmla="*/ 5787447 h 6858000"/>
            <a:gd name="connsiteX1049" fmla="*/ 1874199 w 12192000"/>
            <a:gd name="connsiteY1049" fmla="*/ 5822266 h 6858000"/>
            <a:gd name="connsiteX1050" fmla="*/ 1959091 w 12192000"/>
            <a:gd name="connsiteY1050" fmla="*/ 5822266 h 6858000"/>
            <a:gd name="connsiteX1051" fmla="*/ 1924272 w 12192000"/>
            <a:gd name="connsiteY1051" fmla="*/ 5787447 h 6858000"/>
            <a:gd name="connsiteX1052" fmla="*/ 1959091 w 12192000"/>
            <a:gd name="connsiteY1052" fmla="*/ 5752628 h 6858000"/>
            <a:gd name="connsiteX1053" fmla="*/ 1993910 w 12192000"/>
            <a:gd name="connsiteY1053" fmla="*/ 5787447 h 6858000"/>
            <a:gd name="connsiteX1054" fmla="*/ 1959091 w 12192000"/>
            <a:gd name="connsiteY1054" fmla="*/ 5822266 h 6858000"/>
            <a:gd name="connsiteX1055" fmla="*/ 2043983 w 12192000"/>
            <a:gd name="connsiteY1055" fmla="*/ 5822266 h 6858000"/>
            <a:gd name="connsiteX1056" fmla="*/ 2009164 w 12192000"/>
            <a:gd name="connsiteY1056" fmla="*/ 5787447 h 6858000"/>
            <a:gd name="connsiteX1057" fmla="*/ 2043983 w 12192000"/>
            <a:gd name="connsiteY1057" fmla="*/ 5752628 h 6858000"/>
            <a:gd name="connsiteX1058" fmla="*/ 2078802 w 12192000"/>
            <a:gd name="connsiteY1058" fmla="*/ 5787447 h 6858000"/>
            <a:gd name="connsiteX1059" fmla="*/ 2043983 w 12192000"/>
            <a:gd name="connsiteY1059" fmla="*/ 5822266 h 6858000"/>
            <a:gd name="connsiteX1060" fmla="*/ 2128876 w 12192000"/>
            <a:gd name="connsiteY1060" fmla="*/ 5822266 h 6858000"/>
            <a:gd name="connsiteX1061" fmla="*/ 2094057 w 12192000"/>
            <a:gd name="connsiteY1061" fmla="*/ 5787447 h 6858000"/>
            <a:gd name="connsiteX1062" fmla="*/ 2128876 w 12192000"/>
            <a:gd name="connsiteY1062" fmla="*/ 5752628 h 6858000"/>
            <a:gd name="connsiteX1063" fmla="*/ 2163694 w 12192000"/>
            <a:gd name="connsiteY1063" fmla="*/ 5787447 h 6858000"/>
            <a:gd name="connsiteX1064" fmla="*/ 2128876 w 12192000"/>
            <a:gd name="connsiteY1064" fmla="*/ 5822266 h 6858000"/>
            <a:gd name="connsiteX1065" fmla="*/ 2213769 w 12192000"/>
            <a:gd name="connsiteY1065" fmla="*/ 5822266 h 6858000"/>
            <a:gd name="connsiteX1066" fmla="*/ 2178950 w 12192000"/>
            <a:gd name="connsiteY1066" fmla="*/ 5787447 h 6858000"/>
            <a:gd name="connsiteX1067" fmla="*/ 2213769 w 12192000"/>
            <a:gd name="connsiteY1067" fmla="*/ 5752628 h 6858000"/>
            <a:gd name="connsiteX1068" fmla="*/ 2248588 w 12192000"/>
            <a:gd name="connsiteY1068" fmla="*/ 5787447 h 6858000"/>
            <a:gd name="connsiteX1069" fmla="*/ 2213769 w 12192000"/>
            <a:gd name="connsiteY1069" fmla="*/ 5822266 h 6858000"/>
            <a:gd name="connsiteX1070" fmla="*/ 2298661 w 12192000"/>
            <a:gd name="connsiteY1070" fmla="*/ 5822266 h 6858000"/>
            <a:gd name="connsiteX1071" fmla="*/ 2263842 w 12192000"/>
            <a:gd name="connsiteY1071" fmla="*/ 5787447 h 6858000"/>
            <a:gd name="connsiteX1072" fmla="*/ 2298661 w 12192000"/>
            <a:gd name="connsiteY1072" fmla="*/ 5752628 h 6858000"/>
            <a:gd name="connsiteX1073" fmla="*/ 2333480 w 12192000"/>
            <a:gd name="connsiteY1073" fmla="*/ 5787447 h 6858000"/>
            <a:gd name="connsiteX1074" fmla="*/ 2298661 w 12192000"/>
            <a:gd name="connsiteY1074" fmla="*/ 5822266 h 6858000"/>
            <a:gd name="connsiteX1075" fmla="*/ 2892908 w 12192000"/>
            <a:gd name="connsiteY1075" fmla="*/ 5822266 h 6858000"/>
            <a:gd name="connsiteX1076" fmla="*/ 2858089 w 12192000"/>
            <a:gd name="connsiteY1076" fmla="*/ 5787447 h 6858000"/>
            <a:gd name="connsiteX1077" fmla="*/ 2892908 w 12192000"/>
            <a:gd name="connsiteY1077" fmla="*/ 5752628 h 6858000"/>
            <a:gd name="connsiteX1078" fmla="*/ 2927727 w 12192000"/>
            <a:gd name="connsiteY1078" fmla="*/ 5787447 h 6858000"/>
            <a:gd name="connsiteX1079" fmla="*/ 2892908 w 12192000"/>
            <a:gd name="connsiteY1079" fmla="*/ 5822266 h 6858000"/>
            <a:gd name="connsiteX1080" fmla="*/ 3062693 w 12192000"/>
            <a:gd name="connsiteY1080" fmla="*/ 5822266 h 6858000"/>
            <a:gd name="connsiteX1081" fmla="*/ 3027874 w 12192000"/>
            <a:gd name="connsiteY1081" fmla="*/ 5787447 h 6858000"/>
            <a:gd name="connsiteX1082" fmla="*/ 3062693 w 12192000"/>
            <a:gd name="connsiteY1082" fmla="*/ 5752628 h 6858000"/>
            <a:gd name="connsiteX1083" fmla="*/ 3097512 w 12192000"/>
            <a:gd name="connsiteY1083" fmla="*/ 5787447 h 6858000"/>
            <a:gd name="connsiteX1084" fmla="*/ 3062693 w 12192000"/>
            <a:gd name="connsiteY1084" fmla="*/ 5822266 h 6858000"/>
            <a:gd name="connsiteX1085" fmla="*/ 3147586 w 12192000"/>
            <a:gd name="connsiteY1085" fmla="*/ 5822266 h 6858000"/>
            <a:gd name="connsiteX1086" fmla="*/ 3112767 w 12192000"/>
            <a:gd name="connsiteY1086" fmla="*/ 5787447 h 6858000"/>
            <a:gd name="connsiteX1087" fmla="*/ 3147586 w 12192000"/>
            <a:gd name="connsiteY1087" fmla="*/ 5752628 h 6858000"/>
            <a:gd name="connsiteX1088" fmla="*/ 3182404 w 12192000"/>
            <a:gd name="connsiteY1088" fmla="*/ 5787447 h 6858000"/>
            <a:gd name="connsiteX1089" fmla="*/ 3147586 w 12192000"/>
            <a:gd name="connsiteY1089" fmla="*/ 5822266 h 6858000"/>
            <a:gd name="connsiteX1090" fmla="*/ 3402263 w 12192000"/>
            <a:gd name="connsiteY1090" fmla="*/ 5822266 h 6858000"/>
            <a:gd name="connsiteX1091" fmla="*/ 3367444 w 12192000"/>
            <a:gd name="connsiteY1091" fmla="*/ 5787447 h 6858000"/>
            <a:gd name="connsiteX1092" fmla="*/ 3402263 w 12192000"/>
            <a:gd name="connsiteY1092" fmla="*/ 5752628 h 6858000"/>
            <a:gd name="connsiteX1093" fmla="*/ 3437082 w 12192000"/>
            <a:gd name="connsiteY1093" fmla="*/ 5787447 h 6858000"/>
            <a:gd name="connsiteX1094" fmla="*/ 3402263 w 12192000"/>
            <a:gd name="connsiteY1094" fmla="*/ 5822266 h 6858000"/>
            <a:gd name="connsiteX1095" fmla="*/ 3572048 w 12192000"/>
            <a:gd name="connsiteY1095" fmla="*/ 5822266 h 6858000"/>
            <a:gd name="connsiteX1096" fmla="*/ 3537229 w 12192000"/>
            <a:gd name="connsiteY1096" fmla="*/ 5787447 h 6858000"/>
            <a:gd name="connsiteX1097" fmla="*/ 3572048 w 12192000"/>
            <a:gd name="connsiteY1097" fmla="*/ 5752628 h 6858000"/>
            <a:gd name="connsiteX1098" fmla="*/ 3606867 w 12192000"/>
            <a:gd name="connsiteY1098" fmla="*/ 5787447 h 6858000"/>
            <a:gd name="connsiteX1099" fmla="*/ 3572048 w 12192000"/>
            <a:gd name="connsiteY1099" fmla="*/ 5822266 h 6858000"/>
            <a:gd name="connsiteX1100" fmla="*/ 3741833 w 12192000"/>
            <a:gd name="connsiteY1100" fmla="*/ 5822266 h 6858000"/>
            <a:gd name="connsiteX1101" fmla="*/ 3707014 w 12192000"/>
            <a:gd name="connsiteY1101" fmla="*/ 5787447 h 6858000"/>
            <a:gd name="connsiteX1102" fmla="*/ 3741833 w 12192000"/>
            <a:gd name="connsiteY1102" fmla="*/ 5752628 h 6858000"/>
            <a:gd name="connsiteX1103" fmla="*/ 3776652 w 12192000"/>
            <a:gd name="connsiteY1103" fmla="*/ 5787447 h 6858000"/>
            <a:gd name="connsiteX1104" fmla="*/ 3741833 w 12192000"/>
            <a:gd name="connsiteY1104" fmla="*/ 5822266 h 6858000"/>
            <a:gd name="connsiteX1105" fmla="*/ 3996511 w 12192000"/>
            <a:gd name="connsiteY1105" fmla="*/ 5822266 h 6858000"/>
            <a:gd name="connsiteX1106" fmla="*/ 3961692 w 12192000"/>
            <a:gd name="connsiteY1106" fmla="*/ 5787447 h 6858000"/>
            <a:gd name="connsiteX1107" fmla="*/ 3996511 w 12192000"/>
            <a:gd name="connsiteY1107" fmla="*/ 5752628 h 6858000"/>
            <a:gd name="connsiteX1108" fmla="*/ 4031330 w 12192000"/>
            <a:gd name="connsiteY1108" fmla="*/ 5787447 h 6858000"/>
            <a:gd name="connsiteX1109" fmla="*/ 3996511 w 12192000"/>
            <a:gd name="connsiteY1109" fmla="*/ 5822266 h 6858000"/>
            <a:gd name="connsiteX1110" fmla="*/ 4590758 w 12192000"/>
            <a:gd name="connsiteY1110" fmla="*/ 5822266 h 6858000"/>
            <a:gd name="connsiteX1111" fmla="*/ 4555939 w 12192000"/>
            <a:gd name="connsiteY1111" fmla="*/ 5787447 h 6858000"/>
            <a:gd name="connsiteX1112" fmla="*/ 4590758 w 12192000"/>
            <a:gd name="connsiteY1112" fmla="*/ 5752628 h 6858000"/>
            <a:gd name="connsiteX1113" fmla="*/ 4625577 w 12192000"/>
            <a:gd name="connsiteY1113" fmla="*/ 5787447 h 6858000"/>
            <a:gd name="connsiteX1114" fmla="*/ 4590758 w 12192000"/>
            <a:gd name="connsiteY1114" fmla="*/ 5822266 h 6858000"/>
            <a:gd name="connsiteX1115" fmla="*/ 4675650 w 12192000"/>
            <a:gd name="connsiteY1115" fmla="*/ 5822266 h 6858000"/>
            <a:gd name="connsiteX1116" fmla="*/ 4640831 w 12192000"/>
            <a:gd name="connsiteY1116" fmla="*/ 5787447 h 6858000"/>
            <a:gd name="connsiteX1117" fmla="*/ 4675650 w 12192000"/>
            <a:gd name="connsiteY1117" fmla="*/ 5752628 h 6858000"/>
            <a:gd name="connsiteX1118" fmla="*/ 4710469 w 12192000"/>
            <a:gd name="connsiteY1118" fmla="*/ 5787447 h 6858000"/>
            <a:gd name="connsiteX1119" fmla="*/ 4675650 w 12192000"/>
            <a:gd name="connsiteY1119" fmla="*/ 5822266 h 6858000"/>
            <a:gd name="connsiteX1120" fmla="*/ 4760543 w 12192000"/>
            <a:gd name="connsiteY1120" fmla="*/ 5822266 h 6858000"/>
            <a:gd name="connsiteX1121" fmla="*/ 4725724 w 12192000"/>
            <a:gd name="connsiteY1121" fmla="*/ 5787447 h 6858000"/>
            <a:gd name="connsiteX1122" fmla="*/ 4760543 w 12192000"/>
            <a:gd name="connsiteY1122" fmla="*/ 5752628 h 6858000"/>
            <a:gd name="connsiteX1123" fmla="*/ 4795362 w 12192000"/>
            <a:gd name="connsiteY1123" fmla="*/ 5787447 h 6858000"/>
            <a:gd name="connsiteX1124" fmla="*/ 4760543 w 12192000"/>
            <a:gd name="connsiteY1124" fmla="*/ 5822266 h 6858000"/>
            <a:gd name="connsiteX1125" fmla="*/ 4845436 w 12192000"/>
            <a:gd name="connsiteY1125" fmla="*/ 5822266 h 6858000"/>
            <a:gd name="connsiteX1126" fmla="*/ 4810617 w 12192000"/>
            <a:gd name="connsiteY1126" fmla="*/ 5787447 h 6858000"/>
            <a:gd name="connsiteX1127" fmla="*/ 4845436 w 12192000"/>
            <a:gd name="connsiteY1127" fmla="*/ 5752628 h 6858000"/>
            <a:gd name="connsiteX1128" fmla="*/ 4880254 w 12192000"/>
            <a:gd name="connsiteY1128" fmla="*/ 5787447 h 6858000"/>
            <a:gd name="connsiteX1129" fmla="*/ 4845436 w 12192000"/>
            <a:gd name="connsiteY1129" fmla="*/ 5822266 h 6858000"/>
            <a:gd name="connsiteX1130" fmla="*/ 4930328 w 12192000"/>
            <a:gd name="connsiteY1130" fmla="*/ 5822266 h 6858000"/>
            <a:gd name="connsiteX1131" fmla="*/ 4895509 w 12192000"/>
            <a:gd name="connsiteY1131" fmla="*/ 5787447 h 6858000"/>
            <a:gd name="connsiteX1132" fmla="*/ 4930328 w 12192000"/>
            <a:gd name="connsiteY1132" fmla="*/ 5752628 h 6858000"/>
            <a:gd name="connsiteX1133" fmla="*/ 4965147 w 12192000"/>
            <a:gd name="connsiteY1133" fmla="*/ 5787447 h 6858000"/>
            <a:gd name="connsiteX1134" fmla="*/ 4930328 w 12192000"/>
            <a:gd name="connsiteY1134" fmla="*/ 5822266 h 6858000"/>
            <a:gd name="connsiteX1135" fmla="*/ 5015220 w 12192000"/>
            <a:gd name="connsiteY1135" fmla="*/ 5822266 h 6858000"/>
            <a:gd name="connsiteX1136" fmla="*/ 4980401 w 12192000"/>
            <a:gd name="connsiteY1136" fmla="*/ 5787447 h 6858000"/>
            <a:gd name="connsiteX1137" fmla="*/ 5015220 w 12192000"/>
            <a:gd name="connsiteY1137" fmla="*/ 5752628 h 6858000"/>
            <a:gd name="connsiteX1138" fmla="*/ 5050039 w 12192000"/>
            <a:gd name="connsiteY1138" fmla="*/ 5787447 h 6858000"/>
            <a:gd name="connsiteX1139" fmla="*/ 5015220 w 12192000"/>
            <a:gd name="connsiteY1139" fmla="*/ 5822266 h 6858000"/>
            <a:gd name="connsiteX1140" fmla="*/ 5100113 w 12192000"/>
            <a:gd name="connsiteY1140" fmla="*/ 5822266 h 6858000"/>
            <a:gd name="connsiteX1141" fmla="*/ 5065294 w 12192000"/>
            <a:gd name="connsiteY1141" fmla="*/ 5787447 h 6858000"/>
            <a:gd name="connsiteX1142" fmla="*/ 5100113 w 12192000"/>
            <a:gd name="connsiteY1142" fmla="*/ 5752628 h 6858000"/>
            <a:gd name="connsiteX1143" fmla="*/ 5134932 w 12192000"/>
            <a:gd name="connsiteY1143" fmla="*/ 5787447 h 6858000"/>
            <a:gd name="connsiteX1144" fmla="*/ 5100113 w 12192000"/>
            <a:gd name="connsiteY1144" fmla="*/ 5822266 h 6858000"/>
            <a:gd name="connsiteX1145" fmla="*/ 5185006 w 12192000"/>
            <a:gd name="connsiteY1145" fmla="*/ 5822266 h 6858000"/>
            <a:gd name="connsiteX1146" fmla="*/ 5150187 w 12192000"/>
            <a:gd name="connsiteY1146" fmla="*/ 5787447 h 6858000"/>
            <a:gd name="connsiteX1147" fmla="*/ 5185006 w 12192000"/>
            <a:gd name="connsiteY1147" fmla="*/ 5752628 h 6858000"/>
            <a:gd name="connsiteX1148" fmla="*/ 5219824 w 12192000"/>
            <a:gd name="connsiteY1148" fmla="*/ 5787447 h 6858000"/>
            <a:gd name="connsiteX1149" fmla="*/ 5185006 w 12192000"/>
            <a:gd name="connsiteY1149" fmla="*/ 5822266 h 6858000"/>
            <a:gd name="connsiteX1150" fmla="*/ 5269898 w 12192000"/>
            <a:gd name="connsiteY1150" fmla="*/ 5822266 h 6858000"/>
            <a:gd name="connsiteX1151" fmla="*/ 5235079 w 12192000"/>
            <a:gd name="connsiteY1151" fmla="*/ 5787447 h 6858000"/>
            <a:gd name="connsiteX1152" fmla="*/ 5269898 w 12192000"/>
            <a:gd name="connsiteY1152" fmla="*/ 5752628 h 6858000"/>
            <a:gd name="connsiteX1153" fmla="*/ 5304717 w 12192000"/>
            <a:gd name="connsiteY1153" fmla="*/ 5787447 h 6858000"/>
            <a:gd name="connsiteX1154" fmla="*/ 5269898 w 12192000"/>
            <a:gd name="connsiteY1154" fmla="*/ 5822266 h 6858000"/>
            <a:gd name="connsiteX1155" fmla="*/ 5354790 w 12192000"/>
            <a:gd name="connsiteY1155" fmla="*/ 5822266 h 6858000"/>
            <a:gd name="connsiteX1156" fmla="*/ 5319971 w 12192000"/>
            <a:gd name="connsiteY1156" fmla="*/ 5787447 h 6858000"/>
            <a:gd name="connsiteX1157" fmla="*/ 5354790 w 12192000"/>
            <a:gd name="connsiteY1157" fmla="*/ 5752628 h 6858000"/>
            <a:gd name="connsiteX1158" fmla="*/ 5389609 w 12192000"/>
            <a:gd name="connsiteY1158" fmla="*/ 5787447 h 6858000"/>
            <a:gd name="connsiteX1159" fmla="*/ 5354790 w 12192000"/>
            <a:gd name="connsiteY1159" fmla="*/ 5822266 h 6858000"/>
            <a:gd name="connsiteX1160" fmla="*/ 6203718 w 12192000"/>
            <a:gd name="connsiteY1160" fmla="*/ 5822266 h 6858000"/>
            <a:gd name="connsiteX1161" fmla="*/ 6168893 w 12192000"/>
            <a:gd name="connsiteY1161" fmla="*/ 5787447 h 6858000"/>
            <a:gd name="connsiteX1162" fmla="*/ 6203718 w 12192000"/>
            <a:gd name="connsiteY1162" fmla="*/ 5752628 h 6858000"/>
            <a:gd name="connsiteX1163" fmla="*/ 6238530 w 12192000"/>
            <a:gd name="connsiteY1163" fmla="*/ 5787447 h 6858000"/>
            <a:gd name="connsiteX1164" fmla="*/ 6203718 w 12192000"/>
            <a:gd name="connsiteY1164" fmla="*/ 5822266 h 6858000"/>
            <a:gd name="connsiteX1165" fmla="*/ 7222428 w 12192000"/>
            <a:gd name="connsiteY1165" fmla="*/ 5822266 h 6858000"/>
            <a:gd name="connsiteX1166" fmla="*/ 7187603 w 12192000"/>
            <a:gd name="connsiteY1166" fmla="*/ 5787447 h 6858000"/>
            <a:gd name="connsiteX1167" fmla="*/ 7222428 w 12192000"/>
            <a:gd name="connsiteY1167" fmla="*/ 5752628 h 6858000"/>
            <a:gd name="connsiteX1168" fmla="*/ 7257240 w 12192000"/>
            <a:gd name="connsiteY1168" fmla="*/ 5787447 h 6858000"/>
            <a:gd name="connsiteX1169" fmla="*/ 7222428 w 12192000"/>
            <a:gd name="connsiteY1169" fmla="*/ 5822266 h 6858000"/>
            <a:gd name="connsiteX1170" fmla="*/ 7901568 w 12192000"/>
            <a:gd name="connsiteY1170" fmla="*/ 5822266 h 6858000"/>
            <a:gd name="connsiteX1171" fmla="*/ 7866743 w 12192000"/>
            <a:gd name="connsiteY1171" fmla="*/ 5787447 h 6858000"/>
            <a:gd name="connsiteX1172" fmla="*/ 7901568 w 12192000"/>
            <a:gd name="connsiteY1172" fmla="*/ 5752628 h 6858000"/>
            <a:gd name="connsiteX1173" fmla="*/ 7936380 w 12192000"/>
            <a:gd name="connsiteY1173" fmla="*/ 5787447 h 6858000"/>
            <a:gd name="connsiteX1174" fmla="*/ 7901568 w 12192000"/>
            <a:gd name="connsiteY1174" fmla="*/ 5822266 h 6858000"/>
            <a:gd name="connsiteX1175" fmla="*/ 7986460 w 12192000"/>
            <a:gd name="connsiteY1175" fmla="*/ 5822266 h 6858000"/>
            <a:gd name="connsiteX1176" fmla="*/ 7951635 w 12192000"/>
            <a:gd name="connsiteY1176" fmla="*/ 5787447 h 6858000"/>
            <a:gd name="connsiteX1177" fmla="*/ 7986460 w 12192000"/>
            <a:gd name="connsiteY1177" fmla="*/ 5752628 h 6858000"/>
            <a:gd name="connsiteX1178" fmla="*/ 8021273 w 12192000"/>
            <a:gd name="connsiteY1178" fmla="*/ 5787447 h 6858000"/>
            <a:gd name="connsiteX1179" fmla="*/ 7986460 w 12192000"/>
            <a:gd name="connsiteY1179" fmla="*/ 5822266 h 6858000"/>
            <a:gd name="connsiteX1180" fmla="*/ 8071353 w 12192000"/>
            <a:gd name="connsiteY1180" fmla="*/ 5822266 h 6858000"/>
            <a:gd name="connsiteX1181" fmla="*/ 8036527 w 12192000"/>
            <a:gd name="connsiteY1181" fmla="*/ 5787447 h 6858000"/>
            <a:gd name="connsiteX1182" fmla="*/ 8071353 w 12192000"/>
            <a:gd name="connsiteY1182" fmla="*/ 5752628 h 6858000"/>
            <a:gd name="connsiteX1183" fmla="*/ 8106165 w 12192000"/>
            <a:gd name="connsiteY1183" fmla="*/ 5787447 h 6858000"/>
            <a:gd name="connsiteX1184" fmla="*/ 8071353 w 12192000"/>
            <a:gd name="connsiteY1184" fmla="*/ 5822266 h 6858000"/>
            <a:gd name="connsiteX1185" fmla="*/ 8156246 w 12192000"/>
            <a:gd name="connsiteY1185" fmla="*/ 5822266 h 6858000"/>
            <a:gd name="connsiteX1186" fmla="*/ 8121420 w 12192000"/>
            <a:gd name="connsiteY1186" fmla="*/ 5787447 h 6858000"/>
            <a:gd name="connsiteX1187" fmla="*/ 8156246 w 12192000"/>
            <a:gd name="connsiteY1187" fmla="*/ 5752628 h 6858000"/>
            <a:gd name="connsiteX1188" fmla="*/ 8191058 w 12192000"/>
            <a:gd name="connsiteY1188" fmla="*/ 5787447 h 6858000"/>
            <a:gd name="connsiteX1189" fmla="*/ 8156246 w 12192000"/>
            <a:gd name="connsiteY1189" fmla="*/ 5822266 h 6858000"/>
            <a:gd name="connsiteX1190" fmla="*/ 8241138 w 12192000"/>
            <a:gd name="connsiteY1190" fmla="*/ 5822266 h 6858000"/>
            <a:gd name="connsiteX1191" fmla="*/ 8206313 w 12192000"/>
            <a:gd name="connsiteY1191" fmla="*/ 5787447 h 6858000"/>
            <a:gd name="connsiteX1192" fmla="*/ 8241138 w 12192000"/>
            <a:gd name="connsiteY1192" fmla="*/ 5752628 h 6858000"/>
            <a:gd name="connsiteX1193" fmla="*/ 8275950 w 12192000"/>
            <a:gd name="connsiteY1193" fmla="*/ 5787447 h 6858000"/>
            <a:gd name="connsiteX1194" fmla="*/ 8241138 w 12192000"/>
            <a:gd name="connsiteY1194" fmla="*/ 5822266 h 6858000"/>
            <a:gd name="connsiteX1195" fmla="*/ 8410923 w 12192000"/>
            <a:gd name="connsiteY1195" fmla="*/ 5822266 h 6858000"/>
            <a:gd name="connsiteX1196" fmla="*/ 8376097 w 12192000"/>
            <a:gd name="connsiteY1196" fmla="*/ 5787447 h 6858000"/>
            <a:gd name="connsiteX1197" fmla="*/ 8410923 w 12192000"/>
            <a:gd name="connsiteY1197" fmla="*/ 5752628 h 6858000"/>
            <a:gd name="connsiteX1198" fmla="*/ 8445735 w 12192000"/>
            <a:gd name="connsiteY1198" fmla="*/ 5787447 h 6858000"/>
            <a:gd name="connsiteX1199" fmla="*/ 8410923 w 12192000"/>
            <a:gd name="connsiteY1199" fmla="*/ 5822266 h 6858000"/>
            <a:gd name="connsiteX1200" fmla="*/ 8495816 w 12192000"/>
            <a:gd name="connsiteY1200" fmla="*/ 5822266 h 6858000"/>
            <a:gd name="connsiteX1201" fmla="*/ 8460990 w 12192000"/>
            <a:gd name="connsiteY1201" fmla="*/ 5787447 h 6858000"/>
            <a:gd name="connsiteX1202" fmla="*/ 8495816 w 12192000"/>
            <a:gd name="connsiteY1202" fmla="*/ 5752628 h 6858000"/>
            <a:gd name="connsiteX1203" fmla="*/ 8530628 w 12192000"/>
            <a:gd name="connsiteY1203" fmla="*/ 5787447 h 6858000"/>
            <a:gd name="connsiteX1204" fmla="*/ 8495816 w 12192000"/>
            <a:gd name="connsiteY1204" fmla="*/ 5822266 h 6858000"/>
            <a:gd name="connsiteX1205" fmla="*/ 8580708 w 12192000"/>
            <a:gd name="connsiteY1205" fmla="*/ 5822266 h 6858000"/>
            <a:gd name="connsiteX1206" fmla="*/ 8545883 w 12192000"/>
            <a:gd name="connsiteY1206" fmla="*/ 5787447 h 6858000"/>
            <a:gd name="connsiteX1207" fmla="*/ 8580708 w 12192000"/>
            <a:gd name="connsiteY1207" fmla="*/ 5752628 h 6858000"/>
            <a:gd name="connsiteX1208" fmla="*/ 8615520 w 12192000"/>
            <a:gd name="connsiteY1208" fmla="*/ 5787447 h 6858000"/>
            <a:gd name="connsiteX1209" fmla="*/ 8580708 w 12192000"/>
            <a:gd name="connsiteY1209" fmla="*/ 5822266 h 6858000"/>
            <a:gd name="connsiteX1210" fmla="*/ 8665600 w 12192000"/>
            <a:gd name="connsiteY1210" fmla="*/ 5822266 h 6858000"/>
            <a:gd name="connsiteX1211" fmla="*/ 8630775 w 12192000"/>
            <a:gd name="connsiteY1211" fmla="*/ 5787447 h 6858000"/>
            <a:gd name="connsiteX1212" fmla="*/ 8665600 w 12192000"/>
            <a:gd name="connsiteY1212" fmla="*/ 5752628 h 6858000"/>
            <a:gd name="connsiteX1213" fmla="*/ 8700413 w 12192000"/>
            <a:gd name="connsiteY1213" fmla="*/ 5787447 h 6858000"/>
            <a:gd name="connsiteX1214" fmla="*/ 8665600 w 12192000"/>
            <a:gd name="connsiteY1214" fmla="*/ 5822266 h 6858000"/>
            <a:gd name="connsiteX1215" fmla="*/ 8750493 w 12192000"/>
            <a:gd name="connsiteY1215" fmla="*/ 5822266 h 6858000"/>
            <a:gd name="connsiteX1216" fmla="*/ 8715667 w 12192000"/>
            <a:gd name="connsiteY1216" fmla="*/ 5787447 h 6858000"/>
            <a:gd name="connsiteX1217" fmla="*/ 8750493 w 12192000"/>
            <a:gd name="connsiteY1217" fmla="*/ 5752628 h 6858000"/>
            <a:gd name="connsiteX1218" fmla="*/ 8785305 w 12192000"/>
            <a:gd name="connsiteY1218" fmla="*/ 5787447 h 6858000"/>
            <a:gd name="connsiteX1219" fmla="*/ 8750493 w 12192000"/>
            <a:gd name="connsiteY1219" fmla="*/ 5822266 h 6858000"/>
            <a:gd name="connsiteX1220" fmla="*/ 8835386 w 12192000"/>
            <a:gd name="connsiteY1220" fmla="*/ 5822266 h 6858000"/>
            <a:gd name="connsiteX1221" fmla="*/ 8800560 w 12192000"/>
            <a:gd name="connsiteY1221" fmla="*/ 5787447 h 6858000"/>
            <a:gd name="connsiteX1222" fmla="*/ 8835386 w 12192000"/>
            <a:gd name="connsiteY1222" fmla="*/ 5752628 h 6858000"/>
            <a:gd name="connsiteX1223" fmla="*/ 8870198 w 12192000"/>
            <a:gd name="connsiteY1223" fmla="*/ 5787447 h 6858000"/>
            <a:gd name="connsiteX1224" fmla="*/ 8835386 w 12192000"/>
            <a:gd name="connsiteY1224" fmla="*/ 5822266 h 6858000"/>
            <a:gd name="connsiteX1225" fmla="*/ 8920278 w 12192000"/>
            <a:gd name="connsiteY1225" fmla="*/ 5822266 h 6858000"/>
            <a:gd name="connsiteX1226" fmla="*/ 8885453 w 12192000"/>
            <a:gd name="connsiteY1226" fmla="*/ 5787447 h 6858000"/>
            <a:gd name="connsiteX1227" fmla="*/ 8920278 w 12192000"/>
            <a:gd name="connsiteY1227" fmla="*/ 5752628 h 6858000"/>
            <a:gd name="connsiteX1228" fmla="*/ 8955090 w 12192000"/>
            <a:gd name="connsiteY1228" fmla="*/ 5787447 h 6858000"/>
            <a:gd name="connsiteX1229" fmla="*/ 8920278 w 12192000"/>
            <a:gd name="connsiteY1229" fmla="*/ 5822266 h 6858000"/>
            <a:gd name="connsiteX1230" fmla="*/ 9090063 w 12192000"/>
            <a:gd name="connsiteY1230" fmla="*/ 5822266 h 6858000"/>
            <a:gd name="connsiteX1231" fmla="*/ 9055237 w 12192000"/>
            <a:gd name="connsiteY1231" fmla="*/ 5787447 h 6858000"/>
            <a:gd name="connsiteX1232" fmla="*/ 9090063 w 12192000"/>
            <a:gd name="connsiteY1232" fmla="*/ 5752628 h 6858000"/>
            <a:gd name="connsiteX1233" fmla="*/ 9124875 w 12192000"/>
            <a:gd name="connsiteY1233" fmla="*/ 5787447 h 6858000"/>
            <a:gd name="connsiteX1234" fmla="*/ 9090063 w 12192000"/>
            <a:gd name="connsiteY1234" fmla="*/ 5822266 h 6858000"/>
            <a:gd name="connsiteX1235" fmla="*/ 9174956 w 12192000"/>
            <a:gd name="connsiteY1235" fmla="*/ 5822266 h 6858000"/>
            <a:gd name="connsiteX1236" fmla="*/ 9140130 w 12192000"/>
            <a:gd name="connsiteY1236" fmla="*/ 5787447 h 6858000"/>
            <a:gd name="connsiteX1237" fmla="*/ 9174956 w 12192000"/>
            <a:gd name="connsiteY1237" fmla="*/ 5752628 h 6858000"/>
            <a:gd name="connsiteX1238" fmla="*/ 9209768 w 12192000"/>
            <a:gd name="connsiteY1238" fmla="*/ 5787447 h 6858000"/>
            <a:gd name="connsiteX1239" fmla="*/ 9174956 w 12192000"/>
            <a:gd name="connsiteY1239" fmla="*/ 5822266 h 6858000"/>
            <a:gd name="connsiteX1240" fmla="*/ 9259848 w 12192000"/>
            <a:gd name="connsiteY1240" fmla="*/ 5822266 h 6858000"/>
            <a:gd name="connsiteX1241" fmla="*/ 9225023 w 12192000"/>
            <a:gd name="connsiteY1241" fmla="*/ 5787447 h 6858000"/>
            <a:gd name="connsiteX1242" fmla="*/ 9259848 w 12192000"/>
            <a:gd name="connsiteY1242" fmla="*/ 5752628 h 6858000"/>
            <a:gd name="connsiteX1243" fmla="*/ 9294660 w 12192000"/>
            <a:gd name="connsiteY1243" fmla="*/ 5787447 h 6858000"/>
            <a:gd name="connsiteX1244" fmla="*/ 9259848 w 12192000"/>
            <a:gd name="connsiteY1244" fmla="*/ 5822266 h 6858000"/>
            <a:gd name="connsiteX1245" fmla="*/ 9344740 w 12192000"/>
            <a:gd name="connsiteY1245" fmla="*/ 5822266 h 6858000"/>
            <a:gd name="connsiteX1246" fmla="*/ 9309915 w 12192000"/>
            <a:gd name="connsiteY1246" fmla="*/ 5787447 h 6858000"/>
            <a:gd name="connsiteX1247" fmla="*/ 9344740 w 12192000"/>
            <a:gd name="connsiteY1247" fmla="*/ 5752628 h 6858000"/>
            <a:gd name="connsiteX1248" fmla="*/ 9379553 w 12192000"/>
            <a:gd name="connsiteY1248" fmla="*/ 5787447 h 6858000"/>
            <a:gd name="connsiteX1249" fmla="*/ 9344740 w 12192000"/>
            <a:gd name="connsiteY1249" fmla="*/ 5822266 h 6858000"/>
            <a:gd name="connsiteX1250" fmla="*/ 9429633 w 12192000"/>
            <a:gd name="connsiteY1250" fmla="*/ 5822266 h 6858000"/>
            <a:gd name="connsiteX1251" fmla="*/ 9394807 w 12192000"/>
            <a:gd name="connsiteY1251" fmla="*/ 5787447 h 6858000"/>
            <a:gd name="connsiteX1252" fmla="*/ 9429633 w 12192000"/>
            <a:gd name="connsiteY1252" fmla="*/ 5752628 h 6858000"/>
            <a:gd name="connsiteX1253" fmla="*/ 9464445 w 12192000"/>
            <a:gd name="connsiteY1253" fmla="*/ 5787447 h 6858000"/>
            <a:gd name="connsiteX1254" fmla="*/ 9429633 w 12192000"/>
            <a:gd name="connsiteY1254" fmla="*/ 5822266 h 6858000"/>
            <a:gd name="connsiteX1255" fmla="*/ 9514525 w 12192000"/>
            <a:gd name="connsiteY1255" fmla="*/ 5822266 h 6858000"/>
            <a:gd name="connsiteX1256" fmla="*/ 9479699 w 12192000"/>
            <a:gd name="connsiteY1256" fmla="*/ 5787447 h 6858000"/>
            <a:gd name="connsiteX1257" fmla="*/ 9514525 w 12192000"/>
            <a:gd name="connsiteY1257" fmla="*/ 5752628 h 6858000"/>
            <a:gd name="connsiteX1258" fmla="*/ 9549337 w 12192000"/>
            <a:gd name="connsiteY1258" fmla="*/ 5787447 h 6858000"/>
            <a:gd name="connsiteX1259" fmla="*/ 9514525 w 12192000"/>
            <a:gd name="connsiteY1259" fmla="*/ 5822266 h 6858000"/>
            <a:gd name="connsiteX1260" fmla="*/ 9599418 w 12192000"/>
            <a:gd name="connsiteY1260" fmla="*/ 5822266 h 6858000"/>
            <a:gd name="connsiteX1261" fmla="*/ 9564593 w 12192000"/>
            <a:gd name="connsiteY1261" fmla="*/ 5787447 h 6858000"/>
            <a:gd name="connsiteX1262" fmla="*/ 9599418 w 12192000"/>
            <a:gd name="connsiteY1262" fmla="*/ 5752628 h 6858000"/>
            <a:gd name="connsiteX1263" fmla="*/ 9634230 w 12192000"/>
            <a:gd name="connsiteY1263" fmla="*/ 5787447 h 6858000"/>
            <a:gd name="connsiteX1264" fmla="*/ 9599418 w 12192000"/>
            <a:gd name="connsiteY1264" fmla="*/ 5822266 h 6858000"/>
            <a:gd name="connsiteX1265" fmla="*/ 9684310 w 12192000"/>
            <a:gd name="connsiteY1265" fmla="*/ 5822266 h 6858000"/>
            <a:gd name="connsiteX1266" fmla="*/ 9649485 w 12192000"/>
            <a:gd name="connsiteY1266" fmla="*/ 5787447 h 6858000"/>
            <a:gd name="connsiteX1267" fmla="*/ 9684310 w 12192000"/>
            <a:gd name="connsiteY1267" fmla="*/ 5752628 h 6858000"/>
            <a:gd name="connsiteX1268" fmla="*/ 9719123 w 12192000"/>
            <a:gd name="connsiteY1268" fmla="*/ 5787447 h 6858000"/>
            <a:gd name="connsiteX1269" fmla="*/ 9684310 w 12192000"/>
            <a:gd name="connsiteY1269" fmla="*/ 5822266 h 6858000"/>
            <a:gd name="connsiteX1270" fmla="*/ 9769203 w 12192000"/>
            <a:gd name="connsiteY1270" fmla="*/ 5822266 h 6858000"/>
            <a:gd name="connsiteX1271" fmla="*/ 9734377 w 12192000"/>
            <a:gd name="connsiteY1271" fmla="*/ 5787447 h 6858000"/>
            <a:gd name="connsiteX1272" fmla="*/ 9769203 w 12192000"/>
            <a:gd name="connsiteY1272" fmla="*/ 5752628 h 6858000"/>
            <a:gd name="connsiteX1273" fmla="*/ 9804015 w 12192000"/>
            <a:gd name="connsiteY1273" fmla="*/ 5787447 h 6858000"/>
            <a:gd name="connsiteX1274" fmla="*/ 9769203 w 12192000"/>
            <a:gd name="connsiteY1274" fmla="*/ 5822266 h 6858000"/>
            <a:gd name="connsiteX1275" fmla="*/ 9854095 w 12192000"/>
            <a:gd name="connsiteY1275" fmla="*/ 5822266 h 6858000"/>
            <a:gd name="connsiteX1276" fmla="*/ 9819269 w 12192000"/>
            <a:gd name="connsiteY1276" fmla="*/ 5787447 h 6858000"/>
            <a:gd name="connsiteX1277" fmla="*/ 9854095 w 12192000"/>
            <a:gd name="connsiteY1277" fmla="*/ 5752628 h 6858000"/>
            <a:gd name="connsiteX1278" fmla="*/ 9888907 w 12192000"/>
            <a:gd name="connsiteY1278" fmla="*/ 5787447 h 6858000"/>
            <a:gd name="connsiteX1279" fmla="*/ 9854095 w 12192000"/>
            <a:gd name="connsiteY1279" fmla="*/ 5822266 h 6858000"/>
            <a:gd name="connsiteX1280" fmla="*/ 9938988 w 12192000"/>
            <a:gd name="connsiteY1280" fmla="*/ 5822266 h 6858000"/>
            <a:gd name="connsiteX1281" fmla="*/ 9904163 w 12192000"/>
            <a:gd name="connsiteY1281" fmla="*/ 5787447 h 6858000"/>
            <a:gd name="connsiteX1282" fmla="*/ 9938988 w 12192000"/>
            <a:gd name="connsiteY1282" fmla="*/ 5752628 h 6858000"/>
            <a:gd name="connsiteX1283" fmla="*/ 9973800 w 12192000"/>
            <a:gd name="connsiteY1283" fmla="*/ 5787447 h 6858000"/>
            <a:gd name="connsiteX1284" fmla="*/ 9938988 w 12192000"/>
            <a:gd name="connsiteY1284" fmla="*/ 5822266 h 6858000"/>
            <a:gd name="connsiteX1285" fmla="*/ 10023880 w 12192000"/>
            <a:gd name="connsiteY1285" fmla="*/ 5822266 h 6858000"/>
            <a:gd name="connsiteX1286" fmla="*/ 9989055 w 12192000"/>
            <a:gd name="connsiteY1286" fmla="*/ 5787447 h 6858000"/>
            <a:gd name="connsiteX1287" fmla="*/ 10023880 w 12192000"/>
            <a:gd name="connsiteY1287" fmla="*/ 5752628 h 6858000"/>
            <a:gd name="connsiteX1288" fmla="*/ 10058693 w 12192000"/>
            <a:gd name="connsiteY1288" fmla="*/ 5787447 h 6858000"/>
            <a:gd name="connsiteX1289" fmla="*/ 10023880 w 12192000"/>
            <a:gd name="connsiteY1289" fmla="*/ 5822266 h 6858000"/>
            <a:gd name="connsiteX1290" fmla="*/ 10108773 w 12192000"/>
            <a:gd name="connsiteY1290" fmla="*/ 5822266 h 6858000"/>
            <a:gd name="connsiteX1291" fmla="*/ 10073947 w 12192000"/>
            <a:gd name="connsiteY1291" fmla="*/ 5787447 h 6858000"/>
            <a:gd name="connsiteX1292" fmla="*/ 10108773 w 12192000"/>
            <a:gd name="connsiteY1292" fmla="*/ 5752628 h 6858000"/>
            <a:gd name="connsiteX1293" fmla="*/ 10143585 w 12192000"/>
            <a:gd name="connsiteY1293" fmla="*/ 5787447 h 6858000"/>
            <a:gd name="connsiteX1294" fmla="*/ 10108773 w 12192000"/>
            <a:gd name="connsiteY1294" fmla="*/ 5822266 h 6858000"/>
            <a:gd name="connsiteX1295" fmla="*/ 10193665 w 12192000"/>
            <a:gd name="connsiteY1295" fmla="*/ 5822266 h 6858000"/>
            <a:gd name="connsiteX1296" fmla="*/ 10158839 w 12192000"/>
            <a:gd name="connsiteY1296" fmla="*/ 5787447 h 6858000"/>
            <a:gd name="connsiteX1297" fmla="*/ 10193665 w 12192000"/>
            <a:gd name="connsiteY1297" fmla="*/ 5752628 h 6858000"/>
            <a:gd name="connsiteX1298" fmla="*/ 10228477 w 12192000"/>
            <a:gd name="connsiteY1298" fmla="*/ 5787447 h 6858000"/>
            <a:gd name="connsiteX1299" fmla="*/ 10193665 w 12192000"/>
            <a:gd name="connsiteY1299" fmla="*/ 5822266 h 6858000"/>
            <a:gd name="connsiteX1300" fmla="*/ 10278558 w 12192000"/>
            <a:gd name="connsiteY1300" fmla="*/ 5822266 h 6858000"/>
            <a:gd name="connsiteX1301" fmla="*/ 10243733 w 12192000"/>
            <a:gd name="connsiteY1301" fmla="*/ 5787447 h 6858000"/>
            <a:gd name="connsiteX1302" fmla="*/ 10278558 w 12192000"/>
            <a:gd name="connsiteY1302" fmla="*/ 5752628 h 6858000"/>
            <a:gd name="connsiteX1303" fmla="*/ 10313370 w 12192000"/>
            <a:gd name="connsiteY1303" fmla="*/ 5787447 h 6858000"/>
            <a:gd name="connsiteX1304" fmla="*/ 10278558 w 12192000"/>
            <a:gd name="connsiteY1304" fmla="*/ 5822266 h 6858000"/>
            <a:gd name="connsiteX1305" fmla="*/ 10363450 w 12192000"/>
            <a:gd name="connsiteY1305" fmla="*/ 5822266 h 6858000"/>
            <a:gd name="connsiteX1306" fmla="*/ 10328625 w 12192000"/>
            <a:gd name="connsiteY1306" fmla="*/ 5787447 h 6858000"/>
            <a:gd name="connsiteX1307" fmla="*/ 10363450 w 12192000"/>
            <a:gd name="connsiteY1307" fmla="*/ 5752628 h 6858000"/>
            <a:gd name="connsiteX1308" fmla="*/ 10398263 w 12192000"/>
            <a:gd name="connsiteY1308" fmla="*/ 5787447 h 6858000"/>
            <a:gd name="connsiteX1309" fmla="*/ 10363450 w 12192000"/>
            <a:gd name="connsiteY1309" fmla="*/ 5822266 h 6858000"/>
            <a:gd name="connsiteX1310" fmla="*/ 10448343 w 12192000"/>
            <a:gd name="connsiteY1310" fmla="*/ 5822266 h 6858000"/>
            <a:gd name="connsiteX1311" fmla="*/ 10413517 w 12192000"/>
            <a:gd name="connsiteY1311" fmla="*/ 5787447 h 6858000"/>
            <a:gd name="connsiteX1312" fmla="*/ 10448343 w 12192000"/>
            <a:gd name="connsiteY1312" fmla="*/ 5752628 h 6858000"/>
            <a:gd name="connsiteX1313" fmla="*/ 10483155 w 12192000"/>
            <a:gd name="connsiteY1313" fmla="*/ 5787447 h 6858000"/>
            <a:gd name="connsiteX1314" fmla="*/ 10448343 w 12192000"/>
            <a:gd name="connsiteY1314" fmla="*/ 5822266 h 6858000"/>
            <a:gd name="connsiteX1315" fmla="*/ 10533235 w 12192000"/>
            <a:gd name="connsiteY1315" fmla="*/ 5822266 h 6858000"/>
            <a:gd name="connsiteX1316" fmla="*/ 10498409 w 12192000"/>
            <a:gd name="connsiteY1316" fmla="*/ 5787447 h 6858000"/>
            <a:gd name="connsiteX1317" fmla="*/ 10533235 w 12192000"/>
            <a:gd name="connsiteY1317" fmla="*/ 5752628 h 6858000"/>
            <a:gd name="connsiteX1318" fmla="*/ 10568047 w 12192000"/>
            <a:gd name="connsiteY1318" fmla="*/ 5787447 h 6858000"/>
            <a:gd name="connsiteX1319" fmla="*/ 10533235 w 12192000"/>
            <a:gd name="connsiteY1319" fmla="*/ 5822266 h 6858000"/>
            <a:gd name="connsiteX1320" fmla="*/ 1534629 w 12192000"/>
            <a:gd name="connsiteY1320" fmla="*/ 5737406 h 6858000"/>
            <a:gd name="connsiteX1321" fmla="*/ 1499810 w 12192000"/>
            <a:gd name="connsiteY1321" fmla="*/ 5702587 h 6858000"/>
            <a:gd name="connsiteX1322" fmla="*/ 1534629 w 12192000"/>
            <a:gd name="connsiteY1322" fmla="*/ 5667768 h 6858000"/>
            <a:gd name="connsiteX1323" fmla="*/ 1569448 w 12192000"/>
            <a:gd name="connsiteY1323" fmla="*/ 5702587 h 6858000"/>
            <a:gd name="connsiteX1324" fmla="*/ 1534629 w 12192000"/>
            <a:gd name="connsiteY1324" fmla="*/ 5737406 h 6858000"/>
            <a:gd name="connsiteX1325" fmla="*/ 1789306 w 12192000"/>
            <a:gd name="connsiteY1325" fmla="*/ 5737406 h 6858000"/>
            <a:gd name="connsiteX1326" fmla="*/ 1754487 w 12192000"/>
            <a:gd name="connsiteY1326" fmla="*/ 5702587 h 6858000"/>
            <a:gd name="connsiteX1327" fmla="*/ 1789306 w 12192000"/>
            <a:gd name="connsiteY1327" fmla="*/ 5667768 h 6858000"/>
            <a:gd name="connsiteX1328" fmla="*/ 1824124 w 12192000"/>
            <a:gd name="connsiteY1328" fmla="*/ 5702587 h 6858000"/>
            <a:gd name="connsiteX1329" fmla="*/ 1789306 w 12192000"/>
            <a:gd name="connsiteY1329" fmla="*/ 5737406 h 6858000"/>
            <a:gd name="connsiteX1330" fmla="*/ 1874199 w 12192000"/>
            <a:gd name="connsiteY1330" fmla="*/ 5737406 h 6858000"/>
            <a:gd name="connsiteX1331" fmla="*/ 1839380 w 12192000"/>
            <a:gd name="connsiteY1331" fmla="*/ 5702587 h 6858000"/>
            <a:gd name="connsiteX1332" fmla="*/ 1874199 w 12192000"/>
            <a:gd name="connsiteY1332" fmla="*/ 5667768 h 6858000"/>
            <a:gd name="connsiteX1333" fmla="*/ 1909018 w 12192000"/>
            <a:gd name="connsiteY1333" fmla="*/ 5702587 h 6858000"/>
            <a:gd name="connsiteX1334" fmla="*/ 1874199 w 12192000"/>
            <a:gd name="connsiteY1334" fmla="*/ 5737406 h 6858000"/>
            <a:gd name="connsiteX1335" fmla="*/ 1959091 w 12192000"/>
            <a:gd name="connsiteY1335" fmla="*/ 5737406 h 6858000"/>
            <a:gd name="connsiteX1336" fmla="*/ 1924272 w 12192000"/>
            <a:gd name="connsiteY1336" fmla="*/ 5702587 h 6858000"/>
            <a:gd name="connsiteX1337" fmla="*/ 1959091 w 12192000"/>
            <a:gd name="connsiteY1337" fmla="*/ 5667768 h 6858000"/>
            <a:gd name="connsiteX1338" fmla="*/ 1993910 w 12192000"/>
            <a:gd name="connsiteY1338" fmla="*/ 5702587 h 6858000"/>
            <a:gd name="connsiteX1339" fmla="*/ 1959091 w 12192000"/>
            <a:gd name="connsiteY1339" fmla="*/ 5737406 h 6858000"/>
            <a:gd name="connsiteX1340" fmla="*/ 2043983 w 12192000"/>
            <a:gd name="connsiteY1340" fmla="*/ 5737406 h 6858000"/>
            <a:gd name="connsiteX1341" fmla="*/ 2009164 w 12192000"/>
            <a:gd name="connsiteY1341" fmla="*/ 5702587 h 6858000"/>
            <a:gd name="connsiteX1342" fmla="*/ 2043983 w 12192000"/>
            <a:gd name="connsiteY1342" fmla="*/ 5667768 h 6858000"/>
            <a:gd name="connsiteX1343" fmla="*/ 2078802 w 12192000"/>
            <a:gd name="connsiteY1343" fmla="*/ 5702587 h 6858000"/>
            <a:gd name="connsiteX1344" fmla="*/ 2043983 w 12192000"/>
            <a:gd name="connsiteY1344" fmla="*/ 5737406 h 6858000"/>
            <a:gd name="connsiteX1345" fmla="*/ 2128876 w 12192000"/>
            <a:gd name="connsiteY1345" fmla="*/ 5737406 h 6858000"/>
            <a:gd name="connsiteX1346" fmla="*/ 2094057 w 12192000"/>
            <a:gd name="connsiteY1346" fmla="*/ 5702587 h 6858000"/>
            <a:gd name="connsiteX1347" fmla="*/ 2128876 w 12192000"/>
            <a:gd name="connsiteY1347" fmla="*/ 5667768 h 6858000"/>
            <a:gd name="connsiteX1348" fmla="*/ 2163694 w 12192000"/>
            <a:gd name="connsiteY1348" fmla="*/ 5702587 h 6858000"/>
            <a:gd name="connsiteX1349" fmla="*/ 2128876 w 12192000"/>
            <a:gd name="connsiteY1349" fmla="*/ 5737406 h 6858000"/>
            <a:gd name="connsiteX1350" fmla="*/ 2213769 w 12192000"/>
            <a:gd name="connsiteY1350" fmla="*/ 5737406 h 6858000"/>
            <a:gd name="connsiteX1351" fmla="*/ 2178950 w 12192000"/>
            <a:gd name="connsiteY1351" fmla="*/ 5702587 h 6858000"/>
            <a:gd name="connsiteX1352" fmla="*/ 2213769 w 12192000"/>
            <a:gd name="connsiteY1352" fmla="*/ 5667768 h 6858000"/>
            <a:gd name="connsiteX1353" fmla="*/ 2248588 w 12192000"/>
            <a:gd name="connsiteY1353" fmla="*/ 5702587 h 6858000"/>
            <a:gd name="connsiteX1354" fmla="*/ 2213769 w 12192000"/>
            <a:gd name="connsiteY1354" fmla="*/ 5737406 h 6858000"/>
            <a:gd name="connsiteX1355" fmla="*/ 2298661 w 12192000"/>
            <a:gd name="connsiteY1355" fmla="*/ 5737406 h 6858000"/>
            <a:gd name="connsiteX1356" fmla="*/ 2263842 w 12192000"/>
            <a:gd name="connsiteY1356" fmla="*/ 5702587 h 6858000"/>
            <a:gd name="connsiteX1357" fmla="*/ 2298661 w 12192000"/>
            <a:gd name="connsiteY1357" fmla="*/ 5667768 h 6858000"/>
            <a:gd name="connsiteX1358" fmla="*/ 2333480 w 12192000"/>
            <a:gd name="connsiteY1358" fmla="*/ 5702587 h 6858000"/>
            <a:gd name="connsiteX1359" fmla="*/ 2298661 w 12192000"/>
            <a:gd name="connsiteY1359" fmla="*/ 5737406 h 6858000"/>
            <a:gd name="connsiteX1360" fmla="*/ 2383553 w 12192000"/>
            <a:gd name="connsiteY1360" fmla="*/ 5737406 h 6858000"/>
            <a:gd name="connsiteX1361" fmla="*/ 2348734 w 12192000"/>
            <a:gd name="connsiteY1361" fmla="*/ 5702587 h 6858000"/>
            <a:gd name="connsiteX1362" fmla="*/ 2383553 w 12192000"/>
            <a:gd name="connsiteY1362" fmla="*/ 5667768 h 6858000"/>
            <a:gd name="connsiteX1363" fmla="*/ 2418372 w 12192000"/>
            <a:gd name="connsiteY1363" fmla="*/ 5702587 h 6858000"/>
            <a:gd name="connsiteX1364" fmla="*/ 2383553 w 12192000"/>
            <a:gd name="connsiteY1364" fmla="*/ 5737406 h 6858000"/>
            <a:gd name="connsiteX1365" fmla="*/ 2638231 w 12192000"/>
            <a:gd name="connsiteY1365" fmla="*/ 5737406 h 6858000"/>
            <a:gd name="connsiteX1366" fmla="*/ 2603412 w 12192000"/>
            <a:gd name="connsiteY1366" fmla="*/ 5702587 h 6858000"/>
            <a:gd name="connsiteX1367" fmla="*/ 2638231 w 12192000"/>
            <a:gd name="connsiteY1367" fmla="*/ 5667768 h 6858000"/>
            <a:gd name="connsiteX1368" fmla="*/ 2673050 w 12192000"/>
            <a:gd name="connsiteY1368" fmla="*/ 5702587 h 6858000"/>
            <a:gd name="connsiteX1369" fmla="*/ 2638231 w 12192000"/>
            <a:gd name="connsiteY1369" fmla="*/ 5737406 h 6858000"/>
            <a:gd name="connsiteX1370" fmla="*/ 2723123 w 12192000"/>
            <a:gd name="connsiteY1370" fmla="*/ 5737406 h 6858000"/>
            <a:gd name="connsiteX1371" fmla="*/ 2688304 w 12192000"/>
            <a:gd name="connsiteY1371" fmla="*/ 5702587 h 6858000"/>
            <a:gd name="connsiteX1372" fmla="*/ 2723123 w 12192000"/>
            <a:gd name="connsiteY1372" fmla="*/ 5667768 h 6858000"/>
            <a:gd name="connsiteX1373" fmla="*/ 2757942 w 12192000"/>
            <a:gd name="connsiteY1373" fmla="*/ 5702587 h 6858000"/>
            <a:gd name="connsiteX1374" fmla="*/ 2723123 w 12192000"/>
            <a:gd name="connsiteY1374" fmla="*/ 5737406 h 6858000"/>
            <a:gd name="connsiteX1375" fmla="*/ 3062693 w 12192000"/>
            <a:gd name="connsiteY1375" fmla="*/ 5737406 h 6858000"/>
            <a:gd name="connsiteX1376" fmla="*/ 3027874 w 12192000"/>
            <a:gd name="connsiteY1376" fmla="*/ 5702587 h 6858000"/>
            <a:gd name="connsiteX1377" fmla="*/ 3062693 w 12192000"/>
            <a:gd name="connsiteY1377" fmla="*/ 5667768 h 6858000"/>
            <a:gd name="connsiteX1378" fmla="*/ 3097512 w 12192000"/>
            <a:gd name="connsiteY1378" fmla="*/ 5702587 h 6858000"/>
            <a:gd name="connsiteX1379" fmla="*/ 3062693 w 12192000"/>
            <a:gd name="connsiteY1379" fmla="*/ 5737406 h 6858000"/>
            <a:gd name="connsiteX1380" fmla="*/ 3147586 w 12192000"/>
            <a:gd name="connsiteY1380" fmla="*/ 5737406 h 6858000"/>
            <a:gd name="connsiteX1381" fmla="*/ 3112767 w 12192000"/>
            <a:gd name="connsiteY1381" fmla="*/ 5702587 h 6858000"/>
            <a:gd name="connsiteX1382" fmla="*/ 3147586 w 12192000"/>
            <a:gd name="connsiteY1382" fmla="*/ 5667768 h 6858000"/>
            <a:gd name="connsiteX1383" fmla="*/ 3182404 w 12192000"/>
            <a:gd name="connsiteY1383" fmla="*/ 5702587 h 6858000"/>
            <a:gd name="connsiteX1384" fmla="*/ 3147586 w 12192000"/>
            <a:gd name="connsiteY1384" fmla="*/ 5737406 h 6858000"/>
            <a:gd name="connsiteX1385" fmla="*/ 3232478 w 12192000"/>
            <a:gd name="connsiteY1385" fmla="*/ 5737406 h 6858000"/>
            <a:gd name="connsiteX1386" fmla="*/ 3197659 w 12192000"/>
            <a:gd name="connsiteY1386" fmla="*/ 5702587 h 6858000"/>
            <a:gd name="connsiteX1387" fmla="*/ 3232478 w 12192000"/>
            <a:gd name="connsiteY1387" fmla="*/ 5667768 h 6858000"/>
            <a:gd name="connsiteX1388" fmla="*/ 3267297 w 12192000"/>
            <a:gd name="connsiteY1388" fmla="*/ 5702587 h 6858000"/>
            <a:gd name="connsiteX1389" fmla="*/ 3232478 w 12192000"/>
            <a:gd name="connsiteY1389" fmla="*/ 5737406 h 6858000"/>
            <a:gd name="connsiteX1390" fmla="*/ 3317371 w 12192000"/>
            <a:gd name="connsiteY1390" fmla="*/ 5737406 h 6858000"/>
            <a:gd name="connsiteX1391" fmla="*/ 3282552 w 12192000"/>
            <a:gd name="connsiteY1391" fmla="*/ 5702587 h 6858000"/>
            <a:gd name="connsiteX1392" fmla="*/ 3317371 w 12192000"/>
            <a:gd name="connsiteY1392" fmla="*/ 5667768 h 6858000"/>
            <a:gd name="connsiteX1393" fmla="*/ 3352190 w 12192000"/>
            <a:gd name="connsiteY1393" fmla="*/ 5702587 h 6858000"/>
            <a:gd name="connsiteX1394" fmla="*/ 3317371 w 12192000"/>
            <a:gd name="connsiteY1394" fmla="*/ 5737406 h 6858000"/>
            <a:gd name="connsiteX1395" fmla="*/ 3487156 w 12192000"/>
            <a:gd name="connsiteY1395" fmla="*/ 5737406 h 6858000"/>
            <a:gd name="connsiteX1396" fmla="*/ 3452337 w 12192000"/>
            <a:gd name="connsiteY1396" fmla="*/ 5702587 h 6858000"/>
            <a:gd name="connsiteX1397" fmla="*/ 3487156 w 12192000"/>
            <a:gd name="connsiteY1397" fmla="*/ 5667768 h 6858000"/>
            <a:gd name="connsiteX1398" fmla="*/ 3521974 w 12192000"/>
            <a:gd name="connsiteY1398" fmla="*/ 5702587 h 6858000"/>
            <a:gd name="connsiteX1399" fmla="*/ 3487156 w 12192000"/>
            <a:gd name="connsiteY1399" fmla="*/ 5737406 h 6858000"/>
            <a:gd name="connsiteX1400" fmla="*/ 3656941 w 12192000"/>
            <a:gd name="connsiteY1400" fmla="*/ 5737406 h 6858000"/>
            <a:gd name="connsiteX1401" fmla="*/ 3622122 w 12192000"/>
            <a:gd name="connsiteY1401" fmla="*/ 5702587 h 6858000"/>
            <a:gd name="connsiteX1402" fmla="*/ 3656941 w 12192000"/>
            <a:gd name="connsiteY1402" fmla="*/ 5667768 h 6858000"/>
            <a:gd name="connsiteX1403" fmla="*/ 3691760 w 12192000"/>
            <a:gd name="connsiteY1403" fmla="*/ 5702587 h 6858000"/>
            <a:gd name="connsiteX1404" fmla="*/ 3656941 w 12192000"/>
            <a:gd name="connsiteY1404" fmla="*/ 5737406 h 6858000"/>
            <a:gd name="connsiteX1405" fmla="*/ 3826726 w 12192000"/>
            <a:gd name="connsiteY1405" fmla="*/ 5737406 h 6858000"/>
            <a:gd name="connsiteX1406" fmla="*/ 3791907 w 12192000"/>
            <a:gd name="connsiteY1406" fmla="*/ 5702587 h 6858000"/>
            <a:gd name="connsiteX1407" fmla="*/ 3826726 w 12192000"/>
            <a:gd name="connsiteY1407" fmla="*/ 5667768 h 6858000"/>
            <a:gd name="connsiteX1408" fmla="*/ 3861544 w 12192000"/>
            <a:gd name="connsiteY1408" fmla="*/ 5702587 h 6858000"/>
            <a:gd name="connsiteX1409" fmla="*/ 3826726 w 12192000"/>
            <a:gd name="connsiteY1409" fmla="*/ 5737406 h 6858000"/>
            <a:gd name="connsiteX1410" fmla="*/ 4590758 w 12192000"/>
            <a:gd name="connsiteY1410" fmla="*/ 5737406 h 6858000"/>
            <a:gd name="connsiteX1411" fmla="*/ 4555939 w 12192000"/>
            <a:gd name="connsiteY1411" fmla="*/ 5702587 h 6858000"/>
            <a:gd name="connsiteX1412" fmla="*/ 4590758 w 12192000"/>
            <a:gd name="connsiteY1412" fmla="*/ 5667768 h 6858000"/>
            <a:gd name="connsiteX1413" fmla="*/ 4625577 w 12192000"/>
            <a:gd name="connsiteY1413" fmla="*/ 5702587 h 6858000"/>
            <a:gd name="connsiteX1414" fmla="*/ 4590758 w 12192000"/>
            <a:gd name="connsiteY1414" fmla="*/ 5737406 h 6858000"/>
            <a:gd name="connsiteX1415" fmla="*/ 4675650 w 12192000"/>
            <a:gd name="connsiteY1415" fmla="*/ 5737406 h 6858000"/>
            <a:gd name="connsiteX1416" fmla="*/ 4640831 w 12192000"/>
            <a:gd name="connsiteY1416" fmla="*/ 5702587 h 6858000"/>
            <a:gd name="connsiteX1417" fmla="*/ 4675650 w 12192000"/>
            <a:gd name="connsiteY1417" fmla="*/ 5667768 h 6858000"/>
            <a:gd name="connsiteX1418" fmla="*/ 4710469 w 12192000"/>
            <a:gd name="connsiteY1418" fmla="*/ 5702587 h 6858000"/>
            <a:gd name="connsiteX1419" fmla="*/ 4675650 w 12192000"/>
            <a:gd name="connsiteY1419" fmla="*/ 5737406 h 6858000"/>
            <a:gd name="connsiteX1420" fmla="*/ 4760543 w 12192000"/>
            <a:gd name="connsiteY1420" fmla="*/ 5737406 h 6858000"/>
            <a:gd name="connsiteX1421" fmla="*/ 4725724 w 12192000"/>
            <a:gd name="connsiteY1421" fmla="*/ 5702587 h 6858000"/>
            <a:gd name="connsiteX1422" fmla="*/ 4760543 w 12192000"/>
            <a:gd name="connsiteY1422" fmla="*/ 5667768 h 6858000"/>
            <a:gd name="connsiteX1423" fmla="*/ 4795362 w 12192000"/>
            <a:gd name="connsiteY1423" fmla="*/ 5702587 h 6858000"/>
            <a:gd name="connsiteX1424" fmla="*/ 4760543 w 12192000"/>
            <a:gd name="connsiteY1424" fmla="*/ 5737406 h 6858000"/>
            <a:gd name="connsiteX1425" fmla="*/ 4845436 w 12192000"/>
            <a:gd name="connsiteY1425" fmla="*/ 5737406 h 6858000"/>
            <a:gd name="connsiteX1426" fmla="*/ 4810617 w 12192000"/>
            <a:gd name="connsiteY1426" fmla="*/ 5702587 h 6858000"/>
            <a:gd name="connsiteX1427" fmla="*/ 4845436 w 12192000"/>
            <a:gd name="connsiteY1427" fmla="*/ 5667768 h 6858000"/>
            <a:gd name="connsiteX1428" fmla="*/ 4880254 w 12192000"/>
            <a:gd name="connsiteY1428" fmla="*/ 5702587 h 6858000"/>
            <a:gd name="connsiteX1429" fmla="*/ 4845436 w 12192000"/>
            <a:gd name="connsiteY1429" fmla="*/ 5737406 h 6858000"/>
            <a:gd name="connsiteX1430" fmla="*/ 4930328 w 12192000"/>
            <a:gd name="connsiteY1430" fmla="*/ 5737406 h 6858000"/>
            <a:gd name="connsiteX1431" fmla="*/ 4895509 w 12192000"/>
            <a:gd name="connsiteY1431" fmla="*/ 5702587 h 6858000"/>
            <a:gd name="connsiteX1432" fmla="*/ 4930328 w 12192000"/>
            <a:gd name="connsiteY1432" fmla="*/ 5667768 h 6858000"/>
            <a:gd name="connsiteX1433" fmla="*/ 4965147 w 12192000"/>
            <a:gd name="connsiteY1433" fmla="*/ 5702587 h 6858000"/>
            <a:gd name="connsiteX1434" fmla="*/ 4930328 w 12192000"/>
            <a:gd name="connsiteY1434" fmla="*/ 5737406 h 6858000"/>
            <a:gd name="connsiteX1435" fmla="*/ 5015220 w 12192000"/>
            <a:gd name="connsiteY1435" fmla="*/ 5737406 h 6858000"/>
            <a:gd name="connsiteX1436" fmla="*/ 4980401 w 12192000"/>
            <a:gd name="connsiteY1436" fmla="*/ 5702587 h 6858000"/>
            <a:gd name="connsiteX1437" fmla="*/ 5015220 w 12192000"/>
            <a:gd name="connsiteY1437" fmla="*/ 5667768 h 6858000"/>
            <a:gd name="connsiteX1438" fmla="*/ 5050039 w 12192000"/>
            <a:gd name="connsiteY1438" fmla="*/ 5702587 h 6858000"/>
            <a:gd name="connsiteX1439" fmla="*/ 5015220 w 12192000"/>
            <a:gd name="connsiteY1439" fmla="*/ 5737406 h 6858000"/>
            <a:gd name="connsiteX1440" fmla="*/ 5100113 w 12192000"/>
            <a:gd name="connsiteY1440" fmla="*/ 5737406 h 6858000"/>
            <a:gd name="connsiteX1441" fmla="*/ 5065294 w 12192000"/>
            <a:gd name="connsiteY1441" fmla="*/ 5702587 h 6858000"/>
            <a:gd name="connsiteX1442" fmla="*/ 5100113 w 12192000"/>
            <a:gd name="connsiteY1442" fmla="*/ 5667768 h 6858000"/>
            <a:gd name="connsiteX1443" fmla="*/ 5134932 w 12192000"/>
            <a:gd name="connsiteY1443" fmla="*/ 5702587 h 6858000"/>
            <a:gd name="connsiteX1444" fmla="*/ 5100113 w 12192000"/>
            <a:gd name="connsiteY1444" fmla="*/ 5737406 h 6858000"/>
            <a:gd name="connsiteX1445" fmla="*/ 5185006 w 12192000"/>
            <a:gd name="connsiteY1445" fmla="*/ 5737406 h 6858000"/>
            <a:gd name="connsiteX1446" fmla="*/ 5150187 w 12192000"/>
            <a:gd name="connsiteY1446" fmla="*/ 5702587 h 6858000"/>
            <a:gd name="connsiteX1447" fmla="*/ 5185006 w 12192000"/>
            <a:gd name="connsiteY1447" fmla="*/ 5667768 h 6858000"/>
            <a:gd name="connsiteX1448" fmla="*/ 5219824 w 12192000"/>
            <a:gd name="connsiteY1448" fmla="*/ 5702587 h 6858000"/>
            <a:gd name="connsiteX1449" fmla="*/ 5185006 w 12192000"/>
            <a:gd name="connsiteY1449" fmla="*/ 5737406 h 6858000"/>
            <a:gd name="connsiteX1450" fmla="*/ 5269898 w 12192000"/>
            <a:gd name="connsiteY1450" fmla="*/ 5737406 h 6858000"/>
            <a:gd name="connsiteX1451" fmla="*/ 5235079 w 12192000"/>
            <a:gd name="connsiteY1451" fmla="*/ 5702587 h 6858000"/>
            <a:gd name="connsiteX1452" fmla="*/ 5269898 w 12192000"/>
            <a:gd name="connsiteY1452" fmla="*/ 5667768 h 6858000"/>
            <a:gd name="connsiteX1453" fmla="*/ 5304717 w 12192000"/>
            <a:gd name="connsiteY1453" fmla="*/ 5702587 h 6858000"/>
            <a:gd name="connsiteX1454" fmla="*/ 5269898 w 12192000"/>
            <a:gd name="connsiteY1454" fmla="*/ 5737406 h 6858000"/>
            <a:gd name="connsiteX1455" fmla="*/ 7137536 w 12192000"/>
            <a:gd name="connsiteY1455" fmla="*/ 5737406 h 6858000"/>
            <a:gd name="connsiteX1456" fmla="*/ 7102710 w 12192000"/>
            <a:gd name="connsiteY1456" fmla="*/ 5702587 h 6858000"/>
            <a:gd name="connsiteX1457" fmla="*/ 7137536 w 12192000"/>
            <a:gd name="connsiteY1457" fmla="*/ 5667768 h 6858000"/>
            <a:gd name="connsiteX1458" fmla="*/ 7172348 w 12192000"/>
            <a:gd name="connsiteY1458" fmla="*/ 5702587 h 6858000"/>
            <a:gd name="connsiteX1459" fmla="*/ 7137536 w 12192000"/>
            <a:gd name="connsiteY1459" fmla="*/ 5737406 h 6858000"/>
            <a:gd name="connsiteX1460" fmla="*/ 7731784 w 12192000"/>
            <a:gd name="connsiteY1460" fmla="*/ 5737406 h 6858000"/>
            <a:gd name="connsiteX1461" fmla="*/ 7696958 w 12192000"/>
            <a:gd name="connsiteY1461" fmla="*/ 5702587 h 6858000"/>
            <a:gd name="connsiteX1462" fmla="*/ 7731784 w 12192000"/>
            <a:gd name="connsiteY1462" fmla="*/ 5667768 h 6858000"/>
            <a:gd name="connsiteX1463" fmla="*/ 7766596 w 12192000"/>
            <a:gd name="connsiteY1463" fmla="*/ 5702587 h 6858000"/>
            <a:gd name="connsiteX1464" fmla="*/ 7731784 w 12192000"/>
            <a:gd name="connsiteY1464" fmla="*/ 5737406 h 6858000"/>
            <a:gd name="connsiteX1465" fmla="*/ 7901568 w 12192000"/>
            <a:gd name="connsiteY1465" fmla="*/ 5737406 h 6858000"/>
            <a:gd name="connsiteX1466" fmla="*/ 7866743 w 12192000"/>
            <a:gd name="connsiteY1466" fmla="*/ 5702587 h 6858000"/>
            <a:gd name="connsiteX1467" fmla="*/ 7901568 w 12192000"/>
            <a:gd name="connsiteY1467" fmla="*/ 5667768 h 6858000"/>
            <a:gd name="connsiteX1468" fmla="*/ 7936380 w 12192000"/>
            <a:gd name="connsiteY1468" fmla="*/ 5702587 h 6858000"/>
            <a:gd name="connsiteX1469" fmla="*/ 7901568 w 12192000"/>
            <a:gd name="connsiteY1469" fmla="*/ 5737406 h 6858000"/>
            <a:gd name="connsiteX1470" fmla="*/ 7986460 w 12192000"/>
            <a:gd name="connsiteY1470" fmla="*/ 5737406 h 6858000"/>
            <a:gd name="connsiteX1471" fmla="*/ 7951635 w 12192000"/>
            <a:gd name="connsiteY1471" fmla="*/ 5702587 h 6858000"/>
            <a:gd name="connsiteX1472" fmla="*/ 7986460 w 12192000"/>
            <a:gd name="connsiteY1472" fmla="*/ 5667768 h 6858000"/>
            <a:gd name="connsiteX1473" fmla="*/ 8021273 w 12192000"/>
            <a:gd name="connsiteY1473" fmla="*/ 5702587 h 6858000"/>
            <a:gd name="connsiteX1474" fmla="*/ 7986460 w 12192000"/>
            <a:gd name="connsiteY1474" fmla="*/ 5737406 h 6858000"/>
            <a:gd name="connsiteX1475" fmla="*/ 8071353 w 12192000"/>
            <a:gd name="connsiteY1475" fmla="*/ 5737406 h 6858000"/>
            <a:gd name="connsiteX1476" fmla="*/ 8036527 w 12192000"/>
            <a:gd name="connsiteY1476" fmla="*/ 5702587 h 6858000"/>
            <a:gd name="connsiteX1477" fmla="*/ 8071353 w 12192000"/>
            <a:gd name="connsiteY1477" fmla="*/ 5667768 h 6858000"/>
            <a:gd name="connsiteX1478" fmla="*/ 8106165 w 12192000"/>
            <a:gd name="connsiteY1478" fmla="*/ 5702587 h 6858000"/>
            <a:gd name="connsiteX1479" fmla="*/ 8071353 w 12192000"/>
            <a:gd name="connsiteY1479" fmla="*/ 5737406 h 6858000"/>
            <a:gd name="connsiteX1480" fmla="*/ 8156246 w 12192000"/>
            <a:gd name="connsiteY1480" fmla="*/ 5737406 h 6858000"/>
            <a:gd name="connsiteX1481" fmla="*/ 8121420 w 12192000"/>
            <a:gd name="connsiteY1481" fmla="*/ 5702587 h 6858000"/>
            <a:gd name="connsiteX1482" fmla="*/ 8156246 w 12192000"/>
            <a:gd name="connsiteY1482" fmla="*/ 5667768 h 6858000"/>
            <a:gd name="connsiteX1483" fmla="*/ 8191058 w 12192000"/>
            <a:gd name="connsiteY1483" fmla="*/ 5702587 h 6858000"/>
            <a:gd name="connsiteX1484" fmla="*/ 8156246 w 12192000"/>
            <a:gd name="connsiteY1484" fmla="*/ 5737406 h 6858000"/>
            <a:gd name="connsiteX1485" fmla="*/ 8241138 w 12192000"/>
            <a:gd name="connsiteY1485" fmla="*/ 5737406 h 6858000"/>
            <a:gd name="connsiteX1486" fmla="*/ 8206313 w 12192000"/>
            <a:gd name="connsiteY1486" fmla="*/ 5702587 h 6858000"/>
            <a:gd name="connsiteX1487" fmla="*/ 8241138 w 12192000"/>
            <a:gd name="connsiteY1487" fmla="*/ 5667768 h 6858000"/>
            <a:gd name="connsiteX1488" fmla="*/ 8275950 w 12192000"/>
            <a:gd name="connsiteY1488" fmla="*/ 5702587 h 6858000"/>
            <a:gd name="connsiteX1489" fmla="*/ 8241138 w 12192000"/>
            <a:gd name="connsiteY1489" fmla="*/ 5737406 h 6858000"/>
            <a:gd name="connsiteX1490" fmla="*/ 8326030 w 12192000"/>
            <a:gd name="connsiteY1490" fmla="*/ 5737406 h 6858000"/>
            <a:gd name="connsiteX1491" fmla="*/ 8291205 w 12192000"/>
            <a:gd name="connsiteY1491" fmla="*/ 5702587 h 6858000"/>
            <a:gd name="connsiteX1492" fmla="*/ 8326030 w 12192000"/>
            <a:gd name="connsiteY1492" fmla="*/ 5667768 h 6858000"/>
            <a:gd name="connsiteX1493" fmla="*/ 8360843 w 12192000"/>
            <a:gd name="connsiteY1493" fmla="*/ 5702587 h 6858000"/>
            <a:gd name="connsiteX1494" fmla="*/ 8326030 w 12192000"/>
            <a:gd name="connsiteY1494" fmla="*/ 5737406 h 6858000"/>
            <a:gd name="connsiteX1495" fmla="*/ 8410923 w 12192000"/>
            <a:gd name="connsiteY1495" fmla="*/ 5737406 h 6858000"/>
            <a:gd name="connsiteX1496" fmla="*/ 8376097 w 12192000"/>
            <a:gd name="connsiteY1496" fmla="*/ 5702587 h 6858000"/>
            <a:gd name="connsiteX1497" fmla="*/ 8410923 w 12192000"/>
            <a:gd name="connsiteY1497" fmla="*/ 5667768 h 6858000"/>
            <a:gd name="connsiteX1498" fmla="*/ 8445735 w 12192000"/>
            <a:gd name="connsiteY1498" fmla="*/ 5702587 h 6858000"/>
            <a:gd name="connsiteX1499" fmla="*/ 8410923 w 12192000"/>
            <a:gd name="connsiteY1499" fmla="*/ 5737406 h 6858000"/>
            <a:gd name="connsiteX1500" fmla="*/ 8495816 w 12192000"/>
            <a:gd name="connsiteY1500" fmla="*/ 5737406 h 6858000"/>
            <a:gd name="connsiteX1501" fmla="*/ 8460990 w 12192000"/>
            <a:gd name="connsiteY1501" fmla="*/ 5702587 h 6858000"/>
            <a:gd name="connsiteX1502" fmla="*/ 8495816 w 12192000"/>
            <a:gd name="connsiteY1502" fmla="*/ 5667768 h 6858000"/>
            <a:gd name="connsiteX1503" fmla="*/ 8530628 w 12192000"/>
            <a:gd name="connsiteY1503" fmla="*/ 5702587 h 6858000"/>
            <a:gd name="connsiteX1504" fmla="*/ 8495816 w 12192000"/>
            <a:gd name="connsiteY1504" fmla="*/ 5737406 h 6858000"/>
            <a:gd name="connsiteX1505" fmla="*/ 8580708 w 12192000"/>
            <a:gd name="connsiteY1505" fmla="*/ 5737406 h 6858000"/>
            <a:gd name="connsiteX1506" fmla="*/ 8545883 w 12192000"/>
            <a:gd name="connsiteY1506" fmla="*/ 5702587 h 6858000"/>
            <a:gd name="connsiteX1507" fmla="*/ 8580708 w 12192000"/>
            <a:gd name="connsiteY1507" fmla="*/ 5667768 h 6858000"/>
            <a:gd name="connsiteX1508" fmla="*/ 8615520 w 12192000"/>
            <a:gd name="connsiteY1508" fmla="*/ 5702587 h 6858000"/>
            <a:gd name="connsiteX1509" fmla="*/ 8580708 w 12192000"/>
            <a:gd name="connsiteY1509" fmla="*/ 5737406 h 6858000"/>
            <a:gd name="connsiteX1510" fmla="*/ 8665600 w 12192000"/>
            <a:gd name="connsiteY1510" fmla="*/ 5737406 h 6858000"/>
            <a:gd name="connsiteX1511" fmla="*/ 8630775 w 12192000"/>
            <a:gd name="connsiteY1511" fmla="*/ 5702587 h 6858000"/>
            <a:gd name="connsiteX1512" fmla="*/ 8665600 w 12192000"/>
            <a:gd name="connsiteY1512" fmla="*/ 5667768 h 6858000"/>
            <a:gd name="connsiteX1513" fmla="*/ 8700413 w 12192000"/>
            <a:gd name="connsiteY1513" fmla="*/ 5702587 h 6858000"/>
            <a:gd name="connsiteX1514" fmla="*/ 8665600 w 12192000"/>
            <a:gd name="connsiteY1514" fmla="*/ 5737406 h 6858000"/>
            <a:gd name="connsiteX1515" fmla="*/ 8750493 w 12192000"/>
            <a:gd name="connsiteY1515" fmla="*/ 5737406 h 6858000"/>
            <a:gd name="connsiteX1516" fmla="*/ 8715667 w 12192000"/>
            <a:gd name="connsiteY1516" fmla="*/ 5702587 h 6858000"/>
            <a:gd name="connsiteX1517" fmla="*/ 8750493 w 12192000"/>
            <a:gd name="connsiteY1517" fmla="*/ 5667768 h 6858000"/>
            <a:gd name="connsiteX1518" fmla="*/ 8785305 w 12192000"/>
            <a:gd name="connsiteY1518" fmla="*/ 5702587 h 6858000"/>
            <a:gd name="connsiteX1519" fmla="*/ 8750493 w 12192000"/>
            <a:gd name="connsiteY1519" fmla="*/ 5737406 h 6858000"/>
            <a:gd name="connsiteX1520" fmla="*/ 8835386 w 12192000"/>
            <a:gd name="connsiteY1520" fmla="*/ 5737406 h 6858000"/>
            <a:gd name="connsiteX1521" fmla="*/ 8800560 w 12192000"/>
            <a:gd name="connsiteY1521" fmla="*/ 5702587 h 6858000"/>
            <a:gd name="connsiteX1522" fmla="*/ 8835386 w 12192000"/>
            <a:gd name="connsiteY1522" fmla="*/ 5667768 h 6858000"/>
            <a:gd name="connsiteX1523" fmla="*/ 8870198 w 12192000"/>
            <a:gd name="connsiteY1523" fmla="*/ 5702587 h 6858000"/>
            <a:gd name="connsiteX1524" fmla="*/ 8835386 w 12192000"/>
            <a:gd name="connsiteY1524" fmla="*/ 5737406 h 6858000"/>
            <a:gd name="connsiteX1525" fmla="*/ 8920278 w 12192000"/>
            <a:gd name="connsiteY1525" fmla="*/ 5737406 h 6858000"/>
            <a:gd name="connsiteX1526" fmla="*/ 8885453 w 12192000"/>
            <a:gd name="connsiteY1526" fmla="*/ 5702587 h 6858000"/>
            <a:gd name="connsiteX1527" fmla="*/ 8920278 w 12192000"/>
            <a:gd name="connsiteY1527" fmla="*/ 5667768 h 6858000"/>
            <a:gd name="connsiteX1528" fmla="*/ 8955090 w 12192000"/>
            <a:gd name="connsiteY1528" fmla="*/ 5702587 h 6858000"/>
            <a:gd name="connsiteX1529" fmla="*/ 8920278 w 12192000"/>
            <a:gd name="connsiteY1529" fmla="*/ 5737406 h 6858000"/>
            <a:gd name="connsiteX1530" fmla="*/ 9005170 w 12192000"/>
            <a:gd name="connsiteY1530" fmla="*/ 5737406 h 6858000"/>
            <a:gd name="connsiteX1531" fmla="*/ 8970345 w 12192000"/>
            <a:gd name="connsiteY1531" fmla="*/ 5702587 h 6858000"/>
            <a:gd name="connsiteX1532" fmla="*/ 9005170 w 12192000"/>
            <a:gd name="connsiteY1532" fmla="*/ 5667768 h 6858000"/>
            <a:gd name="connsiteX1533" fmla="*/ 9039983 w 12192000"/>
            <a:gd name="connsiteY1533" fmla="*/ 5702587 h 6858000"/>
            <a:gd name="connsiteX1534" fmla="*/ 9005170 w 12192000"/>
            <a:gd name="connsiteY1534" fmla="*/ 5737406 h 6858000"/>
            <a:gd name="connsiteX1535" fmla="*/ 9090063 w 12192000"/>
            <a:gd name="connsiteY1535" fmla="*/ 5737406 h 6858000"/>
            <a:gd name="connsiteX1536" fmla="*/ 9055237 w 12192000"/>
            <a:gd name="connsiteY1536" fmla="*/ 5702587 h 6858000"/>
            <a:gd name="connsiteX1537" fmla="*/ 9090063 w 12192000"/>
            <a:gd name="connsiteY1537" fmla="*/ 5667768 h 6858000"/>
            <a:gd name="connsiteX1538" fmla="*/ 9124875 w 12192000"/>
            <a:gd name="connsiteY1538" fmla="*/ 5702587 h 6858000"/>
            <a:gd name="connsiteX1539" fmla="*/ 9090063 w 12192000"/>
            <a:gd name="connsiteY1539" fmla="*/ 5737406 h 6858000"/>
            <a:gd name="connsiteX1540" fmla="*/ 9174956 w 12192000"/>
            <a:gd name="connsiteY1540" fmla="*/ 5737406 h 6858000"/>
            <a:gd name="connsiteX1541" fmla="*/ 9140130 w 12192000"/>
            <a:gd name="connsiteY1541" fmla="*/ 5702587 h 6858000"/>
            <a:gd name="connsiteX1542" fmla="*/ 9174956 w 12192000"/>
            <a:gd name="connsiteY1542" fmla="*/ 5667768 h 6858000"/>
            <a:gd name="connsiteX1543" fmla="*/ 9209768 w 12192000"/>
            <a:gd name="connsiteY1543" fmla="*/ 5702587 h 6858000"/>
            <a:gd name="connsiteX1544" fmla="*/ 9174956 w 12192000"/>
            <a:gd name="connsiteY1544" fmla="*/ 5737406 h 6858000"/>
            <a:gd name="connsiteX1545" fmla="*/ 9259848 w 12192000"/>
            <a:gd name="connsiteY1545" fmla="*/ 5737406 h 6858000"/>
            <a:gd name="connsiteX1546" fmla="*/ 9225023 w 12192000"/>
            <a:gd name="connsiteY1546" fmla="*/ 5702587 h 6858000"/>
            <a:gd name="connsiteX1547" fmla="*/ 9259848 w 12192000"/>
            <a:gd name="connsiteY1547" fmla="*/ 5667768 h 6858000"/>
            <a:gd name="connsiteX1548" fmla="*/ 9294660 w 12192000"/>
            <a:gd name="connsiteY1548" fmla="*/ 5702587 h 6858000"/>
            <a:gd name="connsiteX1549" fmla="*/ 9259848 w 12192000"/>
            <a:gd name="connsiteY1549" fmla="*/ 5737406 h 6858000"/>
            <a:gd name="connsiteX1550" fmla="*/ 9344740 w 12192000"/>
            <a:gd name="connsiteY1550" fmla="*/ 5737406 h 6858000"/>
            <a:gd name="connsiteX1551" fmla="*/ 9309915 w 12192000"/>
            <a:gd name="connsiteY1551" fmla="*/ 5702587 h 6858000"/>
            <a:gd name="connsiteX1552" fmla="*/ 9344740 w 12192000"/>
            <a:gd name="connsiteY1552" fmla="*/ 5667768 h 6858000"/>
            <a:gd name="connsiteX1553" fmla="*/ 9379553 w 12192000"/>
            <a:gd name="connsiteY1553" fmla="*/ 5702587 h 6858000"/>
            <a:gd name="connsiteX1554" fmla="*/ 9344740 w 12192000"/>
            <a:gd name="connsiteY1554" fmla="*/ 5737406 h 6858000"/>
            <a:gd name="connsiteX1555" fmla="*/ 9429633 w 12192000"/>
            <a:gd name="connsiteY1555" fmla="*/ 5737406 h 6858000"/>
            <a:gd name="connsiteX1556" fmla="*/ 9394807 w 12192000"/>
            <a:gd name="connsiteY1556" fmla="*/ 5702587 h 6858000"/>
            <a:gd name="connsiteX1557" fmla="*/ 9429633 w 12192000"/>
            <a:gd name="connsiteY1557" fmla="*/ 5667768 h 6858000"/>
            <a:gd name="connsiteX1558" fmla="*/ 9464445 w 12192000"/>
            <a:gd name="connsiteY1558" fmla="*/ 5702587 h 6858000"/>
            <a:gd name="connsiteX1559" fmla="*/ 9429633 w 12192000"/>
            <a:gd name="connsiteY1559" fmla="*/ 5737406 h 6858000"/>
            <a:gd name="connsiteX1560" fmla="*/ 9514525 w 12192000"/>
            <a:gd name="connsiteY1560" fmla="*/ 5737406 h 6858000"/>
            <a:gd name="connsiteX1561" fmla="*/ 9479699 w 12192000"/>
            <a:gd name="connsiteY1561" fmla="*/ 5702587 h 6858000"/>
            <a:gd name="connsiteX1562" fmla="*/ 9514525 w 12192000"/>
            <a:gd name="connsiteY1562" fmla="*/ 5667768 h 6858000"/>
            <a:gd name="connsiteX1563" fmla="*/ 9549337 w 12192000"/>
            <a:gd name="connsiteY1563" fmla="*/ 5702587 h 6858000"/>
            <a:gd name="connsiteX1564" fmla="*/ 9514525 w 12192000"/>
            <a:gd name="connsiteY1564" fmla="*/ 5737406 h 6858000"/>
            <a:gd name="connsiteX1565" fmla="*/ 9599418 w 12192000"/>
            <a:gd name="connsiteY1565" fmla="*/ 5737406 h 6858000"/>
            <a:gd name="connsiteX1566" fmla="*/ 9564593 w 12192000"/>
            <a:gd name="connsiteY1566" fmla="*/ 5702587 h 6858000"/>
            <a:gd name="connsiteX1567" fmla="*/ 9599418 w 12192000"/>
            <a:gd name="connsiteY1567" fmla="*/ 5667768 h 6858000"/>
            <a:gd name="connsiteX1568" fmla="*/ 9634230 w 12192000"/>
            <a:gd name="connsiteY1568" fmla="*/ 5702587 h 6858000"/>
            <a:gd name="connsiteX1569" fmla="*/ 9599418 w 12192000"/>
            <a:gd name="connsiteY1569" fmla="*/ 5737406 h 6858000"/>
            <a:gd name="connsiteX1570" fmla="*/ 9684310 w 12192000"/>
            <a:gd name="connsiteY1570" fmla="*/ 5737406 h 6858000"/>
            <a:gd name="connsiteX1571" fmla="*/ 9649485 w 12192000"/>
            <a:gd name="connsiteY1571" fmla="*/ 5702587 h 6858000"/>
            <a:gd name="connsiteX1572" fmla="*/ 9684310 w 12192000"/>
            <a:gd name="connsiteY1572" fmla="*/ 5667768 h 6858000"/>
            <a:gd name="connsiteX1573" fmla="*/ 9719123 w 12192000"/>
            <a:gd name="connsiteY1573" fmla="*/ 5702587 h 6858000"/>
            <a:gd name="connsiteX1574" fmla="*/ 9684310 w 12192000"/>
            <a:gd name="connsiteY1574" fmla="*/ 5737406 h 6858000"/>
            <a:gd name="connsiteX1575" fmla="*/ 9769203 w 12192000"/>
            <a:gd name="connsiteY1575" fmla="*/ 5737406 h 6858000"/>
            <a:gd name="connsiteX1576" fmla="*/ 9734377 w 12192000"/>
            <a:gd name="connsiteY1576" fmla="*/ 5702587 h 6858000"/>
            <a:gd name="connsiteX1577" fmla="*/ 9769203 w 12192000"/>
            <a:gd name="connsiteY1577" fmla="*/ 5667768 h 6858000"/>
            <a:gd name="connsiteX1578" fmla="*/ 9804015 w 12192000"/>
            <a:gd name="connsiteY1578" fmla="*/ 5702587 h 6858000"/>
            <a:gd name="connsiteX1579" fmla="*/ 9769203 w 12192000"/>
            <a:gd name="connsiteY1579" fmla="*/ 5737406 h 6858000"/>
            <a:gd name="connsiteX1580" fmla="*/ 9854095 w 12192000"/>
            <a:gd name="connsiteY1580" fmla="*/ 5737406 h 6858000"/>
            <a:gd name="connsiteX1581" fmla="*/ 9819269 w 12192000"/>
            <a:gd name="connsiteY1581" fmla="*/ 5702587 h 6858000"/>
            <a:gd name="connsiteX1582" fmla="*/ 9854095 w 12192000"/>
            <a:gd name="connsiteY1582" fmla="*/ 5667768 h 6858000"/>
            <a:gd name="connsiteX1583" fmla="*/ 9888907 w 12192000"/>
            <a:gd name="connsiteY1583" fmla="*/ 5702587 h 6858000"/>
            <a:gd name="connsiteX1584" fmla="*/ 9854095 w 12192000"/>
            <a:gd name="connsiteY1584" fmla="*/ 5737406 h 6858000"/>
            <a:gd name="connsiteX1585" fmla="*/ 9938988 w 12192000"/>
            <a:gd name="connsiteY1585" fmla="*/ 5737406 h 6858000"/>
            <a:gd name="connsiteX1586" fmla="*/ 9904163 w 12192000"/>
            <a:gd name="connsiteY1586" fmla="*/ 5702587 h 6858000"/>
            <a:gd name="connsiteX1587" fmla="*/ 9938988 w 12192000"/>
            <a:gd name="connsiteY1587" fmla="*/ 5667768 h 6858000"/>
            <a:gd name="connsiteX1588" fmla="*/ 9973800 w 12192000"/>
            <a:gd name="connsiteY1588" fmla="*/ 5702587 h 6858000"/>
            <a:gd name="connsiteX1589" fmla="*/ 9938988 w 12192000"/>
            <a:gd name="connsiteY1589" fmla="*/ 5737406 h 6858000"/>
            <a:gd name="connsiteX1590" fmla="*/ 10023880 w 12192000"/>
            <a:gd name="connsiteY1590" fmla="*/ 5737406 h 6858000"/>
            <a:gd name="connsiteX1591" fmla="*/ 9989055 w 12192000"/>
            <a:gd name="connsiteY1591" fmla="*/ 5702587 h 6858000"/>
            <a:gd name="connsiteX1592" fmla="*/ 10023880 w 12192000"/>
            <a:gd name="connsiteY1592" fmla="*/ 5667768 h 6858000"/>
            <a:gd name="connsiteX1593" fmla="*/ 10058693 w 12192000"/>
            <a:gd name="connsiteY1593" fmla="*/ 5702587 h 6858000"/>
            <a:gd name="connsiteX1594" fmla="*/ 10023880 w 12192000"/>
            <a:gd name="connsiteY1594" fmla="*/ 5737406 h 6858000"/>
            <a:gd name="connsiteX1595" fmla="*/ 10108773 w 12192000"/>
            <a:gd name="connsiteY1595" fmla="*/ 5737406 h 6858000"/>
            <a:gd name="connsiteX1596" fmla="*/ 10073947 w 12192000"/>
            <a:gd name="connsiteY1596" fmla="*/ 5702587 h 6858000"/>
            <a:gd name="connsiteX1597" fmla="*/ 10108773 w 12192000"/>
            <a:gd name="connsiteY1597" fmla="*/ 5667768 h 6858000"/>
            <a:gd name="connsiteX1598" fmla="*/ 10143585 w 12192000"/>
            <a:gd name="connsiteY1598" fmla="*/ 5702587 h 6858000"/>
            <a:gd name="connsiteX1599" fmla="*/ 10108773 w 12192000"/>
            <a:gd name="connsiteY1599" fmla="*/ 5737406 h 6858000"/>
            <a:gd name="connsiteX1600" fmla="*/ 10193665 w 12192000"/>
            <a:gd name="connsiteY1600" fmla="*/ 5737406 h 6858000"/>
            <a:gd name="connsiteX1601" fmla="*/ 10158839 w 12192000"/>
            <a:gd name="connsiteY1601" fmla="*/ 5702587 h 6858000"/>
            <a:gd name="connsiteX1602" fmla="*/ 10193665 w 12192000"/>
            <a:gd name="connsiteY1602" fmla="*/ 5667768 h 6858000"/>
            <a:gd name="connsiteX1603" fmla="*/ 10228477 w 12192000"/>
            <a:gd name="connsiteY1603" fmla="*/ 5702587 h 6858000"/>
            <a:gd name="connsiteX1604" fmla="*/ 10193665 w 12192000"/>
            <a:gd name="connsiteY1604" fmla="*/ 5737406 h 6858000"/>
            <a:gd name="connsiteX1605" fmla="*/ 10278558 w 12192000"/>
            <a:gd name="connsiteY1605" fmla="*/ 5737406 h 6858000"/>
            <a:gd name="connsiteX1606" fmla="*/ 10243733 w 12192000"/>
            <a:gd name="connsiteY1606" fmla="*/ 5702587 h 6858000"/>
            <a:gd name="connsiteX1607" fmla="*/ 10278558 w 12192000"/>
            <a:gd name="connsiteY1607" fmla="*/ 5667768 h 6858000"/>
            <a:gd name="connsiteX1608" fmla="*/ 10313370 w 12192000"/>
            <a:gd name="connsiteY1608" fmla="*/ 5702587 h 6858000"/>
            <a:gd name="connsiteX1609" fmla="*/ 10278558 w 12192000"/>
            <a:gd name="connsiteY1609" fmla="*/ 5737406 h 6858000"/>
            <a:gd name="connsiteX1610" fmla="*/ 10363450 w 12192000"/>
            <a:gd name="connsiteY1610" fmla="*/ 5737406 h 6858000"/>
            <a:gd name="connsiteX1611" fmla="*/ 10328625 w 12192000"/>
            <a:gd name="connsiteY1611" fmla="*/ 5702587 h 6858000"/>
            <a:gd name="connsiteX1612" fmla="*/ 10363450 w 12192000"/>
            <a:gd name="connsiteY1612" fmla="*/ 5667768 h 6858000"/>
            <a:gd name="connsiteX1613" fmla="*/ 10398263 w 12192000"/>
            <a:gd name="connsiteY1613" fmla="*/ 5702587 h 6858000"/>
            <a:gd name="connsiteX1614" fmla="*/ 10363450 w 12192000"/>
            <a:gd name="connsiteY1614" fmla="*/ 5737406 h 6858000"/>
            <a:gd name="connsiteX1615" fmla="*/ 10448343 w 12192000"/>
            <a:gd name="connsiteY1615" fmla="*/ 5737406 h 6858000"/>
            <a:gd name="connsiteX1616" fmla="*/ 10413517 w 12192000"/>
            <a:gd name="connsiteY1616" fmla="*/ 5702587 h 6858000"/>
            <a:gd name="connsiteX1617" fmla="*/ 10448343 w 12192000"/>
            <a:gd name="connsiteY1617" fmla="*/ 5667768 h 6858000"/>
            <a:gd name="connsiteX1618" fmla="*/ 10483155 w 12192000"/>
            <a:gd name="connsiteY1618" fmla="*/ 5702587 h 6858000"/>
            <a:gd name="connsiteX1619" fmla="*/ 10448343 w 12192000"/>
            <a:gd name="connsiteY1619" fmla="*/ 5737406 h 6858000"/>
            <a:gd name="connsiteX1620" fmla="*/ 1534629 w 12192000"/>
            <a:gd name="connsiteY1620" fmla="*/ 5652545 h 6858000"/>
            <a:gd name="connsiteX1621" fmla="*/ 1499810 w 12192000"/>
            <a:gd name="connsiteY1621" fmla="*/ 5617726 h 6858000"/>
            <a:gd name="connsiteX1622" fmla="*/ 1534629 w 12192000"/>
            <a:gd name="connsiteY1622" fmla="*/ 5582908 h 6858000"/>
            <a:gd name="connsiteX1623" fmla="*/ 1569448 w 12192000"/>
            <a:gd name="connsiteY1623" fmla="*/ 5617726 h 6858000"/>
            <a:gd name="connsiteX1624" fmla="*/ 1534629 w 12192000"/>
            <a:gd name="connsiteY1624" fmla="*/ 5652545 h 6858000"/>
            <a:gd name="connsiteX1625" fmla="*/ 1619521 w 12192000"/>
            <a:gd name="connsiteY1625" fmla="*/ 5652545 h 6858000"/>
            <a:gd name="connsiteX1626" fmla="*/ 1584702 w 12192000"/>
            <a:gd name="connsiteY1626" fmla="*/ 5617726 h 6858000"/>
            <a:gd name="connsiteX1627" fmla="*/ 1619521 w 12192000"/>
            <a:gd name="connsiteY1627" fmla="*/ 5582908 h 6858000"/>
            <a:gd name="connsiteX1628" fmla="*/ 1654340 w 12192000"/>
            <a:gd name="connsiteY1628" fmla="*/ 5617726 h 6858000"/>
            <a:gd name="connsiteX1629" fmla="*/ 1619521 w 12192000"/>
            <a:gd name="connsiteY1629" fmla="*/ 5652545 h 6858000"/>
            <a:gd name="connsiteX1630" fmla="*/ 1704413 w 12192000"/>
            <a:gd name="connsiteY1630" fmla="*/ 5652545 h 6858000"/>
            <a:gd name="connsiteX1631" fmla="*/ 1669594 w 12192000"/>
            <a:gd name="connsiteY1631" fmla="*/ 5617726 h 6858000"/>
            <a:gd name="connsiteX1632" fmla="*/ 1704413 w 12192000"/>
            <a:gd name="connsiteY1632" fmla="*/ 5582908 h 6858000"/>
            <a:gd name="connsiteX1633" fmla="*/ 1739232 w 12192000"/>
            <a:gd name="connsiteY1633" fmla="*/ 5617726 h 6858000"/>
            <a:gd name="connsiteX1634" fmla="*/ 1704413 w 12192000"/>
            <a:gd name="connsiteY1634" fmla="*/ 5652545 h 6858000"/>
            <a:gd name="connsiteX1635" fmla="*/ 1789306 w 12192000"/>
            <a:gd name="connsiteY1635" fmla="*/ 5652545 h 6858000"/>
            <a:gd name="connsiteX1636" fmla="*/ 1754487 w 12192000"/>
            <a:gd name="connsiteY1636" fmla="*/ 5617726 h 6858000"/>
            <a:gd name="connsiteX1637" fmla="*/ 1789306 w 12192000"/>
            <a:gd name="connsiteY1637" fmla="*/ 5582908 h 6858000"/>
            <a:gd name="connsiteX1638" fmla="*/ 1824124 w 12192000"/>
            <a:gd name="connsiteY1638" fmla="*/ 5617726 h 6858000"/>
            <a:gd name="connsiteX1639" fmla="*/ 1789306 w 12192000"/>
            <a:gd name="connsiteY1639" fmla="*/ 5652545 h 6858000"/>
            <a:gd name="connsiteX1640" fmla="*/ 1874199 w 12192000"/>
            <a:gd name="connsiteY1640" fmla="*/ 5652545 h 6858000"/>
            <a:gd name="connsiteX1641" fmla="*/ 1839380 w 12192000"/>
            <a:gd name="connsiteY1641" fmla="*/ 5617726 h 6858000"/>
            <a:gd name="connsiteX1642" fmla="*/ 1874199 w 12192000"/>
            <a:gd name="connsiteY1642" fmla="*/ 5582908 h 6858000"/>
            <a:gd name="connsiteX1643" fmla="*/ 1909018 w 12192000"/>
            <a:gd name="connsiteY1643" fmla="*/ 5617726 h 6858000"/>
            <a:gd name="connsiteX1644" fmla="*/ 1874199 w 12192000"/>
            <a:gd name="connsiteY1644" fmla="*/ 5652545 h 6858000"/>
            <a:gd name="connsiteX1645" fmla="*/ 1959091 w 12192000"/>
            <a:gd name="connsiteY1645" fmla="*/ 5652545 h 6858000"/>
            <a:gd name="connsiteX1646" fmla="*/ 1924272 w 12192000"/>
            <a:gd name="connsiteY1646" fmla="*/ 5617726 h 6858000"/>
            <a:gd name="connsiteX1647" fmla="*/ 1959091 w 12192000"/>
            <a:gd name="connsiteY1647" fmla="*/ 5582908 h 6858000"/>
            <a:gd name="connsiteX1648" fmla="*/ 1993910 w 12192000"/>
            <a:gd name="connsiteY1648" fmla="*/ 5617726 h 6858000"/>
            <a:gd name="connsiteX1649" fmla="*/ 1959091 w 12192000"/>
            <a:gd name="connsiteY1649" fmla="*/ 5652545 h 6858000"/>
            <a:gd name="connsiteX1650" fmla="*/ 2043983 w 12192000"/>
            <a:gd name="connsiteY1650" fmla="*/ 5652545 h 6858000"/>
            <a:gd name="connsiteX1651" fmla="*/ 2009164 w 12192000"/>
            <a:gd name="connsiteY1651" fmla="*/ 5617726 h 6858000"/>
            <a:gd name="connsiteX1652" fmla="*/ 2043983 w 12192000"/>
            <a:gd name="connsiteY1652" fmla="*/ 5582908 h 6858000"/>
            <a:gd name="connsiteX1653" fmla="*/ 2078802 w 12192000"/>
            <a:gd name="connsiteY1653" fmla="*/ 5617726 h 6858000"/>
            <a:gd name="connsiteX1654" fmla="*/ 2043983 w 12192000"/>
            <a:gd name="connsiteY1654" fmla="*/ 5652545 h 6858000"/>
            <a:gd name="connsiteX1655" fmla="*/ 2128876 w 12192000"/>
            <a:gd name="connsiteY1655" fmla="*/ 5652545 h 6858000"/>
            <a:gd name="connsiteX1656" fmla="*/ 2094057 w 12192000"/>
            <a:gd name="connsiteY1656" fmla="*/ 5617726 h 6858000"/>
            <a:gd name="connsiteX1657" fmla="*/ 2128876 w 12192000"/>
            <a:gd name="connsiteY1657" fmla="*/ 5582908 h 6858000"/>
            <a:gd name="connsiteX1658" fmla="*/ 2163694 w 12192000"/>
            <a:gd name="connsiteY1658" fmla="*/ 5617726 h 6858000"/>
            <a:gd name="connsiteX1659" fmla="*/ 2128876 w 12192000"/>
            <a:gd name="connsiteY1659" fmla="*/ 5652545 h 6858000"/>
            <a:gd name="connsiteX1660" fmla="*/ 2213769 w 12192000"/>
            <a:gd name="connsiteY1660" fmla="*/ 5652545 h 6858000"/>
            <a:gd name="connsiteX1661" fmla="*/ 2178950 w 12192000"/>
            <a:gd name="connsiteY1661" fmla="*/ 5617726 h 6858000"/>
            <a:gd name="connsiteX1662" fmla="*/ 2213769 w 12192000"/>
            <a:gd name="connsiteY1662" fmla="*/ 5582908 h 6858000"/>
            <a:gd name="connsiteX1663" fmla="*/ 2248588 w 12192000"/>
            <a:gd name="connsiteY1663" fmla="*/ 5617726 h 6858000"/>
            <a:gd name="connsiteX1664" fmla="*/ 2213769 w 12192000"/>
            <a:gd name="connsiteY1664" fmla="*/ 5652545 h 6858000"/>
            <a:gd name="connsiteX1665" fmla="*/ 2298661 w 12192000"/>
            <a:gd name="connsiteY1665" fmla="*/ 5652545 h 6858000"/>
            <a:gd name="connsiteX1666" fmla="*/ 2263842 w 12192000"/>
            <a:gd name="connsiteY1666" fmla="*/ 5617726 h 6858000"/>
            <a:gd name="connsiteX1667" fmla="*/ 2298661 w 12192000"/>
            <a:gd name="connsiteY1667" fmla="*/ 5582908 h 6858000"/>
            <a:gd name="connsiteX1668" fmla="*/ 2333480 w 12192000"/>
            <a:gd name="connsiteY1668" fmla="*/ 5617726 h 6858000"/>
            <a:gd name="connsiteX1669" fmla="*/ 2298661 w 12192000"/>
            <a:gd name="connsiteY1669" fmla="*/ 5652545 h 6858000"/>
            <a:gd name="connsiteX1670" fmla="*/ 2383553 w 12192000"/>
            <a:gd name="connsiteY1670" fmla="*/ 5652545 h 6858000"/>
            <a:gd name="connsiteX1671" fmla="*/ 2348734 w 12192000"/>
            <a:gd name="connsiteY1671" fmla="*/ 5617726 h 6858000"/>
            <a:gd name="connsiteX1672" fmla="*/ 2383553 w 12192000"/>
            <a:gd name="connsiteY1672" fmla="*/ 5582908 h 6858000"/>
            <a:gd name="connsiteX1673" fmla="*/ 2418372 w 12192000"/>
            <a:gd name="connsiteY1673" fmla="*/ 5617726 h 6858000"/>
            <a:gd name="connsiteX1674" fmla="*/ 2383553 w 12192000"/>
            <a:gd name="connsiteY1674" fmla="*/ 5652545 h 6858000"/>
            <a:gd name="connsiteX1675" fmla="*/ 2468446 w 12192000"/>
            <a:gd name="connsiteY1675" fmla="*/ 5652545 h 6858000"/>
            <a:gd name="connsiteX1676" fmla="*/ 2433627 w 12192000"/>
            <a:gd name="connsiteY1676" fmla="*/ 5617726 h 6858000"/>
            <a:gd name="connsiteX1677" fmla="*/ 2468446 w 12192000"/>
            <a:gd name="connsiteY1677" fmla="*/ 5582908 h 6858000"/>
            <a:gd name="connsiteX1678" fmla="*/ 2503264 w 12192000"/>
            <a:gd name="connsiteY1678" fmla="*/ 5617726 h 6858000"/>
            <a:gd name="connsiteX1679" fmla="*/ 2468446 w 12192000"/>
            <a:gd name="connsiteY1679" fmla="*/ 5652545 h 6858000"/>
            <a:gd name="connsiteX1680" fmla="*/ 2553339 w 12192000"/>
            <a:gd name="connsiteY1680" fmla="*/ 5652545 h 6858000"/>
            <a:gd name="connsiteX1681" fmla="*/ 2518520 w 12192000"/>
            <a:gd name="connsiteY1681" fmla="*/ 5617726 h 6858000"/>
            <a:gd name="connsiteX1682" fmla="*/ 2553339 w 12192000"/>
            <a:gd name="connsiteY1682" fmla="*/ 5582908 h 6858000"/>
            <a:gd name="connsiteX1683" fmla="*/ 2588158 w 12192000"/>
            <a:gd name="connsiteY1683" fmla="*/ 5617726 h 6858000"/>
            <a:gd name="connsiteX1684" fmla="*/ 2553339 w 12192000"/>
            <a:gd name="connsiteY1684" fmla="*/ 5652545 h 6858000"/>
            <a:gd name="connsiteX1685" fmla="*/ 2638231 w 12192000"/>
            <a:gd name="connsiteY1685" fmla="*/ 5652545 h 6858000"/>
            <a:gd name="connsiteX1686" fmla="*/ 2603412 w 12192000"/>
            <a:gd name="connsiteY1686" fmla="*/ 5617726 h 6858000"/>
            <a:gd name="connsiteX1687" fmla="*/ 2638231 w 12192000"/>
            <a:gd name="connsiteY1687" fmla="*/ 5582908 h 6858000"/>
            <a:gd name="connsiteX1688" fmla="*/ 2673050 w 12192000"/>
            <a:gd name="connsiteY1688" fmla="*/ 5617726 h 6858000"/>
            <a:gd name="connsiteX1689" fmla="*/ 2638231 w 12192000"/>
            <a:gd name="connsiteY1689" fmla="*/ 5652545 h 6858000"/>
            <a:gd name="connsiteX1690" fmla="*/ 2723123 w 12192000"/>
            <a:gd name="connsiteY1690" fmla="*/ 5652545 h 6858000"/>
            <a:gd name="connsiteX1691" fmla="*/ 2688304 w 12192000"/>
            <a:gd name="connsiteY1691" fmla="*/ 5617726 h 6858000"/>
            <a:gd name="connsiteX1692" fmla="*/ 2723123 w 12192000"/>
            <a:gd name="connsiteY1692" fmla="*/ 5582908 h 6858000"/>
            <a:gd name="connsiteX1693" fmla="*/ 2757942 w 12192000"/>
            <a:gd name="connsiteY1693" fmla="*/ 5617726 h 6858000"/>
            <a:gd name="connsiteX1694" fmla="*/ 2723123 w 12192000"/>
            <a:gd name="connsiteY1694" fmla="*/ 5652545 h 6858000"/>
            <a:gd name="connsiteX1695" fmla="*/ 2808016 w 12192000"/>
            <a:gd name="connsiteY1695" fmla="*/ 5652545 h 6858000"/>
            <a:gd name="connsiteX1696" fmla="*/ 2773197 w 12192000"/>
            <a:gd name="connsiteY1696" fmla="*/ 5617726 h 6858000"/>
            <a:gd name="connsiteX1697" fmla="*/ 2808016 w 12192000"/>
            <a:gd name="connsiteY1697" fmla="*/ 5582908 h 6858000"/>
            <a:gd name="connsiteX1698" fmla="*/ 2842834 w 12192000"/>
            <a:gd name="connsiteY1698" fmla="*/ 5617726 h 6858000"/>
            <a:gd name="connsiteX1699" fmla="*/ 2808016 w 12192000"/>
            <a:gd name="connsiteY1699" fmla="*/ 5652545 h 6858000"/>
            <a:gd name="connsiteX1700" fmla="*/ 2977801 w 12192000"/>
            <a:gd name="connsiteY1700" fmla="*/ 5652545 h 6858000"/>
            <a:gd name="connsiteX1701" fmla="*/ 2942982 w 12192000"/>
            <a:gd name="connsiteY1701" fmla="*/ 5617726 h 6858000"/>
            <a:gd name="connsiteX1702" fmla="*/ 2977801 w 12192000"/>
            <a:gd name="connsiteY1702" fmla="*/ 5582908 h 6858000"/>
            <a:gd name="connsiteX1703" fmla="*/ 3012620 w 12192000"/>
            <a:gd name="connsiteY1703" fmla="*/ 5617726 h 6858000"/>
            <a:gd name="connsiteX1704" fmla="*/ 2977801 w 12192000"/>
            <a:gd name="connsiteY1704" fmla="*/ 5652545 h 6858000"/>
            <a:gd name="connsiteX1705" fmla="*/ 3062693 w 12192000"/>
            <a:gd name="connsiteY1705" fmla="*/ 5652545 h 6858000"/>
            <a:gd name="connsiteX1706" fmla="*/ 3027874 w 12192000"/>
            <a:gd name="connsiteY1706" fmla="*/ 5617726 h 6858000"/>
            <a:gd name="connsiteX1707" fmla="*/ 3062693 w 12192000"/>
            <a:gd name="connsiteY1707" fmla="*/ 5582908 h 6858000"/>
            <a:gd name="connsiteX1708" fmla="*/ 3097512 w 12192000"/>
            <a:gd name="connsiteY1708" fmla="*/ 5617726 h 6858000"/>
            <a:gd name="connsiteX1709" fmla="*/ 3062693 w 12192000"/>
            <a:gd name="connsiteY1709" fmla="*/ 5652545 h 6858000"/>
            <a:gd name="connsiteX1710" fmla="*/ 3147586 w 12192000"/>
            <a:gd name="connsiteY1710" fmla="*/ 5652545 h 6858000"/>
            <a:gd name="connsiteX1711" fmla="*/ 3112767 w 12192000"/>
            <a:gd name="connsiteY1711" fmla="*/ 5617726 h 6858000"/>
            <a:gd name="connsiteX1712" fmla="*/ 3147586 w 12192000"/>
            <a:gd name="connsiteY1712" fmla="*/ 5582908 h 6858000"/>
            <a:gd name="connsiteX1713" fmla="*/ 3182404 w 12192000"/>
            <a:gd name="connsiteY1713" fmla="*/ 5617726 h 6858000"/>
            <a:gd name="connsiteX1714" fmla="*/ 3147586 w 12192000"/>
            <a:gd name="connsiteY1714" fmla="*/ 5652545 h 6858000"/>
            <a:gd name="connsiteX1715" fmla="*/ 3232478 w 12192000"/>
            <a:gd name="connsiteY1715" fmla="*/ 5652545 h 6858000"/>
            <a:gd name="connsiteX1716" fmla="*/ 3197659 w 12192000"/>
            <a:gd name="connsiteY1716" fmla="*/ 5617726 h 6858000"/>
            <a:gd name="connsiteX1717" fmla="*/ 3232478 w 12192000"/>
            <a:gd name="connsiteY1717" fmla="*/ 5582908 h 6858000"/>
            <a:gd name="connsiteX1718" fmla="*/ 3267297 w 12192000"/>
            <a:gd name="connsiteY1718" fmla="*/ 5617726 h 6858000"/>
            <a:gd name="connsiteX1719" fmla="*/ 3232478 w 12192000"/>
            <a:gd name="connsiteY1719" fmla="*/ 5652545 h 6858000"/>
            <a:gd name="connsiteX1720" fmla="*/ 3572048 w 12192000"/>
            <a:gd name="connsiteY1720" fmla="*/ 5652545 h 6858000"/>
            <a:gd name="connsiteX1721" fmla="*/ 3537229 w 12192000"/>
            <a:gd name="connsiteY1721" fmla="*/ 5617726 h 6858000"/>
            <a:gd name="connsiteX1722" fmla="*/ 3572048 w 12192000"/>
            <a:gd name="connsiteY1722" fmla="*/ 5582908 h 6858000"/>
            <a:gd name="connsiteX1723" fmla="*/ 3606867 w 12192000"/>
            <a:gd name="connsiteY1723" fmla="*/ 5617726 h 6858000"/>
            <a:gd name="connsiteX1724" fmla="*/ 3572048 w 12192000"/>
            <a:gd name="connsiteY1724" fmla="*/ 5652545 h 6858000"/>
            <a:gd name="connsiteX1725" fmla="*/ 3741833 w 12192000"/>
            <a:gd name="connsiteY1725" fmla="*/ 5652545 h 6858000"/>
            <a:gd name="connsiteX1726" fmla="*/ 3707014 w 12192000"/>
            <a:gd name="connsiteY1726" fmla="*/ 5617726 h 6858000"/>
            <a:gd name="connsiteX1727" fmla="*/ 3741833 w 12192000"/>
            <a:gd name="connsiteY1727" fmla="*/ 5582908 h 6858000"/>
            <a:gd name="connsiteX1728" fmla="*/ 3776652 w 12192000"/>
            <a:gd name="connsiteY1728" fmla="*/ 5617726 h 6858000"/>
            <a:gd name="connsiteX1729" fmla="*/ 3741833 w 12192000"/>
            <a:gd name="connsiteY1729" fmla="*/ 5652545 h 6858000"/>
            <a:gd name="connsiteX1730" fmla="*/ 3911618 w 12192000"/>
            <a:gd name="connsiteY1730" fmla="*/ 5652545 h 6858000"/>
            <a:gd name="connsiteX1731" fmla="*/ 3876799 w 12192000"/>
            <a:gd name="connsiteY1731" fmla="*/ 5617726 h 6858000"/>
            <a:gd name="connsiteX1732" fmla="*/ 3911618 w 12192000"/>
            <a:gd name="connsiteY1732" fmla="*/ 5582908 h 6858000"/>
            <a:gd name="connsiteX1733" fmla="*/ 3946437 w 12192000"/>
            <a:gd name="connsiteY1733" fmla="*/ 5617726 h 6858000"/>
            <a:gd name="connsiteX1734" fmla="*/ 3911618 w 12192000"/>
            <a:gd name="connsiteY1734" fmla="*/ 5652545 h 6858000"/>
            <a:gd name="connsiteX1735" fmla="*/ 3996511 w 12192000"/>
            <a:gd name="connsiteY1735" fmla="*/ 5652545 h 6858000"/>
            <a:gd name="connsiteX1736" fmla="*/ 3961692 w 12192000"/>
            <a:gd name="connsiteY1736" fmla="*/ 5617726 h 6858000"/>
            <a:gd name="connsiteX1737" fmla="*/ 3996511 w 12192000"/>
            <a:gd name="connsiteY1737" fmla="*/ 5582908 h 6858000"/>
            <a:gd name="connsiteX1738" fmla="*/ 4031330 w 12192000"/>
            <a:gd name="connsiteY1738" fmla="*/ 5617726 h 6858000"/>
            <a:gd name="connsiteX1739" fmla="*/ 3996511 w 12192000"/>
            <a:gd name="connsiteY1739" fmla="*/ 5652545 h 6858000"/>
            <a:gd name="connsiteX1740" fmla="*/ 4590758 w 12192000"/>
            <a:gd name="connsiteY1740" fmla="*/ 5652545 h 6858000"/>
            <a:gd name="connsiteX1741" fmla="*/ 4555939 w 12192000"/>
            <a:gd name="connsiteY1741" fmla="*/ 5617726 h 6858000"/>
            <a:gd name="connsiteX1742" fmla="*/ 4590758 w 12192000"/>
            <a:gd name="connsiteY1742" fmla="*/ 5582908 h 6858000"/>
            <a:gd name="connsiteX1743" fmla="*/ 4625577 w 12192000"/>
            <a:gd name="connsiteY1743" fmla="*/ 5617726 h 6858000"/>
            <a:gd name="connsiteX1744" fmla="*/ 4590758 w 12192000"/>
            <a:gd name="connsiteY1744" fmla="*/ 5652545 h 6858000"/>
            <a:gd name="connsiteX1745" fmla="*/ 4675650 w 12192000"/>
            <a:gd name="connsiteY1745" fmla="*/ 5652545 h 6858000"/>
            <a:gd name="connsiteX1746" fmla="*/ 4640831 w 12192000"/>
            <a:gd name="connsiteY1746" fmla="*/ 5617726 h 6858000"/>
            <a:gd name="connsiteX1747" fmla="*/ 4675650 w 12192000"/>
            <a:gd name="connsiteY1747" fmla="*/ 5582908 h 6858000"/>
            <a:gd name="connsiteX1748" fmla="*/ 4710469 w 12192000"/>
            <a:gd name="connsiteY1748" fmla="*/ 5617726 h 6858000"/>
            <a:gd name="connsiteX1749" fmla="*/ 4675650 w 12192000"/>
            <a:gd name="connsiteY1749" fmla="*/ 5652545 h 6858000"/>
            <a:gd name="connsiteX1750" fmla="*/ 4760543 w 12192000"/>
            <a:gd name="connsiteY1750" fmla="*/ 5652545 h 6858000"/>
            <a:gd name="connsiteX1751" fmla="*/ 4725724 w 12192000"/>
            <a:gd name="connsiteY1751" fmla="*/ 5617726 h 6858000"/>
            <a:gd name="connsiteX1752" fmla="*/ 4760543 w 12192000"/>
            <a:gd name="connsiteY1752" fmla="*/ 5582908 h 6858000"/>
            <a:gd name="connsiteX1753" fmla="*/ 4795362 w 12192000"/>
            <a:gd name="connsiteY1753" fmla="*/ 5617726 h 6858000"/>
            <a:gd name="connsiteX1754" fmla="*/ 4760543 w 12192000"/>
            <a:gd name="connsiteY1754" fmla="*/ 5652545 h 6858000"/>
            <a:gd name="connsiteX1755" fmla="*/ 4845436 w 12192000"/>
            <a:gd name="connsiteY1755" fmla="*/ 5652545 h 6858000"/>
            <a:gd name="connsiteX1756" fmla="*/ 4810617 w 12192000"/>
            <a:gd name="connsiteY1756" fmla="*/ 5617726 h 6858000"/>
            <a:gd name="connsiteX1757" fmla="*/ 4845436 w 12192000"/>
            <a:gd name="connsiteY1757" fmla="*/ 5582908 h 6858000"/>
            <a:gd name="connsiteX1758" fmla="*/ 4880254 w 12192000"/>
            <a:gd name="connsiteY1758" fmla="*/ 5617726 h 6858000"/>
            <a:gd name="connsiteX1759" fmla="*/ 4845436 w 12192000"/>
            <a:gd name="connsiteY1759" fmla="*/ 5652545 h 6858000"/>
            <a:gd name="connsiteX1760" fmla="*/ 4930328 w 12192000"/>
            <a:gd name="connsiteY1760" fmla="*/ 5652545 h 6858000"/>
            <a:gd name="connsiteX1761" fmla="*/ 4895509 w 12192000"/>
            <a:gd name="connsiteY1761" fmla="*/ 5617726 h 6858000"/>
            <a:gd name="connsiteX1762" fmla="*/ 4930328 w 12192000"/>
            <a:gd name="connsiteY1762" fmla="*/ 5582908 h 6858000"/>
            <a:gd name="connsiteX1763" fmla="*/ 4965147 w 12192000"/>
            <a:gd name="connsiteY1763" fmla="*/ 5617726 h 6858000"/>
            <a:gd name="connsiteX1764" fmla="*/ 4930328 w 12192000"/>
            <a:gd name="connsiteY1764" fmla="*/ 5652545 h 6858000"/>
            <a:gd name="connsiteX1765" fmla="*/ 5015220 w 12192000"/>
            <a:gd name="connsiteY1765" fmla="*/ 5652545 h 6858000"/>
            <a:gd name="connsiteX1766" fmla="*/ 4980401 w 12192000"/>
            <a:gd name="connsiteY1766" fmla="*/ 5617726 h 6858000"/>
            <a:gd name="connsiteX1767" fmla="*/ 5015220 w 12192000"/>
            <a:gd name="connsiteY1767" fmla="*/ 5582908 h 6858000"/>
            <a:gd name="connsiteX1768" fmla="*/ 5050039 w 12192000"/>
            <a:gd name="connsiteY1768" fmla="*/ 5617726 h 6858000"/>
            <a:gd name="connsiteX1769" fmla="*/ 5015220 w 12192000"/>
            <a:gd name="connsiteY1769" fmla="*/ 5652545 h 6858000"/>
            <a:gd name="connsiteX1770" fmla="*/ 5100113 w 12192000"/>
            <a:gd name="connsiteY1770" fmla="*/ 5652545 h 6858000"/>
            <a:gd name="connsiteX1771" fmla="*/ 5065294 w 12192000"/>
            <a:gd name="connsiteY1771" fmla="*/ 5617726 h 6858000"/>
            <a:gd name="connsiteX1772" fmla="*/ 5100113 w 12192000"/>
            <a:gd name="connsiteY1772" fmla="*/ 5582908 h 6858000"/>
            <a:gd name="connsiteX1773" fmla="*/ 5134932 w 12192000"/>
            <a:gd name="connsiteY1773" fmla="*/ 5617726 h 6858000"/>
            <a:gd name="connsiteX1774" fmla="*/ 5100113 w 12192000"/>
            <a:gd name="connsiteY1774" fmla="*/ 5652545 h 6858000"/>
            <a:gd name="connsiteX1775" fmla="*/ 5185006 w 12192000"/>
            <a:gd name="connsiteY1775" fmla="*/ 5652545 h 6858000"/>
            <a:gd name="connsiteX1776" fmla="*/ 5150187 w 12192000"/>
            <a:gd name="connsiteY1776" fmla="*/ 5617726 h 6858000"/>
            <a:gd name="connsiteX1777" fmla="*/ 5185006 w 12192000"/>
            <a:gd name="connsiteY1777" fmla="*/ 5582908 h 6858000"/>
            <a:gd name="connsiteX1778" fmla="*/ 5219824 w 12192000"/>
            <a:gd name="connsiteY1778" fmla="*/ 5617726 h 6858000"/>
            <a:gd name="connsiteX1779" fmla="*/ 5185006 w 12192000"/>
            <a:gd name="connsiteY1779" fmla="*/ 5652545 h 6858000"/>
            <a:gd name="connsiteX1780" fmla="*/ 5269898 w 12192000"/>
            <a:gd name="connsiteY1780" fmla="*/ 5652545 h 6858000"/>
            <a:gd name="connsiteX1781" fmla="*/ 5235079 w 12192000"/>
            <a:gd name="connsiteY1781" fmla="*/ 5617726 h 6858000"/>
            <a:gd name="connsiteX1782" fmla="*/ 5269898 w 12192000"/>
            <a:gd name="connsiteY1782" fmla="*/ 5582908 h 6858000"/>
            <a:gd name="connsiteX1783" fmla="*/ 5304717 w 12192000"/>
            <a:gd name="connsiteY1783" fmla="*/ 5617726 h 6858000"/>
            <a:gd name="connsiteX1784" fmla="*/ 5269898 w 12192000"/>
            <a:gd name="connsiteY1784" fmla="*/ 5652545 h 6858000"/>
            <a:gd name="connsiteX1785" fmla="*/ 5354790 w 12192000"/>
            <a:gd name="connsiteY1785" fmla="*/ 5652545 h 6858000"/>
            <a:gd name="connsiteX1786" fmla="*/ 5319971 w 12192000"/>
            <a:gd name="connsiteY1786" fmla="*/ 5617726 h 6858000"/>
            <a:gd name="connsiteX1787" fmla="*/ 5354790 w 12192000"/>
            <a:gd name="connsiteY1787" fmla="*/ 5582908 h 6858000"/>
            <a:gd name="connsiteX1788" fmla="*/ 5389609 w 12192000"/>
            <a:gd name="connsiteY1788" fmla="*/ 5617726 h 6858000"/>
            <a:gd name="connsiteX1789" fmla="*/ 5354790 w 12192000"/>
            <a:gd name="connsiteY1789" fmla="*/ 5652545 h 6858000"/>
            <a:gd name="connsiteX1790" fmla="*/ 7137536 w 12192000"/>
            <a:gd name="connsiteY1790" fmla="*/ 5652545 h 6858000"/>
            <a:gd name="connsiteX1791" fmla="*/ 7102710 w 12192000"/>
            <a:gd name="connsiteY1791" fmla="*/ 5617726 h 6858000"/>
            <a:gd name="connsiteX1792" fmla="*/ 7137536 w 12192000"/>
            <a:gd name="connsiteY1792" fmla="*/ 5582908 h 6858000"/>
            <a:gd name="connsiteX1793" fmla="*/ 7172348 w 12192000"/>
            <a:gd name="connsiteY1793" fmla="*/ 5617726 h 6858000"/>
            <a:gd name="connsiteX1794" fmla="*/ 7137536 w 12192000"/>
            <a:gd name="connsiteY1794" fmla="*/ 5652545 h 6858000"/>
            <a:gd name="connsiteX1795" fmla="*/ 7477106 w 12192000"/>
            <a:gd name="connsiteY1795" fmla="*/ 5652545 h 6858000"/>
            <a:gd name="connsiteX1796" fmla="*/ 7442280 w 12192000"/>
            <a:gd name="connsiteY1796" fmla="*/ 5617726 h 6858000"/>
            <a:gd name="connsiteX1797" fmla="*/ 7477106 w 12192000"/>
            <a:gd name="connsiteY1797" fmla="*/ 5582908 h 6858000"/>
            <a:gd name="connsiteX1798" fmla="*/ 7511918 w 12192000"/>
            <a:gd name="connsiteY1798" fmla="*/ 5617726 h 6858000"/>
            <a:gd name="connsiteX1799" fmla="*/ 7477106 w 12192000"/>
            <a:gd name="connsiteY1799" fmla="*/ 5652545 h 6858000"/>
            <a:gd name="connsiteX1800" fmla="*/ 7816676 w 12192000"/>
            <a:gd name="connsiteY1800" fmla="*/ 5652545 h 6858000"/>
            <a:gd name="connsiteX1801" fmla="*/ 7781850 w 12192000"/>
            <a:gd name="connsiteY1801" fmla="*/ 5617726 h 6858000"/>
            <a:gd name="connsiteX1802" fmla="*/ 7816676 w 12192000"/>
            <a:gd name="connsiteY1802" fmla="*/ 5582908 h 6858000"/>
            <a:gd name="connsiteX1803" fmla="*/ 7851488 w 12192000"/>
            <a:gd name="connsiteY1803" fmla="*/ 5617726 h 6858000"/>
            <a:gd name="connsiteX1804" fmla="*/ 7816676 w 12192000"/>
            <a:gd name="connsiteY1804" fmla="*/ 5652545 h 6858000"/>
            <a:gd name="connsiteX1805" fmla="*/ 7901568 w 12192000"/>
            <a:gd name="connsiteY1805" fmla="*/ 5652545 h 6858000"/>
            <a:gd name="connsiteX1806" fmla="*/ 7866743 w 12192000"/>
            <a:gd name="connsiteY1806" fmla="*/ 5617726 h 6858000"/>
            <a:gd name="connsiteX1807" fmla="*/ 7901568 w 12192000"/>
            <a:gd name="connsiteY1807" fmla="*/ 5582908 h 6858000"/>
            <a:gd name="connsiteX1808" fmla="*/ 7936380 w 12192000"/>
            <a:gd name="connsiteY1808" fmla="*/ 5617726 h 6858000"/>
            <a:gd name="connsiteX1809" fmla="*/ 7901568 w 12192000"/>
            <a:gd name="connsiteY1809" fmla="*/ 5652545 h 6858000"/>
            <a:gd name="connsiteX1810" fmla="*/ 7986460 w 12192000"/>
            <a:gd name="connsiteY1810" fmla="*/ 5652545 h 6858000"/>
            <a:gd name="connsiteX1811" fmla="*/ 7951635 w 12192000"/>
            <a:gd name="connsiteY1811" fmla="*/ 5617726 h 6858000"/>
            <a:gd name="connsiteX1812" fmla="*/ 7986460 w 12192000"/>
            <a:gd name="connsiteY1812" fmla="*/ 5582908 h 6858000"/>
            <a:gd name="connsiteX1813" fmla="*/ 8021273 w 12192000"/>
            <a:gd name="connsiteY1813" fmla="*/ 5617726 h 6858000"/>
            <a:gd name="connsiteX1814" fmla="*/ 7986460 w 12192000"/>
            <a:gd name="connsiteY1814" fmla="*/ 5652545 h 6858000"/>
            <a:gd name="connsiteX1815" fmla="*/ 8071353 w 12192000"/>
            <a:gd name="connsiteY1815" fmla="*/ 5652545 h 6858000"/>
            <a:gd name="connsiteX1816" fmla="*/ 8036527 w 12192000"/>
            <a:gd name="connsiteY1816" fmla="*/ 5617726 h 6858000"/>
            <a:gd name="connsiteX1817" fmla="*/ 8071353 w 12192000"/>
            <a:gd name="connsiteY1817" fmla="*/ 5582908 h 6858000"/>
            <a:gd name="connsiteX1818" fmla="*/ 8106165 w 12192000"/>
            <a:gd name="connsiteY1818" fmla="*/ 5617726 h 6858000"/>
            <a:gd name="connsiteX1819" fmla="*/ 8071353 w 12192000"/>
            <a:gd name="connsiteY1819" fmla="*/ 5652545 h 6858000"/>
            <a:gd name="connsiteX1820" fmla="*/ 8156246 w 12192000"/>
            <a:gd name="connsiteY1820" fmla="*/ 5652545 h 6858000"/>
            <a:gd name="connsiteX1821" fmla="*/ 8121420 w 12192000"/>
            <a:gd name="connsiteY1821" fmla="*/ 5617726 h 6858000"/>
            <a:gd name="connsiteX1822" fmla="*/ 8156246 w 12192000"/>
            <a:gd name="connsiteY1822" fmla="*/ 5582908 h 6858000"/>
            <a:gd name="connsiteX1823" fmla="*/ 8191058 w 12192000"/>
            <a:gd name="connsiteY1823" fmla="*/ 5617726 h 6858000"/>
            <a:gd name="connsiteX1824" fmla="*/ 8156246 w 12192000"/>
            <a:gd name="connsiteY1824" fmla="*/ 5652545 h 6858000"/>
            <a:gd name="connsiteX1825" fmla="*/ 8241138 w 12192000"/>
            <a:gd name="connsiteY1825" fmla="*/ 5652545 h 6858000"/>
            <a:gd name="connsiteX1826" fmla="*/ 8206313 w 12192000"/>
            <a:gd name="connsiteY1826" fmla="*/ 5617726 h 6858000"/>
            <a:gd name="connsiteX1827" fmla="*/ 8241138 w 12192000"/>
            <a:gd name="connsiteY1827" fmla="*/ 5582908 h 6858000"/>
            <a:gd name="connsiteX1828" fmla="*/ 8275950 w 12192000"/>
            <a:gd name="connsiteY1828" fmla="*/ 5617726 h 6858000"/>
            <a:gd name="connsiteX1829" fmla="*/ 8241138 w 12192000"/>
            <a:gd name="connsiteY1829" fmla="*/ 5652545 h 6858000"/>
            <a:gd name="connsiteX1830" fmla="*/ 8326030 w 12192000"/>
            <a:gd name="connsiteY1830" fmla="*/ 5652545 h 6858000"/>
            <a:gd name="connsiteX1831" fmla="*/ 8291205 w 12192000"/>
            <a:gd name="connsiteY1831" fmla="*/ 5617726 h 6858000"/>
            <a:gd name="connsiteX1832" fmla="*/ 8326030 w 12192000"/>
            <a:gd name="connsiteY1832" fmla="*/ 5582908 h 6858000"/>
            <a:gd name="connsiteX1833" fmla="*/ 8360843 w 12192000"/>
            <a:gd name="connsiteY1833" fmla="*/ 5617726 h 6858000"/>
            <a:gd name="connsiteX1834" fmla="*/ 8326030 w 12192000"/>
            <a:gd name="connsiteY1834" fmla="*/ 5652545 h 6858000"/>
            <a:gd name="connsiteX1835" fmla="*/ 8410923 w 12192000"/>
            <a:gd name="connsiteY1835" fmla="*/ 5652545 h 6858000"/>
            <a:gd name="connsiteX1836" fmla="*/ 8376097 w 12192000"/>
            <a:gd name="connsiteY1836" fmla="*/ 5617726 h 6858000"/>
            <a:gd name="connsiteX1837" fmla="*/ 8410923 w 12192000"/>
            <a:gd name="connsiteY1837" fmla="*/ 5582908 h 6858000"/>
            <a:gd name="connsiteX1838" fmla="*/ 8445735 w 12192000"/>
            <a:gd name="connsiteY1838" fmla="*/ 5617726 h 6858000"/>
            <a:gd name="connsiteX1839" fmla="*/ 8410923 w 12192000"/>
            <a:gd name="connsiteY1839" fmla="*/ 5652545 h 6858000"/>
            <a:gd name="connsiteX1840" fmla="*/ 8495816 w 12192000"/>
            <a:gd name="connsiteY1840" fmla="*/ 5652545 h 6858000"/>
            <a:gd name="connsiteX1841" fmla="*/ 8460990 w 12192000"/>
            <a:gd name="connsiteY1841" fmla="*/ 5617726 h 6858000"/>
            <a:gd name="connsiteX1842" fmla="*/ 8495816 w 12192000"/>
            <a:gd name="connsiteY1842" fmla="*/ 5582908 h 6858000"/>
            <a:gd name="connsiteX1843" fmla="*/ 8530628 w 12192000"/>
            <a:gd name="connsiteY1843" fmla="*/ 5617726 h 6858000"/>
            <a:gd name="connsiteX1844" fmla="*/ 8495816 w 12192000"/>
            <a:gd name="connsiteY1844" fmla="*/ 5652545 h 6858000"/>
            <a:gd name="connsiteX1845" fmla="*/ 8580708 w 12192000"/>
            <a:gd name="connsiteY1845" fmla="*/ 5652545 h 6858000"/>
            <a:gd name="connsiteX1846" fmla="*/ 8545883 w 12192000"/>
            <a:gd name="connsiteY1846" fmla="*/ 5617726 h 6858000"/>
            <a:gd name="connsiteX1847" fmla="*/ 8580708 w 12192000"/>
            <a:gd name="connsiteY1847" fmla="*/ 5582908 h 6858000"/>
            <a:gd name="connsiteX1848" fmla="*/ 8615520 w 12192000"/>
            <a:gd name="connsiteY1848" fmla="*/ 5617726 h 6858000"/>
            <a:gd name="connsiteX1849" fmla="*/ 8580708 w 12192000"/>
            <a:gd name="connsiteY1849" fmla="*/ 5652545 h 6858000"/>
            <a:gd name="connsiteX1850" fmla="*/ 8665600 w 12192000"/>
            <a:gd name="connsiteY1850" fmla="*/ 5652545 h 6858000"/>
            <a:gd name="connsiteX1851" fmla="*/ 8630775 w 12192000"/>
            <a:gd name="connsiteY1851" fmla="*/ 5617726 h 6858000"/>
            <a:gd name="connsiteX1852" fmla="*/ 8665600 w 12192000"/>
            <a:gd name="connsiteY1852" fmla="*/ 5582908 h 6858000"/>
            <a:gd name="connsiteX1853" fmla="*/ 8700413 w 12192000"/>
            <a:gd name="connsiteY1853" fmla="*/ 5617726 h 6858000"/>
            <a:gd name="connsiteX1854" fmla="*/ 8665600 w 12192000"/>
            <a:gd name="connsiteY1854" fmla="*/ 5652545 h 6858000"/>
            <a:gd name="connsiteX1855" fmla="*/ 8750493 w 12192000"/>
            <a:gd name="connsiteY1855" fmla="*/ 5652545 h 6858000"/>
            <a:gd name="connsiteX1856" fmla="*/ 8715667 w 12192000"/>
            <a:gd name="connsiteY1856" fmla="*/ 5617726 h 6858000"/>
            <a:gd name="connsiteX1857" fmla="*/ 8750493 w 12192000"/>
            <a:gd name="connsiteY1857" fmla="*/ 5582908 h 6858000"/>
            <a:gd name="connsiteX1858" fmla="*/ 8785305 w 12192000"/>
            <a:gd name="connsiteY1858" fmla="*/ 5617726 h 6858000"/>
            <a:gd name="connsiteX1859" fmla="*/ 8750493 w 12192000"/>
            <a:gd name="connsiteY1859" fmla="*/ 5652545 h 6858000"/>
            <a:gd name="connsiteX1860" fmla="*/ 8835386 w 12192000"/>
            <a:gd name="connsiteY1860" fmla="*/ 5652545 h 6858000"/>
            <a:gd name="connsiteX1861" fmla="*/ 8800560 w 12192000"/>
            <a:gd name="connsiteY1861" fmla="*/ 5617726 h 6858000"/>
            <a:gd name="connsiteX1862" fmla="*/ 8835386 w 12192000"/>
            <a:gd name="connsiteY1862" fmla="*/ 5582908 h 6858000"/>
            <a:gd name="connsiteX1863" fmla="*/ 8870198 w 12192000"/>
            <a:gd name="connsiteY1863" fmla="*/ 5617726 h 6858000"/>
            <a:gd name="connsiteX1864" fmla="*/ 8835386 w 12192000"/>
            <a:gd name="connsiteY1864" fmla="*/ 5652545 h 6858000"/>
            <a:gd name="connsiteX1865" fmla="*/ 8920278 w 12192000"/>
            <a:gd name="connsiteY1865" fmla="*/ 5652545 h 6858000"/>
            <a:gd name="connsiteX1866" fmla="*/ 8885453 w 12192000"/>
            <a:gd name="connsiteY1866" fmla="*/ 5617726 h 6858000"/>
            <a:gd name="connsiteX1867" fmla="*/ 8920278 w 12192000"/>
            <a:gd name="connsiteY1867" fmla="*/ 5582908 h 6858000"/>
            <a:gd name="connsiteX1868" fmla="*/ 8955090 w 12192000"/>
            <a:gd name="connsiteY1868" fmla="*/ 5617726 h 6858000"/>
            <a:gd name="connsiteX1869" fmla="*/ 8920278 w 12192000"/>
            <a:gd name="connsiteY1869" fmla="*/ 5652545 h 6858000"/>
            <a:gd name="connsiteX1870" fmla="*/ 9005170 w 12192000"/>
            <a:gd name="connsiteY1870" fmla="*/ 5652545 h 6858000"/>
            <a:gd name="connsiteX1871" fmla="*/ 8970345 w 12192000"/>
            <a:gd name="connsiteY1871" fmla="*/ 5617726 h 6858000"/>
            <a:gd name="connsiteX1872" fmla="*/ 9005170 w 12192000"/>
            <a:gd name="connsiteY1872" fmla="*/ 5582908 h 6858000"/>
            <a:gd name="connsiteX1873" fmla="*/ 9039983 w 12192000"/>
            <a:gd name="connsiteY1873" fmla="*/ 5617726 h 6858000"/>
            <a:gd name="connsiteX1874" fmla="*/ 9005170 w 12192000"/>
            <a:gd name="connsiteY1874" fmla="*/ 5652545 h 6858000"/>
            <a:gd name="connsiteX1875" fmla="*/ 9090063 w 12192000"/>
            <a:gd name="connsiteY1875" fmla="*/ 5652545 h 6858000"/>
            <a:gd name="connsiteX1876" fmla="*/ 9055237 w 12192000"/>
            <a:gd name="connsiteY1876" fmla="*/ 5617726 h 6858000"/>
            <a:gd name="connsiteX1877" fmla="*/ 9090063 w 12192000"/>
            <a:gd name="connsiteY1877" fmla="*/ 5582908 h 6858000"/>
            <a:gd name="connsiteX1878" fmla="*/ 9124875 w 12192000"/>
            <a:gd name="connsiteY1878" fmla="*/ 5617726 h 6858000"/>
            <a:gd name="connsiteX1879" fmla="*/ 9090063 w 12192000"/>
            <a:gd name="connsiteY1879" fmla="*/ 5652545 h 6858000"/>
            <a:gd name="connsiteX1880" fmla="*/ 9174956 w 12192000"/>
            <a:gd name="connsiteY1880" fmla="*/ 5652545 h 6858000"/>
            <a:gd name="connsiteX1881" fmla="*/ 9140130 w 12192000"/>
            <a:gd name="connsiteY1881" fmla="*/ 5617726 h 6858000"/>
            <a:gd name="connsiteX1882" fmla="*/ 9174956 w 12192000"/>
            <a:gd name="connsiteY1882" fmla="*/ 5582908 h 6858000"/>
            <a:gd name="connsiteX1883" fmla="*/ 9209768 w 12192000"/>
            <a:gd name="connsiteY1883" fmla="*/ 5617726 h 6858000"/>
            <a:gd name="connsiteX1884" fmla="*/ 9174956 w 12192000"/>
            <a:gd name="connsiteY1884" fmla="*/ 5652545 h 6858000"/>
            <a:gd name="connsiteX1885" fmla="*/ 9259848 w 12192000"/>
            <a:gd name="connsiteY1885" fmla="*/ 5652545 h 6858000"/>
            <a:gd name="connsiteX1886" fmla="*/ 9225023 w 12192000"/>
            <a:gd name="connsiteY1886" fmla="*/ 5617726 h 6858000"/>
            <a:gd name="connsiteX1887" fmla="*/ 9259848 w 12192000"/>
            <a:gd name="connsiteY1887" fmla="*/ 5582908 h 6858000"/>
            <a:gd name="connsiteX1888" fmla="*/ 9294660 w 12192000"/>
            <a:gd name="connsiteY1888" fmla="*/ 5617726 h 6858000"/>
            <a:gd name="connsiteX1889" fmla="*/ 9259848 w 12192000"/>
            <a:gd name="connsiteY1889" fmla="*/ 5652545 h 6858000"/>
            <a:gd name="connsiteX1890" fmla="*/ 9344740 w 12192000"/>
            <a:gd name="connsiteY1890" fmla="*/ 5652545 h 6858000"/>
            <a:gd name="connsiteX1891" fmla="*/ 9309915 w 12192000"/>
            <a:gd name="connsiteY1891" fmla="*/ 5617726 h 6858000"/>
            <a:gd name="connsiteX1892" fmla="*/ 9344740 w 12192000"/>
            <a:gd name="connsiteY1892" fmla="*/ 5582908 h 6858000"/>
            <a:gd name="connsiteX1893" fmla="*/ 9379553 w 12192000"/>
            <a:gd name="connsiteY1893" fmla="*/ 5617726 h 6858000"/>
            <a:gd name="connsiteX1894" fmla="*/ 9344740 w 12192000"/>
            <a:gd name="connsiteY1894" fmla="*/ 5652545 h 6858000"/>
            <a:gd name="connsiteX1895" fmla="*/ 9429633 w 12192000"/>
            <a:gd name="connsiteY1895" fmla="*/ 5652545 h 6858000"/>
            <a:gd name="connsiteX1896" fmla="*/ 9394807 w 12192000"/>
            <a:gd name="connsiteY1896" fmla="*/ 5617726 h 6858000"/>
            <a:gd name="connsiteX1897" fmla="*/ 9429633 w 12192000"/>
            <a:gd name="connsiteY1897" fmla="*/ 5582908 h 6858000"/>
            <a:gd name="connsiteX1898" fmla="*/ 9464445 w 12192000"/>
            <a:gd name="connsiteY1898" fmla="*/ 5617726 h 6858000"/>
            <a:gd name="connsiteX1899" fmla="*/ 9429633 w 12192000"/>
            <a:gd name="connsiteY1899" fmla="*/ 5652545 h 6858000"/>
            <a:gd name="connsiteX1900" fmla="*/ 9514525 w 12192000"/>
            <a:gd name="connsiteY1900" fmla="*/ 5652545 h 6858000"/>
            <a:gd name="connsiteX1901" fmla="*/ 9479699 w 12192000"/>
            <a:gd name="connsiteY1901" fmla="*/ 5617726 h 6858000"/>
            <a:gd name="connsiteX1902" fmla="*/ 9514525 w 12192000"/>
            <a:gd name="connsiteY1902" fmla="*/ 5582908 h 6858000"/>
            <a:gd name="connsiteX1903" fmla="*/ 9549337 w 12192000"/>
            <a:gd name="connsiteY1903" fmla="*/ 5617726 h 6858000"/>
            <a:gd name="connsiteX1904" fmla="*/ 9514525 w 12192000"/>
            <a:gd name="connsiteY1904" fmla="*/ 5652545 h 6858000"/>
            <a:gd name="connsiteX1905" fmla="*/ 9599418 w 12192000"/>
            <a:gd name="connsiteY1905" fmla="*/ 5652545 h 6858000"/>
            <a:gd name="connsiteX1906" fmla="*/ 9564593 w 12192000"/>
            <a:gd name="connsiteY1906" fmla="*/ 5617726 h 6858000"/>
            <a:gd name="connsiteX1907" fmla="*/ 9599418 w 12192000"/>
            <a:gd name="connsiteY1907" fmla="*/ 5582908 h 6858000"/>
            <a:gd name="connsiteX1908" fmla="*/ 9634230 w 12192000"/>
            <a:gd name="connsiteY1908" fmla="*/ 5617726 h 6858000"/>
            <a:gd name="connsiteX1909" fmla="*/ 9599418 w 12192000"/>
            <a:gd name="connsiteY1909" fmla="*/ 5652545 h 6858000"/>
            <a:gd name="connsiteX1910" fmla="*/ 9684310 w 12192000"/>
            <a:gd name="connsiteY1910" fmla="*/ 5652545 h 6858000"/>
            <a:gd name="connsiteX1911" fmla="*/ 9649485 w 12192000"/>
            <a:gd name="connsiteY1911" fmla="*/ 5617726 h 6858000"/>
            <a:gd name="connsiteX1912" fmla="*/ 9684310 w 12192000"/>
            <a:gd name="connsiteY1912" fmla="*/ 5582908 h 6858000"/>
            <a:gd name="connsiteX1913" fmla="*/ 9719123 w 12192000"/>
            <a:gd name="connsiteY1913" fmla="*/ 5617726 h 6858000"/>
            <a:gd name="connsiteX1914" fmla="*/ 9684310 w 12192000"/>
            <a:gd name="connsiteY1914" fmla="*/ 5652545 h 6858000"/>
            <a:gd name="connsiteX1915" fmla="*/ 9769203 w 12192000"/>
            <a:gd name="connsiteY1915" fmla="*/ 5652545 h 6858000"/>
            <a:gd name="connsiteX1916" fmla="*/ 9734377 w 12192000"/>
            <a:gd name="connsiteY1916" fmla="*/ 5617726 h 6858000"/>
            <a:gd name="connsiteX1917" fmla="*/ 9769203 w 12192000"/>
            <a:gd name="connsiteY1917" fmla="*/ 5582908 h 6858000"/>
            <a:gd name="connsiteX1918" fmla="*/ 9804015 w 12192000"/>
            <a:gd name="connsiteY1918" fmla="*/ 5617726 h 6858000"/>
            <a:gd name="connsiteX1919" fmla="*/ 9769203 w 12192000"/>
            <a:gd name="connsiteY1919" fmla="*/ 5652545 h 6858000"/>
            <a:gd name="connsiteX1920" fmla="*/ 9854095 w 12192000"/>
            <a:gd name="connsiteY1920" fmla="*/ 5652545 h 6858000"/>
            <a:gd name="connsiteX1921" fmla="*/ 9819269 w 12192000"/>
            <a:gd name="connsiteY1921" fmla="*/ 5617726 h 6858000"/>
            <a:gd name="connsiteX1922" fmla="*/ 9854095 w 12192000"/>
            <a:gd name="connsiteY1922" fmla="*/ 5582908 h 6858000"/>
            <a:gd name="connsiteX1923" fmla="*/ 9888907 w 12192000"/>
            <a:gd name="connsiteY1923" fmla="*/ 5617726 h 6858000"/>
            <a:gd name="connsiteX1924" fmla="*/ 9854095 w 12192000"/>
            <a:gd name="connsiteY1924" fmla="*/ 5652545 h 6858000"/>
            <a:gd name="connsiteX1925" fmla="*/ 9938988 w 12192000"/>
            <a:gd name="connsiteY1925" fmla="*/ 5652545 h 6858000"/>
            <a:gd name="connsiteX1926" fmla="*/ 9904163 w 12192000"/>
            <a:gd name="connsiteY1926" fmla="*/ 5617726 h 6858000"/>
            <a:gd name="connsiteX1927" fmla="*/ 9938988 w 12192000"/>
            <a:gd name="connsiteY1927" fmla="*/ 5582908 h 6858000"/>
            <a:gd name="connsiteX1928" fmla="*/ 9973800 w 12192000"/>
            <a:gd name="connsiteY1928" fmla="*/ 5617726 h 6858000"/>
            <a:gd name="connsiteX1929" fmla="*/ 9938988 w 12192000"/>
            <a:gd name="connsiteY1929" fmla="*/ 5652545 h 6858000"/>
            <a:gd name="connsiteX1930" fmla="*/ 10023880 w 12192000"/>
            <a:gd name="connsiteY1930" fmla="*/ 5652545 h 6858000"/>
            <a:gd name="connsiteX1931" fmla="*/ 9989055 w 12192000"/>
            <a:gd name="connsiteY1931" fmla="*/ 5617726 h 6858000"/>
            <a:gd name="connsiteX1932" fmla="*/ 10023880 w 12192000"/>
            <a:gd name="connsiteY1932" fmla="*/ 5582908 h 6858000"/>
            <a:gd name="connsiteX1933" fmla="*/ 10058693 w 12192000"/>
            <a:gd name="connsiteY1933" fmla="*/ 5617726 h 6858000"/>
            <a:gd name="connsiteX1934" fmla="*/ 10023880 w 12192000"/>
            <a:gd name="connsiteY1934" fmla="*/ 5652545 h 6858000"/>
            <a:gd name="connsiteX1935" fmla="*/ 10108773 w 12192000"/>
            <a:gd name="connsiteY1935" fmla="*/ 5652545 h 6858000"/>
            <a:gd name="connsiteX1936" fmla="*/ 10073947 w 12192000"/>
            <a:gd name="connsiteY1936" fmla="*/ 5617726 h 6858000"/>
            <a:gd name="connsiteX1937" fmla="*/ 10108773 w 12192000"/>
            <a:gd name="connsiteY1937" fmla="*/ 5582908 h 6858000"/>
            <a:gd name="connsiteX1938" fmla="*/ 10143585 w 12192000"/>
            <a:gd name="connsiteY1938" fmla="*/ 5617726 h 6858000"/>
            <a:gd name="connsiteX1939" fmla="*/ 10108773 w 12192000"/>
            <a:gd name="connsiteY1939" fmla="*/ 5652545 h 6858000"/>
            <a:gd name="connsiteX1940" fmla="*/ 10193665 w 12192000"/>
            <a:gd name="connsiteY1940" fmla="*/ 5652545 h 6858000"/>
            <a:gd name="connsiteX1941" fmla="*/ 10158839 w 12192000"/>
            <a:gd name="connsiteY1941" fmla="*/ 5617726 h 6858000"/>
            <a:gd name="connsiteX1942" fmla="*/ 10193665 w 12192000"/>
            <a:gd name="connsiteY1942" fmla="*/ 5582908 h 6858000"/>
            <a:gd name="connsiteX1943" fmla="*/ 10228477 w 12192000"/>
            <a:gd name="connsiteY1943" fmla="*/ 5617726 h 6858000"/>
            <a:gd name="connsiteX1944" fmla="*/ 10193665 w 12192000"/>
            <a:gd name="connsiteY1944" fmla="*/ 5652545 h 6858000"/>
            <a:gd name="connsiteX1945" fmla="*/ 10278558 w 12192000"/>
            <a:gd name="connsiteY1945" fmla="*/ 5652545 h 6858000"/>
            <a:gd name="connsiteX1946" fmla="*/ 10243733 w 12192000"/>
            <a:gd name="connsiteY1946" fmla="*/ 5617726 h 6858000"/>
            <a:gd name="connsiteX1947" fmla="*/ 10278558 w 12192000"/>
            <a:gd name="connsiteY1947" fmla="*/ 5582908 h 6858000"/>
            <a:gd name="connsiteX1948" fmla="*/ 10313370 w 12192000"/>
            <a:gd name="connsiteY1948" fmla="*/ 5617726 h 6858000"/>
            <a:gd name="connsiteX1949" fmla="*/ 10278558 w 12192000"/>
            <a:gd name="connsiteY1949" fmla="*/ 5652545 h 6858000"/>
            <a:gd name="connsiteX1950" fmla="*/ 10363450 w 12192000"/>
            <a:gd name="connsiteY1950" fmla="*/ 5652545 h 6858000"/>
            <a:gd name="connsiteX1951" fmla="*/ 10328625 w 12192000"/>
            <a:gd name="connsiteY1951" fmla="*/ 5617726 h 6858000"/>
            <a:gd name="connsiteX1952" fmla="*/ 10363450 w 12192000"/>
            <a:gd name="connsiteY1952" fmla="*/ 5582908 h 6858000"/>
            <a:gd name="connsiteX1953" fmla="*/ 10398263 w 12192000"/>
            <a:gd name="connsiteY1953" fmla="*/ 5617726 h 6858000"/>
            <a:gd name="connsiteX1954" fmla="*/ 10363450 w 12192000"/>
            <a:gd name="connsiteY1954" fmla="*/ 5652545 h 6858000"/>
            <a:gd name="connsiteX1955" fmla="*/ 10448343 w 12192000"/>
            <a:gd name="connsiteY1955" fmla="*/ 5652545 h 6858000"/>
            <a:gd name="connsiteX1956" fmla="*/ 10413517 w 12192000"/>
            <a:gd name="connsiteY1956" fmla="*/ 5617726 h 6858000"/>
            <a:gd name="connsiteX1957" fmla="*/ 10448343 w 12192000"/>
            <a:gd name="connsiteY1957" fmla="*/ 5582908 h 6858000"/>
            <a:gd name="connsiteX1958" fmla="*/ 10483155 w 12192000"/>
            <a:gd name="connsiteY1958" fmla="*/ 5617726 h 6858000"/>
            <a:gd name="connsiteX1959" fmla="*/ 10448343 w 12192000"/>
            <a:gd name="connsiteY1959" fmla="*/ 5652545 h 6858000"/>
            <a:gd name="connsiteX1960" fmla="*/ 10533235 w 12192000"/>
            <a:gd name="connsiteY1960" fmla="*/ 5652545 h 6858000"/>
            <a:gd name="connsiteX1961" fmla="*/ 10498409 w 12192000"/>
            <a:gd name="connsiteY1961" fmla="*/ 5617726 h 6858000"/>
            <a:gd name="connsiteX1962" fmla="*/ 10533235 w 12192000"/>
            <a:gd name="connsiteY1962" fmla="*/ 5582908 h 6858000"/>
            <a:gd name="connsiteX1963" fmla="*/ 10568047 w 12192000"/>
            <a:gd name="connsiteY1963" fmla="*/ 5617726 h 6858000"/>
            <a:gd name="connsiteX1964" fmla="*/ 10533235 w 12192000"/>
            <a:gd name="connsiteY1964" fmla="*/ 5652545 h 6858000"/>
            <a:gd name="connsiteX1965" fmla="*/ 1364843 w 12192000"/>
            <a:gd name="connsiteY1965" fmla="*/ 5567685 h 6858000"/>
            <a:gd name="connsiteX1966" fmla="*/ 1330024 w 12192000"/>
            <a:gd name="connsiteY1966" fmla="*/ 5532867 h 6858000"/>
            <a:gd name="connsiteX1967" fmla="*/ 1364843 w 12192000"/>
            <a:gd name="connsiteY1967" fmla="*/ 5498048 h 6858000"/>
            <a:gd name="connsiteX1968" fmla="*/ 1399662 w 12192000"/>
            <a:gd name="connsiteY1968" fmla="*/ 5532867 h 6858000"/>
            <a:gd name="connsiteX1969" fmla="*/ 1364843 w 12192000"/>
            <a:gd name="connsiteY1969" fmla="*/ 5567685 h 6858000"/>
            <a:gd name="connsiteX1970" fmla="*/ 1704413 w 12192000"/>
            <a:gd name="connsiteY1970" fmla="*/ 5567685 h 6858000"/>
            <a:gd name="connsiteX1971" fmla="*/ 1669594 w 12192000"/>
            <a:gd name="connsiteY1971" fmla="*/ 5532867 h 6858000"/>
            <a:gd name="connsiteX1972" fmla="*/ 1704413 w 12192000"/>
            <a:gd name="connsiteY1972" fmla="*/ 5498048 h 6858000"/>
            <a:gd name="connsiteX1973" fmla="*/ 1739232 w 12192000"/>
            <a:gd name="connsiteY1973" fmla="*/ 5532867 h 6858000"/>
            <a:gd name="connsiteX1974" fmla="*/ 1704413 w 12192000"/>
            <a:gd name="connsiteY1974" fmla="*/ 5567685 h 6858000"/>
            <a:gd name="connsiteX1975" fmla="*/ 1789306 w 12192000"/>
            <a:gd name="connsiteY1975" fmla="*/ 5567685 h 6858000"/>
            <a:gd name="connsiteX1976" fmla="*/ 1754487 w 12192000"/>
            <a:gd name="connsiteY1976" fmla="*/ 5532867 h 6858000"/>
            <a:gd name="connsiteX1977" fmla="*/ 1789306 w 12192000"/>
            <a:gd name="connsiteY1977" fmla="*/ 5498048 h 6858000"/>
            <a:gd name="connsiteX1978" fmla="*/ 1824124 w 12192000"/>
            <a:gd name="connsiteY1978" fmla="*/ 5532867 h 6858000"/>
            <a:gd name="connsiteX1979" fmla="*/ 1789306 w 12192000"/>
            <a:gd name="connsiteY1979" fmla="*/ 5567685 h 6858000"/>
            <a:gd name="connsiteX1980" fmla="*/ 1874199 w 12192000"/>
            <a:gd name="connsiteY1980" fmla="*/ 5567685 h 6858000"/>
            <a:gd name="connsiteX1981" fmla="*/ 1839380 w 12192000"/>
            <a:gd name="connsiteY1981" fmla="*/ 5532867 h 6858000"/>
            <a:gd name="connsiteX1982" fmla="*/ 1874199 w 12192000"/>
            <a:gd name="connsiteY1982" fmla="*/ 5498048 h 6858000"/>
            <a:gd name="connsiteX1983" fmla="*/ 1909018 w 12192000"/>
            <a:gd name="connsiteY1983" fmla="*/ 5532867 h 6858000"/>
            <a:gd name="connsiteX1984" fmla="*/ 1874199 w 12192000"/>
            <a:gd name="connsiteY1984" fmla="*/ 5567685 h 6858000"/>
            <a:gd name="connsiteX1985" fmla="*/ 1959091 w 12192000"/>
            <a:gd name="connsiteY1985" fmla="*/ 5567685 h 6858000"/>
            <a:gd name="connsiteX1986" fmla="*/ 1924272 w 12192000"/>
            <a:gd name="connsiteY1986" fmla="*/ 5532867 h 6858000"/>
            <a:gd name="connsiteX1987" fmla="*/ 1959091 w 12192000"/>
            <a:gd name="connsiteY1987" fmla="*/ 5498048 h 6858000"/>
            <a:gd name="connsiteX1988" fmla="*/ 1993910 w 12192000"/>
            <a:gd name="connsiteY1988" fmla="*/ 5532867 h 6858000"/>
            <a:gd name="connsiteX1989" fmla="*/ 1959091 w 12192000"/>
            <a:gd name="connsiteY1989" fmla="*/ 5567685 h 6858000"/>
            <a:gd name="connsiteX1990" fmla="*/ 2043983 w 12192000"/>
            <a:gd name="connsiteY1990" fmla="*/ 5567685 h 6858000"/>
            <a:gd name="connsiteX1991" fmla="*/ 2009164 w 12192000"/>
            <a:gd name="connsiteY1991" fmla="*/ 5532867 h 6858000"/>
            <a:gd name="connsiteX1992" fmla="*/ 2043983 w 12192000"/>
            <a:gd name="connsiteY1992" fmla="*/ 5498048 h 6858000"/>
            <a:gd name="connsiteX1993" fmla="*/ 2078802 w 12192000"/>
            <a:gd name="connsiteY1993" fmla="*/ 5532867 h 6858000"/>
            <a:gd name="connsiteX1994" fmla="*/ 2043983 w 12192000"/>
            <a:gd name="connsiteY1994" fmla="*/ 5567685 h 6858000"/>
            <a:gd name="connsiteX1995" fmla="*/ 2128876 w 12192000"/>
            <a:gd name="connsiteY1995" fmla="*/ 5567685 h 6858000"/>
            <a:gd name="connsiteX1996" fmla="*/ 2094057 w 12192000"/>
            <a:gd name="connsiteY1996" fmla="*/ 5532867 h 6858000"/>
            <a:gd name="connsiteX1997" fmla="*/ 2128876 w 12192000"/>
            <a:gd name="connsiteY1997" fmla="*/ 5498048 h 6858000"/>
            <a:gd name="connsiteX1998" fmla="*/ 2163694 w 12192000"/>
            <a:gd name="connsiteY1998" fmla="*/ 5532867 h 6858000"/>
            <a:gd name="connsiteX1999" fmla="*/ 2128876 w 12192000"/>
            <a:gd name="connsiteY1999" fmla="*/ 5567685 h 6858000"/>
            <a:gd name="connsiteX2000" fmla="*/ 2213769 w 12192000"/>
            <a:gd name="connsiteY2000" fmla="*/ 5567685 h 6858000"/>
            <a:gd name="connsiteX2001" fmla="*/ 2178950 w 12192000"/>
            <a:gd name="connsiteY2001" fmla="*/ 5532867 h 6858000"/>
            <a:gd name="connsiteX2002" fmla="*/ 2213769 w 12192000"/>
            <a:gd name="connsiteY2002" fmla="*/ 5498048 h 6858000"/>
            <a:gd name="connsiteX2003" fmla="*/ 2248588 w 12192000"/>
            <a:gd name="connsiteY2003" fmla="*/ 5532867 h 6858000"/>
            <a:gd name="connsiteX2004" fmla="*/ 2213769 w 12192000"/>
            <a:gd name="connsiteY2004" fmla="*/ 5567685 h 6858000"/>
            <a:gd name="connsiteX2005" fmla="*/ 2298661 w 12192000"/>
            <a:gd name="connsiteY2005" fmla="*/ 5567685 h 6858000"/>
            <a:gd name="connsiteX2006" fmla="*/ 2263842 w 12192000"/>
            <a:gd name="connsiteY2006" fmla="*/ 5532867 h 6858000"/>
            <a:gd name="connsiteX2007" fmla="*/ 2298661 w 12192000"/>
            <a:gd name="connsiteY2007" fmla="*/ 5498048 h 6858000"/>
            <a:gd name="connsiteX2008" fmla="*/ 2333480 w 12192000"/>
            <a:gd name="connsiteY2008" fmla="*/ 5532867 h 6858000"/>
            <a:gd name="connsiteX2009" fmla="*/ 2298661 w 12192000"/>
            <a:gd name="connsiteY2009" fmla="*/ 5567685 h 6858000"/>
            <a:gd name="connsiteX2010" fmla="*/ 2383553 w 12192000"/>
            <a:gd name="connsiteY2010" fmla="*/ 5567685 h 6858000"/>
            <a:gd name="connsiteX2011" fmla="*/ 2348734 w 12192000"/>
            <a:gd name="connsiteY2011" fmla="*/ 5532867 h 6858000"/>
            <a:gd name="connsiteX2012" fmla="*/ 2383553 w 12192000"/>
            <a:gd name="connsiteY2012" fmla="*/ 5498048 h 6858000"/>
            <a:gd name="connsiteX2013" fmla="*/ 2418372 w 12192000"/>
            <a:gd name="connsiteY2013" fmla="*/ 5532867 h 6858000"/>
            <a:gd name="connsiteX2014" fmla="*/ 2383553 w 12192000"/>
            <a:gd name="connsiteY2014" fmla="*/ 5567685 h 6858000"/>
            <a:gd name="connsiteX2015" fmla="*/ 2468446 w 12192000"/>
            <a:gd name="connsiteY2015" fmla="*/ 5567685 h 6858000"/>
            <a:gd name="connsiteX2016" fmla="*/ 2433627 w 12192000"/>
            <a:gd name="connsiteY2016" fmla="*/ 5532867 h 6858000"/>
            <a:gd name="connsiteX2017" fmla="*/ 2468446 w 12192000"/>
            <a:gd name="connsiteY2017" fmla="*/ 5498048 h 6858000"/>
            <a:gd name="connsiteX2018" fmla="*/ 2503264 w 12192000"/>
            <a:gd name="connsiteY2018" fmla="*/ 5532867 h 6858000"/>
            <a:gd name="connsiteX2019" fmla="*/ 2468446 w 12192000"/>
            <a:gd name="connsiteY2019" fmla="*/ 5567685 h 6858000"/>
            <a:gd name="connsiteX2020" fmla="*/ 2553339 w 12192000"/>
            <a:gd name="connsiteY2020" fmla="*/ 5567685 h 6858000"/>
            <a:gd name="connsiteX2021" fmla="*/ 2518520 w 12192000"/>
            <a:gd name="connsiteY2021" fmla="*/ 5532867 h 6858000"/>
            <a:gd name="connsiteX2022" fmla="*/ 2553339 w 12192000"/>
            <a:gd name="connsiteY2022" fmla="*/ 5498048 h 6858000"/>
            <a:gd name="connsiteX2023" fmla="*/ 2588158 w 12192000"/>
            <a:gd name="connsiteY2023" fmla="*/ 5532867 h 6858000"/>
            <a:gd name="connsiteX2024" fmla="*/ 2553339 w 12192000"/>
            <a:gd name="connsiteY2024" fmla="*/ 5567685 h 6858000"/>
            <a:gd name="connsiteX2025" fmla="*/ 2638231 w 12192000"/>
            <a:gd name="connsiteY2025" fmla="*/ 5567685 h 6858000"/>
            <a:gd name="connsiteX2026" fmla="*/ 2603412 w 12192000"/>
            <a:gd name="connsiteY2026" fmla="*/ 5532867 h 6858000"/>
            <a:gd name="connsiteX2027" fmla="*/ 2638231 w 12192000"/>
            <a:gd name="connsiteY2027" fmla="*/ 5498048 h 6858000"/>
            <a:gd name="connsiteX2028" fmla="*/ 2673050 w 12192000"/>
            <a:gd name="connsiteY2028" fmla="*/ 5532867 h 6858000"/>
            <a:gd name="connsiteX2029" fmla="*/ 2638231 w 12192000"/>
            <a:gd name="connsiteY2029" fmla="*/ 5567685 h 6858000"/>
            <a:gd name="connsiteX2030" fmla="*/ 2723123 w 12192000"/>
            <a:gd name="connsiteY2030" fmla="*/ 5567685 h 6858000"/>
            <a:gd name="connsiteX2031" fmla="*/ 2688304 w 12192000"/>
            <a:gd name="connsiteY2031" fmla="*/ 5532867 h 6858000"/>
            <a:gd name="connsiteX2032" fmla="*/ 2723123 w 12192000"/>
            <a:gd name="connsiteY2032" fmla="*/ 5498048 h 6858000"/>
            <a:gd name="connsiteX2033" fmla="*/ 2757942 w 12192000"/>
            <a:gd name="connsiteY2033" fmla="*/ 5532867 h 6858000"/>
            <a:gd name="connsiteX2034" fmla="*/ 2723123 w 12192000"/>
            <a:gd name="connsiteY2034" fmla="*/ 5567685 h 6858000"/>
            <a:gd name="connsiteX2035" fmla="*/ 2808016 w 12192000"/>
            <a:gd name="connsiteY2035" fmla="*/ 5567685 h 6858000"/>
            <a:gd name="connsiteX2036" fmla="*/ 2773197 w 12192000"/>
            <a:gd name="connsiteY2036" fmla="*/ 5532867 h 6858000"/>
            <a:gd name="connsiteX2037" fmla="*/ 2808016 w 12192000"/>
            <a:gd name="connsiteY2037" fmla="*/ 5498048 h 6858000"/>
            <a:gd name="connsiteX2038" fmla="*/ 2842834 w 12192000"/>
            <a:gd name="connsiteY2038" fmla="*/ 5532867 h 6858000"/>
            <a:gd name="connsiteX2039" fmla="*/ 2808016 w 12192000"/>
            <a:gd name="connsiteY2039" fmla="*/ 5567685 h 6858000"/>
            <a:gd name="connsiteX2040" fmla="*/ 2892908 w 12192000"/>
            <a:gd name="connsiteY2040" fmla="*/ 5567685 h 6858000"/>
            <a:gd name="connsiteX2041" fmla="*/ 2858089 w 12192000"/>
            <a:gd name="connsiteY2041" fmla="*/ 5532867 h 6858000"/>
            <a:gd name="connsiteX2042" fmla="*/ 2892908 w 12192000"/>
            <a:gd name="connsiteY2042" fmla="*/ 5498048 h 6858000"/>
            <a:gd name="connsiteX2043" fmla="*/ 2927727 w 12192000"/>
            <a:gd name="connsiteY2043" fmla="*/ 5532867 h 6858000"/>
            <a:gd name="connsiteX2044" fmla="*/ 2892908 w 12192000"/>
            <a:gd name="connsiteY2044" fmla="*/ 5567685 h 6858000"/>
            <a:gd name="connsiteX2045" fmla="*/ 3062693 w 12192000"/>
            <a:gd name="connsiteY2045" fmla="*/ 5567685 h 6858000"/>
            <a:gd name="connsiteX2046" fmla="*/ 3027874 w 12192000"/>
            <a:gd name="connsiteY2046" fmla="*/ 5532867 h 6858000"/>
            <a:gd name="connsiteX2047" fmla="*/ 3062693 w 12192000"/>
            <a:gd name="connsiteY2047" fmla="*/ 5498048 h 6858000"/>
            <a:gd name="connsiteX2048" fmla="*/ 3097512 w 12192000"/>
            <a:gd name="connsiteY2048" fmla="*/ 5532867 h 6858000"/>
            <a:gd name="connsiteX2049" fmla="*/ 3062693 w 12192000"/>
            <a:gd name="connsiteY2049" fmla="*/ 5567685 h 6858000"/>
            <a:gd name="connsiteX2050" fmla="*/ 3147586 w 12192000"/>
            <a:gd name="connsiteY2050" fmla="*/ 5567685 h 6858000"/>
            <a:gd name="connsiteX2051" fmla="*/ 3112767 w 12192000"/>
            <a:gd name="connsiteY2051" fmla="*/ 5532867 h 6858000"/>
            <a:gd name="connsiteX2052" fmla="*/ 3147586 w 12192000"/>
            <a:gd name="connsiteY2052" fmla="*/ 5498048 h 6858000"/>
            <a:gd name="connsiteX2053" fmla="*/ 3182404 w 12192000"/>
            <a:gd name="connsiteY2053" fmla="*/ 5532867 h 6858000"/>
            <a:gd name="connsiteX2054" fmla="*/ 3147586 w 12192000"/>
            <a:gd name="connsiteY2054" fmla="*/ 5567685 h 6858000"/>
            <a:gd name="connsiteX2055" fmla="*/ 3317371 w 12192000"/>
            <a:gd name="connsiteY2055" fmla="*/ 5567685 h 6858000"/>
            <a:gd name="connsiteX2056" fmla="*/ 3282552 w 12192000"/>
            <a:gd name="connsiteY2056" fmla="*/ 5532867 h 6858000"/>
            <a:gd name="connsiteX2057" fmla="*/ 3317371 w 12192000"/>
            <a:gd name="connsiteY2057" fmla="*/ 5498048 h 6858000"/>
            <a:gd name="connsiteX2058" fmla="*/ 3352190 w 12192000"/>
            <a:gd name="connsiteY2058" fmla="*/ 5532867 h 6858000"/>
            <a:gd name="connsiteX2059" fmla="*/ 3317371 w 12192000"/>
            <a:gd name="connsiteY2059" fmla="*/ 5567685 h 6858000"/>
            <a:gd name="connsiteX2060" fmla="*/ 3572048 w 12192000"/>
            <a:gd name="connsiteY2060" fmla="*/ 5567685 h 6858000"/>
            <a:gd name="connsiteX2061" fmla="*/ 3537229 w 12192000"/>
            <a:gd name="connsiteY2061" fmla="*/ 5532867 h 6858000"/>
            <a:gd name="connsiteX2062" fmla="*/ 3572048 w 12192000"/>
            <a:gd name="connsiteY2062" fmla="*/ 5498048 h 6858000"/>
            <a:gd name="connsiteX2063" fmla="*/ 3606867 w 12192000"/>
            <a:gd name="connsiteY2063" fmla="*/ 5532867 h 6858000"/>
            <a:gd name="connsiteX2064" fmla="*/ 3572048 w 12192000"/>
            <a:gd name="connsiteY2064" fmla="*/ 5567685 h 6858000"/>
            <a:gd name="connsiteX2065" fmla="*/ 3741833 w 12192000"/>
            <a:gd name="connsiteY2065" fmla="*/ 5567685 h 6858000"/>
            <a:gd name="connsiteX2066" fmla="*/ 3707014 w 12192000"/>
            <a:gd name="connsiteY2066" fmla="*/ 5532867 h 6858000"/>
            <a:gd name="connsiteX2067" fmla="*/ 3741833 w 12192000"/>
            <a:gd name="connsiteY2067" fmla="*/ 5498048 h 6858000"/>
            <a:gd name="connsiteX2068" fmla="*/ 3776652 w 12192000"/>
            <a:gd name="connsiteY2068" fmla="*/ 5532867 h 6858000"/>
            <a:gd name="connsiteX2069" fmla="*/ 3741833 w 12192000"/>
            <a:gd name="connsiteY2069" fmla="*/ 5567685 h 6858000"/>
            <a:gd name="connsiteX2070" fmla="*/ 3826726 w 12192000"/>
            <a:gd name="connsiteY2070" fmla="*/ 5567685 h 6858000"/>
            <a:gd name="connsiteX2071" fmla="*/ 3791907 w 12192000"/>
            <a:gd name="connsiteY2071" fmla="*/ 5532867 h 6858000"/>
            <a:gd name="connsiteX2072" fmla="*/ 3826726 w 12192000"/>
            <a:gd name="connsiteY2072" fmla="*/ 5498048 h 6858000"/>
            <a:gd name="connsiteX2073" fmla="*/ 3861544 w 12192000"/>
            <a:gd name="connsiteY2073" fmla="*/ 5532867 h 6858000"/>
            <a:gd name="connsiteX2074" fmla="*/ 3826726 w 12192000"/>
            <a:gd name="connsiteY2074" fmla="*/ 5567685 h 6858000"/>
            <a:gd name="connsiteX2075" fmla="*/ 3911618 w 12192000"/>
            <a:gd name="connsiteY2075" fmla="*/ 5567685 h 6858000"/>
            <a:gd name="connsiteX2076" fmla="*/ 3876799 w 12192000"/>
            <a:gd name="connsiteY2076" fmla="*/ 5532867 h 6858000"/>
            <a:gd name="connsiteX2077" fmla="*/ 3911618 w 12192000"/>
            <a:gd name="connsiteY2077" fmla="*/ 5498048 h 6858000"/>
            <a:gd name="connsiteX2078" fmla="*/ 3946437 w 12192000"/>
            <a:gd name="connsiteY2078" fmla="*/ 5532867 h 6858000"/>
            <a:gd name="connsiteX2079" fmla="*/ 3911618 w 12192000"/>
            <a:gd name="connsiteY2079" fmla="*/ 5567685 h 6858000"/>
            <a:gd name="connsiteX2080" fmla="*/ 3996511 w 12192000"/>
            <a:gd name="connsiteY2080" fmla="*/ 5567685 h 6858000"/>
            <a:gd name="connsiteX2081" fmla="*/ 3961692 w 12192000"/>
            <a:gd name="connsiteY2081" fmla="*/ 5532867 h 6858000"/>
            <a:gd name="connsiteX2082" fmla="*/ 3996511 w 12192000"/>
            <a:gd name="connsiteY2082" fmla="*/ 5498048 h 6858000"/>
            <a:gd name="connsiteX2083" fmla="*/ 4031330 w 12192000"/>
            <a:gd name="connsiteY2083" fmla="*/ 5532867 h 6858000"/>
            <a:gd name="connsiteX2084" fmla="*/ 3996511 w 12192000"/>
            <a:gd name="connsiteY2084" fmla="*/ 5567685 h 6858000"/>
            <a:gd name="connsiteX2085" fmla="*/ 4590758 w 12192000"/>
            <a:gd name="connsiteY2085" fmla="*/ 5567685 h 6858000"/>
            <a:gd name="connsiteX2086" fmla="*/ 4555939 w 12192000"/>
            <a:gd name="connsiteY2086" fmla="*/ 5532867 h 6858000"/>
            <a:gd name="connsiteX2087" fmla="*/ 4590758 w 12192000"/>
            <a:gd name="connsiteY2087" fmla="*/ 5498048 h 6858000"/>
            <a:gd name="connsiteX2088" fmla="*/ 4625577 w 12192000"/>
            <a:gd name="connsiteY2088" fmla="*/ 5532867 h 6858000"/>
            <a:gd name="connsiteX2089" fmla="*/ 4590758 w 12192000"/>
            <a:gd name="connsiteY2089" fmla="*/ 5567685 h 6858000"/>
            <a:gd name="connsiteX2090" fmla="*/ 4675650 w 12192000"/>
            <a:gd name="connsiteY2090" fmla="*/ 5567685 h 6858000"/>
            <a:gd name="connsiteX2091" fmla="*/ 4640831 w 12192000"/>
            <a:gd name="connsiteY2091" fmla="*/ 5532867 h 6858000"/>
            <a:gd name="connsiteX2092" fmla="*/ 4675650 w 12192000"/>
            <a:gd name="connsiteY2092" fmla="*/ 5498048 h 6858000"/>
            <a:gd name="connsiteX2093" fmla="*/ 4710469 w 12192000"/>
            <a:gd name="connsiteY2093" fmla="*/ 5532867 h 6858000"/>
            <a:gd name="connsiteX2094" fmla="*/ 4675650 w 12192000"/>
            <a:gd name="connsiteY2094" fmla="*/ 5567685 h 6858000"/>
            <a:gd name="connsiteX2095" fmla="*/ 4760543 w 12192000"/>
            <a:gd name="connsiteY2095" fmla="*/ 5567685 h 6858000"/>
            <a:gd name="connsiteX2096" fmla="*/ 4725724 w 12192000"/>
            <a:gd name="connsiteY2096" fmla="*/ 5532867 h 6858000"/>
            <a:gd name="connsiteX2097" fmla="*/ 4760543 w 12192000"/>
            <a:gd name="connsiteY2097" fmla="*/ 5498048 h 6858000"/>
            <a:gd name="connsiteX2098" fmla="*/ 4795362 w 12192000"/>
            <a:gd name="connsiteY2098" fmla="*/ 5532867 h 6858000"/>
            <a:gd name="connsiteX2099" fmla="*/ 4760543 w 12192000"/>
            <a:gd name="connsiteY2099" fmla="*/ 5567685 h 6858000"/>
            <a:gd name="connsiteX2100" fmla="*/ 4845436 w 12192000"/>
            <a:gd name="connsiteY2100" fmla="*/ 5567685 h 6858000"/>
            <a:gd name="connsiteX2101" fmla="*/ 4810617 w 12192000"/>
            <a:gd name="connsiteY2101" fmla="*/ 5532867 h 6858000"/>
            <a:gd name="connsiteX2102" fmla="*/ 4845436 w 12192000"/>
            <a:gd name="connsiteY2102" fmla="*/ 5498048 h 6858000"/>
            <a:gd name="connsiteX2103" fmla="*/ 4880254 w 12192000"/>
            <a:gd name="connsiteY2103" fmla="*/ 5532867 h 6858000"/>
            <a:gd name="connsiteX2104" fmla="*/ 4845436 w 12192000"/>
            <a:gd name="connsiteY2104" fmla="*/ 5567685 h 6858000"/>
            <a:gd name="connsiteX2105" fmla="*/ 4930328 w 12192000"/>
            <a:gd name="connsiteY2105" fmla="*/ 5567685 h 6858000"/>
            <a:gd name="connsiteX2106" fmla="*/ 4895509 w 12192000"/>
            <a:gd name="connsiteY2106" fmla="*/ 5532867 h 6858000"/>
            <a:gd name="connsiteX2107" fmla="*/ 4930328 w 12192000"/>
            <a:gd name="connsiteY2107" fmla="*/ 5498048 h 6858000"/>
            <a:gd name="connsiteX2108" fmla="*/ 4965147 w 12192000"/>
            <a:gd name="connsiteY2108" fmla="*/ 5532867 h 6858000"/>
            <a:gd name="connsiteX2109" fmla="*/ 4930328 w 12192000"/>
            <a:gd name="connsiteY2109" fmla="*/ 5567685 h 6858000"/>
            <a:gd name="connsiteX2110" fmla="*/ 5015220 w 12192000"/>
            <a:gd name="connsiteY2110" fmla="*/ 5567685 h 6858000"/>
            <a:gd name="connsiteX2111" fmla="*/ 4980401 w 12192000"/>
            <a:gd name="connsiteY2111" fmla="*/ 5532867 h 6858000"/>
            <a:gd name="connsiteX2112" fmla="*/ 5015220 w 12192000"/>
            <a:gd name="connsiteY2112" fmla="*/ 5498048 h 6858000"/>
            <a:gd name="connsiteX2113" fmla="*/ 5050039 w 12192000"/>
            <a:gd name="connsiteY2113" fmla="*/ 5532867 h 6858000"/>
            <a:gd name="connsiteX2114" fmla="*/ 5015220 w 12192000"/>
            <a:gd name="connsiteY2114" fmla="*/ 5567685 h 6858000"/>
            <a:gd name="connsiteX2115" fmla="*/ 5100113 w 12192000"/>
            <a:gd name="connsiteY2115" fmla="*/ 5567685 h 6858000"/>
            <a:gd name="connsiteX2116" fmla="*/ 5065294 w 12192000"/>
            <a:gd name="connsiteY2116" fmla="*/ 5532867 h 6858000"/>
            <a:gd name="connsiteX2117" fmla="*/ 5100113 w 12192000"/>
            <a:gd name="connsiteY2117" fmla="*/ 5498048 h 6858000"/>
            <a:gd name="connsiteX2118" fmla="*/ 5134932 w 12192000"/>
            <a:gd name="connsiteY2118" fmla="*/ 5532867 h 6858000"/>
            <a:gd name="connsiteX2119" fmla="*/ 5100113 w 12192000"/>
            <a:gd name="connsiteY2119" fmla="*/ 5567685 h 6858000"/>
            <a:gd name="connsiteX2120" fmla="*/ 5185006 w 12192000"/>
            <a:gd name="connsiteY2120" fmla="*/ 5567685 h 6858000"/>
            <a:gd name="connsiteX2121" fmla="*/ 5150187 w 12192000"/>
            <a:gd name="connsiteY2121" fmla="*/ 5532867 h 6858000"/>
            <a:gd name="connsiteX2122" fmla="*/ 5185006 w 12192000"/>
            <a:gd name="connsiteY2122" fmla="*/ 5498048 h 6858000"/>
            <a:gd name="connsiteX2123" fmla="*/ 5219824 w 12192000"/>
            <a:gd name="connsiteY2123" fmla="*/ 5532867 h 6858000"/>
            <a:gd name="connsiteX2124" fmla="*/ 5185006 w 12192000"/>
            <a:gd name="connsiteY2124" fmla="*/ 5567685 h 6858000"/>
            <a:gd name="connsiteX2125" fmla="*/ 7137536 w 12192000"/>
            <a:gd name="connsiteY2125" fmla="*/ 5567685 h 6858000"/>
            <a:gd name="connsiteX2126" fmla="*/ 7102710 w 12192000"/>
            <a:gd name="connsiteY2126" fmla="*/ 5532867 h 6858000"/>
            <a:gd name="connsiteX2127" fmla="*/ 7137536 w 12192000"/>
            <a:gd name="connsiteY2127" fmla="*/ 5498048 h 6858000"/>
            <a:gd name="connsiteX2128" fmla="*/ 7172348 w 12192000"/>
            <a:gd name="connsiteY2128" fmla="*/ 5532867 h 6858000"/>
            <a:gd name="connsiteX2129" fmla="*/ 7137536 w 12192000"/>
            <a:gd name="connsiteY2129" fmla="*/ 5567685 h 6858000"/>
            <a:gd name="connsiteX2130" fmla="*/ 7561998 w 12192000"/>
            <a:gd name="connsiteY2130" fmla="*/ 5567685 h 6858000"/>
            <a:gd name="connsiteX2131" fmla="*/ 7527173 w 12192000"/>
            <a:gd name="connsiteY2131" fmla="*/ 5532867 h 6858000"/>
            <a:gd name="connsiteX2132" fmla="*/ 7561998 w 12192000"/>
            <a:gd name="connsiteY2132" fmla="*/ 5498048 h 6858000"/>
            <a:gd name="connsiteX2133" fmla="*/ 7596810 w 12192000"/>
            <a:gd name="connsiteY2133" fmla="*/ 5532867 h 6858000"/>
            <a:gd name="connsiteX2134" fmla="*/ 7561998 w 12192000"/>
            <a:gd name="connsiteY2134" fmla="*/ 5567685 h 6858000"/>
            <a:gd name="connsiteX2135" fmla="*/ 7646890 w 12192000"/>
            <a:gd name="connsiteY2135" fmla="*/ 5567685 h 6858000"/>
            <a:gd name="connsiteX2136" fmla="*/ 7612065 w 12192000"/>
            <a:gd name="connsiteY2136" fmla="*/ 5532867 h 6858000"/>
            <a:gd name="connsiteX2137" fmla="*/ 7646890 w 12192000"/>
            <a:gd name="connsiteY2137" fmla="*/ 5498048 h 6858000"/>
            <a:gd name="connsiteX2138" fmla="*/ 7681703 w 12192000"/>
            <a:gd name="connsiteY2138" fmla="*/ 5532867 h 6858000"/>
            <a:gd name="connsiteX2139" fmla="*/ 7646890 w 12192000"/>
            <a:gd name="connsiteY2139" fmla="*/ 5567685 h 6858000"/>
            <a:gd name="connsiteX2140" fmla="*/ 7731784 w 12192000"/>
            <a:gd name="connsiteY2140" fmla="*/ 5567685 h 6858000"/>
            <a:gd name="connsiteX2141" fmla="*/ 7696958 w 12192000"/>
            <a:gd name="connsiteY2141" fmla="*/ 5532867 h 6858000"/>
            <a:gd name="connsiteX2142" fmla="*/ 7731784 w 12192000"/>
            <a:gd name="connsiteY2142" fmla="*/ 5498048 h 6858000"/>
            <a:gd name="connsiteX2143" fmla="*/ 7766596 w 12192000"/>
            <a:gd name="connsiteY2143" fmla="*/ 5532867 h 6858000"/>
            <a:gd name="connsiteX2144" fmla="*/ 7731784 w 12192000"/>
            <a:gd name="connsiteY2144" fmla="*/ 5567685 h 6858000"/>
            <a:gd name="connsiteX2145" fmla="*/ 7901568 w 12192000"/>
            <a:gd name="connsiteY2145" fmla="*/ 5567685 h 6858000"/>
            <a:gd name="connsiteX2146" fmla="*/ 7866743 w 12192000"/>
            <a:gd name="connsiteY2146" fmla="*/ 5532867 h 6858000"/>
            <a:gd name="connsiteX2147" fmla="*/ 7901568 w 12192000"/>
            <a:gd name="connsiteY2147" fmla="*/ 5498048 h 6858000"/>
            <a:gd name="connsiteX2148" fmla="*/ 7936380 w 12192000"/>
            <a:gd name="connsiteY2148" fmla="*/ 5532867 h 6858000"/>
            <a:gd name="connsiteX2149" fmla="*/ 7901568 w 12192000"/>
            <a:gd name="connsiteY2149" fmla="*/ 5567685 h 6858000"/>
            <a:gd name="connsiteX2150" fmla="*/ 7986460 w 12192000"/>
            <a:gd name="connsiteY2150" fmla="*/ 5567685 h 6858000"/>
            <a:gd name="connsiteX2151" fmla="*/ 7951635 w 12192000"/>
            <a:gd name="connsiteY2151" fmla="*/ 5532867 h 6858000"/>
            <a:gd name="connsiteX2152" fmla="*/ 7986460 w 12192000"/>
            <a:gd name="connsiteY2152" fmla="*/ 5498048 h 6858000"/>
            <a:gd name="connsiteX2153" fmla="*/ 8021273 w 12192000"/>
            <a:gd name="connsiteY2153" fmla="*/ 5532867 h 6858000"/>
            <a:gd name="connsiteX2154" fmla="*/ 7986460 w 12192000"/>
            <a:gd name="connsiteY2154" fmla="*/ 5567685 h 6858000"/>
            <a:gd name="connsiteX2155" fmla="*/ 8071353 w 12192000"/>
            <a:gd name="connsiteY2155" fmla="*/ 5567685 h 6858000"/>
            <a:gd name="connsiteX2156" fmla="*/ 8036527 w 12192000"/>
            <a:gd name="connsiteY2156" fmla="*/ 5532867 h 6858000"/>
            <a:gd name="connsiteX2157" fmla="*/ 8071353 w 12192000"/>
            <a:gd name="connsiteY2157" fmla="*/ 5498048 h 6858000"/>
            <a:gd name="connsiteX2158" fmla="*/ 8106165 w 12192000"/>
            <a:gd name="connsiteY2158" fmla="*/ 5532867 h 6858000"/>
            <a:gd name="connsiteX2159" fmla="*/ 8071353 w 12192000"/>
            <a:gd name="connsiteY2159" fmla="*/ 5567685 h 6858000"/>
            <a:gd name="connsiteX2160" fmla="*/ 8156246 w 12192000"/>
            <a:gd name="connsiteY2160" fmla="*/ 5567685 h 6858000"/>
            <a:gd name="connsiteX2161" fmla="*/ 8121420 w 12192000"/>
            <a:gd name="connsiteY2161" fmla="*/ 5532867 h 6858000"/>
            <a:gd name="connsiteX2162" fmla="*/ 8156246 w 12192000"/>
            <a:gd name="connsiteY2162" fmla="*/ 5498048 h 6858000"/>
            <a:gd name="connsiteX2163" fmla="*/ 8191058 w 12192000"/>
            <a:gd name="connsiteY2163" fmla="*/ 5532867 h 6858000"/>
            <a:gd name="connsiteX2164" fmla="*/ 8156246 w 12192000"/>
            <a:gd name="connsiteY2164" fmla="*/ 5567685 h 6858000"/>
            <a:gd name="connsiteX2165" fmla="*/ 8241138 w 12192000"/>
            <a:gd name="connsiteY2165" fmla="*/ 5567685 h 6858000"/>
            <a:gd name="connsiteX2166" fmla="*/ 8206313 w 12192000"/>
            <a:gd name="connsiteY2166" fmla="*/ 5532867 h 6858000"/>
            <a:gd name="connsiteX2167" fmla="*/ 8241138 w 12192000"/>
            <a:gd name="connsiteY2167" fmla="*/ 5498048 h 6858000"/>
            <a:gd name="connsiteX2168" fmla="*/ 8275950 w 12192000"/>
            <a:gd name="connsiteY2168" fmla="*/ 5532867 h 6858000"/>
            <a:gd name="connsiteX2169" fmla="*/ 8241138 w 12192000"/>
            <a:gd name="connsiteY2169" fmla="*/ 5567685 h 6858000"/>
            <a:gd name="connsiteX2170" fmla="*/ 8326030 w 12192000"/>
            <a:gd name="connsiteY2170" fmla="*/ 5567685 h 6858000"/>
            <a:gd name="connsiteX2171" fmla="*/ 8291205 w 12192000"/>
            <a:gd name="connsiteY2171" fmla="*/ 5532867 h 6858000"/>
            <a:gd name="connsiteX2172" fmla="*/ 8326030 w 12192000"/>
            <a:gd name="connsiteY2172" fmla="*/ 5498048 h 6858000"/>
            <a:gd name="connsiteX2173" fmla="*/ 8360843 w 12192000"/>
            <a:gd name="connsiteY2173" fmla="*/ 5532867 h 6858000"/>
            <a:gd name="connsiteX2174" fmla="*/ 8326030 w 12192000"/>
            <a:gd name="connsiteY2174" fmla="*/ 5567685 h 6858000"/>
            <a:gd name="connsiteX2175" fmla="*/ 8410923 w 12192000"/>
            <a:gd name="connsiteY2175" fmla="*/ 5567685 h 6858000"/>
            <a:gd name="connsiteX2176" fmla="*/ 8376097 w 12192000"/>
            <a:gd name="connsiteY2176" fmla="*/ 5532867 h 6858000"/>
            <a:gd name="connsiteX2177" fmla="*/ 8410923 w 12192000"/>
            <a:gd name="connsiteY2177" fmla="*/ 5498048 h 6858000"/>
            <a:gd name="connsiteX2178" fmla="*/ 8445735 w 12192000"/>
            <a:gd name="connsiteY2178" fmla="*/ 5532867 h 6858000"/>
            <a:gd name="connsiteX2179" fmla="*/ 8410923 w 12192000"/>
            <a:gd name="connsiteY2179" fmla="*/ 5567685 h 6858000"/>
            <a:gd name="connsiteX2180" fmla="*/ 8495816 w 12192000"/>
            <a:gd name="connsiteY2180" fmla="*/ 5567685 h 6858000"/>
            <a:gd name="connsiteX2181" fmla="*/ 8460990 w 12192000"/>
            <a:gd name="connsiteY2181" fmla="*/ 5532867 h 6858000"/>
            <a:gd name="connsiteX2182" fmla="*/ 8495816 w 12192000"/>
            <a:gd name="connsiteY2182" fmla="*/ 5498048 h 6858000"/>
            <a:gd name="connsiteX2183" fmla="*/ 8530628 w 12192000"/>
            <a:gd name="connsiteY2183" fmla="*/ 5532867 h 6858000"/>
            <a:gd name="connsiteX2184" fmla="*/ 8495816 w 12192000"/>
            <a:gd name="connsiteY2184" fmla="*/ 5567685 h 6858000"/>
            <a:gd name="connsiteX2185" fmla="*/ 8580708 w 12192000"/>
            <a:gd name="connsiteY2185" fmla="*/ 5567685 h 6858000"/>
            <a:gd name="connsiteX2186" fmla="*/ 8545883 w 12192000"/>
            <a:gd name="connsiteY2186" fmla="*/ 5532867 h 6858000"/>
            <a:gd name="connsiteX2187" fmla="*/ 8580708 w 12192000"/>
            <a:gd name="connsiteY2187" fmla="*/ 5498048 h 6858000"/>
            <a:gd name="connsiteX2188" fmla="*/ 8615520 w 12192000"/>
            <a:gd name="connsiteY2188" fmla="*/ 5532867 h 6858000"/>
            <a:gd name="connsiteX2189" fmla="*/ 8580708 w 12192000"/>
            <a:gd name="connsiteY2189" fmla="*/ 5567685 h 6858000"/>
            <a:gd name="connsiteX2190" fmla="*/ 8665600 w 12192000"/>
            <a:gd name="connsiteY2190" fmla="*/ 5567685 h 6858000"/>
            <a:gd name="connsiteX2191" fmla="*/ 8630775 w 12192000"/>
            <a:gd name="connsiteY2191" fmla="*/ 5532867 h 6858000"/>
            <a:gd name="connsiteX2192" fmla="*/ 8665600 w 12192000"/>
            <a:gd name="connsiteY2192" fmla="*/ 5498048 h 6858000"/>
            <a:gd name="connsiteX2193" fmla="*/ 8700413 w 12192000"/>
            <a:gd name="connsiteY2193" fmla="*/ 5532867 h 6858000"/>
            <a:gd name="connsiteX2194" fmla="*/ 8665600 w 12192000"/>
            <a:gd name="connsiteY2194" fmla="*/ 5567685 h 6858000"/>
            <a:gd name="connsiteX2195" fmla="*/ 8750493 w 12192000"/>
            <a:gd name="connsiteY2195" fmla="*/ 5567685 h 6858000"/>
            <a:gd name="connsiteX2196" fmla="*/ 8715667 w 12192000"/>
            <a:gd name="connsiteY2196" fmla="*/ 5532867 h 6858000"/>
            <a:gd name="connsiteX2197" fmla="*/ 8750493 w 12192000"/>
            <a:gd name="connsiteY2197" fmla="*/ 5498048 h 6858000"/>
            <a:gd name="connsiteX2198" fmla="*/ 8785305 w 12192000"/>
            <a:gd name="connsiteY2198" fmla="*/ 5532867 h 6858000"/>
            <a:gd name="connsiteX2199" fmla="*/ 8750493 w 12192000"/>
            <a:gd name="connsiteY2199" fmla="*/ 5567685 h 6858000"/>
            <a:gd name="connsiteX2200" fmla="*/ 8835386 w 12192000"/>
            <a:gd name="connsiteY2200" fmla="*/ 5567685 h 6858000"/>
            <a:gd name="connsiteX2201" fmla="*/ 8800560 w 12192000"/>
            <a:gd name="connsiteY2201" fmla="*/ 5532867 h 6858000"/>
            <a:gd name="connsiteX2202" fmla="*/ 8835386 w 12192000"/>
            <a:gd name="connsiteY2202" fmla="*/ 5498048 h 6858000"/>
            <a:gd name="connsiteX2203" fmla="*/ 8870198 w 12192000"/>
            <a:gd name="connsiteY2203" fmla="*/ 5532867 h 6858000"/>
            <a:gd name="connsiteX2204" fmla="*/ 8835386 w 12192000"/>
            <a:gd name="connsiteY2204" fmla="*/ 5567685 h 6858000"/>
            <a:gd name="connsiteX2205" fmla="*/ 8920278 w 12192000"/>
            <a:gd name="connsiteY2205" fmla="*/ 5567685 h 6858000"/>
            <a:gd name="connsiteX2206" fmla="*/ 8885453 w 12192000"/>
            <a:gd name="connsiteY2206" fmla="*/ 5532867 h 6858000"/>
            <a:gd name="connsiteX2207" fmla="*/ 8920278 w 12192000"/>
            <a:gd name="connsiteY2207" fmla="*/ 5498048 h 6858000"/>
            <a:gd name="connsiteX2208" fmla="*/ 8955090 w 12192000"/>
            <a:gd name="connsiteY2208" fmla="*/ 5532867 h 6858000"/>
            <a:gd name="connsiteX2209" fmla="*/ 8920278 w 12192000"/>
            <a:gd name="connsiteY2209" fmla="*/ 5567685 h 6858000"/>
            <a:gd name="connsiteX2210" fmla="*/ 9005170 w 12192000"/>
            <a:gd name="connsiteY2210" fmla="*/ 5567685 h 6858000"/>
            <a:gd name="connsiteX2211" fmla="*/ 8970345 w 12192000"/>
            <a:gd name="connsiteY2211" fmla="*/ 5532867 h 6858000"/>
            <a:gd name="connsiteX2212" fmla="*/ 9005170 w 12192000"/>
            <a:gd name="connsiteY2212" fmla="*/ 5498048 h 6858000"/>
            <a:gd name="connsiteX2213" fmla="*/ 9039983 w 12192000"/>
            <a:gd name="connsiteY2213" fmla="*/ 5532867 h 6858000"/>
            <a:gd name="connsiteX2214" fmla="*/ 9005170 w 12192000"/>
            <a:gd name="connsiteY2214" fmla="*/ 5567685 h 6858000"/>
            <a:gd name="connsiteX2215" fmla="*/ 9090063 w 12192000"/>
            <a:gd name="connsiteY2215" fmla="*/ 5567685 h 6858000"/>
            <a:gd name="connsiteX2216" fmla="*/ 9055237 w 12192000"/>
            <a:gd name="connsiteY2216" fmla="*/ 5532867 h 6858000"/>
            <a:gd name="connsiteX2217" fmla="*/ 9090063 w 12192000"/>
            <a:gd name="connsiteY2217" fmla="*/ 5498048 h 6858000"/>
            <a:gd name="connsiteX2218" fmla="*/ 9124875 w 12192000"/>
            <a:gd name="connsiteY2218" fmla="*/ 5532867 h 6858000"/>
            <a:gd name="connsiteX2219" fmla="*/ 9090063 w 12192000"/>
            <a:gd name="connsiteY2219" fmla="*/ 5567685 h 6858000"/>
            <a:gd name="connsiteX2220" fmla="*/ 9174956 w 12192000"/>
            <a:gd name="connsiteY2220" fmla="*/ 5567685 h 6858000"/>
            <a:gd name="connsiteX2221" fmla="*/ 9140130 w 12192000"/>
            <a:gd name="connsiteY2221" fmla="*/ 5532867 h 6858000"/>
            <a:gd name="connsiteX2222" fmla="*/ 9174956 w 12192000"/>
            <a:gd name="connsiteY2222" fmla="*/ 5498048 h 6858000"/>
            <a:gd name="connsiteX2223" fmla="*/ 9209768 w 12192000"/>
            <a:gd name="connsiteY2223" fmla="*/ 5532867 h 6858000"/>
            <a:gd name="connsiteX2224" fmla="*/ 9174956 w 12192000"/>
            <a:gd name="connsiteY2224" fmla="*/ 5567685 h 6858000"/>
            <a:gd name="connsiteX2225" fmla="*/ 9259848 w 12192000"/>
            <a:gd name="connsiteY2225" fmla="*/ 5567685 h 6858000"/>
            <a:gd name="connsiteX2226" fmla="*/ 9225023 w 12192000"/>
            <a:gd name="connsiteY2226" fmla="*/ 5532867 h 6858000"/>
            <a:gd name="connsiteX2227" fmla="*/ 9259848 w 12192000"/>
            <a:gd name="connsiteY2227" fmla="*/ 5498048 h 6858000"/>
            <a:gd name="connsiteX2228" fmla="*/ 9294660 w 12192000"/>
            <a:gd name="connsiteY2228" fmla="*/ 5532867 h 6858000"/>
            <a:gd name="connsiteX2229" fmla="*/ 9259848 w 12192000"/>
            <a:gd name="connsiteY2229" fmla="*/ 5567685 h 6858000"/>
            <a:gd name="connsiteX2230" fmla="*/ 9344740 w 12192000"/>
            <a:gd name="connsiteY2230" fmla="*/ 5567685 h 6858000"/>
            <a:gd name="connsiteX2231" fmla="*/ 9309915 w 12192000"/>
            <a:gd name="connsiteY2231" fmla="*/ 5532867 h 6858000"/>
            <a:gd name="connsiteX2232" fmla="*/ 9344740 w 12192000"/>
            <a:gd name="connsiteY2232" fmla="*/ 5498048 h 6858000"/>
            <a:gd name="connsiteX2233" fmla="*/ 9379553 w 12192000"/>
            <a:gd name="connsiteY2233" fmla="*/ 5532867 h 6858000"/>
            <a:gd name="connsiteX2234" fmla="*/ 9344740 w 12192000"/>
            <a:gd name="connsiteY2234" fmla="*/ 5567685 h 6858000"/>
            <a:gd name="connsiteX2235" fmla="*/ 9429633 w 12192000"/>
            <a:gd name="connsiteY2235" fmla="*/ 5567685 h 6858000"/>
            <a:gd name="connsiteX2236" fmla="*/ 9394807 w 12192000"/>
            <a:gd name="connsiteY2236" fmla="*/ 5532867 h 6858000"/>
            <a:gd name="connsiteX2237" fmla="*/ 9429633 w 12192000"/>
            <a:gd name="connsiteY2237" fmla="*/ 5498048 h 6858000"/>
            <a:gd name="connsiteX2238" fmla="*/ 9464445 w 12192000"/>
            <a:gd name="connsiteY2238" fmla="*/ 5532867 h 6858000"/>
            <a:gd name="connsiteX2239" fmla="*/ 9429633 w 12192000"/>
            <a:gd name="connsiteY2239" fmla="*/ 5567685 h 6858000"/>
            <a:gd name="connsiteX2240" fmla="*/ 9514525 w 12192000"/>
            <a:gd name="connsiteY2240" fmla="*/ 5567685 h 6858000"/>
            <a:gd name="connsiteX2241" fmla="*/ 9479699 w 12192000"/>
            <a:gd name="connsiteY2241" fmla="*/ 5532867 h 6858000"/>
            <a:gd name="connsiteX2242" fmla="*/ 9514525 w 12192000"/>
            <a:gd name="connsiteY2242" fmla="*/ 5498048 h 6858000"/>
            <a:gd name="connsiteX2243" fmla="*/ 9549337 w 12192000"/>
            <a:gd name="connsiteY2243" fmla="*/ 5532867 h 6858000"/>
            <a:gd name="connsiteX2244" fmla="*/ 9514525 w 12192000"/>
            <a:gd name="connsiteY2244" fmla="*/ 5567685 h 6858000"/>
            <a:gd name="connsiteX2245" fmla="*/ 9599418 w 12192000"/>
            <a:gd name="connsiteY2245" fmla="*/ 5567685 h 6858000"/>
            <a:gd name="connsiteX2246" fmla="*/ 9564593 w 12192000"/>
            <a:gd name="connsiteY2246" fmla="*/ 5532867 h 6858000"/>
            <a:gd name="connsiteX2247" fmla="*/ 9599418 w 12192000"/>
            <a:gd name="connsiteY2247" fmla="*/ 5498048 h 6858000"/>
            <a:gd name="connsiteX2248" fmla="*/ 9634230 w 12192000"/>
            <a:gd name="connsiteY2248" fmla="*/ 5532867 h 6858000"/>
            <a:gd name="connsiteX2249" fmla="*/ 9599418 w 12192000"/>
            <a:gd name="connsiteY2249" fmla="*/ 5567685 h 6858000"/>
            <a:gd name="connsiteX2250" fmla="*/ 9684310 w 12192000"/>
            <a:gd name="connsiteY2250" fmla="*/ 5567685 h 6858000"/>
            <a:gd name="connsiteX2251" fmla="*/ 9649485 w 12192000"/>
            <a:gd name="connsiteY2251" fmla="*/ 5532867 h 6858000"/>
            <a:gd name="connsiteX2252" fmla="*/ 9684310 w 12192000"/>
            <a:gd name="connsiteY2252" fmla="*/ 5498048 h 6858000"/>
            <a:gd name="connsiteX2253" fmla="*/ 9719123 w 12192000"/>
            <a:gd name="connsiteY2253" fmla="*/ 5532867 h 6858000"/>
            <a:gd name="connsiteX2254" fmla="*/ 9684310 w 12192000"/>
            <a:gd name="connsiteY2254" fmla="*/ 5567685 h 6858000"/>
            <a:gd name="connsiteX2255" fmla="*/ 9769203 w 12192000"/>
            <a:gd name="connsiteY2255" fmla="*/ 5567685 h 6858000"/>
            <a:gd name="connsiteX2256" fmla="*/ 9734377 w 12192000"/>
            <a:gd name="connsiteY2256" fmla="*/ 5532867 h 6858000"/>
            <a:gd name="connsiteX2257" fmla="*/ 9769203 w 12192000"/>
            <a:gd name="connsiteY2257" fmla="*/ 5498048 h 6858000"/>
            <a:gd name="connsiteX2258" fmla="*/ 9804015 w 12192000"/>
            <a:gd name="connsiteY2258" fmla="*/ 5532867 h 6858000"/>
            <a:gd name="connsiteX2259" fmla="*/ 9769203 w 12192000"/>
            <a:gd name="connsiteY2259" fmla="*/ 5567685 h 6858000"/>
            <a:gd name="connsiteX2260" fmla="*/ 9854095 w 12192000"/>
            <a:gd name="connsiteY2260" fmla="*/ 5567685 h 6858000"/>
            <a:gd name="connsiteX2261" fmla="*/ 9819269 w 12192000"/>
            <a:gd name="connsiteY2261" fmla="*/ 5532867 h 6858000"/>
            <a:gd name="connsiteX2262" fmla="*/ 9854095 w 12192000"/>
            <a:gd name="connsiteY2262" fmla="*/ 5498048 h 6858000"/>
            <a:gd name="connsiteX2263" fmla="*/ 9888907 w 12192000"/>
            <a:gd name="connsiteY2263" fmla="*/ 5532867 h 6858000"/>
            <a:gd name="connsiteX2264" fmla="*/ 9854095 w 12192000"/>
            <a:gd name="connsiteY2264" fmla="*/ 5567685 h 6858000"/>
            <a:gd name="connsiteX2265" fmla="*/ 9938988 w 12192000"/>
            <a:gd name="connsiteY2265" fmla="*/ 5567685 h 6858000"/>
            <a:gd name="connsiteX2266" fmla="*/ 9904163 w 12192000"/>
            <a:gd name="connsiteY2266" fmla="*/ 5532867 h 6858000"/>
            <a:gd name="connsiteX2267" fmla="*/ 9938988 w 12192000"/>
            <a:gd name="connsiteY2267" fmla="*/ 5498048 h 6858000"/>
            <a:gd name="connsiteX2268" fmla="*/ 9973800 w 12192000"/>
            <a:gd name="connsiteY2268" fmla="*/ 5532867 h 6858000"/>
            <a:gd name="connsiteX2269" fmla="*/ 9938988 w 12192000"/>
            <a:gd name="connsiteY2269" fmla="*/ 5567685 h 6858000"/>
            <a:gd name="connsiteX2270" fmla="*/ 10023880 w 12192000"/>
            <a:gd name="connsiteY2270" fmla="*/ 5567685 h 6858000"/>
            <a:gd name="connsiteX2271" fmla="*/ 9989055 w 12192000"/>
            <a:gd name="connsiteY2271" fmla="*/ 5532867 h 6858000"/>
            <a:gd name="connsiteX2272" fmla="*/ 10023880 w 12192000"/>
            <a:gd name="connsiteY2272" fmla="*/ 5498048 h 6858000"/>
            <a:gd name="connsiteX2273" fmla="*/ 10058693 w 12192000"/>
            <a:gd name="connsiteY2273" fmla="*/ 5532867 h 6858000"/>
            <a:gd name="connsiteX2274" fmla="*/ 10023880 w 12192000"/>
            <a:gd name="connsiteY2274" fmla="*/ 5567685 h 6858000"/>
            <a:gd name="connsiteX2275" fmla="*/ 10108773 w 12192000"/>
            <a:gd name="connsiteY2275" fmla="*/ 5567685 h 6858000"/>
            <a:gd name="connsiteX2276" fmla="*/ 10073947 w 12192000"/>
            <a:gd name="connsiteY2276" fmla="*/ 5532867 h 6858000"/>
            <a:gd name="connsiteX2277" fmla="*/ 10108773 w 12192000"/>
            <a:gd name="connsiteY2277" fmla="*/ 5498048 h 6858000"/>
            <a:gd name="connsiteX2278" fmla="*/ 10143585 w 12192000"/>
            <a:gd name="connsiteY2278" fmla="*/ 5532867 h 6858000"/>
            <a:gd name="connsiteX2279" fmla="*/ 10108773 w 12192000"/>
            <a:gd name="connsiteY2279" fmla="*/ 5567685 h 6858000"/>
            <a:gd name="connsiteX2280" fmla="*/ 10193665 w 12192000"/>
            <a:gd name="connsiteY2280" fmla="*/ 5567685 h 6858000"/>
            <a:gd name="connsiteX2281" fmla="*/ 10158839 w 12192000"/>
            <a:gd name="connsiteY2281" fmla="*/ 5532867 h 6858000"/>
            <a:gd name="connsiteX2282" fmla="*/ 10193665 w 12192000"/>
            <a:gd name="connsiteY2282" fmla="*/ 5498048 h 6858000"/>
            <a:gd name="connsiteX2283" fmla="*/ 10228477 w 12192000"/>
            <a:gd name="connsiteY2283" fmla="*/ 5532867 h 6858000"/>
            <a:gd name="connsiteX2284" fmla="*/ 10193665 w 12192000"/>
            <a:gd name="connsiteY2284" fmla="*/ 5567685 h 6858000"/>
            <a:gd name="connsiteX2285" fmla="*/ 10278558 w 12192000"/>
            <a:gd name="connsiteY2285" fmla="*/ 5567685 h 6858000"/>
            <a:gd name="connsiteX2286" fmla="*/ 10243733 w 12192000"/>
            <a:gd name="connsiteY2286" fmla="*/ 5532867 h 6858000"/>
            <a:gd name="connsiteX2287" fmla="*/ 10278558 w 12192000"/>
            <a:gd name="connsiteY2287" fmla="*/ 5498048 h 6858000"/>
            <a:gd name="connsiteX2288" fmla="*/ 10313370 w 12192000"/>
            <a:gd name="connsiteY2288" fmla="*/ 5532867 h 6858000"/>
            <a:gd name="connsiteX2289" fmla="*/ 10278558 w 12192000"/>
            <a:gd name="connsiteY2289" fmla="*/ 5567685 h 6858000"/>
            <a:gd name="connsiteX2290" fmla="*/ 10363450 w 12192000"/>
            <a:gd name="connsiteY2290" fmla="*/ 5567685 h 6858000"/>
            <a:gd name="connsiteX2291" fmla="*/ 10328625 w 12192000"/>
            <a:gd name="connsiteY2291" fmla="*/ 5532867 h 6858000"/>
            <a:gd name="connsiteX2292" fmla="*/ 10363450 w 12192000"/>
            <a:gd name="connsiteY2292" fmla="*/ 5498048 h 6858000"/>
            <a:gd name="connsiteX2293" fmla="*/ 10398263 w 12192000"/>
            <a:gd name="connsiteY2293" fmla="*/ 5532867 h 6858000"/>
            <a:gd name="connsiteX2294" fmla="*/ 10363450 w 12192000"/>
            <a:gd name="connsiteY2294" fmla="*/ 5567685 h 6858000"/>
            <a:gd name="connsiteX2295" fmla="*/ 10448343 w 12192000"/>
            <a:gd name="connsiteY2295" fmla="*/ 5567685 h 6858000"/>
            <a:gd name="connsiteX2296" fmla="*/ 10413517 w 12192000"/>
            <a:gd name="connsiteY2296" fmla="*/ 5532867 h 6858000"/>
            <a:gd name="connsiteX2297" fmla="*/ 10448343 w 12192000"/>
            <a:gd name="connsiteY2297" fmla="*/ 5498048 h 6858000"/>
            <a:gd name="connsiteX2298" fmla="*/ 10483155 w 12192000"/>
            <a:gd name="connsiteY2298" fmla="*/ 5532867 h 6858000"/>
            <a:gd name="connsiteX2299" fmla="*/ 10448343 w 12192000"/>
            <a:gd name="connsiteY2299" fmla="*/ 5567685 h 6858000"/>
            <a:gd name="connsiteX2300" fmla="*/ 10533235 w 12192000"/>
            <a:gd name="connsiteY2300" fmla="*/ 5567685 h 6858000"/>
            <a:gd name="connsiteX2301" fmla="*/ 10498409 w 12192000"/>
            <a:gd name="connsiteY2301" fmla="*/ 5532867 h 6858000"/>
            <a:gd name="connsiteX2302" fmla="*/ 10533235 w 12192000"/>
            <a:gd name="connsiteY2302" fmla="*/ 5498048 h 6858000"/>
            <a:gd name="connsiteX2303" fmla="*/ 10568047 w 12192000"/>
            <a:gd name="connsiteY2303" fmla="*/ 5532867 h 6858000"/>
            <a:gd name="connsiteX2304" fmla="*/ 10533235 w 12192000"/>
            <a:gd name="connsiteY2304" fmla="*/ 5567685 h 6858000"/>
            <a:gd name="connsiteX2305" fmla="*/ 10618128 w 12192000"/>
            <a:gd name="connsiteY2305" fmla="*/ 5567685 h 6858000"/>
            <a:gd name="connsiteX2306" fmla="*/ 10583303 w 12192000"/>
            <a:gd name="connsiteY2306" fmla="*/ 5532867 h 6858000"/>
            <a:gd name="connsiteX2307" fmla="*/ 10618128 w 12192000"/>
            <a:gd name="connsiteY2307" fmla="*/ 5498048 h 6858000"/>
            <a:gd name="connsiteX2308" fmla="*/ 10652940 w 12192000"/>
            <a:gd name="connsiteY2308" fmla="*/ 5532867 h 6858000"/>
            <a:gd name="connsiteX2309" fmla="*/ 10618128 w 12192000"/>
            <a:gd name="connsiteY2309" fmla="*/ 5567685 h 6858000"/>
            <a:gd name="connsiteX2310" fmla="*/ 1534629 w 12192000"/>
            <a:gd name="connsiteY2310" fmla="*/ 5482826 h 6858000"/>
            <a:gd name="connsiteX2311" fmla="*/ 1499810 w 12192000"/>
            <a:gd name="connsiteY2311" fmla="*/ 5448007 h 6858000"/>
            <a:gd name="connsiteX2312" fmla="*/ 1534629 w 12192000"/>
            <a:gd name="connsiteY2312" fmla="*/ 5413188 h 6858000"/>
            <a:gd name="connsiteX2313" fmla="*/ 1569448 w 12192000"/>
            <a:gd name="connsiteY2313" fmla="*/ 5448007 h 6858000"/>
            <a:gd name="connsiteX2314" fmla="*/ 1534629 w 12192000"/>
            <a:gd name="connsiteY2314" fmla="*/ 5482826 h 6858000"/>
            <a:gd name="connsiteX2315" fmla="*/ 1619521 w 12192000"/>
            <a:gd name="connsiteY2315" fmla="*/ 5482826 h 6858000"/>
            <a:gd name="connsiteX2316" fmla="*/ 1584702 w 12192000"/>
            <a:gd name="connsiteY2316" fmla="*/ 5448007 h 6858000"/>
            <a:gd name="connsiteX2317" fmla="*/ 1619521 w 12192000"/>
            <a:gd name="connsiteY2317" fmla="*/ 5413188 h 6858000"/>
            <a:gd name="connsiteX2318" fmla="*/ 1654340 w 12192000"/>
            <a:gd name="connsiteY2318" fmla="*/ 5448007 h 6858000"/>
            <a:gd name="connsiteX2319" fmla="*/ 1619521 w 12192000"/>
            <a:gd name="connsiteY2319" fmla="*/ 5482826 h 6858000"/>
            <a:gd name="connsiteX2320" fmla="*/ 1704413 w 12192000"/>
            <a:gd name="connsiteY2320" fmla="*/ 5482826 h 6858000"/>
            <a:gd name="connsiteX2321" fmla="*/ 1669594 w 12192000"/>
            <a:gd name="connsiteY2321" fmla="*/ 5448007 h 6858000"/>
            <a:gd name="connsiteX2322" fmla="*/ 1704413 w 12192000"/>
            <a:gd name="connsiteY2322" fmla="*/ 5413188 h 6858000"/>
            <a:gd name="connsiteX2323" fmla="*/ 1739232 w 12192000"/>
            <a:gd name="connsiteY2323" fmla="*/ 5448007 h 6858000"/>
            <a:gd name="connsiteX2324" fmla="*/ 1704413 w 12192000"/>
            <a:gd name="connsiteY2324" fmla="*/ 5482826 h 6858000"/>
            <a:gd name="connsiteX2325" fmla="*/ 1789306 w 12192000"/>
            <a:gd name="connsiteY2325" fmla="*/ 5482826 h 6858000"/>
            <a:gd name="connsiteX2326" fmla="*/ 1754487 w 12192000"/>
            <a:gd name="connsiteY2326" fmla="*/ 5448007 h 6858000"/>
            <a:gd name="connsiteX2327" fmla="*/ 1789306 w 12192000"/>
            <a:gd name="connsiteY2327" fmla="*/ 5413188 h 6858000"/>
            <a:gd name="connsiteX2328" fmla="*/ 1824124 w 12192000"/>
            <a:gd name="connsiteY2328" fmla="*/ 5448007 h 6858000"/>
            <a:gd name="connsiteX2329" fmla="*/ 1789306 w 12192000"/>
            <a:gd name="connsiteY2329" fmla="*/ 5482826 h 6858000"/>
            <a:gd name="connsiteX2330" fmla="*/ 1874199 w 12192000"/>
            <a:gd name="connsiteY2330" fmla="*/ 5482826 h 6858000"/>
            <a:gd name="connsiteX2331" fmla="*/ 1839380 w 12192000"/>
            <a:gd name="connsiteY2331" fmla="*/ 5448007 h 6858000"/>
            <a:gd name="connsiteX2332" fmla="*/ 1874199 w 12192000"/>
            <a:gd name="connsiteY2332" fmla="*/ 5413188 h 6858000"/>
            <a:gd name="connsiteX2333" fmla="*/ 1909018 w 12192000"/>
            <a:gd name="connsiteY2333" fmla="*/ 5448007 h 6858000"/>
            <a:gd name="connsiteX2334" fmla="*/ 1874199 w 12192000"/>
            <a:gd name="connsiteY2334" fmla="*/ 5482826 h 6858000"/>
            <a:gd name="connsiteX2335" fmla="*/ 1959091 w 12192000"/>
            <a:gd name="connsiteY2335" fmla="*/ 5482826 h 6858000"/>
            <a:gd name="connsiteX2336" fmla="*/ 1924272 w 12192000"/>
            <a:gd name="connsiteY2336" fmla="*/ 5448007 h 6858000"/>
            <a:gd name="connsiteX2337" fmla="*/ 1959091 w 12192000"/>
            <a:gd name="connsiteY2337" fmla="*/ 5413188 h 6858000"/>
            <a:gd name="connsiteX2338" fmla="*/ 1993910 w 12192000"/>
            <a:gd name="connsiteY2338" fmla="*/ 5448007 h 6858000"/>
            <a:gd name="connsiteX2339" fmla="*/ 1959091 w 12192000"/>
            <a:gd name="connsiteY2339" fmla="*/ 5482826 h 6858000"/>
            <a:gd name="connsiteX2340" fmla="*/ 2043983 w 12192000"/>
            <a:gd name="connsiteY2340" fmla="*/ 5482826 h 6858000"/>
            <a:gd name="connsiteX2341" fmla="*/ 2009164 w 12192000"/>
            <a:gd name="connsiteY2341" fmla="*/ 5448007 h 6858000"/>
            <a:gd name="connsiteX2342" fmla="*/ 2043983 w 12192000"/>
            <a:gd name="connsiteY2342" fmla="*/ 5413188 h 6858000"/>
            <a:gd name="connsiteX2343" fmla="*/ 2078802 w 12192000"/>
            <a:gd name="connsiteY2343" fmla="*/ 5448007 h 6858000"/>
            <a:gd name="connsiteX2344" fmla="*/ 2043983 w 12192000"/>
            <a:gd name="connsiteY2344" fmla="*/ 5482826 h 6858000"/>
            <a:gd name="connsiteX2345" fmla="*/ 2128876 w 12192000"/>
            <a:gd name="connsiteY2345" fmla="*/ 5482826 h 6858000"/>
            <a:gd name="connsiteX2346" fmla="*/ 2094057 w 12192000"/>
            <a:gd name="connsiteY2346" fmla="*/ 5448007 h 6858000"/>
            <a:gd name="connsiteX2347" fmla="*/ 2128876 w 12192000"/>
            <a:gd name="connsiteY2347" fmla="*/ 5413188 h 6858000"/>
            <a:gd name="connsiteX2348" fmla="*/ 2163694 w 12192000"/>
            <a:gd name="connsiteY2348" fmla="*/ 5448007 h 6858000"/>
            <a:gd name="connsiteX2349" fmla="*/ 2128876 w 12192000"/>
            <a:gd name="connsiteY2349" fmla="*/ 5482826 h 6858000"/>
            <a:gd name="connsiteX2350" fmla="*/ 2213769 w 12192000"/>
            <a:gd name="connsiteY2350" fmla="*/ 5482826 h 6858000"/>
            <a:gd name="connsiteX2351" fmla="*/ 2178950 w 12192000"/>
            <a:gd name="connsiteY2351" fmla="*/ 5448007 h 6858000"/>
            <a:gd name="connsiteX2352" fmla="*/ 2213769 w 12192000"/>
            <a:gd name="connsiteY2352" fmla="*/ 5413188 h 6858000"/>
            <a:gd name="connsiteX2353" fmla="*/ 2248588 w 12192000"/>
            <a:gd name="connsiteY2353" fmla="*/ 5448007 h 6858000"/>
            <a:gd name="connsiteX2354" fmla="*/ 2213769 w 12192000"/>
            <a:gd name="connsiteY2354" fmla="*/ 5482826 h 6858000"/>
            <a:gd name="connsiteX2355" fmla="*/ 2298661 w 12192000"/>
            <a:gd name="connsiteY2355" fmla="*/ 5482826 h 6858000"/>
            <a:gd name="connsiteX2356" fmla="*/ 2263842 w 12192000"/>
            <a:gd name="connsiteY2356" fmla="*/ 5448007 h 6858000"/>
            <a:gd name="connsiteX2357" fmla="*/ 2298661 w 12192000"/>
            <a:gd name="connsiteY2357" fmla="*/ 5413188 h 6858000"/>
            <a:gd name="connsiteX2358" fmla="*/ 2333480 w 12192000"/>
            <a:gd name="connsiteY2358" fmla="*/ 5448007 h 6858000"/>
            <a:gd name="connsiteX2359" fmla="*/ 2298661 w 12192000"/>
            <a:gd name="connsiteY2359" fmla="*/ 5482826 h 6858000"/>
            <a:gd name="connsiteX2360" fmla="*/ 2383553 w 12192000"/>
            <a:gd name="connsiteY2360" fmla="*/ 5482826 h 6858000"/>
            <a:gd name="connsiteX2361" fmla="*/ 2348734 w 12192000"/>
            <a:gd name="connsiteY2361" fmla="*/ 5448007 h 6858000"/>
            <a:gd name="connsiteX2362" fmla="*/ 2383553 w 12192000"/>
            <a:gd name="connsiteY2362" fmla="*/ 5413188 h 6858000"/>
            <a:gd name="connsiteX2363" fmla="*/ 2418372 w 12192000"/>
            <a:gd name="connsiteY2363" fmla="*/ 5448007 h 6858000"/>
            <a:gd name="connsiteX2364" fmla="*/ 2383553 w 12192000"/>
            <a:gd name="connsiteY2364" fmla="*/ 5482826 h 6858000"/>
            <a:gd name="connsiteX2365" fmla="*/ 2468446 w 12192000"/>
            <a:gd name="connsiteY2365" fmla="*/ 5482826 h 6858000"/>
            <a:gd name="connsiteX2366" fmla="*/ 2433627 w 12192000"/>
            <a:gd name="connsiteY2366" fmla="*/ 5448007 h 6858000"/>
            <a:gd name="connsiteX2367" fmla="*/ 2468446 w 12192000"/>
            <a:gd name="connsiteY2367" fmla="*/ 5413188 h 6858000"/>
            <a:gd name="connsiteX2368" fmla="*/ 2503264 w 12192000"/>
            <a:gd name="connsiteY2368" fmla="*/ 5448007 h 6858000"/>
            <a:gd name="connsiteX2369" fmla="*/ 2468446 w 12192000"/>
            <a:gd name="connsiteY2369" fmla="*/ 5482826 h 6858000"/>
            <a:gd name="connsiteX2370" fmla="*/ 2553339 w 12192000"/>
            <a:gd name="connsiteY2370" fmla="*/ 5482826 h 6858000"/>
            <a:gd name="connsiteX2371" fmla="*/ 2518520 w 12192000"/>
            <a:gd name="connsiteY2371" fmla="*/ 5448007 h 6858000"/>
            <a:gd name="connsiteX2372" fmla="*/ 2553339 w 12192000"/>
            <a:gd name="connsiteY2372" fmla="*/ 5413188 h 6858000"/>
            <a:gd name="connsiteX2373" fmla="*/ 2588158 w 12192000"/>
            <a:gd name="connsiteY2373" fmla="*/ 5448007 h 6858000"/>
            <a:gd name="connsiteX2374" fmla="*/ 2553339 w 12192000"/>
            <a:gd name="connsiteY2374" fmla="*/ 5482826 h 6858000"/>
            <a:gd name="connsiteX2375" fmla="*/ 2723123 w 12192000"/>
            <a:gd name="connsiteY2375" fmla="*/ 5482826 h 6858000"/>
            <a:gd name="connsiteX2376" fmla="*/ 2688304 w 12192000"/>
            <a:gd name="connsiteY2376" fmla="*/ 5448007 h 6858000"/>
            <a:gd name="connsiteX2377" fmla="*/ 2723123 w 12192000"/>
            <a:gd name="connsiteY2377" fmla="*/ 5413188 h 6858000"/>
            <a:gd name="connsiteX2378" fmla="*/ 2757942 w 12192000"/>
            <a:gd name="connsiteY2378" fmla="*/ 5448007 h 6858000"/>
            <a:gd name="connsiteX2379" fmla="*/ 2723123 w 12192000"/>
            <a:gd name="connsiteY2379" fmla="*/ 5482826 h 6858000"/>
            <a:gd name="connsiteX2380" fmla="*/ 2808016 w 12192000"/>
            <a:gd name="connsiteY2380" fmla="*/ 5482826 h 6858000"/>
            <a:gd name="connsiteX2381" fmla="*/ 2773197 w 12192000"/>
            <a:gd name="connsiteY2381" fmla="*/ 5448007 h 6858000"/>
            <a:gd name="connsiteX2382" fmla="*/ 2808016 w 12192000"/>
            <a:gd name="connsiteY2382" fmla="*/ 5413188 h 6858000"/>
            <a:gd name="connsiteX2383" fmla="*/ 2842834 w 12192000"/>
            <a:gd name="connsiteY2383" fmla="*/ 5448007 h 6858000"/>
            <a:gd name="connsiteX2384" fmla="*/ 2808016 w 12192000"/>
            <a:gd name="connsiteY2384" fmla="*/ 5482826 h 6858000"/>
            <a:gd name="connsiteX2385" fmla="*/ 2892908 w 12192000"/>
            <a:gd name="connsiteY2385" fmla="*/ 5482826 h 6858000"/>
            <a:gd name="connsiteX2386" fmla="*/ 2858089 w 12192000"/>
            <a:gd name="connsiteY2386" fmla="*/ 5448007 h 6858000"/>
            <a:gd name="connsiteX2387" fmla="*/ 2892908 w 12192000"/>
            <a:gd name="connsiteY2387" fmla="*/ 5413188 h 6858000"/>
            <a:gd name="connsiteX2388" fmla="*/ 2927727 w 12192000"/>
            <a:gd name="connsiteY2388" fmla="*/ 5448007 h 6858000"/>
            <a:gd name="connsiteX2389" fmla="*/ 2892908 w 12192000"/>
            <a:gd name="connsiteY2389" fmla="*/ 5482826 h 6858000"/>
            <a:gd name="connsiteX2390" fmla="*/ 3062693 w 12192000"/>
            <a:gd name="connsiteY2390" fmla="*/ 5482826 h 6858000"/>
            <a:gd name="connsiteX2391" fmla="*/ 3027874 w 12192000"/>
            <a:gd name="connsiteY2391" fmla="*/ 5448007 h 6858000"/>
            <a:gd name="connsiteX2392" fmla="*/ 3062693 w 12192000"/>
            <a:gd name="connsiteY2392" fmla="*/ 5413188 h 6858000"/>
            <a:gd name="connsiteX2393" fmla="*/ 3097512 w 12192000"/>
            <a:gd name="connsiteY2393" fmla="*/ 5448007 h 6858000"/>
            <a:gd name="connsiteX2394" fmla="*/ 3062693 w 12192000"/>
            <a:gd name="connsiteY2394" fmla="*/ 5482826 h 6858000"/>
            <a:gd name="connsiteX2395" fmla="*/ 3147586 w 12192000"/>
            <a:gd name="connsiteY2395" fmla="*/ 5482826 h 6858000"/>
            <a:gd name="connsiteX2396" fmla="*/ 3112767 w 12192000"/>
            <a:gd name="connsiteY2396" fmla="*/ 5448007 h 6858000"/>
            <a:gd name="connsiteX2397" fmla="*/ 3147586 w 12192000"/>
            <a:gd name="connsiteY2397" fmla="*/ 5413188 h 6858000"/>
            <a:gd name="connsiteX2398" fmla="*/ 3182404 w 12192000"/>
            <a:gd name="connsiteY2398" fmla="*/ 5448007 h 6858000"/>
            <a:gd name="connsiteX2399" fmla="*/ 3147586 w 12192000"/>
            <a:gd name="connsiteY2399" fmla="*/ 5482826 h 6858000"/>
            <a:gd name="connsiteX2400" fmla="*/ 3402263 w 12192000"/>
            <a:gd name="connsiteY2400" fmla="*/ 5482826 h 6858000"/>
            <a:gd name="connsiteX2401" fmla="*/ 3367444 w 12192000"/>
            <a:gd name="connsiteY2401" fmla="*/ 5448007 h 6858000"/>
            <a:gd name="connsiteX2402" fmla="*/ 3402263 w 12192000"/>
            <a:gd name="connsiteY2402" fmla="*/ 5413188 h 6858000"/>
            <a:gd name="connsiteX2403" fmla="*/ 3437082 w 12192000"/>
            <a:gd name="connsiteY2403" fmla="*/ 5448007 h 6858000"/>
            <a:gd name="connsiteX2404" fmla="*/ 3402263 w 12192000"/>
            <a:gd name="connsiteY2404" fmla="*/ 5482826 h 6858000"/>
            <a:gd name="connsiteX2405" fmla="*/ 3826726 w 12192000"/>
            <a:gd name="connsiteY2405" fmla="*/ 5482826 h 6858000"/>
            <a:gd name="connsiteX2406" fmla="*/ 3791907 w 12192000"/>
            <a:gd name="connsiteY2406" fmla="*/ 5448007 h 6858000"/>
            <a:gd name="connsiteX2407" fmla="*/ 3826726 w 12192000"/>
            <a:gd name="connsiteY2407" fmla="*/ 5413188 h 6858000"/>
            <a:gd name="connsiteX2408" fmla="*/ 3861544 w 12192000"/>
            <a:gd name="connsiteY2408" fmla="*/ 5448007 h 6858000"/>
            <a:gd name="connsiteX2409" fmla="*/ 3826726 w 12192000"/>
            <a:gd name="connsiteY2409" fmla="*/ 5482826 h 6858000"/>
            <a:gd name="connsiteX2410" fmla="*/ 3996511 w 12192000"/>
            <a:gd name="connsiteY2410" fmla="*/ 5482826 h 6858000"/>
            <a:gd name="connsiteX2411" fmla="*/ 3961692 w 12192000"/>
            <a:gd name="connsiteY2411" fmla="*/ 5448007 h 6858000"/>
            <a:gd name="connsiteX2412" fmla="*/ 3996511 w 12192000"/>
            <a:gd name="connsiteY2412" fmla="*/ 5413188 h 6858000"/>
            <a:gd name="connsiteX2413" fmla="*/ 4031330 w 12192000"/>
            <a:gd name="connsiteY2413" fmla="*/ 5448007 h 6858000"/>
            <a:gd name="connsiteX2414" fmla="*/ 3996511 w 12192000"/>
            <a:gd name="connsiteY2414" fmla="*/ 5482826 h 6858000"/>
            <a:gd name="connsiteX2415" fmla="*/ 4081403 w 12192000"/>
            <a:gd name="connsiteY2415" fmla="*/ 5482826 h 6858000"/>
            <a:gd name="connsiteX2416" fmla="*/ 4046584 w 12192000"/>
            <a:gd name="connsiteY2416" fmla="*/ 5448007 h 6858000"/>
            <a:gd name="connsiteX2417" fmla="*/ 4081403 w 12192000"/>
            <a:gd name="connsiteY2417" fmla="*/ 5413188 h 6858000"/>
            <a:gd name="connsiteX2418" fmla="*/ 4116222 w 12192000"/>
            <a:gd name="connsiteY2418" fmla="*/ 5448007 h 6858000"/>
            <a:gd name="connsiteX2419" fmla="*/ 4081403 w 12192000"/>
            <a:gd name="connsiteY2419" fmla="*/ 5482826 h 6858000"/>
            <a:gd name="connsiteX2420" fmla="*/ 4590758 w 12192000"/>
            <a:gd name="connsiteY2420" fmla="*/ 5482826 h 6858000"/>
            <a:gd name="connsiteX2421" fmla="*/ 4555939 w 12192000"/>
            <a:gd name="connsiteY2421" fmla="*/ 5448007 h 6858000"/>
            <a:gd name="connsiteX2422" fmla="*/ 4590758 w 12192000"/>
            <a:gd name="connsiteY2422" fmla="*/ 5413188 h 6858000"/>
            <a:gd name="connsiteX2423" fmla="*/ 4625577 w 12192000"/>
            <a:gd name="connsiteY2423" fmla="*/ 5448007 h 6858000"/>
            <a:gd name="connsiteX2424" fmla="*/ 4590758 w 12192000"/>
            <a:gd name="connsiteY2424" fmla="*/ 5482826 h 6858000"/>
            <a:gd name="connsiteX2425" fmla="*/ 4675650 w 12192000"/>
            <a:gd name="connsiteY2425" fmla="*/ 5482826 h 6858000"/>
            <a:gd name="connsiteX2426" fmla="*/ 4640831 w 12192000"/>
            <a:gd name="connsiteY2426" fmla="*/ 5448007 h 6858000"/>
            <a:gd name="connsiteX2427" fmla="*/ 4675650 w 12192000"/>
            <a:gd name="connsiteY2427" fmla="*/ 5413188 h 6858000"/>
            <a:gd name="connsiteX2428" fmla="*/ 4710469 w 12192000"/>
            <a:gd name="connsiteY2428" fmla="*/ 5448007 h 6858000"/>
            <a:gd name="connsiteX2429" fmla="*/ 4675650 w 12192000"/>
            <a:gd name="connsiteY2429" fmla="*/ 5482826 h 6858000"/>
            <a:gd name="connsiteX2430" fmla="*/ 4760543 w 12192000"/>
            <a:gd name="connsiteY2430" fmla="*/ 5482826 h 6858000"/>
            <a:gd name="connsiteX2431" fmla="*/ 4725724 w 12192000"/>
            <a:gd name="connsiteY2431" fmla="*/ 5448007 h 6858000"/>
            <a:gd name="connsiteX2432" fmla="*/ 4760543 w 12192000"/>
            <a:gd name="connsiteY2432" fmla="*/ 5413188 h 6858000"/>
            <a:gd name="connsiteX2433" fmla="*/ 4795362 w 12192000"/>
            <a:gd name="connsiteY2433" fmla="*/ 5448007 h 6858000"/>
            <a:gd name="connsiteX2434" fmla="*/ 4760543 w 12192000"/>
            <a:gd name="connsiteY2434" fmla="*/ 5482826 h 6858000"/>
            <a:gd name="connsiteX2435" fmla="*/ 4845436 w 12192000"/>
            <a:gd name="connsiteY2435" fmla="*/ 5482826 h 6858000"/>
            <a:gd name="connsiteX2436" fmla="*/ 4810617 w 12192000"/>
            <a:gd name="connsiteY2436" fmla="*/ 5448007 h 6858000"/>
            <a:gd name="connsiteX2437" fmla="*/ 4845436 w 12192000"/>
            <a:gd name="connsiteY2437" fmla="*/ 5413188 h 6858000"/>
            <a:gd name="connsiteX2438" fmla="*/ 4880254 w 12192000"/>
            <a:gd name="connsiteY2438" fmla="*/ 5448007 h 6858000"/>
            <a:gd name="connsiteX2439" fmla="*/ 4845436 w 12192000"/>
            <a:gd name="connsiteY2439" fmla="*/ 5482826 h 6858000"/>
            <a:gd name="connsiteX2440" fmla="*/ 4930328 w 12192000"/>
            <a:gd name="connsiteY2440" fmla="*/ 5482826 h 6858000"/>
            <a:gd name="connsiteX2441" fmla="*/ 4895509 w 12192000"/>
            <a:gd name="connsiteY2441" fmla="*/ 5448007 h 6858000"/>
            <a:gd name="connsiteX2442" fmla="*/ 4930328 w 12192000"/>
            <a:gd name="connsiteY2442" fmla="*/ 5413188 h 6858000"/>
            <a:gd name="connsiteX2443" fmla="*/ 4965147 w 12192000"/>
            <a:gd name="connsiteY2443" fmla="*/ 5448007 h 6858000"/>
            <a:gd name="connsiteX2444" fmla="*/ 4930328 w 12192000"/>
            <a:gd name="connsiteY2444" fmla="*/ 5482826 h 6858000"/>
            <a:gd name="connsiteX2445" fmla="*/ 5015220 w 12192000"/>
            <a:gd name="connsiteY2445" fmla="*/ 5482826 h 6858000"/>
            <a:gd name="connsiteX2446" fmla="*/ 4980401 w 12192000"/>
            <a:gd name="connsiteY2446" fmla="*/ 5448007 h 6858000"/>
            <a:gd name="connsiteX2447" fmla="*/ 5015220 w 12192000"/>
            <a:gd name="connsiteY2447" fmla="*/ 5413188 h 6858000"/>
            <a:gd name="connsiteX2448" fmla="*/ 5050039 w 12192000"/>
            <a:gd name="connsiteY2448" fmla="*/ 5448007 h 6858000"/>
            <a:gd name="connsiteX2449" fmla="*/ 5015220 w 12192000"/>
            <a:gd name="connsiteY2449" fmla="*/ 5482826 h 6858000"/>
            <a:gd name="connsiteX2450" fmla="*/ 5100113 w 12192000"/>
            <a:gd name="connsiteY2450" fmla="*/ 5482826 h 6858000"/>
            <a:gd name="connsiteX2451" fmla="*/ 5065294 w 12192000"/>
            <a:gd name="connsiteY2451" fmla="*/ 5448007 h 6858000"/>
            <a:gd name="connsiteX2452" fmla="*/ 5100113 w 12192000"/>
            <a:gd name="connsiteY2452" fmla="*/ 5413188 h 6858000"/>
            <a:gd name="connsiteX2453" fmla="*/ 5134932 w 12192000"/>
            <a:gd name="connsiteY2453" fmla="*/ 5448007 h 6858000"/>
            <a:gd name="connsiteX2454" fmla="*/ 5100113 w 12192000"/>
            <a:gd name="connsiteY2454" fmla="*/ 5482826 h 6858000"/>
            <a:gd name="connsiteX2455" fmla="*/ 5185006 w 12192000"/>
            <a:gd name="connsiteY2455" fmla="*/ 5482826 h 6858000"/>
            <a:gd name="connsiteX2456" fmla="*/ 5150187 w 12192000"/>
            <a:gd name="connsiteY2456" fmla="*/ 5448007 h 6858000"/>
            <a:gd name="connsiteX2457" fmla="*/ 5185006 w 12192000"/>
            <a:gd name="connsiteY2457" fmla="*/ 5413188 h 6858000"/>
            <a:gd name="connsiteX2458" fmla="*/ 5219824 w 12192000"/>
            <a:gd name="connsiteY2458" fmla="*/ 5448007 h 6858000"/>
            <a:gd name="connsiteX2459" fmla="*/ 5185006 w 12192000"/>
            <a:gd name="connsiteY2459" fmla="*/ 5482826 h 6858000"/>
            <a:gd name="connsiteX2460" fmla="*/ 7137536 w 12192000"/>
            <a:gd name="connsiteY2460" fmla="*/ 5482826 h 6858000"/>
            <a:gd name="connsiteX2461" fmla="*/ 7102710 w 12192000"/>
            <a:gd name="connsiteY2461" fmla="*/ 5448007 h 6858000"/>
            <a:gd name="connsiteX2462" fmla="*/ 7137536 w 12192000"/>
            <a:gd name="connsiteY2462" fmla="*/ 5413188 h 6858000"/>
            <a:gd name="connsiteX2463" fmla="*/ 7172348 w 12192000"/>
            <a:gd name="connsiteY2463" fmla="*/ 5448007 h 6858000"/>
            <a:gd name="connsiteX2464" fmla="*/ 7137536 w 12192000"/>
            <a:gd name="connsiteY2464" fmla="*/ 5482826 h 6858000"/>
            <a:gd name="connsiteX2465" fmla="*/ 7477106 w 12192000"/>
            <a:gd name="connsiteY2465" fmla="*/ 5482826 h 6858000"/>
            <a:gd name="connsiteX2466" fmla="*/ 7442280 w 12192000"/>
            <a:gd name="connsiteY2466" fmla="*/ 5448007 h 6858000"/>
            <a:gd name="connsiteX2467" fmla="*/ 7477106 w 12192000"/>
            <a:gd name="connsiteY2467" fmla="*/ 5413188 h 6858000"/>
            <a:gd name="connsiteX2468" fmla="*/ 7511918 w 12192000"/>
            <a:gd name="connsiteY2468" fmla="*/ 5448007 h 6858000"/>
            <a:gd name="connsiteX2469" fmla="*/ 7477106 w 12192000"/>
            <a:gd name="connsiteY2469" fmla="*/ 5482826 h 6858000"/>
            <a:gd name="connsiteX2470" fmla="*/ 7561998 w 12192000"/>
            <a:gd name="connsiteY2470" fmla="*/ 5482826 h 6858000"/>
            <a:gd name="connsiteX2471" fmla="*/ 7527173 w 12192000"/>
            <a:gd name="connsiteY2471" fmla="*/ 5448007 h 6858000"/>
            <a:gd name="connsiteX2472" fmla="*/ 7561998 w 12192000"/>
            <a:gd name="connsiteY2472" fmla="*/ 5413188 h 6858000"/>
            <a:gd name="connsiteX2473" fmla="*/ 7596810 w 12192000"/>
            <a:gd name="connsiteY2473" fmla="*/ 5448007 h 6858000"/>
            <a:gd name="connsiteX2474" fmla="*/ 7561998 w 12192000"/>
            <a:gd name="connsiteY2474" fmla="*/ 5482826 h 6858000"/>
            <a:gd name="connsiteX2475" fmla="*/ 7731784 w 12192000"/>
            <a:gd name="connsiteY2475" fmla="*/ 5482826 h 6858000"/>
            <a:gd name="connsiteX2476" fmla="*/ 7696958 w 12192000"/>
            <a:gd name="connsiteY2476" fmla="*/ 5448007 h 6858000"/>
            <a:gd name="connsiteX2477" fmla="*/ 7731784 w 12192000"/>
            <a:gd name="connsiteY2477" fmla="*/ 5413188 h 6858000"/>
            <a:gd name="connsiteX2478" fmla="*/ 7766596 w 12192000"/>
            <a:gd name="connsiteY2478" fmla="*/ 5448007 h 6858000"/>
            <a:gd name="connsiteX2479" fmla="*/ 7731784 w 12192000"/>
            <a:gd name="connsiteY2479" fmla="*/ 5482826 h 6858000"/>
            <a:gd name="connsiteX2480" fmla="*/ 7816676 w 12192000"/>
            <a:gd name="connsiteY2480" fmla="*/ 5482826 h 6858000"/>
            <a:gd name="connsiteX2481" fmla="*/ 7781850 w 12192000"/>
            <a:gd name="connsiteY2481" fmla="*/ 5448007 h 6858000"/>
            <a:gd name="connsiteX2482" fmla="*/ 7816676 w 12192000"/>
            <a:gd name="connsiteY2482" fmla="*/ 5413188 h 6858000"/>
            <a:gd name="connsiteX2483" fmla="*/ 7851488 w 12192000"/>
            <a:gd name="connsiteY2483" fmla="*/ 5448007 h 6858000"/>
            <a:gd name="connsiteX2484" fmla="*/ 7816676 w 12192000"/>
            <a:gd name="connsiteY2484" fmla="*/ 5482826 h 6858000"/>
            <a:gd name="connsiteX2485" fmla="*/ 7986460 w 12192000"/>
            <a:gd name="connsiteY2485" fmla="*/ 5482826 h 6858000"/>
            <a:gd name="connsiteX2486" fmla="*/ 7951635 w 12192000"/>
            <a:gd name="connsiteY2486" fmla="*/ 5448007 h 6858000"/>
            <a:gd name="connsiteX2487" fmla="*/ 7986460 w 12192000"/>
            <a:gd name="connsiteY2487" fmla="*/ 5413188 h 6858000"/>
            <a:gd name="connsiteX2488" fmla="*/ 8021273 w 12192000"/>
            <a:gd name="connsiteY2488" fmla="*/ 5448007 h 6858000"/>
            <a:gd name="connsiteX2489" fmla="*/ 7986460 w 12192000"/>
            <a:gd name="connsiteY2489" fmla="*/ 5482826 h 6858000"/>
            <a:gd name="connsiteX2490" fmla="*/ 8071353 w 12192000"/>
            <a:gd name="connsiteY2490" fmla="*/ 5482826 h 6858000"/>
            <a:gd name="connsiteX2491" fmla="*/ 8036527 w 12192000"/>
            <a:gd name="connsiteY2491" fmla="*/ 5448007 h 6858000"/>
            <a:gd name="connsiteX2492" fmla="*/ 8071353 w 12192000"/>
            <a:gd name="connsiteY2492" fmla="*/ 5413188 h 6858000"/>
            <a:gd name="connsiteX2493" fmla="*/ 8106165 w 12192000"/>
            <a:gd name="connsiteY2493" fmla="*/ 5448007 h 6858000"/>
            <a:gd name="connsiteX2494" fmla="*/ 8071353 w 12192000"/>
            <a:gd name="connsiteY2494" fmla="*/ 5482826 h 6858000"/>
            <a:gd name="connsiteX2495" fmla="*/ 8156246 w 12192000"/>
            <a:gd name="connsiteY2495" fmla="*/ 5482826 h 6858000"/>
            <a:gd name="connsiteX2496" fmla="*/ 8121420 w 12192000"/>
            <a:gd name="connsiteY2496" fmla="*/ 5448007 h 6858000"/>
            <a:gd name="connsiteX2497" fmla="*/ 8156246 w 12192000"/>
            <a:gd name="connsiteY2497" fmla="*/ 5413188 h 6858000"/>
            <a:gd name="connsiteX2498" fmla="*/ 8191058 w 12192000"/>
            <a:gd name="connsiteY2498" fmla="*/ 5448007 h 6858000"/>
            <a:gd name="connsiteX2499" fmla="*/ 8156246 w 12192000"/>
            <a:gd name="connsiteY2499" fmla="*/ 5482826 h 6858000"/>
            <a:gd name="connsiteX2500" fmla="*/ 8241138 w 12192000"/>
            <a:gd name="connsiteY2500" fmla="*/ 5482826 h 6858000"/>
            <a:gd name="connsiteX2501" fmla="*/ 8206313 w 12192000"/>
            <a:gd name="connsiteY2501" fmla="*/ 5448007 h 6858000"/>
            <a:gd name="connsiteX2502" fmla="*/ 8241138 w 12192000"/>
            <a:gd name="connsiteY2502" fmla="*/ 5413188 h 6858000"/>
            <a:gd name="connsiteX2503" fmla="*/ 8275950 w 12192000"/>
            <a:gd name="connsiteY2503" fmla="*/ 5448007 h 6858000"/>
            <a:gd name="connsiteX2504" fmla="*/ 8241138 w 12192000"/>
            <a:gd name="connsiteY2504" fmla="*/ 5482826 h 6858000"/>
            <a:gd name="connsiteX2505" fmla="*/ 8326030 w 12192000"/>
            <a:gd name="connsiteY2505" fmla="*/ 5482826 h 6858000"/>
            <a:gd name="connsiteX2506" fmla="*/ 8291205 w 12192000"/>
            <a:gd name="connsiteY2506" fmla="*/ 5448007 h 6858000"/>
            <a:gd name="connsiteX2507" fmla="*/ 8326030 w 12192000"/>
            <a:gd name="connsiteY2507" fmla="*/ 5413188 h 6858000"/>
            <a:gd name="connsiteX2508" fmla="*/ 8360843 w 12192000"/>
            <a:gd name="connsiteY2508" fmla="*/ 5448007 h 6858000"/>
            <a:gd name="connsiteX2509" fmla="*/ 8326030 w 12192000"/>
            <a:gd name="connsiteY2509" fmla="*/ 5482826 h 6858000"/>
            <a:gd name="connsiteX2510" fmla="*/ 8410923 w 12192000"/>
            <a:gd name="connsiteY2510" fmla="*/ 5482826 h 6858000"/>
            <a:gd name="connsiteX2511" fmla="*/ 8376097 w 12192000"/>
            <a:gd name="connsiteY2511" fmla="*/ 5448007 h 6858000"/>
            <a:gd name="connsiteX2512" fmla="*/ 8410923 w 12192000"/>
            <a:gd name="connsiteY2512" fmla="*/ 5413188 h 6858000"/>
            <a:gd name="connsiteX2513" fmla="*/ 8445735 w 12192000"/>
            <a:gd name="connsiteY2513" fmla="*/ 5448007 h 6858000"/>
            <a:gd name="connsiteX2514" fmla="*/ 8410923 w 12192000"/>
            <a:gd name="connsiteY2514" fmla="*/ 5482826 h 6858000"/>
            <a:gd name="connsiteX2515" fmla="*/ 8495816 w 12192000"/>
            <a:gd name="connsiteY2515" fmla="*/ 5482826 h 6858000"/>
            <a:gd name="connsiteX2516" fmla="*/ 8460990 w 12192000"/>
            <a:gd name="connsiteY2516" fmla="*/ 5448007 h 6858000"/>
            <a:gd name="connsiteX2517" fmla="*/ 8495816 w 12192000"/>
            <a:gd name="connsiteY2517" fmla="*/ 5413188 h 6858000"/>
            <a:gd name="connsiteX2518" fmla="*/ 8530628 w 12192000"/>
            <a:gd name="connsiteY2518" fmla="*/ 5448007 h 6858000"/>
            <a:gd name="connsiteX2519" fmla="*/ 8495816 w 12192000"/>
            <a:gd name="connsiteY2519" fmla="*/ 5482826 h 6858000"/>
            <a:gd name="connsiteX2520" fmla="*/ 8580708 w 12192000"/>
            <a:gd name="connsiteY2520" fmla="*/ 5482826 h 6858000"/>
            <a:gd name="connsiteX2521" fmla="*/ 8545883 w 12192000"/>
            <a:gd name="connsiteY2521" fmla="*/ 5448007 h 6858000"/>
            <a:gd name="connsiteX2522" fmla="*/ 8580708 w 12192000"/>
            <a:gd name="connsiteY2522" fmla="*/ 5413188 h 6858000"/>
            <a:gd name="connsiteX2523" fmla="*/ 8615520 w 12192000"/>
            <a:gd name="connsiteY2523" fmla="*/ 5448007 h 6858000"/>
            <a:gd name="connsiteX2524" fmla="*/ 8580708 w 12192000"/>
            <a:gd name="connsiteY2524" fmla="*/ 5482826 h 6858000"/>
            <a:gd name="connsiteX2525" fmla="*/ 8665600 w 12192000"/>
            <a:gd name="connsiteY2525" fmla="*/ 5482826 h 6858000"/>
            <a:gd name="connsiteX2526" fmla="*/ 8630775 w 12192000"/>
            <a:gd name="connsiteY2526" fmla="*/ 5448007 h 6858000"/>
            <a:gd name="connsiteX2527" fmla="*/ 8665600 w 12192000"/>
            <a:gd name="connsiteY2527" fmla="*/ 5413188 h 6858000"/>
            <a:gd name="connsiteX2528" fmla="*/ 8700413 w 12192000"/>
            <a:gd name="connsiteY2528" fmla="*/ 5448007 h 6858000"/>
            <a:gd name="connsiteX2529" fmla="*/ 8665600 w 12192000"/>
            <a:gd name="connsiteY2529" fmla="*/ 5482826 h 6858000"/>
            <a:gd name="connsiteX2530" fmla="*/ 8750493 w 12192000"/>
            <a:gd name="connsiteY2530" fmla="*/ 5482826 h 6858000"/>
            <a:gd name="connsiteX2531" fmla="*/ 8715667 w 12192000"/>
            <a:gd name="connsiteY2531" fmla="*/ 5448007 h 6858000"/>
            <a:gd name="connsiteX2532" fmla="*/ 8750493 w 12192000"/>
            <a:gd name="connsiteY2532" fmla="*/ 5413188 h 6858000"/>
            <a:gd name="connsiteX2533" fmla="*/ 8785305 w 12192000"/>
            <a:gd name="connsiteY2533" fmla="*/ 5448007 h 6858000"/>
            <a:gd name="connsiteX2534" fmla="*/ 8750493 w 12192000"/>
            <a:gd name="connsiteY2534" fmla="*/ 5482826 h 6858000"/>
            <a:gd name="connsiteX2535" fmla="*/ 8835386 w 12192000"/>
            <a:gd name="connsiteY2535" fmla="*/ 5482826 h 6858000"/>
            <a:gd name="connsiteX2536" fmla="*/ 8800560 w 12192000"/>
            <a:gd name="connsiteY2536" fmla="*/ 5448007 h 6858000"/>
            <a:gd name="connsiteX2537" fmla="*/ 8835386 w 12192000"/>
            <a:gd name="connsiteY2537" fmla="*/ 5413188 h 6858000"/>
            <a:gd name="connsiteX2538" fmla="*/ 8870198 w 12192000"/>
            <a:gd name="connsiteY2538" fmla="*/ 5448007 h 6858000"/>
            <a:gd name="connsiteX2539" fmla="*/ 8835386 w 12192000"/>
            <a:gd name="connsiteY2539" fmla="*/ 5482826 h 6858000"/>
            <a:gd name="connsiteX2540" fmla="*/ 8920278 w 12192000"/>
            <a:gd name="connsiteY2540" fmla="*/ 5482826 h 6858000"/>
            <a:gd name="connsiteX2541" fmla="*/ 8885453 w 12192000"/>
            <a:gd name="connsiteY2541" fmla="*/ 5448007 h 6858000"/>
            <a:gd name="connsiteX2542" fmla="*/ 8920278 w 12192000"/>
            <a:gd name="connsiteY2542" fmla="*/ 5413188 h 6858000"/>
            <a:gd name="connsiteX2543" fmla="*/ 8955090 w 12192000"/>
            <a:gd name="connsiteY2543" fmla="*/ 5448007 h 6858000"/>
            <a:gd name="connsiteX2544" fmla="*/ 8920278 w 12192000"/>
            <a:gd name="connsiteY2544" fmla="*/ 5482826 h 6858000"/>
            <a:gd name="connsiteX2545" fmla="*/ 9005170 w 12192000"/>
            <a:gd name="connsiteY2545" fmla="*/ 5482826 h 6858000"/>
            <a:gd name="connsiteX2546" fmla="*/ 8970345 w 12192000"/>
            <a:gd name="connsiteY2546" fmla="*/ 5448007 h 6858000"/>
            <a:gd name="connsiteX2547" fmla="*/ 9005170 w 12192000"/>
            <a:gd name="connsiteY2547" fmla="*/ 5413188 h 6858000"/>
            <a:gd name="connsiteX2548" fmla="*/ 9039983 w 12192000"/>
            <a:gd name="connsiteY2548" fmla="*/ 5448007 h 6858000"/>
            <a:gd name="connsiteX2549" fmla="*/ 9005170 w 12192000"/>
            <a:gd name="connsiteY2549" fmla="*/ 5482826 h 6858000"/>
            <a:gd name="connsiteX2550" fmla="*/ 9090063 w 12192000"/>
            <a:gd name="connsiteY2550" fmla="*/ 5482826 h 6858000"/>
            <a:gd name="connsiteX2551" fmla="*/ 9055237 w 12192000"/>
            <a:gd name="connsiteY2551" fmla="*/ 5448007 h 6858000"/>
            <a:gd name="connsiteX2552" fmla="*/ 9090063 w 12192000"/>
            <a:gd name="connsiteY2552" fmla="*/ 5413188 h 6858000"/>
            <a:gd name="connsiteX2553" fmla="*/ 9124875 w 12192000"/>
            <a:gd name="connsiteY2553" fmla="*/ 5448007 h 6858000"/>
            <a:gd name="connsiteX2554" fmla="*/ 9090063 w 12192000"/>
            <a:gd name="connsiteY2554" fmla="*/ 5482826 h 6858000"/>
            <a:gd name="connsiteX2555" fmla="*/ 9174956 w 12192000"/>
            <a:gd name="connsiteY2555" fmla="*/ 5482826 h 6858000"/>
            <a:gd name="connsiteX2556" fmla="*/ 9140130 w 12192000"/>
            <a:gd name="connsiteY2556" fmla="*/ 5448007 h 6858000"/>
            <a:gd name="connsiteX2557" fmla="*/ 9174956 w 12192000"/>
            <a:gd name="connsiteY2557" fmla="*/ 5413188 h 6858000"/>
            <a:gd name="connsiteX2558" fmla="*/ 9209768 w 12192000"/>
            <a:gd name="connsiteY2558" fmla="*/ 5448007 h 6858000"/>
            <a:gd name="connsiteX2559" fmla="*/ 9174956 w 12192000"/>
            <a:gd name="connsiteY2559" fmla="*/ 5482826 h 6858000"/>
            <a:gd name="connsiteX2560" fmla="*/ 9259848 w 12192000"/>
            <a:gd name="connsiteY2560" fmla="*/ 5482826 h 6858000"/>
            <a:gd name="connsiteX2561" fmla="*/ 9225023 w 12192000"/>
            <a:gd name="connsiteY2561" fmla="*/ 5448007 h 6858000"/>
            <a:gd name="connsiteX2562" fmla="*/ 9259848 w 12192000"/>
            <a:gd name="connsiteY2562" fmla="*/ 5413188 h 6858000"/>
            <a:gd name="connsiteX2563" fmla="*/ 9294660 w 12192000"/>
            <a:gd name="connsiteY2563" fmla="*/ 5448007 h 6858000"/>
            <a:gd name="connsiteX2564" fmla="*/ 9259848 w 12192000"/>
            <a:gd name="connsiteY2564" fmla="*/ 5482826 h 6858000"/>
            <a:gd name="connsiteX2565" fmla="*/ 9344740 w 12192000"/>
            <a:gd name="connsiteY2565" fmla="*/ 5482826 h 6858000"/>
            <a:gd name="connsiteX2566" fmla="*/ 9309915 w 12192000"/>
            <a:gd name="connsiteY2566" fmla="*/ 5448007 h 6858000"/>
            <a:gd name="connsiteX2567" fmla="*/ 9344740 w 12192000"/>
            <a:gd name="connsiteY2567" fmla="*/ 5413188 h 6858000"/>
            <a:gd name="connsiteX2568" fmla="*/ 9379553 w 12192000"/>
            <a:gd name="connsiteY2568" fmla="*/ 5448007 h 6858000"/>
            <a:gd name="connsiteX2569" fmla="*/ 9344740 w 12192000"/>
            <a:gd name="connsiteY2569" fmla="*/ 5482826 h 6858000"/>
            <a:gd name="connsiteX2570" fmla="*/ 9429633 w 12192000"/>
            <a:gd name="connsiteY2570" fmla="*/ 5482826 h 6858000"/>
            <a:gd name="connsiteX2571" fmla="*/ 9394807 w 12192000"/>
            <a:gd name="connsiteY2571" fmla="*/ 5448007 h 6858000"/>
            <a:gd name="connsiteX2572" fmla="*/ 9429633 w 12192000"/>
            <a:gd name="connsiteY2572" fmla="*/ 5413188 h 6858000"/>
            <a:gd name="connsiteX2573" fmla="*/ 9464445 w 12192000"/>
            <a:gd name="connsiteY2573" fmla="*/ 5448007 h 6858000"/>
            <a:gd name="connsiteX2574" fmla="*/ 9429633 w 12192000"/>
            <a:gd name="connsiteY2574" fmla="*/ 5482826 h 6858000"/>
            <a:gd name="connsiteX2575" fmla="*/ 9514525 w 12192000"/>
            <a:gd name="connsiteY2575" fmla="*/ 5482826 h 6858000"/>
            <a:gd name="connsiteX2576" fmla="*/ 9479699 w 12192000"/>
            <a:gd name="connsiteY2576" fmla="*/ 5448007 h 6858000"/>
            <a:gd name="connsiteX2577" fmla="*/ 9514525 w 12192000"/>
            <a:gd name="connsiteY2577" fmla="*/ 5413188 h 6858000"/>
            <a:gd name="connsiteX2578" fmla="*/ 9549337 w 12192000"/>
            <a:gd name="connsiteY2578" fmla="*/ 5448007 h 6858000"/>
            <a:gd name="connsiteX2579" fmla="*/ 9514525 w 12192000"/>
            <a:gd name="connsiteY2579" fmla="*/ 5482826 h 6858000"/>
            <a:gd name="connsiteX2580" fmla="*/ 9599418 w 12192000"/>
            <a:gd name="connsiteY2580" fmla="*/ 5482826 h 6858000"/>
            <a:gd name="connsiteX2581" fmla="*/ 9564593 w 12192000"/>
            <a:gd name="connsiteY2581" fmla="*/ 5448007 h 6858000"/>
            <a:gd name="connsiteX2582" fmla="*/ 9599418 w 12192000"/>
            <a:gd name="connsiteY2582" fmla="*/ 5413188 h 6858000"/>
            <a:gd name="connsiteX2583" fmla="*/ 9634230 w 12192000"/>
            <a:gd name="connsiteY2583" fmla="*/ 5448007 h 6858000"/>
            <a:gd name="connsiteX2584" fmla="*/ 9599418 w 12192000"/>
            <a:gd name="connsiteY2584" fmla="*/ 5482826 h 6858000"/>
            <a:gd name="connsiteX2585" fmla="*/ 9684310 w 12192000"/>
            <a:gd name="connsiteY2585" fmla="*/ 5482826 h 6858000"/>
            <a:gd name="connsiteX2586" fmla="*/ 9649485 w 12192000"/>
            <a:gd name="connsiteY2586" fmla="*/ 5448007 h 6858000"/>
            <a:gd name="connsiteX2587" fmla="*/ 9684310 w 12192000"/>
            <a:gd name="connsiteY2587" fmla="*/ 5413188 h 6858000"/>
            <a:gd name="connsiteX2588" fmla="*/ 9719123 w 12192000"/>
            <a:gd name="connsiteY2588" fmla="*/ 5448007 h 6858000"/>
            <a:gd name="connsiteX2589" fmla="*/ 9684310 w 12192000"/>
            <a:gd name="connsiteY2589" fmla="*/ 5482826 h 6858000"/>
            <a:gd name="connsiteX2590" fmla="*/ 9769203 w 12192000"/>
            <a:gd name="connsiteY2590" fmla="*/ 5482826 h 6858000"/>
            <a:gd name="connsiteX2591" fmla="*/ 9734377 w 12192000"/>
            <a:gd name="connsiteY2591" fmla="*/ 5448007 h 6858000"/>
            <a:gd name="connsiteX2592" fmla="*/ 9769203 w 12192000"/>
            <a:gd name="connsiteY2592" fmla="*/ 5413188 h 6858000"/>
            <a:gd name="connsiteX2593" fmla="*/ 9804015 w 12192000"/>
            <a:gd name="connsiteY2593" fmla="*/ 5448007 h 6858000"/>
            <a:gd name="connsiteX2594" fmla="*/ 9769203 w 12192000"/>
            <a:gd name="connsiteY2594" fmla="*/ 5482826 h 6858000"/>
            <a:gd name="connsiteX2595" fmla="*/ 9854095 w 12192000"/>
            <a:gd name="connsiteY2595" fmla="*/ 5482826 h 6858000"/>
            <a:gd name="connsiteX2596" fmla="*/ 9819269 w 12192000"/>
            <a:gd name="connsiteY2596" fmla="*/ 5448007 h 6858000"/>
            <a:gd name="connsiteX2597" fmla="*/ 9854095 w 12192000"/>
            <a:gd name="connsiteY2597" fmla="*/ 5413188 h 6858000"/>
            <a:gd name="connsiteX2598" fmla="*/ 9888907 w 12192000"/>
            <a:gd name="connsiteY2598" fmla="*/ 5448007 h 6858000"/>
            <a:gd name="connsiteX2599" fmla="*/ 9854095 w 12192000"/>
            <a:gd name="connsiteY2599" fmla="*/ 5482826 h 6858000"/>
            <a:gd name="connsiteX2600" fmla="*/ 9938988 w 12192000"/>
            <a:gd name="connsiteY2600" fmla="*/ 5482826 h 6858000"/>
            <a:gd name="connsiteX2601" fmla="*/ 9904163 w 12192000"/>
            <a:gd name="connsiteY2601" fmla="*/ 5448007 h 6858000"/>
            <a:gd name="connsiteX2602" fmla="*/ 9938988 w 12192000"/>
            <a:gd name="connsiteY2602" fmla="*/ 5413188 h 6858000"/>
            <a:gd name="connsiteX2603" fmla="*/ 9973800 w 12192000"/>
            <a:gd name="connsiteY2603" fmla="*/ 5448007 h 6858000"/>
            <a:gd name="connsiteX2604" fmla="*/ 9938988 w 12192000"/>
            <a:gd name="connsiteY2604" fmla="*/ 5482826 h 6858000"/>
            <a:gd name="connsiteX2605" fmla="*/ 10023880 w 12192000"/>
            <a:gd name="connsiteY2605" fmla="*/ 5482826 h 6858000"/>
            <a:gd name="connsiteX2606" fmla="*/ 9989055 w 12192000"/>
            <a:gd name="connsiteY2606" fmla="*/ 5448007 h 6858000"/>
            <a:gd name="connsiteX2607" fmla="*/ 10023880 w 12192000"/>
            <a:gd name="connsiteY2607" fmla="*/ 5413188 h 6858000"/>
            <a:gd name="connsiteX2608" fmla="*/ 10058693 w 12192000"/>
            <a:gd name="connsiteY2608" fmla="*/ 5448007 h 6858000"/>
            <a:gd name="connsiteX2609" fmla="*/ 10023880 w 12192000"/>
            <a:gd name="connsiteY2609" fmla="*/ 5482826 h 6858000"/>
            <a:gd name="connsiteX2610" fmla="*/ 10108773 w 12192000"/>
            <a:gd name="connsiteY2610" fmla="*/ 5482826 h 6858000"/>
            <a:gd name="connsiteX2611" fmla="*/ 10073947 w 12192000"/>
            <a:gd name="connsiteY2611" fmla="*/ 5448007 h 6858000"/>
            <a:gd name="connsiteX2612" fmla="*/ 10108773 w 12192000"/>
            <a:gd name="connsiteY2612" fmla="*/ 5413188 h 6858000"/>
            <a:gd name="connsiteX2613" fmla="*/ 10143585 w 12192000"/>
            <a:gd name="connsiteY2613" fmla="*/ 5448007 h 6858000"/>
            <a:gd name="connsiteX2614" fmla="*/ 10108773 w 12192000"/>
            <a:gd name="connsiteY2614" fmla="*/ 5482826 h 6858000"/>
            <a:gd name="connsiteX2615" fmla="*/ 10193665 w 12192000"/>
            <a:gd name="connsiteY2615" fmla="*/ 5482826 h 6858000"/>
            <a:gd name="connsiteX2616" fmla="*/ 10158839 w 12192000"/>
            <a:gd name="connsiteY2616" fmla="*/ 5448007 h 6858000"/>
            <a:gd name="connsiteX2617" fmla="*/ 10193665 w 12192000"/>
            <a:gd name="connsiteY2617" fmla="*/ 5413188 h 6858000"/>
            <a:gd name="connsiteX2618" fmla="*/ 10228477 w 12192000"/>
            <a:gd name="connsiteY2618" fmla="*/ 5448007 h 6858000"/>
            <a:gd name="connsiteX2619" fmla="*/ 10193665 w 12192000"/>
            <a:gd name="connsiteY2619" fmla="*/ 5482826 h 6858000"/>
            <a:gd name="connsiteX2620" fmla="*/ 10278558 w 12192000"/>
            <a:gd name="connsiteY2620" fmla="*/ 5482826 h 6858000"/>
            <a:gd name="connsiteX2621" fmla="*/ 10243733 w 12192000"/>
            <a:gd name="connsiteY2621" fmla="*/ 5448007 h 6858000"/>
            <a:gd name="connsiteX2622" fmla="*/ 10278558 w 12192000"/>
            <a:gd name="connsiteY2622" fmla="*/ 5413188 h 6858000"/>
            <a:gd name="connsiteX2623" fmla="*/ 10313370 w 12192000"/>
            <a:gd name="connsiteY2623" fmla="*/ 5448007 h 6858000"/>
            <a:gd name="connsiteX2624" fmla="*/ 10278558 w 12192000"/>
            <a:gd name="connsiteY2624" fmla="*/ 5482826 h 6858000"/>
            <a:gd name="connsiteX2625" fmla="*/ 10363450 w 12192000"/>
            <a:gd name="connsiteY2625" fmla="*/ 5482826 h 6858000"/>
            <a:gd name="connsiteX2626" fmla="*/ 10328625 w 12192000"/>
            <a:gd name="connsiteY2626" fmla="*/ 5448007 h 6858000"/>
            <a:gd name="connsiteX2627" fmla="*/ 10363450 w 12192000"/>
            <a:gd name="connsiteY2627" fmla="*/ 5413188 h 6858000"/>
            <a:gd name="connsiteX2628" fmla="*/ 10398263 w 12192000"/>
            <a:gd name="connsiteY2628" fmla="*/ 5448007 h 6858000"/>
            <a:gd name="connsiteX2629" fmla="*/ 10363450 w 12192000"/>
            <a:gd name="connsiteY2629" fmla="*/ 5482826 h 6858000"/>
            <a:gd name="connsiteX2630" fmla="*/ 10448343 w 12192000"/>
            <a:gd name="connsiteY2630" fmla="*/ 5482826 h 6858000"/>
            <a:gd name="connsiteX2631" fmla="*/ 10413517 w 12192000"/>
            <a:gd name="connsiteY2631" fmla="*/ 5448007 h 6858000"/>
            <a:gd name="connsiteX2632" fmla="*/ 10448343 w 12192000"/>
            <a:gd name="connsiteY2632" fmla="*/ 5413188 h 6858000"/>
            <a:gd name="connsiteX2633" fmla="*/ 10483155 w 12192000"/>
            <a:gd name="connsiteY2633" fmla="*/ 5448007 h 6858000"/>
            <a:gd name="connsiteX2634" fmla="*/ 10448343 w 12192000"/>
            <a:gd name="connsiteY2634" fmla="*/ 5482826 h 6858000"/>
            <a:gd name="connsiteX2635" fmla="*/ 1449737 w 12192000"/>
            <a:gd name="connsiteY2635" fmla="*/ 5397966 h 6858000"/>
            <a:gd name="connsiteX2636" fmla="*/ 1414918 w 12192000"/>
            <a:gd name="connsiteY2636" fmla="*/ 5363147 h 6858000"/>
            <a:gd name="connsiteX2637" fmla="*/ 1449737 w 12192000"/>
            <a:gd name="connsiteY2637" fmla="*/ 5328328 h 6858000"/>
            <a:gd name="connsiteX2638" fmla="*/ 1484555 w 12192000"/>
            <a:gd name="connsiteY2638" fmla="*/ 5363147 h 6858000"/>
            <a:gd name="connsiteX2639" fmla="*/ 1449737 w 12192000"/>
            <a:gd name="connsiteY2639" fmla="*/ 5397966 h 6858000"/>
            <a:gd name="connsiteX2640" fmla="*/ 1534629 w 12192000"/>
            <a:gd name="connsiteY2640" fmla="*/ 5397966 h 6858000"/>
            <a:gd name="connsiteX2641" fmla="*/ 1499810 w 12192000"/>
            <a:gd name="connsiteY2641" fmla="*/ 5363147 h 6858000"/>
            <a:gd name="connsiteX2642" fmla="*/ 1534629 w 12192000"/>
            <a:gd name="connsiteY2642" fmla="*/ 5328328 h 6858000"/>
            <a:gd name="connsiteX2643" fmla="*/ 1569448 w 12192000"/>
            <a:gd name="connsiteY2643" fmla="*/ 5363147 h 6858000"/>
            <a:gd name="connsiteX2644" fmla="*/ 1534629 w 12192000"/>
            <a:gd name="connsiteY2644" fmla="*/ 5397966 h 6858000"/>
            <a:gd name="connsiteX2645" fmla="*/ 1619521 w 12192000"/>
            <a:gd name="connsiteY2645" fmla="*/ 5397966 h 6858000"/>
            <a:gd name="connsiteX2646" fmla="*/ 1584702 w 12192000"/>
            <a:gd name="connsiteY2646" fmla="*/ 5363147 h 6858000"/>
            <a:gd name="connsiteX2647" fmla="*/ 1619521 w 12192000"/>
            <a:gd name="connsiteY2647" fmla="*/ 5328328 h 6858000"/>
            <a:gd name="connsiteX2648" fmla="*/ 1654340 w 12192000"/>
            <a:gd name="connsiteY2648" fmla="*/ 5363147 h 6858000"/>
            <a:gd name="connsiteX2649" fmla="*/ 1619521 w 12192000"/>
            <a:gd name="connsiteY2649" fmla="*/ 5397966 h 6858000"/>
            <a:gd name="connsiteX2650" fmla="*/ 1704413 w 12192000"/>
            <a:gd name="connsiteY2650" fmla="*/ 5397966 h 6858000"/>
            <a:gd name="connsiteX2651" fmla="*/ 1669594 w 12192000"/>
            <a:gd name="connsiteY2651" fmla="*/ 5363147 h 6858000"/>
            <a:gd name="connsiteX2652" fmla="*/ 1704413 w 12192000"/>
            <a:gd name="connsiteY2652" fmla="*/ 5328328 h 6858000"/>
            <a:gd name="connsiteX2653" fmla="*/ 1739232 w 12192000"/>
            <a:gd name="connsiteY2653" fmla="*/ 5363147 h 6858000"/>
            <a:gd name="connsiteX2654" fmla="*/ 1704413 w 12192000"/>
            <a:gd name="connsiteY2654" fmla="*/ 5397966 h 6858000"/>
            <a:gd name="connsiteX2655" fmla="*/ 1789306 w 12192000"/>
            <a:gd name="connsiteY2655" fmla="*/ 5397966 h 6858000"/>
            <a:gd name="connsiteX2656" fmla="*/ 1754487 w 12192000"/>
            <a:gd name="connsiteY2656" fmla="*/ 5363147 h 6858000"/>
            <a:gd name="connsiteX2657" fmla="*/ 1789306 w 12192000"/>
            <a:gd name="connsiteY2657" fmla="*/ 5328328 h 6858000"/>
            <a:gd name="connsiteX2658" fmla="*/ 1824124 w 12192000"/>
            <a:gd name="connsiteY2658" fmla="*/ 5363147 h 6858000"/>
            <a:gd name="connsiteX2659" fmla="*/ 1789306 w 12192000"/>
            <a:gd name="connsiteY2659" fmla="*/ 5397966 h 6858000"/>
            <a:gd name="connsiteX2660" fmla="*/ 1874199 w 12192000"/>
            <a:gd name="connsiteY2660" fmla="*/ 5397966 h 6858000"/>
            <a:gd name="connsiteX2661" fmla="*/ 1839380 w 12192000"/>
            <a:gd name="connsiteY2661" fmla="*/ 5363147 h 6858000"/>
            <a:gd name="connsiteX2662" fmla="*/ 1874199 w 12192000"/>
            <a:gd name="connsiteY2662" fmla="*/ 5328328 h 6858000"/>
            <a:gd name="connsiteX2663" fmla="*/ 1909018 w 12192000"/>
            <a:gd name="connsiteY2663" fmla="*/ 5363147 h 6858000"/>
            <a:gd name="connsiteX2664" fmla="*/ 1874199 w 12192000"/>
            <a:gd name="connsiteY2664" fmla="*/ 5397966 h 6858000"/>
            <a:gd name="connsiteX2665" fmla="*/ 1959091 w 12192000"/>
            <a:gd name="connsiteY2665" fmla="*/ 5397966 h 6858000"/>
            <a:gd name="connsiteX2666" fmla="*/ 1924272 w 12192000"/>
            <a:gd name="connsiteY2666" fmla="*/ 5363147 h 6858000"/>
            <a:gd name="connsiteX2667" fmla="*/ 1959091 w 12192000"/>
            <a:gd name="connsiteY2667" fmla="*/ 5328328 h 6858000"/>
            <a:gd name="connsiteX2668" fmla="*/ 1993910 w 12192000"/>
            <a:gd name="connsiteY2668" fmla="*/ 5363147 h 6858000"/>
            <a:gd name="connsiteX2669" fmla="*/ 1959091 w 12192000"/>
            <a:gd name="connsiteY2669" fmla="*/ 5397966 h 6858000"/>
            <a:gd name="connsiteX2670" fmla="*/ 2043983 w 12192000"/>
            <a:gd name="connsiteY2670" fmla="*/ 5397966 h 6858000"/>
            <a:gd name="connsiteX2671" fmla="*/ 2009164 w 12192000"/>
            <a:gd name="connsiteY2671" fmla="*/ 5363147 h 6858000"/>
            <a:gd name="connsiteX2672" fmla="*/ 2043983 w 12192000"/>
            <a:gd name="connsiteY2672" fmla="*/ 5328328 h 6858000"/>
            <a:gd name="connsiteX2673" fmla="*/ 2078802 w 12192000"/>
            <a:gd name="connsiteY2673" fmla="*/ 5363147 h 6858000"/>
            <a:gd name="connsiteX2674" fmla="*/ 2043983 w 12192000"/>
            <a:gd name="connsiteY2674" fmla="*/ 5397966 h 6858000"/>
            <a:gd name="connsiteX2675" fmla="*/ 2128876 w 12192000"/>
            <a:gd name="connsiteY2675" fmla="*/ 5397966 h 6858000"/>
            <a:gd name="connsiteX2676" fmla="*/ 2094057 w 12192000"/>
            <a:gd name="connsiteY2676" fmla="*/ 5363147 h 6858000"/>
            <a:gd name="connsiteX2677" fmla="*/ 2128876 w 12192000"/>
            <a:gd name="connsiteY2677" fmla="*/ 5328328 h 6858000"/>
            <a:gd name="connsiteX2678" fmla="*/ 2163694 w 12192000"/>
            <a:gd name="connsiteY2678" fmla="*/ 5363147 h 6858000"/>
            <a:gd name="connsiteX2679" fmla="*/ 2128876 w 12192000"/>
            <a:gd name="connsiteY2679" fmla="*/ 5397966 h 6858000"/>
            <a:gd name="connsiteX2680" fmla="*/ 2213769 w 12192000"/>
            <a:gd name="connsiteY2680" fmla="*/ 5397966 h 6858000"/>
            <a:gd name="connsiteX2681" fmla="*/ 2178950 w 12192000"/>
            <a:gd name="connsiteY2681" fmla="*/ 5363147 h 6858000"/>
            <a:gd name="connsiteX2682" fmla="*/ 2213769 w 12192000"/>
            <a:gd name="connsiteY2682" fmla="*/ 5328328 h 6858000"/>
            <a:gd name="connsiteX2683" fmla="*/ 2248588 w 12192000"/>
            <a:gd name="connsiteY2683" fmla="*/ 5363147 h 6858000"/>
            <a:gd name="connsiteX2684" fmla="*/ 2213769 w 12192000"/>
            <a:gd name="connsiteY2684" fmla="*/ 5397966 h 6858000"/>
            <a:gd name="connsiteX2685" fmla="*/ 2298661 w 12192000"/>
            <a:gd name="connsiteY2685" fmla="*/ 5397966 h 6858000"/>
            <a:gd name="connsiteX2686" fmla="*/ 2263842 w 12192000"/>
            <a:gd name="connsiteY2686" fmla="*/ 5363147 h 6858000"/>
            <a:gd name="connsiteX2687" fmla="*/ 2298661 w 12192000"/>
            <a:gd name="connsiteY2687" fmla="*/ 5328328 h 6858000"/>
            <a:gd name="connsiteX2688" fmla="*/ 2333480 w 12192000"/>
            <a:gd name="connsiteY2688" fmla="*/ 5363147 h 6858000"/>
            <a:gd name="connsiteX2689" fmla="*/ 2298661 w 12192000"/>
            <a:gd name="connsiteY2689" fmla="*/ 5397966 h 6858000"/>
            <a:gd name="connsiteX2690" fmla="*/ 2383553 w 12192000"/>
            <a:gd name="connsiteY2690" fmla="*/ 5397966 h 6858000"/>
            <a:gd name="connsiteX2691" fmla="*/ 2348734 w 12192000"/>
            <a:gd name="connsiteY2691" fmla="*/ 5363147 h 6858000"/>
            <a:gd name="connsiteX2692" fmla="*/ 2383553 w 12192000"/>
            <a:gd name="connsiteY2692" fmla="*/ 5328328 h 6858000"/>
            <a:gd name="connsiteX2693" fmla="*/ 2418372 w 12192000"/>
            <a:gd name="connsiteY2693" fmla="*/ 5363147 h 6858000"/>
            <a:gd name="connsiteX2694" fmla="*/ 2383553 w 12192000"/>
            <a:gd name="connsiteY2694" fmla="*/ 5397966 h 6858000"/>
            <a:gd name="connsiteX2695" fmla="*/ 2468446 w 12192000"/>
            <a:gd name="connsiteY2695" fmla="*/ 5397966 h 6858000"/>
            <a:gd name="connsiteX2696" fmla="*/ 2433627 w 12192000"/>
            <a:gd name="connsiteY2696" fmla="*/ 5363147 h 6858000"/>
            <a:gd name="connsiteX2697" fmla="*/ 2468446 w 12192000"/>
            <a:gd name="connsiteY2697" fmla="*/ 5328328 h 6858000"/>
            <a:gd name="connsiteX2698" fmla="*/ 2503264 w 12192000"/>
            <a:gd name="connsiteY2698" fmla="*/ 5363147 h 6858000"/>
            <a:gd name="connsiteX2699" fmla="*/ 2468446 w 12192000"/>
            <a:gd name="connsiteY2699" fmla="*/ 5397966 h 6858000"/>
            <a:gd name="connsiteX2700" fmla="*/ 2553339 w 12192000"/>
            <a:gd name="connsiteY2700" fmla="*/ 5397966 h 6858000"/>
            <a:gd name="connsiteX2701" fmla="*/ 2518520 w 12192000"/>
            <a:gd name="connsiteY2701" fmla="*/ 5363147 h 6858000"/>
            <a:gd name="connsiteX2702" fmla="*/ 2553339 w 12192000"/>
            <a:gd name="connsiteY2702" fmla="*/ 5328328 h 6858000"/>
            <a:gd name="connsiteX2703" fmla="*/ 2588158 w 12192000"/>
            <a:gd name="connsiteY2703" fmla="*/ 5363147 h 6858000"/>
            <a:gd name="connsiteX2704" fmla="*/ 2553339 w 12192000"/>
            <a:gd name="connsiteY2704" fmla="*/ 5397966 h 6858000"/>
            <a:gd name="connsiteX2705" fmla="*/ 2638231 w 12192000"/>
            <a:gd name="connsiteY2705" fmla="*/ 5397966 h 6858000"/>
            <a:gd name="connsiteX2706" fmla="*/ 2603412 w 12192000"/>
            <a:gd name="connsiteY2706" fmla="*/ 5363147 h 6858000"/>
            <a:gd name="connsiteX2707" fmla="*/ 2638231 w 12192000"/>
            <a:gd name="connsiteY2707" fmla="*/ 5328328 h 6858000"/>
            <a:gd name="connsiteX2708" fmla="*/ 2673050 w 12192000"/>
            <a:gd name="connsiteY2708" fmla="*/ 5363147 h 6858000"/>
            <a:gd name="connsiteX2709" fmla="*/ 2638231 w 12192000"/>
            <a:gd name="connsiteY2709" fmla="*/ 5397966 h 6858000"/>
            <a:gd name="connsiteX2710" fmla="*/ 2892908 w 12192000"/>
            <a:gd name="connsiteY2710" fmla="*/ 5397966 h 6858000"/>
            <a:gd name="connsiteX2711" fmla="*/ 2858089 w 12192000"/>
            <a:gd name="connsiteY2711" fmla="*/ 5363147 h 6858000"/>
            <a:gd name="connsiteX2712" fmla="*/ 2892908 w 12192000"/>
            <a:gd name="connsiteY2712" fmla="*/ 5328328 h 6858000"/>
            <a:gd name="connsiteX2713" fmla="*/ 2927727 w 12192000"/>
            <a:gd name="connsiteY2713" fmla="*/ 5363147 h 6858000"/>
            <a:gd name="connsiteX2714" fmla="*/ 2892908 w 12192000"/>
            <a:gd name="connsiteY2714" fmla="*/ 5397966 h 6858000"/>
            <a:gd name="connsiteX2715" fmla="*/ 2977801 w 12192000"/>
            <a:gd name="connsiteY2715" fmla="*/ 5397966 h 6858000"/>
            <a:gd name="connsiteX2716" fmla="*/ 2942982 w 12192000"/>
            <a:gd name="connsiteY2716" fmla="*/ 5363147 h 6858000"/>
            <a:gd name="connsiteX2717" fmla="*/ 2977801 w 12192000"/>
            <a:gd name="connsiteY2717" fmla="*/ 5328328 h 6858000"/>
            <a:gd name="connsiteX2718" fmla="*/ 3012620 w 12192000"/>
            <a:gd name="connsiteY2718" fmla="*/ 5363147 h 6858000"/>
            <a:gd name="connsiteX2719" fmla="*/ 2977801 w 12192000"/>
            <a:gd name="connsiteY2719" fmla="*/ 5397966 h 6858000"/>
            <a:gd name="connsiteX2720" fmla="*/ 3062693 w 12192000"/>
            <a:gd name="connsiteY2720" fmla="*/ 5397966 h 6858000"/>
            <a:gd name="connsiteX2721" fmla="*/ 3027874 w 12192000"/>
            <a:gd name="connsiteY2721" fmla="*/ 5363147 h 6858000"/>
            <a:gd name="connsiteX2722" fmla="*/ 3062693 w 12192000"/>
            <a:gd name="connsiteY2722" fmla="*/ 5328328 h 6858000"/>
            <a:gd name="connsiteX2723" fmla="*/ 3097512 w 12192000"/>
            <a:gd name="connsiteY2723" fmla="*/ 5363147 h 6858000"/>
            <a:gd name="connsiteX2724" fmla="*/ 3062693 w 12192000"/>
            <a:gd name="connsiteY2724" fmla="*/ 5397966 h 6858000"/>
            <a:gd name="connsiteX2725" fmla="*/ 3147586 w 12192000"/>
            <a:gd name="connsiteY2725" fmla="*/ 5397966 h 6858000"/>
            <a:gd name="connsiteX2726" fmla="*/ 3112767 w 12192000"/>
            <a:gd name="connsiteY2726" fmla="*/ 5363147 h 6858000"/>
            <a:gd name="connsiteX2727" fmla="*/ 3147586 w 12192000"/>
            <a:gd name="connsiteY2727" fmla="*/ 5328328 h 6858000"/>
            <a:gd name="connsiteX2728" fmla="*/ 3182404 w 12192000"/>
            <a:gd name="connsiteY2728" fmla="*/ 5363147 h 6858000"/>
            <a:gd name="connsiteX2729" fmla="*/ 3147586 w 12192000"/>
            <a:gd name="connsiteY2729" fmla="*/ 5397966 h 6858000"/>
            <a:gd name="connsiteX2730" fmla="*/ 3232478 w 12192000"/>
            <a:gd name="connsiteY2730" fmla="*/ 5397966 h 6858000"/>
            <a:gd name="connsiteX2731" fmla="*/ 3197659 w 12192000"/>
            <a:gd name="connsiteY2731" fmla="*/ 5363147 h 6858000"/>
            <a:gd name="connsiteX2732" fmla="*/ 3232478 w 12192000"/>
            <a:gd name="connsiteY2732" fmla="*/ 5328328 h 6858000"/>
            <a:gd name="connsiteX2733" fmla="*/ 3267297 w 12192000"/>
            <a:gd name="connsiteY2733" fmla="*/ 5363147 h 6858000"/>
            <a:gd name="connsiteX2734" fmla="*/ 3232478 w 12192000"/>
            <a:gd name="connsiteY2734" fmla="*/ 5397966 h 6858000"/>
            <a:gd name="connsiteX2735" fmla="*/ 3317371 w 12192000"/>
            <a:gd name="connsiteY2735" fmla="*/ 5397966 h 6858000"/>
            <a:gd name="connsiteX2736" fmla="*/ 3282552 w 12192000"/>
            <a:gd name="connsiteY2736" fmla="*/ 5363147 h 6858000"/>
            <a:gd name="connsiteX2737" fmla="*/ 3317371 w 12192000"/>
            <a:gd name="connsiteY2737" fmla="*/ 5328328 h 6858000"/>
            <a:gd name="connsiteX2738" fmla="*/ 3352190 w 12192000"/>
            <a:gd name="connsiteY2738" fmla="*/ 5363147 h 6858000"/>
            <a:gd name="connsiteX2739" fmla="*/ 3317371 w 12192000"/>
            <a:gd name="connsiteY2739" fmla="*/ 5397966 h 6858000"/>
            <a:gd name="connsiteX2740" fmla="*/ 3402263 w 12192000"/>
            <a:gd name="connsiteY2740" fmla="*/ 5397966 h 6858000"/>
            <a:gd name="connsiteX2741" fmla="*/ 3367444 w 12192000"/>
            <a:gd name="connsiteY2741" fmla="*/ 5363147 h 6858000"/>
            <a:gd name="connsiteX2742" fmla="*/ 3402263 w 12192000"/>
            <a:gd name="connsiteY2742" fmla="*/ 5328328 h 6858000"/>
            <a:gd name="connsiteX2743" fmla="*/ 3437082 w 12192000"/>
            <a:gd name="connsiteY2743" fmla="*/ 5363147 h 6858000"/>
            <a:gd name="connsiteX2744" fmla="*/ 3402263 w 12192000"/>
            <a:gd name="connsiteY2744" fmla="*/ 5397966 h 6858000"/>
            <a:gd name="connsiteX2745" fmla="*/ 3487156 w 12192000"/>
            <a:gd name="connsiteY2745" fmla="*/ 5397966 h 6858000"/>
            <a:gd name="connsiteX2746" fmla="*/ 3452337 w 12192000"/>
            <a:gd name="connsiteY2746" fmla="*/ 5363147 h 6858000"/>
            <a:gd name="connsiteX2747" fmla="*/ 3487156 w 12192000"/>
            <a:gd name="connsiteY2747" fmla="*/ 5328328 h 6858000"/>
            <a:gd name="connsiteX2748" fmla="*/ 3521974 w 12192000"/>
            <a:gd name="connsiteY2748" fmla="*/ 5363147 h 6858000"/>
            <a:gd name="connsiteX2749" fmla="*/ 3487156 w 12192000"/>
            <a:gd name="connsiteY2749" fmla="*/ 5397966 h 6858000"/>
            <a:gd name="connsiteX2750" fmla="*/ 3572048 w 12192000"/>
            <a:gd name="connsiteY2750" fmla="*/ 5397966 h 6858000"/>
            <a:gd name="connsiteX2751" fmla="*/ 3537229 w 12192000"/>
            <a:gd name="connsiteY2751" fmla="*/ 5363147 h 6858000"/>
            <a:gd name="connsiteX2752" fmla="*/ 3572048 w 12192000"/>
            <a:gd name="connsiteY2752" fmla="*/ 5328328 h 6858000"/>
            <a:gd name="connsiteX2753" fmla="*/ 3606867 w 12192000"/>
            <a:gd name="connsiteY2753" fmla="*/ 5363147 h 6858000"/>
            <a:gd name="connsiteX2754" fmla="*/ 3572048 w 12192000"/>
            <a:gd name="connsiteY2754" fmla="*/ 5397966 h 6858000"/>
            <a:gd name="connsiteX2755" fmla="*/ 3741833 w 12192000"/>
            <a:gd name="connsiteY2755" fmla="*/ 5397966 h 6858000"/>
            <a:gd name="connsiteX2756" fmla="*/ 3707014 w 12192000"/>
            <a:gd name="connsiteY2756" fmla="*/ 5363147 h 6858000"/>
            <a:gd name="connsiteX2757" fmla="*/ 3741833 w 12192000"/>
            <a:gd name="connsiteY2757" fmla="*/ 5328328 h 6858000"/>
            <a:gd name="connsiteX2758" fmla="*/ 3776652 w 12192000"/>
            <a:gd name="connsiteY2758" fmla="*/ 5363147 h 6858000"/>
            <a:gd name="connsiteX2759" fmla="*/ 3741833 w 12192000"/>
            <a:gd name="connsiteY2759" fmla="*/ 5397966 h 6858000"/>
            <a:gd name="connsiteX2760" fmla="*/ 4081403 w 12192000"/>
            <a:gd name="connsiteY2760" fmla="*/ 5397966 h 6858000"/>
            <a:gd name="connsiteX2761" fmla="*/ 4046584 w 12192000"/>
            <a:gd name="connsiteY2761" fmla="*/ 5363147 h 6858000"/>
            <a:gd name="connsiteX2762" fmla="*/ 4081403 w 12192000"/>
            <a:gd name="connsiteY2762" fmla="*/ 5328328 h 6858000"/>
            <a:gd name="connsiteX2763" fmla="*/ 4116222 w 12192000"/>
            <a:gd name="connsiteY2763" fmla="*/ 5363147 h 6858000"/>
            <a:gd name="connsiteX2764" fmla="*/ 4081403 w 12192000"/>
            <a:gd name="connsiteY2764" fmla="*/ 5397966 h 6858000"/>
            <a:gd name="connsiteX2765" fmla="*/ 4166296 w 12192000"/>
            <a:gd name="connsiteY2765" fmla="*/ 5397966 h 6858000"/>
            <a:gd name="connsiteX2766" fmla="*/ 4131477 w 12192000"/>
            <a:gd name="connsiteY2766" fmla="*/ 5363147 h 6858000"/>
            <a:gd name="connsiteX2767" fmla="*/ 4166296 w 12192000"/>
            <a:gd name="connsiteY2767" fmla="*/ 5328328 h 6858000"/>
            <a:gd name="connsiteX2768" fmla="*/ 4201114 w 12192000"/>
            <a:gd name="connsiteY2768" fmla="*/ 5363147 h 6858000"/>
            <a:gd name="connsiteX2769" fmla="*/ 4166296 w 12192000"/>
            <a:gd name="connsiteY2769" fmla="*/ 5397966 h 6858000"/>
            <a:gd name="connsiteX2770" fmla="*/ 4505866 w 12192000"/>
            <a:gd name="connsiteY2770" fmla="*/ 5397966 h 6858000"/>
            <a:gd name="connsiteX2771" fmla="*/ 4471047 w 12192000"/>
            <a:gd name="connsiteY2771" fmla="*/ 5363147 h 6858000"/>
            <a:gd name="connsiteX2772" fmla="*/ 4505866 w 12192000"/>
            <a:gd name="connsiteY2772" fmla="*/ 5328328 h 6858000"/>
            <a:gd name="connsiteX2773" fmla="*/ 4540684 w 12192000"/>
            <a:gd name="connsiteY2773" fmla="*/ 5363147 h 6858000"/>
            <a:gd name="connsiteX2774" fmla="*/ 4505866 w 12192000"/>
            <a:gd name="connsiteY2774" fmla="*/ 5397966 h 6858000"/>
            <a:gd name="connsiteX2775" fmla="*/ 4590758 w 12192000"/>
            <a:gd name="connsiteY2775" fmla="*/ 5397966 h 6858000"/>
            <a:gd name="connsiteX2776" fmla="*/ 4555939 w 12192000"/>
            <a:gd name="connsiteY2776" fmla="*/ 5363147 h 6858000"/>
            <a:gd name="connsiteX2777" fmla="*/ 4590758 w 12192000"/>
            <a:gd name="connsiteY2777" fmla="*/ 5328328 h 6858000"/>
            <a:gd name="connsiteX2778" fmla="*/ 4625577 w 12192000"/>
            <a:gd name="connsiteY2778" fmla="*/ 5363147 h 6858000"/>
            <a:gd name="connsiteX2779" fmla="*/ 4590758 w 12192000"/>
            <a:gd name="connsiteY2779" fmla="*/ 5397966 h 6858000"/>
            <a:gd name="connsiteX2780" fmla="*/ 4675650 w 12192000"/>
            <a:gd name="connsiteY2780" fmla="*/ 5397966 h 6858000"/>
            <a:gd name="connsiteX2781" fmla="*/ 4640831 w 12192000"/>
            <a:gd name="connsiteY2781" fmla="*/ 5363147 h 6858000"/>
            <a:gd name="connsiteX2782" fmla="*/ 4675650 w 12192000"/>
            <a:gd name="connsiteY2782" fmla="*/ 5328328 h 6858000"/>
            <a:gd name="connsiteX2783" fmla="*/ 4710469 w 12192000"/>
            <a:gd name="connsiteY2783" fmla="*/ 5363147 h 6858000"/>
            <a:gd name="connsiteX2784" fmla="*/ 4675650 w 12192000"/>
            <a:gd name="connsiteY2784" fmla="*/ 5397966 h 6858000"/>
            <a:gd name="connsiteX2785" fmla="*/ 4760543 w 12192000"/>
            <a:gd name="connsiteY2785" fmla="*/ 5397966 h 6858000"/>
            <a:gd name="connsiteX2786" fmla="*/ 4725724 w 12192000"/>
            <a:gd name="connsiteY2786" fmla="*/ 5363147 h 6858000"/>
            <a:gd name="connsiteX2787" fmla="*/ 4760543 w 12192000"/>
            <a:gd name="connsiteY2787" fmla="*/ 5328328 h 6858000"/>
            <a:gd name="connsiteX2788" fmla="*/ 4795362 w 12192000"/>
            <a:gd name="connsiteY2788" fmla="*/ 5363147 h 6858000"/>
            <a:gd name="connsiteX2789" fmla="*/ 4760543 w 12192000"/>
            <a:gd name="connsiteY2789" fmla="*/ 5397966 h 6858000"/>
            <a:gd name="connsiteX2790" fmla="*/ 4845436 w 12192000"/>
            <a:gd name="connsiteY2790" fmla="*/ 5397966 h 6858000"/>
            <a:gd name="connsiteX2791" fmla="*/ 4810617 w 12192000"/>
            <a:gd name="connsiteY2791" fmla="*/ 5363147 h 6858000"/>
            <a:gd name="connsiteX2792" fmla="*/ 4845436 w 12192000"/>
            <a:gd name="connsiteY2792" fmla="*/ 5328328 h 6858000"/>
            <a:gd name="connsiteX2793" fmla="*/ 4880254 w 12192000"/>
            <a:gd name="connsiteY2793" fmla="*/ 5363147 h 6858000"/>
            <a:gd name="connsiteX2794" fmla="*/ 4845436 w 12192000"/>
            <a:gd name="connsiteY2794" fmla="*/ 5397966 h 6858000"/>
            <a:gd name="connsiteX2795" fmla="*/ 4930328 w 12192000"/>
            <a:gd name="connsiteY2795" fmla="*/ 5397966 h 6858000"/>
            <a:gd name="connsiteX2796" fmla="*/ 4895509 w 12192000"/>
            <a:gd name="connsiteY2796" fmla="*/ 5363147 h 6858000"/>
            <a:gd name="connsiteX2797" fmla="*/ 4930328 w 12192000"/>
            <a:gd name="connsiteY2797" fmla="*/ 5328328 h 6858000"/>
            <a:gd name="connsiteX2798" fmla="*/ 4965147 w 12192000"/>
            <a:gd name="connsiteY2798" fmla="*/ 5363147 h 6858000"/>
            <a:gd name="connsiteX2799" fmla="*/ 4930328 w 12192000"/>
            <a:gd name="connsiteY2799" fmla="*/ 5397966 h 6858000"/>
            <a:gd name="connsiteX2800" fmla="*/ 5015220 w 12192000"/>
            <a:gd name="connsiteY2800" fmla="*/ 5397966 h 6858000"/>
            <a:gd name="connsiteX2801" fmla="*/ 4980401 w 12192000"/>
            <a:gd name="connsiteY2801" fmla="*/ 5363147 h 6858000"/>
            <a:gd name="connsiteX2802" fmla="*/ 5015220 w 12192000"/>
            <a:gd name="connsiteY2802" fmla="*/ 5328328 h 6858000"/>
            <a:gd name="connsiteX2803" fmla="*/ 5050039 w 12192000"/>
            <a:gd name="connsiteY2803" fmla="*/ 5363147 h 6858000"/>
            <a:gd name="connsiteX2804" fmla="*/ 5015220 w 12192000"/>
            <a:gd name="connsiteY2804" fmla="*/ 5397966 h 6858000"/>
            <a:gd name="connsiteX2805" fmla="*/ 5100113 w 12192000"/>
            <a:gd name="connsiteY2805" fmla="*/ 5397966 h 6858000"/>
            <a:gd name="connsiteX2806" fmla="*/ 5065294 w 12192000"/>
            <a:gd name="connsiteY2806" fmla="*/ 5363147 h 6858000"/>
            <a:gd name="connsiteX2807" fmla="*/ 5100113 w 12192000"/>
            <a:gd name="connsiteY2807" fmla="*/ 5328328 h 6858000"/>
            <a:gd name="connsiteX2808" fmla="*/ 5134932 w 12192000"/>
            <a:gd name="connsiteY2808" fmla="*/ 5363147 h 6858000"/>
            <a:gd name="connsiteX2809" fmla="*/ 5100113 w 12192000"/>
            <a:gd name="connsiteY2809" fmla="*/ 5397966 h 6858000"/>
            <a:gd name="connsiteX2810" fmla="*/ 5269898 w 12192000"/>
            <a:gd name="connsiteY2810" fmla="*/ 5397966 h 6858000"/>
            <a:gd name="connsiteX2811" fmla="*/ 5235079 w 12192000"/>
            <a:gd name="connsiteY2811" fmla="*/ 5363147 h 6858000"/>
            <a:gd name="connsiteX2812" fmla="*/ 5269898 w 12192000"/>
            <a:gd name="connsiteY2812" fmla="*/ 5328328 h 6858000"/>
            <a:gd name="connsiteX2813" fmla="*/ 5304717 w 12192000"/>
            <a:gd name="connsiteY2813" fmla="*/ 5363147 h 6858000"/>
            <a:gd name="connsiteX2814" fmla="*/ 5269898 w 12192000"/>
            <a:gd name="connsiteY2814" fmla="*/ 5397966 h 6858000"/>
            <a:gd name="connsiteX2815" fmla="*/ 7222428 w 12192000"/>
            <a:gd name="connsiteY2815" fmla="*/ 5397966 h 6858000"/>
            <a:gd name="connsiteX2816" fmla="*/ 7187603 w 12192000"/>
            <a:gd name="connsiteY2816" fmla="*/ 5363147 h 6858000"/>
            <a:gd name="connsiteX2817" fmla="*/ 7222428 w 12192000"/>
            <a:gd name="connsiteY2817" fmla="*/ 5328328 h 6858000"/>
            <a:gd name="connsiteX2818" fmla="*/ 7257240 w 12192000"/>
            <a:gd name="connsiteY2818" fmla="*/ 5363147 h 6858000"/>
            <a:gd name="connsiteX2819" fmla="*/ 7222428 w 12192000"/>
            <a:gd name="connsiteY2819" fmla="*/ 5397966 h 6858000"/>
            <a:gd name="connsiteX2820" fmla="*/ 7561998 w 12192000"/>
            <a:gd name="connsiteY2820" fmla="*/ 5397966 h 6858000"/>
            <a:gd name="connsiteX2821" fmla="*/ 7527173 w 12192000"/>
            <a:gd name="connsiteY2821" fmla="*/ 5363147 h 6858000"/>
            <a:gd name="connsiteX2822" fmla="*/ 7561998 w 12192000"/>
            <a:gd name="connsiteY2822" fmla="*/ 5328328 h 6858000"/>
            <a:gd name="connsiteX2823" fmla="*/ 7596810 w 12192000"/>
            <a:gd name="connsiteY2823" fmla="*/ 5363147 h 6858000"/>
            <a:gd name="connsiteX2824" fmla="*/ 7561998 w 12192000"/>
            <a:gd name="connsiteY2824" fmla="*/ 5397966 h 6858000"/>
            <a:gd name="connsiteX2825" fmla="*/ 7816676 w 12192000"/>
            <a:gd name="connsiteY2825" fmla="*/ 5397966 h 6858000"/>
            <a:gd name="connsiteX2826" fmla="*/ 7781850 w 12192000"/>
            <a:gd name="connsiteY2826" fmla="*/ 5363147 h 6858000"/>
            <a:gd name="connsiteX2827" fmla="*/ 7816676 w 12192000"/>
            <a:gd name="connsiteY2827" fmla="*/ 5328328 h 6858000"/>
            <a:gd name="connsiteX2828" fmla="*/ 7851488 w 12192000"/>
            <a:gd name="connsiteY2828" fmla="*/ 5363147 h 6858000"/>
            <a:gd name="connsiteX2829" fmla="*/ 7816676 w 12192000"/>
            <a:gd name="connsiteY2829" fmla="*/ 5397966 h 6858000"/>
            <a:gd name="connsiteX2830" fmla="*/ 7901568 w 12192000"/>
            <a:gd name="connsiteY2830" fmla="*/ 5397966 h 6858000"/>
            <a:gd name="connsiteX2831" fmla="*/ 7866743 w 12192000"/>
            <a:gd name="connsiteY2831" fmla="*/ 5363147 h 6858000"/>
            <a:gd name="connsiteX2832" fmla="*/ 7901568 w 12192000"/>
            <a:gd name="connsiteY2832" fmla="*/ 5328328 h 6858000"/>
            <a:gd name="connsiteX2833" fmla="*/ 7936380 w 12192000"/>
            <a:gd name="connsiteY2833" fmla="*/ 5363147 h 6858000"/>
            <a:gd name="connsiteX2834" fmla="*/ 7901568 w 12192000"/>
            <a:gd name="connsiteY2834" fmla="*/ 5397966 h 6858000"/>
            <a:gd name="connsiteX2835" fmla="*/ 7986460 w 12192000"/>
            <a:gd name="connsiteY2835" fmla="*/ 5397966 h 6858000"/>
            <a:gd name="connsiteX2836" fmla="*/ 7951635 w 12192000"/>
            <a:gd name="connsiteY2836" fmla="*/ 5363147 h 6858000"/>
            <a:gd name="connsiteX2837" fmla="*/ 7986460 w 12192000"/>
            <a:gd name="connsiteY2837" fmla="*/ 5328328 h 6858000"/>
            <a:gd name="connsiteX2838" fmla="*/ 8021273 w 12192000"/>
            <a:gd name="connsiteY2838" fmla="*/ 5363147 h 6858000"/>
            <a:gd name="connsiteX2839" fmla="*/ 7986460 w 12192000"/>
            <a:gd name="connsiteY2839" fmla="*/ 5397966 h 6858000"/>
            <a:gd name="connsiteX2840" fmla="*/ 8071353 w 12192000"/>
            <a:gd name="connsiteY2840" fmla="*/ 5397966 h 6858000"/>
            <a:gd name="connsiteX2841" fmla="*/ 8036527 w 12192000"/>
            <a:gd name="connsiteY2841" fmla="*/ 5363147 h 6858000"/>
            <a:gd name="connsiteX2842" fmla="*/ 8071353 w 12192000"/>
            <a:gd name="connsiteY2842" fmla="*/ 5328328 h 6858000"/>
            <a:gd name="connsiteX2843" fmla="*/ 8106165 w 12192000"/>
            <a:gd name="connsiteY2843" fmla="*/ 5363147 h 6858000"/>
            <a:gd name="connsiteX2844" fmla="*/ 8071353 w 12192000"/>
            <a:gd name="connsiteY2844" fmla="*/ 5397966 h 6858000"/>
            <a:gd name="connsiteX2845" fmla="*/ 8156246 w 12192000"/>
            <a:gd name="connsiteY2845" fmla="*/ 5397966 h 6858000"/>
            <a:gd name="connsiteX2846" fmla="*/ 8121420 w 12192000"/>
            <a:gd name="connsiteY2846" fmla="*/ 5363147 h 6858000"/>
            <a:gd name="connsiteX2847" fmla="*/ 8156246 w 12192000"/>
            <a:gd name="connsiteY2847" fmla="*/ 5328328 h 6858000"/>
            <a:gd name="connsiteX2848" fmla="*/ 8191058 w 12192000"/>
            <a:gd name="connsiteY2848" fmla="*/ 5363147 h 6858000"/>
            <a:gd name="connsiteX2849" fmla="*/ 8156246 w 12192000"/>
            <a:gd name="connsiteY2849" fmla="*/ 5397966 h 6858000"/>
            <a:gd name="connsiteX2850" fmla="*/ 8241138 w 12192000"/>
            <a:gd name="connsiteY2850" fmla="*/ 5397966 h 6858000"/>
            <a:gd name="connsiteX2851" fmla="*/ 8206313 w 12192000"/>
            <a:gd name="connsiteY2851" fmla="*/ 5363147 h 6858000"/>
            <a:gd name="connsiteX2852" fmla="*/ 8241138 w 12192000"/>
            <a:gd name="connsiteY2852" fmla="*/ 5328328 h 6858000"/>
            <a:gd name="connsiteX2853" fmla="*/ 8275950 w 12192000"/>
            <a:gd name="connsiteY2853" fmla="*/ 5363147 h 6858000"/>
            <a:gd name="connsiteX2854" fmla="*/ 8241138 w 12192000"/>
            <a:gd name="connsiteY2854" fmla="*/ 5397966 h 6858000"/>
            <a:gd name="connsiteX2855" fmla="*/ 8326030 w 12192000"/>
            <a:gd name="connsiteY2855" fmla="*/ 5397966 h 6858000"/>
            <a:gd name="connsiteX2856" fmla="*/ 8291205 w 12192000"/>
            <a:gd name="connsiteY2856" fmla="*/ 5363147 h 6858000"/>
            <a:gd name="connsiteX2857" fmla="*/ 8326030 w 12192000"/>
            <a:gd name="connsiteY2857" fmla="*/ 5328328 h 6858000"/>
            <a:gd name="connsiteX2858" fmla="*/ 8360843 w 12192000"/>
            <a:gd name="connsiteY2858" fmla="*/ 5363147 h 6858000"/>
            <a:gd name="connsiteX2859" fmla="*/ 8326030 w 12192000"/>
            <a:gd name="connsiteY2859" fmla="*/ 5397966 h 6858000"/>
            <a:gd name="connsiteX2860" fmla="*/ 8410923 w 12192000"/>
            <a:gd name="connsiteY2860" fmla="*/ 5397966 h 6858000"/>
            <a:gd name="connsiteX2861" fmla="*/ 8376097 w 12192000"/>
            <a:gd name="connsiteY2861" fmla="*/ 5363147 h 6858000"/>
            <a:gd name="connsiteX2862" fmla="*/ 8410923 w 12192000"/>
            <a:gd name="connsiteY2862" fmla="*/ 5328328 h 6858000"/>
            <a:gd name="connsiteX2863" fmla="*/ 8445735 w 12192000"/>
            <a:gd name="connsiteY2863" fmla="*/ 5363147 h 6858000"/>
            <a:gd name="connsiteX2864" fmla="*/ 8410923 w 12192000"/>
            <a:gd name="connsiteY2864" fmla="*/ 5397966 h 6858000"/>
            <a:gd name="connsiteX2865" fmla="*/ 8495816 w 12192000"/>
            <a:gd name="connsiteY2865" fmla="*/ 5397966 h 6858000"/>
            <a:gd name="connsiteX2866" fmla="*/ 8460990 w 12192000"/>
            <a:gd name="connsiteY2866" fmla="*/ 5363147 h 6858000"/>
            <a:gd name="connsiteX2867" fmla="*/ 8495816 w 12192000"/>
            <a:gd name="connsiteY2867" fmla="*/ 5328328 h 6858000"/>
            <a:gd name="connsiteX2868" fmla="*/ 8530628 w 12192000"/>
            <a:gd name="connsiteY2868" fmla="*/ 5363147 h 6858000"/>
            <a:gd name="connsiteX2869" fmla="*/ 8495816 w 12192000"/>
            <a:gd name="connsiteY2869" fmla="*/ 5397966 h 6858000"/>
            <a:gd name="connsiteX2870" fmla="*/ 8580708 w 12192000"/>
            <a:gd name="connsiteY2870" fmla="*/ 5397966 h 6858000"/>
            <a:gd name="connsiteX2871" fmla="*/ 8545883 w 12192000"/>
            <a:gd name="connsiteY2871" fmla="*/ 5363147 h 6858000"/>
            <a:gd name="connsiteX2872" fmla="*/ 8580708 w 12192000"/>
            <a:gd name="connsiteY2872" fmla="*/ 5328328 h 6858000"/>
            <a:gd name="connsiteX2873" fmla="*/ 8615520 w 12192000"/>
            <a:gd name="connsiteY2873" fmla="*/ 5363147 h 6858000"/>
            <a:gd name="connsiteX2874" fmla="*/ 8580708 w 12192000"/>
            <a:gd name="connsiteY2874" fmla="*/ 5397966 h 6858000"/>
            <a:gd name="connsiteX2875" fmla="*/ 8665600 w 12192000"/>
            <a:gd name="connsiteY2875" fmla="*/ 5397966 h 6858000"/>
            <a:gd name="connsiteX2876" fmla="*/ 8630775 w 12192000"/>
            <a:gd name="connsiteY2876" fmla="*/ 5363147 h 6858000"/>
            <a:gd name="connsiteX2877" fmla="*/ 8665600 w 12192000"/>
            <a:gd name="connsiteY2877" fmla="*/ 5328328 h 6858000"/>
            <a:gd name="connsiteX2878" fmla="*/ 8700413 w 12192000"/>
            <a:gd name="connsiteY2878" fmla="*/ 5363147 h 6858000"/>
            <a:gd name="connsiteX2879" fmla="*/ 8665600 w 12192000"/>
            <a:gd name="connsiteY2879" fmla="*/ 5397966 h 6858000"/>
            <a:gd name="connsiteX2880" fmla="*/ 8750493 w 12192000"/>
            <a:gd name="connsiteY2880" fmla="*/ 5397966 h 6858000"/>
            <a:gd name="connsiteX2881" fmla="*/ 8715667 w 12192000"/>
            <a:gd name="connsiteY2881" fmla="*/ 5363147 h 6858000"/>
            <a:gd name="connsiteX2882" fmla="*/ 8750493 w 12192000"/>
            <a:gd name="connsiteY2882" fmla="*/ 5328328 h 6858000"/>
            <a:gd name="connsiteX2883" fmla="*/ 8785305 w 12192000"/>
            <a:gd name="connsiteY2883" fmla="*/ 5363147 h 6858000"/>
            <a:gd name="connsiteX2884" fmla="*/ 8750493 w 12192000"/>
            <a:gd name="connsiteY2884" fmla="*/ 5397966 h 6858000"/>
            <a:gd name="connsiteX2885" fmla="*/ 8835386 w 12192000"/>
            <a:gd name="connsiteY2885" fmla="*/ 5397966 h 6858000"/>
            <a:gd name="connsiteX2886" fmla="*/ 8800560 w 12192000"/>
            <a:gd name="connsiteY2886" fmla="*/ 5363147 h 6858000"/>
            <a:gd name="connsiteX2887" fmla="*/ 8835386 w 12192000"/>
            <a:gd name="connsiteY2887" fmla="*/ 5328328 h 6858000"/>
            <a:gd name="connsiteX2888" fmla="*/ 8870198 w 12192000"/>
            <a:gd name="connsiteY2888" fmla="*/ 5363147 h 6858000"/>
            <a:gd name="connsiteX2889" fmla="*/ 8835386 w 12192000"/>
            <a:gd name="connsiteY2889" fmla="*/ 5397966 h 6858000"/>
            <a:gd name="connsiteX2890" fmla="*/ 8920278 w 12192000"/>
            <a:gd name="connsiteY2890" fmla="*/ 5397966 h 6858000"/>
            <a:gd name="connsiteX2891" fmla="*/ 8885453 w 12192000"/>
            <a:gd name="connsiteY2891" fmla="*/ 5363147 h 6858000"/>
            <a:gd name="connsiteX2892" fmla="*/ 8920278 w 12192000"/>
            <a:gd name="connsiteY2892" fmla="*/ 5328328 h 6858000"/>
            <a:gd name="connsiteX2893" fmla="*/ 8955090 w 12192000"/>
            <a:gd name="connsiteY2893" fmla="*/ 5363147 h 6858000"/>
            <a:gd name="connsiteX2894" fmla="*/ 8920278 w 12192000"/>
            <a:gd name="connsiteY2894" fmla="*/ 5397966 h 6858000"/>
            <a:gd name="connsiteX2895" fmla="*/ 9005170 w 12192000"/>
            <a:gd name="connsiteY2895" fmla="*/ 5397966 h 6858000"/>
            <a:gd name="connsiteX2896" fmla="*/ 8970345 w 12192000"/>
            <a:gd name="connsiteY2896" fmla="*/ 5363147 h 6858000"/>
            <a:gd name="connsiteX2897" fmla="*/ 9005170 w 12192000"/>
            <a:gd name="connsiteY2897" fmla="*/ 5328328 h 6858000"/>
            <a:gd name="connsiteX2898" fmla="*/ 9039983 w 12192000"/>
            <a:gd name="connsiteY2898" fmla="*/ 5363147 h 6858000"/>
            <a:gd name="connsiteX2899" fmla="*/ 9005170 w 12192000"/>
            <a:gd name="connsiteY2899" fmla="*/ 5397966 h 6858000"/>
            <a:gd name="connsiteX2900" fmla="*/ 9090063 w 12192000"/>
            <a:gd name="connsiteY2900" fmla="*/ 5397966 h 6858000"/>
            <a:gd name="connsiteX2901" fmla="*/ 9055237 w 12192000"/>
            <a:gd name="connsiteY2901" fmla="*/ 5363147 h 6858000"/>
            <a:gd name="connsiteX2902" fmla="*/ 9090063 w 12192000"/>
            <a:gd name="connsiteY2902" fmla="*/ 5328328 h 6858000"/>
            <a:gd name="connsiteX2903" fmla="*/ 9124875 w 12192000"/>
            <a:gd name="connsiteY2903" fmla="*/ 5363147 h 6858000"/>
            <a:gd name="connsiteX2904" fmla="*/ 9090063 w 12192000"/>
            <a:gd name="connsiteY2904" fmla="*/ 5397966 h 6858000"/>
            <a:gd name="connsiteX2905" fmla="*/ 9174956 w 12192000"/>
            <a:gd name="connsiteY2905" fmla="*/ 5397966 h 6858000"/>
            <a:gd name="connsiteX2906" fmla="*/ 9140130 w 12192000"/>
            <a:gd name="connsiteY2906" fmla="*/ 5363147 h 6858000"/>
            <a:gd name="connsiteX2907" fmla="*/ 9174956 w 12192000"/>
            <a:gd name="connsiteY2907" fmla="*/ 5328328 h 6858000"/>
            <a:gd name="connsiteX2908" fmla="*/ 9209768 w 12192000"/>
            <a:gd name="connsiteY2908" fmla="*/ 5363147 h 6858000"/>
            <a:gd name="connsiteX2909" fmla="*/ 9174956 w 12192000"/>
            <a:gd name="connsiteY2909" fmla="*/ 5397966 h 6858000"/>
            <a:gd name="connsiteX2910" fmla="*/ 9259848 w 12192000"/>
            <a:gd name="connsiteY2910" fmla="*/ 5397966 h 6858000"/>
            <a:gd name="connsiteX2911" fmla="*/ 9225023 w 12192000"/>
            <a:gd name="connsiteY2911" fmla="*/ 5363147 h 6858000"/>
            <a:gd name="connsiteX2912" fmla="*/ 9259848 w 12192000"/>
            <a:gd name="connsiteY2912" fmla="*/ 5328328 h 6858000"/>
            <a:gd name="connsiteX2913" fmla="*/ 9294660 w 12192000"/>
            <a:gd name="connsiteY2913" fmla="*/ 5363147 h 6858000"/>
            <a:gd name="connsiteX2914" fmla="*/ 9259848 w 12192000"/>
            <a:gd name="connsiteY2914" fmla="*/ 5397966 h 6858000"/>
            <a:gd name="connsiteX2915" fmla="*/ 9344740 w 12192000"/>
            <a:gd name="connsiteY2915" fmla="*/ 5397966 h 6858000"/>
            <a:gd name="connsiteX2916" fmla="*/ 9309915 w 12192000"/>
            <a:gd name="connsiteY2916" fmla="*/ 5363147 h 6858000"/>
            <a:gd name="connsiteX2917" fmla="*/ 9344740 w 12192000"/>
            <a:gd name="connsiteY2917" fmla="*/ 5328328 h 6858000"/>
            <a:gd name="connsiteX2918" fmla="*/ 9379553 w 12192000"/>
            <a:gd name="connsiteY2918" fmla="*/ 5363147 h 6858000"/>
            <a:gd name="connsiteX2919" fmla="*/ 9344740 w 12192000"/>
            <a:gd name="connsiteY2919" fmla="*/ 5397966 h 6858000"/>
            <a:gd name="connsiteX2920" fmla="*/ 9429633 w 12192000"/>
            <a:gd name="connsiteY2920" fmla="*/ 5397966 h 6858000"/>
            <a:gd name="connsiteX2921" fmla="*/ 9394807 w 12192000"/>
            <a:gd name="connsiteY2921" fmla="*/ 5363147 h 6858000"/>
            <a:gd name="connsiteX2922" fmla="*/ 9429633 w 12192000"/>
            <a:gd name="connsiteY2922" fmla="*/ 5328328 h 6858000"/>
            <a:gd name="connsiteX2923" fmla="*/ 9464445 w 12192000"/>
            <a:gd name="connsiteY2923" fmla="*/ 5363147 h 6858000"/>
            <a:gd name="connsiteX2924" fmla="*/ 9429633 w 12192000"/>
            <a:gd name="connsiteY2924" fmla="*/ 5397966 h 6858000"/>
            <a:gd name="connsiteX2925" fmla="*/ 9514525 w 12192000"/>
            <a:gd name="connsiteY2925" fmla="*/ 5397966 h 6858000"/>
            <a:gd name="connsiteX2926" fmla="*/ 9479699 w 12192000"/>
            <a:gd name="connsiteY2926" fmla="*/ 5363147 h 6858000"/>
            <a:gd name="connsiteX2927" fmla="*/ 9514525 w 12192000"/>
            <a:gd name="connsiteY2927" fmla="*/ 5328328 h 6858000"/>
            <a:gd name="connsiteX2928" fmla="*/ 9549337 w 12192000"/>
            <a:gd name="connsiteY2928" fmla="*/ 5363147 h 6858000"/>
            <a:gd name="connsiteX2929" fmla="*/ 9514525 w 12192000"/>
            <a:gd name="connsiteY2929" fmla="*/ 5397966 h 6858000"/>
            <a:gd name="connsiteX2930" fmla="*/ 9599418 w 12192000"/>
            <a:gd name="connsiteY2930" fmla="*/ 5397966 h 6858000"/>
            <a:gd name="connsiteX2931" fmla="*/ 9564593 w 12192000"/>
            <a:gd name="connsiteY2931" fmla="*/ 5363147 h 6858000"/>
            <a:gd name="connsiteX2932" fmla="*/ 9599418 w 12192000"/>
            <a:gd name="connsiteY2932" fmla="*/ 5328328 h 6858000"/>
            <a:gd name="connsiteX2933" fmla="*/ 9634230 w 12192000"/>
            <a:gd name="connsiteY2933" fmla="*/ 5363147 h 6858000"/>
            <a:gd name="connsiteX2934" fmla="*/ 9599418 w 12192000"/>
            <a:gd name="connsiteY2934" fmla="*/ 5397966 h 6858000"/>
            <a:gd name="connsiteX2935" fmla="*/ 9684310 w 12192000"/>
            <a:gd name="connsiteY2935" fmla="*/ 5397966 h 6858000"/>
            <a:gd name="connsiteX2936" fmla="*/ 9649485 w 12192000"/>
            <a:gd name="connsiteY2936" fmla="*/ 5363147 h 6858000"/>
            <a:gd name="connsiteX2937" fmla="*/ 9684310 w 12192000"/>
            <a:gd name="connsiteY2937" fmla="*/ 5328328 h 6858000"/>
            <a:gd name="connsiteX2938" fmla="*/ 9719123 w 12192000"/>
            <a:gd name="connsiteY2938" fmla="*/ 5363147 h 6858000"/>
            <a:gd name="connsiteX2939" fmla="*/ 9684310 w 12192000"/>
            <a:gd name="connsiteY2939" fmla="*/ 5397966 h 6858000"/>
            <a:gd name="connsiteX2940" fmla="*/ 9769203 w 12192000"/>
            <a:gd name="connsiteY2940" fmla="*/ 5397966 h 6858000"/>
            <a:gd name="connsiteX2941" fmla="*/ 9734377 w 12192000"/>
            <a:gd name="connsiteY2941" fmla="*/ 5363147 h 6858000"/>
            <a:gd name="connsiteX2942" fmla="*/ 9769203 w 12192000"/>
            <a:gd name="connsiteY2942" fmla="*/ 5328328 h 6858000"/>
            <a:gd name="connsiteX2943" fmla="*/ 9804015 w 12192000"/>
            <a:gd name="connsiteY2943" fmla="*/ 5363147 h 6858000"/>
            <a:gd name="connsiteX2944" fmla="*/ 9769203 w 12192000"/>
            <a:gd name="connsiteY2944" fmla="*/ 5397966 h 6858000"/>
            <a:gd name="connsiteX2945" fmla="*/ 9854095 w 12192000"/>
            <a:gd name="connsiteY2945" fmla="*/ 5397966 h 6858000"/>
            <a:gd name="connsiteX2946" fmla="*/ 9819269 w 12192000"/>
            <a:gd name="connsiteY2946" fmla="*/ 5363147 h 6858000"/>
            <a:gd name="connsiteX2947" fmla="*/ 9854095 w 12192000"/>
            <a:gd name="connsiteY2947" fmla="*/ 5328328 h 6858000"/>
            <a:gd name="connsiteX2948" fmla="*/ 9888907 w 12192000"/>
            <a:gd name="connsiteY2948" fmla="*/ 5363147 h 6858000"/>
            <a:gd name="connsiteX2949" fmla="*/ 9854095 w 12192000"/>
            <a:gd name="connsiteY2949" fmla="*/ 5397966 h 6858000"/>
            <a:gd name="connsiteX2950" fmla="*/ 9938988 w 12192000"/>
            <a:gd name="connsiteY2950" fmla="*/ 5397966 h 6858000"/>
            <a:gd name="connsiteX2951" fmla="*/ 9904163 w 12192000"/>
            <a:gd name="connsiteY2951" fmla="*/ 5363147 h 6858000"/>
            <a:gd name="connsiteX2952" fmla="*/ 9938988 w 12192000"/>
            <a:gd name="connsiteY2952" fmla="*/ 5328328 h 6858000"/>
            <a:gd name="connsiteX2953" fmla="*/ 9973800 w 12192000"/>
            <a:gd name="connsiteY2953" fmla="*/ 5363147 h 6858000"/>
            <a:gd name="connsiteX2954" fmla="*/ 9938988 w 12192000"/>
            <a:gd name="connsiteY2954" fmla="*/ 5397966 h 6858000"/>
            <a:gd name="connsiteX2955" fmla="*/ 10023880 w 12192000"/>
            <a:gd name="connsiteY2955" fmla="*/ 5397966 h 6858000"/>
            <a:gd name="connsiteX2956" fmla="*/ 9989055 w 12192000"/>
            <a:gd name="connsiteY2956" fmla="*/ 5363147 h 6858000"/>
            <a:gd name="connsiteX2957" fmla="*/ 10023880 w 12192000"/>
            <a:gd name="connsiteY2957" fmla="*/ 5328328 h 6858000"/>
            <a:gd name="connsiteX2958" fmla="*/ 10058693 w 12192000"/>
            <a:gd name="connsiteY2958" fmla="*/ 5363147 h 6858000"/>
            <a:gd name="connsiteX2959" fmla="*/ 10023880 w 12192000"/>
            <a:gd name="connsiteY2959" fmla="*/ 5397966 h 6858000"/>
            <a:gd name="connsiteX2960" fmla="*/ 10108773 w 12192000"/>
            <a:gd name="connsiteY2960" fmla="*/ 5397966 h 6858000"/>
            <a:gd name="connsiteX2961" fmla="*/ 10073947 w 12192000"/>
            <a:gd name="connsiteY2961" fmla="*/ 5363147 h 6858000"/>
            <a:gd name="connsiteX2962" fmla="*/ 10108773 w 12192000"/>
            <a:gd name="connsiteY2962" fmla="*/ 5328328 h 6858000"/>
            <a:gd name="connsiteX2963" fmla="*/ 10143585 w 12192000"/>
            <a:gd name="connsiteY2963" fmla="*/ 5363147 h 6858000"/>
            <a:gd name="connsiteX2964" fmla="*/ 10108773 w 12192000"/>
            <a:gd name="connsiteY2964" fmla="*/ 5397966 h 6858000"/>
            <a:gd name="connsiteX2965" fmla="*/ 10193665 w 12192000"/>
            <a:gd name="connsiteY2965" fmla="*/ 5397966 h 6858000"/>
            <a:gd name="connsiteX2966" fmla="*/ 10158839 w 12192000"/>
            <a:gd name="connsiteY2966" fmla="*/ 5363147 h 6858000"/>
            <a:gd name="connsiteX2967" fmla="*/ 10193665 w 12192000"/>
            <a:gd name="connsiteY2967" fmla="*/ 5328328 h 6858000"/>
            <a:gd name="connsiteX2968" fmla="*/ 10228477 w 12192000"/>
            <a:gd name="connsiteY2968" fmla="*/ 5363147 h 6858000"/>
            <a:gd name="connsiteX2969" fmla="*/ 10193665 w 12192000"/>
            <a:gd name="connsiteY2969" fmla="*/ 5397966 h 6858000"/>
            <a:gd name="connsiteX2970" fmla="*/ 10363450 w 12192000"/>
            <a:gd name="connsiteY2970" fmla="*/ 5397966 h 6858000"/>
            <a:gd name="connsiteX2971" fmla="*/ 10328625 w 12192000"/>
            <a:gd name="connsiteY2971" fmla="*/ 5363147 h 6858000"/>
            <a:gd name="connsiteX2972" fmla="*/ 10363450 w 12192000"/>
            <a:gd name="connsiteY2972" fmla="*/ 5328328 h 6858000"/>
            <a:gd name="connsiteX2973" fmla="*/ 10398263 w 12192000"/>
            <a:gd name="connsiteY2973" fmla="*/ 5363147 h 6858000"/>
            <a:gd name="connsiteX2974" fmla="*/ 10363450 w 12192000"/>
            <a:gd name="connsiteY2974" fmla="*/ 5397966 h 6858000"/>
            <a:gd name="connsiteX2975" fmla="*/ 10448343 w 12192000"/>
            <a:gd name="connsiteY2975" fmla="*/ 5397966 h 6858000"/>
            <a:gd name="connsiteX2976" fmla="*/ 10413517 w 12192000"/>
            <a:gd name="connsiteY2976" fmla="*/ 5363147 h 6858000"/>
            <a:gd name="connsiteX2977" fmla="*/ 10448343 w 12192000"/>
            <a:gd name="connsiteY2977" fmla="*/ 5328328 h 6858000"/>
            <a:gd name="connsiteX2978" fmla="*/ 10483155 w 12192000"/>
            <a:gd name="connsiteY2978" fmla="*/ 5363147 h 6858000"/>
            <a:gd name="connsiteX2979" fmla="*/ 10448343 w 12192000"/>
            <a:gd name="connsiteY2979" fmla="*/ 5397966 h 6858000"/>
            <a:gd name="connsiteX2980" fmla="*/ 1364843 w 12192000"/>
            <a:gd name="connsiteY2980" fmla="*/ 5313105 h 6858000"/>
            <a:gd name="connsiteX2981" fmla="*/ 1330024 w 12192000"/>
            <a:gd name="connsiteY2981" fmla="*/ 5278286 h 6858000"/>
            <a:gd name="connsiteX2982" fmla="*/ 1364843 w 12192000"/>
            <a:gd name="connsiteY2982" fmla="*/ 5243468 h 6858000"/>
            <a:gd name="connsiteX2983" fmla="*/ 1399662 w 12192000"/>
            <a:gd name="connsiteY2983" fmla="*/ 5278286 h 6858000"/>
            <a:gd name="connsiteX2984" fmla="*/ 1364843 w 12192000"/>
            <a:gd name="connsiteY2984" fmla="*/ 5313105 h 6858000"/>
            <a:gd name="connsiteX2985" fmla="*/ 1449737 w 12192000"/>
            <a:gd name="connsiteY2985" fmla="*/ 5313105 h 6858000"/>
            <a:gd name="connsiteX2986" fmla="*/ 1414918 w 12192000"/>
            <a:gd name="connsiteY2986" fmla="*/ 5278286 h 6858000"/>
            <a:gd name="connsiteX2987" fmla="*/ 1449737 w 12192000"/>
            <a:gd name="connsiteY2987" fmla="*/ 5243468 h 6858000"/>
            <a:gd name="connsiteX2988" fmla="*/ 1484555 w 12192000"/>
            <a:gd name="connsiteY2988" fmla="*/ 5278286 h 6858000"/>
            <a:gd name="connsiteX2989" fmla="*/ 1449737 w 12192000"/>
            <a:gd name="connsiteY2989" fmla="*/ 5313105 h 6858000"/>
            <a:gd name="connsiteX2990" fmla="*/ 1534629 w 12192000"/>
            <a:gd name="connsiteY2990" fmla="*/ 5313105 h 6858000"/>
            <a:gd name="connsiteX2991" fmla="*/ 1499810 w 12192000"/>
            <a:gd name="connsiteY2991" fmla="*/ 5278286 h 6858000"/>
            <a:gd name="connsiteX2992" fmla="*/ 1534629 w 12192000"/>
            <a:gd name="connsiteY2992" fmla="*/ 5243468 h 6858000"/>
            <a:gd name="connsiteX2993" fmla="*/ 1569448 w 12192000"/>
            <a:gd name="connsiteY2993" fmla="*/ 5278286 h 6858000"/>
            <a:gd name="connsiteX2994" fmla="*/ 1534629 w 12192000"/>
            <a:gd name="connsiteY2994" fmla="*/ 5313105 h 6858000"/>
            <a:gd name="connsiteX2995" fmla="*/ 1619521 w 12192000"/>
            <a:gd name="connsiteY2995" fmla="*/ 5313105 h 6858000"/>
            <a:gd name="connsiteX2996" fmla="*/ 1584702 w 12192000"/>
            <a:gd name="connsiteY2996" fmla="*/ 5278286 h 6858000"/>
            <a:gd name="connsiteX2997" fmla="*/ 1619521 w 12192000"/>
            <a:gd name="connsiteY2997" fmla="*/ 5243468 h 6858000"/>
            <a:gd name="connsiteX2998" fmla="*/ 1654340 w 12192000"/>
            <a:gd name="connsiteY2998" fmla="*/ 5278286 h 6858000"/>
            <a:gd name="connsiteX2999" fmla="*/ 1619521 w 12192000"/>
            <a:gd name="connsiteY2999" fmla="*/ 5313105 h 6858000"/>
            <a:gd name="connsiteX3000" fmla="*/ 1704413 w 12192000"/>
            <a:gd name="connsiteY3000" fmla="*/ 5313105 h 6858000"/>
            <a:gd name="connsiteX3001" fmla="*/ 1669594 w 12192000"/>
            <a:gd name="connsiteY3001" fmla="*/ 5278286 h 6858000"/>
            <a:gd name="connsiteX3002" fmla="*/ 1704413 w 12192000"/>
            <a:gd name="connsiteY3002" fmla="*/ 5243468 h 6858000"/>
            <a:gd name="connsiteX3003" fmla="*/ 1739232 w 12192000"/>
            <a:gd name="connsiteY3003" fmla="*/ 5278286 h 6858000"/>
            <a:gd name="connsiteX3004" fmla="*/ 1704413 w 12192000"/>
            <a:gd name="connsiteY3004" fmla="*/ 5313105 h 6858000"/>
            <a:gd name="connsiteX3005" fmla="*/ 1789306 w 12192000"/>
            <a:gd name="connsiteY3005" fmla="*/ 5313105 h 6858000"/>
            <a:gd name="connsiteX3006" fmla="*/ 1754487 w 12192000"/>
            <a:gd name="connsiteY3006" fmla="*/ 5278286 h 6858000"/>
            <a:gd name="connsiteX3007" fmla="*/ 1789306 w 12192000"/>
            <a:gd name="connsiteY3007" fmla="*/ 5243468 h 6858000"/>
            <a:gd name="connsiteX3008" fmla="*/ 1824124 w 12192000"/>
            <a:gd name="connsiteY3008" fmla="*/ 5278286 h 6858000"/>
            <a:gd name="connsiteX3009" fmla="*/ 1789306 w 12192000"/>
            <a:gd name="connsiteY3009" fmla="*/ 5313105 h 6858000"/>
            <a:gd name="connsiteX3010" fmla="*/ 1874199 w 12192000"/>
            <a:gd name="connsiteY3010" fmla="*/ 5313105 h 6858000"/>
            <a:gd name="connsiteX3011" fmla="*/ 1839380 w 12192000"/>
            <a:gd name="connsiteY3011" fmla="*/ 5278286 h 6858000"/>
            <a:gd name="connsiteX3012" fmla="*/ 1874199 w 12192000"/>
            <a:gd name="connsiteY3012" fmla="*/ 5243468 h 6858000"/>
            <a:gd name="connsiteX3013" fmla="*/ 1909018 w 12192000"/>
            <a:gd name="connsiteY3013" fmla="*/ 5278286 h 6858000"/>
            <a:gd name="connsiteX3014" fmla="*/ 1874199 w 12192000"/>
            <a:gd name="connsiteY3014" fmla="*/ 5313105 h 6858000"/>
            <a:gd name="connsiteX3015" fmla="*/ 1959091 w 12192000"/>
            <a:gd name="connsiteY3015" fmla="*/ 5313105 h 6858000"/>
            <a:gd name="connsiteX3016" fmla="*/ 1924272 w 12192000"/>
            <a:gd name="connsiteY3016" fmla="*/ 5278286 h 6858000"/>
            <a:gd name="connsiteX3017" fmla="*/ 1959091 w 12192000"/>
            <a:gd name="connsiteY3017" fmla="*/ 5243468 h 6858000"/>
            <a:gd name="connsiteX3018" fmla="*/ 1993910 w 12192000"/>
            <a:gd name="connsiteY3018" fmla="*/ 5278286 h 6858000"/>
            <a:gd name="connsiteX3019" fmla="*/ 1959091 w 12192000"/>
            <a:gd name="connsiteY3019" fmla="*/ 5313105 h 6858000"/>
            <a:gd name="connsiteX3020" fmla="*/ 2043983 w 12192000"/>
            <a:gd name="connsiteY3020" fmla="*/ 5313105 h 6858000"/>
            <a:gd name="connsiteX3021" fmla="*/ 2009164 w 12192000"/>
            <a:gd name="connsiteY3021" fmla="*/ 5278286 h 6858000"/>
            <a:gd name="connsiteX3022" fmla="*/ 2043983 w 12192000"/>
            <a:gd name="connsiteY3022" fmla="*/ 5243468 h 6858000"/>
            <a:gd name="connsiteX3023" fmla="*/ 2078802 w 12192000"/>
            <a:gd name="connsiteY3023" fmla="*/ 5278286 h 6858000"/>
            <a:gd name="connsiteX3024" fmla="*/ 2043983 w 12192000"/>
            <a:gd name="connsiteY3024" fmla="*/ 5313105 h 6858000"/>
            <a:gd name="connsiteX3025" fmla="*/ 2128876 w 12192000"/>
            <a:gd name="connsiteY3025" fmla="*/ 5313105 h 6858000"/>
            <a:gd name="connsiteX3026" fmla="*/ 2094057 w 12192000"/>
            <a:gd name="connsiteY3026" fmla="*/ 5278286 h 6858000"/>
            <a:gd name="connsiteX3027" fmla="*/ 2128876 w 12192000"/>
            <a:gd name="connsiteY3027" fmla="*/ 5243468 h 6858000"/>
            <a:gd name="connsiteX3028" fmla="*/ 2163694 w 12192000"/>
            <a:gd name="connsiteY3028" fmla="*/ 5278286 h 6858000"/>
            <a:gd name="connsiteX3029" fmla="*/ 2128876 w 12192000"/>
            <a:gd name="connsiteY3029" fmla="*/ 5313105 h 6858000"/>
            <a:gd name="connsiteX3030" fmla="*/ 2213769 w 12192000"/>
            <a:gd name="connsiteY3030" fmla="*/ 5313105 h 6858000"/>
            <a:gd name="connsiteX3031" fmla="*/ 2178950 w 12192000"/>
            <a:gd name="connsiteY3031" fmla="*/ 5278286 h 6858000"/>
            <a:gd name="connsiteX3032" fmla="*/ 2213769 w 12192000"/>
            <a:gd name="connsiteY3032" fmla="*/ 5243468 h 6858000"/>
            <a:gd name="connsiteX3033" fmla="*/ 2248588 w 12192000"/>
            <a:gd name="connsiteY3033" fmla="*/ 5278286 h 6858000"/>
            <a:gd name="connsiteX3034" fmla="*/ 2213769 w 12192000"/>
            <a:gd name="connsiteY3034" fmla="*/ 5313105 h 6858000"/>
            <a:gd name="connsiteX3035" fmla="*/ 2298661 w 12192000"/>
            <a:gd name="connsiteY3035" fmla="*/ 5313105 h 6858000"/>
            <a:gd name="connsiteX3036" fmla="*/ 2263842 w 12192000"/>
            <a:gd name="connsiteY3036" fmla="*/ 5278286 h 6858000"/>
            <a:gd name="connsiteX3037" fmla="*/ 2298661 w 12192000"/>
            <a:gd name="connsiteY3037" fmla="*/ 5243468 h 6858000"/>
            <a:gd name="connsiteX3038" fmla="*/ 2333480 w 12192000"/>
            <a:gd name="connsiteY3038" fmla="*/ 5278286 h 6858000"/>
            <a:gd name="connsiteX3039" fmla="*/ 2298661 w 12192000"/>
            <a:gd name="connsiteY3039" fmla="*/ 5313105 h 6858000"/>
            <a:gd name="connsiteX3040" fmla="*/ 2383553 w 12192000"/>
            <a:gd name="connsiteY3040" fmla="*/ 5313105 h 6858000"/>
            <a:gd name="connsiteX3041" fmla="*/ 2348734 w 12192000"/>
            <a:gd name="connsiteY3041" fmla="*/ 5278286 h 6858000"/>
            <a:gd name="connsiteX3042" fmla="*/ 2383553 w 12192000"/>
            <a:gd name="connsiteY3042" fmla="*/ 5243468 h 6858000"/>
            <a:gd name="connsiteX3043" fmla="*/ 2418372 w 12192000"/>
            <a:gd name="connsiteY3043" fmla="*/ 5278286 h 6858000"/>
            <a:gd name="connsiteX3044" fmla="*/ 2383553 w 12192000"/>
            <a:gd name="connsiteY3044" fmla="*/ 5313105 h 6858000"/>
            <a:gd name="connsiteX3045" fmla="*/ 2468446 w 12192000"/>
            <a:gd name="connsiteY3045" fmla="*/ 5313105 h 6858000"/>
            <a:gd name="connsiteX3046" fmla="*/ 2433627 w 12192000"/>
            <a:gd name="connsiteY3046" fmla="*/ 5278286 h 6858000"/>
            <a:gd name="connsiteX3047" fmla="*/ 2468446 w 12192000"/>
            <a:gd name="connsiteY3047" fmla="*/ 5243468 h 6858000"/>
            <a:gd name="connsiteX3048" fmla="*/ 2503264 w 12192000"/>
            <a:gd name="connsiteY3048" fmla="*/ 5278286 h 6858000"/>
            <a:gd name="connsiteX3049" fmla="*/ 2468446 w 12192000"/>
            <a:gd name="connsiteY3049" fmla="*/ 5313105 h 6858000"/>
            <a:gd name="connsiteX3050" fmla="*/ 2553339 w 12192000"/>
            <a:gd name="connsiteY3050" fmla="*/ 5313105 h 6858000"/>
            <a:gd name="connsiteX3051" fmla="*/ 2518520 w 12192000"/>
            <a:gd name="connsiteY3051" fmla="*/ 5278286 h 6858000"/>
            <a:gd name="connsiteX3052" fmla="*/ 2553339 w 12192000"/>
            <a:gd name="connsiteY3052" fmla="*/ 5243468 h 6858000"/>
            <a:gd name="connsiteX3053" fmla="*/ 2588158 w 12192000"/>
            <a:gd name="connsiteY3053" fmla="*/ 5278286 h 6858000"/>
            <a:gd name="connsiteX3054" fmla="*/ 2553339 w 12192000"/>
            <a:gd name="connsiteY3054" fmla="*/ 5313105 h 6858000"/>
            <a:gd name="connsiteX3055" fmla="*/ 2638231 w 12192000"/>
            <a:gd name="connsiteY3055" fmla="*/ 5313105 h 6858000"/>
            <a:gd name="connsiteX3056" fmla="*/ 2603412 w 12192000"/>
            <a:gd name="connsiteY3056" fmla="*/ 5278286 h 6858000"/>
            <a:gd name="connsiteX3057" fmla="*/ 2638231 w 12192000"/>
            <a:gd name="connsiteY3057" fmla="*/ 5243468 h 6858000"/>
            <a:gd name="connsiteX3058" fmla="*/ 2673050 w 12192000"/>
            <a:gd name="connsiteY3058" fmla="*/ 5278286 h 6858000"/>
            <a:gd name="connsiteX3059" fmla="*/ 2638231 w 12192000"/>
            <a:gd name="connsiteY3059" fmla="*/ 5313105 h 6858000"/>
            <a:gd name="connsiteX3060" fmla="*/ 2723123 w 12192000"/>
            <a:gd name="connsiteY3060" fmla="*/ 5313105 h 6858000"/>
            <a:gd name="connsiteX3061" fmla="*/ 2688304 w 12192000"/>
            <a:gd name="connsiteY3061" fmla="*/ 5278286 h 6858000"/>
            <a:gd name="connsiteX3062" fmla="*/ 2723123 w 12192000"/>
            <a:gd name="connsiteY3062" fmla="*/ 5243468 h 6858000"/>
            <a:gd name="connsiteX3063" fmla="*/ 2757942 w 12192000"/>
            <a:gd name="connsiteY3063" fmla="*/ 5278286 h 6858000"/>
            <a:gd name="connsiteX3064" fmla="*/ 2723123 w 12192000"/>
            <a:gd name="connsiteY3064" fmla="*/ 5313105 h 6858000"/>
            <a:gd name="connsiteX3065" fmla="*/ 2808016 w 12192000"/>
            <a:gd name="connsiteY3065" fmla="*/ 5313105 h 6858000"/>
            <a:gd name="connsiteX3066" fmla="*/ 2773197 w 12192000"/>
            <a:gd name="connsiteY3066" fmla="*/ 5278286 h 6858000"/>
            <a:gd name="connsiteX3067" fmla="*/ 2808016 w 12192000"/>
            <a:gd name="connsiteY3067" fmla="*/ 5243468 h 6858000"/>
            <a:gd name="connsiteX3068" fmla="*/ 2842834 w 12192000"/>
            <a:gd name="connsiteY3068" fmla="*/ 5278286 h 6858000"/>
            <a:gd name="connsiteX3069" fmla="*/ 2808016 w 12192000"/>
            <a:gd name="connsiteY3069" fmla="*/ 5313105 h 6858000"/>
            <a:gd name="connsiteX3070" fmla="*/ 2892908 w 12192000"/>
            <a:gd name="connsiteY3070" fmla="*/ 5313105 h 6858000"/>
            <a:gd name="connsiteX3071" fmla="*/ 2858089 w 12192000"/>
            <a:gd name="connsiteY3071" fmla="*/ 5278286 h 6858000"/>
            <a:gd name="connsiteX3072" fmla="*/ 2892908 w 12192000"/>
            <a:gd name="connsiteY3072" fmla="*/ 5243468 h 6858000"/>
            <a:gd name="connsiteX3073" fmla="*/ 2927727 w 12192000"/>
            <a:gd name="connsiteY3073" fmla="*/ 5278286 h 6858000"/>
            <a:gd name="connsiteX3074" fmla="*/ 2892908 w 12192000"/>
            <a:gd name="connsiteY3074" fmla="*/ 5313105 h 6858000"/>
            <a:gd name="connsiteX3075" fmla="*/ 2977801 w 12192000"/>
            <a:gd name="connsiteY3075" fmla="*/ 5313105 h 6858000"/>
            <a:gd name="connsiteX3076" fmla="*/ 2942982 w 12192000"/>
            <a:gd name="connsiteY3076" fmla="*/ 5278286 h 6858000"/>
            <a:gd name="connsiteX3077" fmla="*/ 2977801 w 12192000"/>
            <a:gd name="connsiteY3077" fmla="*/ 5243468 h 6858000"/>
            <a:gd name="connsiteX3078" fmla="*/ 3012620 w 12192000"/>
            <a:gd name="connsiteY3078" fmla="*/ 5278286 h 6858000"/>
            <a:gd name="connsiteX3079" fmla="*/ 2977801 w 12192000"/>
            <a:gd name="connsiteY3079" fmla="*/ 5313105 h 6858000"/>
            <a:gd name="connsiteX3080" fmla="*/ 3062693 w 12192000"/>
            <a:gd name="connsiteY3080" fmla="*/ 5313105 h 6858000"/>
            <a:gd name="connsiteX3081" fmla="*/ 3027874 w 12192000"/>
            <a:gd name="connsiteY3081" fmla="*/ 5278286 h 6858000"/>
            <a:gd name="connsiteX3082" fmla="*/ 3062693 w 12192000"/>
            <a:gd name="connsiteY3082" fmla="*/ 5243468 h 6858000"/>
            <a:gd name="connsiteX3083" fmla="*/ 3097512 w 12192000"/>
            <a:gd name="connsiteY3083" fmla="*/ 5278286 h 6858000"/>
            <a:gd name="connsiteX3084" fmla="*/ 3062693 w 12192000"/>
            <a:gd name="connsiteY3084" fmla="*/ 5313105 h 6858000"/>
            <a:gd name="connsiteX3085" fmla="*/ 3147586 w 12192000"/>
            <a:gd name="connsiteY3085" fmla="*/ 5313105 h 6858000"/>
            <a:gd name="connsiteX3086" fmla="*/ 3112767 w 12192000"/>
            <a:gd name="connsiteY3086" fmla="*/ 5278286 h 6858000"/>
            <a:gd name="connsiteX3087" fmla="*/ 3147586 w 12192000"/>
            <a:gd name="connsiteY3087" fmla="*/ 5243468 h 6858000"/>
            <a:gd name="connsiteX3088" fmla="*/ 3182404 w 12192000"/>
            <a:gd name="connsiteY3088" fmla="*/ 5278286 h 6858000"/>
            <a:gd name="connsiteX3089" fmla="*/ 3147586 w 12192000"/>
            <a:gd name="connsiteY3089" fmla="*/ 5313105 h 6858000"/>
            <a:gd name="connsiteX3090" fmla="*/ 3232478 w 12192000"/>
            <a:gd name="connsiteY3090" fmla="*/ 5313105 h 6858000"/>
            <a:gd name="connsiteX3091" fmla="*/ 3197659 w 12192000"/>
            <a:gd name="connsiteY3091" fmla="*/ 5278286 h 6858000"/>
            <a:gd name="connsiteX3092" fmla="*/ 3232478 w 12192000"/>
            <a:gd name="connsiteY3092" fmla="*/ 5243468 h 6858000"/>
            <a:gd name="connsiteX3093" fmla="*/ 3267297 w 12192000"/>
            <a:gd name="connsiteY3093" fmla="*/ 5278286 h 6858000"/>
            <a:gd name="connsiteX3094" fmla="*/ 3232478 w 12192000"/>
            <a:gd name="connsiteY3094" fmla="*/ 5313105 h 6858000"/>
            <a:gd name="connsiteX3095" fmla="*/ 3317371 w 12192000"/>
            <a:gd name="connsiteY3095" fmla="*/ 5313105 h 6858000"/>
            <a:gd name="connsiteX3096" fmla="*/ 3282552 w 12192000"/>
            <a:gd name="connsiteY3096" fmla="*/ 5278286 h 6858000"/>
            <a:gd name="connsiteX3097" fmla="*/ 3317371 w 12192000"/>
            <a:gd name="connsiteY3097" fmla="*/ 5243468 h 6858000"/>
            <a:gd name="connsiteX3098" fmla="*/ 3352190 w 12192000"/>
            <a:gd name="connsiteY3098" fmla="*/ 5278286 h 6858000"/>
            <a:gd name="connsiteX3099" fmla="*/ 3317371 w 12192000"/>
            <a:gd name="connsiteY3099" fmla="*/ 5313105 h 6858000"/>
            <a:gd name="connsiteX3100" fmla="*/ 3402263 w 12192000"/>
            <a:gd name="connsiteY3100" fmla="*/ 5313105 h 6858000"/>
            <a:gd name="connsiteX3101" fmla="*/ 3367444 w 12192000"/>
            <a:gd name="connsiteY3101" fmla="*/ 5278286 h 6858000"/>
            <a:gd name="connsiteX3102" fmla="*/ 3402263 w 12192000"/>
            <a:gd name="connsiteY3102" fmla="*/ 5243468 h 6858000"/>
            <a:gd name="connsiteX3103" fmla="*/ 3437082 w 12192000"/>
            <a:gd name="connsiteY3103" fmla="*/ 5278286 h 6858000"/>
            <a:gd name="connsiteX3104" fmla="*/ 3402263 w 12192000"/>
            <a:gd name="connsiteY3104" fmla="*/ 5313105 h 6858000"/>
            <a:gd name="connsiteX3105" fmla="*/ 3487156 w 12192000"/>
            <a:gd name="connsiteY3105" fmla="*/ 5313105 h 6858000"/>
            <a:gd name="connsiteX3106" fmla="*/ 3452337 w 12192000"/>
            <a:gd name="connsiteY3106" fmla="*/ 5278286 h 6858000"/>
            <a:gd name="connsiteX3107" fmla="*/ 3487156 w 12192000"/>
            <a:gd name="connsiteY3107" fmla="*/ 5243468 h 6858000"/>
            <a:gd name="connsiteX3108" fmla="*/ 3521974 w 12192000"/>
            <a:gd name="connsiteY3108" fmla="*/ 5278286 h 6858000"/>
            <a:gd name="connsiteX3109" fmla="*/ 3487156 w 12192000"/>
            <a:gd name="connsiteY3109" fmla="*/ 5313105 h 6858000"/>
            <a:gd name="connsiteX3110" fmla="*/ 3572048 w 12192000"/>
            <a:gd name="connsiteY3110" fmla="*/ 5313105 h 6858000"/>
            <a:gd name="connsiteX3111" fmla="*/ 3537229 w 12192000"/>
            <a:gd name="connsiteY3111" fmla="*/ 5278286 h 6858000"/>
            <a:gd name="connsiteX3112" fmla="*/ 3572048 w 12192000"/>
            <a:gd name="connsiteY3112" fmla="*/ 5243468 h 6858000"/>
            <a:gd name="connsiteX3113" fmla="*/ 3606867 w 12192000"/>
            <a:gd name="connsiteY3113" fmla="*/ 5278286 h 6858000"/>
            <a:gd name="connsiteX3114" fmla="*/ 3572048 w 12192000"/>
            <a:gd name="connsiteY3114" fmla="*/ 5313105 h 6858000"/>
            <a:gd name="connsiteX3115" fmla="*/ 3656941 w 12192000"/>
            <a:gd name="connsiteY3115" fmla="*/ 5313105 h 6858000"/>
            <a:gd name="connsiteX3116" fmla="*/ 3622122 w 12192000"/>
            <a:gd name="connsiteY3116" fmla="*/ 5278286 h 6858000"/>
            <a:gd name="connsiteX3117" fmla="*/ 3656941 w 12192000"/>
            <a:gd name="connsiteY3117" fmla="*/ 5243468 h 6858000"/>
            <a:gd name="connsiteX3118" fmla="*/ 3691760 w 12192000"/>
            <a:gd name="connsiteY3118" fmla="*/ 5278286 h 6858000"/>
            <a:gd name="connsiteX3119" fmla="*/ 3656941 w 12192000"/>
            <a:gd name="connsiteY3119" fmla="*/ 5313105 h 6858000"/>
            <a:gd name="connsiteX3120" fmla="*/ 3741833 w 12192000"/>
            <a:gd name="connsiteY3120" fmla="*/ 5313105 h 6858000"/>
            <a:gd name="connsiteX3121" fmla="*/ 3707014 w 12192000"/>
            <a:gd name="connsiteY3121" fmla="*/ 5278286 h 6858000"/>
            <a:gd name="connsiteX3122" fmla="*/ 3741833 w 12192000"/>
            <a:gd name="connsiteY3122" fmla="*/ 5243468 h 6858000"/>
            <a:gd name="connsiteX3123" fmla="*/ 3776652 w 12192000"/>
            <a:gd name="connsiteY3123" fmla="*/ 5278286 h 6858000"/>
            <a:gd name="connsiteX3124" fmla="*/ 3741833 w 12192000"/>
            <a:gd name="connsiteY3124" fmla="*/ 5313105 h 6858000"/>
            <a:gd name="connsiteX3125" fmla="*/ 3911618 w 12192000"/>
            <a:gd name="connsiteY3125" fmla="*/ 5313105 h 6858000"/>
            <a:gd name="connsiteX3126" fmla="*/ 3876799 w 12192000"/>
            <a:gd name="connsiteY3126" fmla="*/ 5278286 h 6858000"/>
            <a:gd name="connsiteX3127" fmla="*/ 3911618 w 12192000"/>
            <a:gd name="connsiteY3127" fmla="*/ 5243468 h 6858000"/>
            <a:gd name="connsiteX3128" fmla="*/ 3946437 w 12192000"/>
            <a:gd name="connsiteY3128" fmla="*/ 5278286 h 6858000"/>
            <a:gd name="connsiteX3129" fmla="*/ 3911618 w 12192000"/>
            <a:gd name="connsiteY3129" fmla="*/ 5313105 h 6858000"/>
            <a:gd name="connsiteX3130" fmla="*/ 4081403 w 12192000"/>
            <a:gd name="connsiteY3130" fmla="*/ 5313105 h 6858000"/>
            <a:gd name="connsiteX3131" fmla="*/ 4046584 w 12192000"/>
            <a:gd name="connsiteY3131" fmla="*/ 5278286 h 6858000"/>
            <a:gd name="connsiteX3132" fmla="*/ 4081403 w 12192000"/>
            <a:gd name="connsiteY3132" fmla="*/ 5243468 h 6858000"/>
            <a:gd name="connsiteX3133" fmla="*/ 4116222 w 12192000"/>
            <a:gd name="connsiteY3133" fmla="*/ 5278286 h 6858000"/>
            <a:gd name="connsiteX3134" fmla="*/ 4081403 w 12192000"/>
            <a:gd name="connsiteY3134" fmla="*/ 5313105 h 6858000"/>
            <a:gd name="connsiteX3135" fmla="*/ 4675650 w 12192000"/>
            <a:gd name="connsiteY3135" fmla="*/ 5313105 h 6858000"/>
            <a:gd name="connsiteX3136" fmla="*/ 4640831 w 12192000"/>
            <a:gd name="connsiteY3136" fmla="*/ 5278286 h 6858000"/>
            <a:gd name="connsiteX3137" fmla="*/ 4675650 w 12192000"/>
            <a:gd name="connsiteY3137" fmla="*/ 5243468 h 6858000"/>
            <a:gd name="connsiteX3138" fmla="*/ 4710469 w 12192000"/>
            <a:gd name="connsiteY3138" fmla="*/ 5278286 h 6858000"/>
            <a:gd name="connsiteX3139" fmla="*/ 4675650 w 12192000"/>
            <a:gd name="connsiteY3139" fmla="*/ 5313105 h 6858000"/>
            <a:gd name="connsiteX3140" fmla="*/ 4760543 w 12192000"/>
            <a:gd name="connsiteY3140" fmla="*/ 5313105 h 6858000"/>
            <a:gd name="connsiteX3141" fmla="*/ 4725724 w 12192000"/>
            <a:gd name="connsiteY3141" fmla="*/ 5278286 h 6858000"/>
            <a:gd name="connsiteX3142" fmla="*/ 4760543 w 12192000"/>
            <a:gd name="connsiteY3142" fmla="*/ 5243468 h 6858000"/>
            <a:gd name="connsiteX3143" fmla="*/ 4795362 w 12192000"/>
            <a:gd name="connsiteY3143" fmla="*/ 5278286 h 6858000"/>
            <a:gd name="connsiteX3144" fmla="*/ 4760543 w 12192000"/>
            <a:gd name="connsiteY3144" fmla="*/ 5313105 h 6858000"/>
            <a:gd name="connsiteX3145" fmla="*/ 4845436 w 12192000"/>
            <a:gd name="connsiteY3145" fmla="*/ 5313105 h 6858000"/>
            <a:gd name="connsiteX3146" fmla="*/ 4810617 w 12192000"/>
            <a:gd name="connsiteY3146" fmla="*/ 5278286 h 6858000"/>
            <a:gd name="connsiteX3147" fmla="*/ 4845436 w 12192000"/>
            <a:gd name="connsiteY3147" fmla="*/ 5243468 h 6858000"/>
            <a:gd name="connsiteX3148" fmla="*/ 4880254 w 12192000"/>
            <a:gd name="connsiteY3148" fmla="*/ 5278286 h 6858000"/>
            <a:gd name="connsiteX3149" fmla="*/ 4845436 w 12192000"/>
            <a:gd name="connsiteY3149" fmla="*/ 5313105 h 6858000"/>
            <a:gd name="connsiteX3150" fmla="*/ 4930328 w 12192000"/>
            <a:gd name="connsiteY3150" fmla="*/ 5313105 h 6858000"/>
            <a:gd name="connsiteX3151" fmla="*/ 4895509 w 12192000"/>
            <a:gd name="connsiteY3151" fmla="*/ 5278286 h 6858000"/>
            <a:gd name="connsiteX3152" fmla="*/ 4930328 w 12192000"/>
            <a:gd name="connsiteY3152" fmla="*/ 5243468 h 6858000"/>
            <a:gd name="connsiteX3153" fmla="*/ 4965147 w 12192000"/>
            <a:gd name="connsiteY3153" fmla="*/ 5278286 h 6858000"/>
            <a:gd name="connsiteX3154" fmla="*/ 4930328 w 12192000"/>
            <a:gd name="connsiteY3154" fmla="*/ 5313105 h 6858000"/>
            <a:gd name="connsiteX3155" fmla="*/ 5015220 w 12192000"/>
            <a:gd name="connsiteY3155" fmla="*/ 5313105 h 6858000"/>
            <a:gd name="connsiteX3156" fmla="*/ 4980401 w 12192000"/>
            <a:gd name="connsiteY3156" fmla="*/ 5278286 h 6858000"/>
            <a:gd name="connsiteX3157" fmla="*/ 5015220 w 12192000"/>
            <a:gd name="connsiteY3157" fmla="*/ 5243468 h 6858000"/>
            <a:gd name="connsiteX3158" fmla="*/ 5050039 w 12192000"/>
            <a:gd name="connsiteY3158" fmla="*/ 5278286 h 6858000"/>
            <a:gd name="connsiteX3159" fmla="*/ 5015220 w 12192000"/>
            <a:gd name="connsiteY3159" fmla="*/ 5313105 h 6858000"/>
            <a:gd name="connsiteX3160" fmla="*/ 5100113 w 12192000"/>
            <a:gd name="connsiteY3160" fmla="*/ 5313105 h 6858000"/>
            <a:gd name="connsiteX3161" fmla="*/ 5065294 w 12192000"/>
            <a:gd name="connsiteY3161" fmla="*/ 5278286 h 6858000"/>
            <a:gd name="connsiteX3162" fmla="*/ 5100113 w 12192000"/>
            <a:gd name="connsiteY3162" fmla="*/ 5243468 h 6858000"/>
            <a:gd name="connsiteX3163" fmla="*/ 5134932 w 12192000"/>
            <a:gd name="connsiteY3163" fmla="*/ 5278286 h 6858000"/>
            <a:gd name="connsiteX3164" fmla="*/ 5100113 w 12192000"/>
            <a:gd name="connsiteY3164" fmla="*/ 5313105 h 6858000"/>
            <a:gd name="connsiteX3165" fmla="*/ 5185006 w 12192000"/>
            <a:gd name="connsiteY3165" fmla="*/ 5313105 h 6858000"/>
            <a:gd name="connsiteX3166" fmla="*/ 5150187 w 12192000"/>
            <a:gd name="connsiteY3166" fmla="*/ 5278286 h 6858000"/>
            <a:gd name="connsiteX3167" fmla="*/ 5185006 w 12192000"/>
            <a:gd name="connsiteY3167" fmla="*/ 5243468 h 6858000"/>
            <a:gd name="connsiteX3168" fmla="*/ 5219824 w 12192000"/>
            <a:gd name="connsiteY3168" fmla="*/ 5278286 h 6858000"/>
            <a:gd name="connsiteX3169" fmla="*/ 5185006 w 12192000"/>
            <a:gd name="connsiteY3169" fmla="*/ 5313105 h 6858000"/>
            <a:gd name="connsiteX3170" fmla="*/ 6458396 w 12192000"/>
            <a:gd name="connsiteY3170" fmla="*/ 5313105 h 6858000"/>
            <a:gd name="connsiteX3171" fmla="*/ 6423570 w 12192000"/>
            <a:gd name="connsiteY3171" fmla="*/ 5278286 h 6858000"/>
            <a:gd name="connsiteX3172" fmla="*/ 6458396 w 12192000"/>
            <a:gd name="connsiteY3172" fmla="*/ 5243468 h 6858000"/>
            <a:gd name="connsiteX3173" fmla="*/ 6493208 w 12192000"/>
            <a:gd name="connsiteY3173" fmla="*/ 5278286 h 6858000"/>
            <a:gd name="connsiteX3174" fmla="*/ 6458396 w 12192000"/>
            <a:gd name="connsiteY3174" fmla="*/ 5313105 h 6858000"/>
            <a:gd name="connsiteX3175" fmla="*/ 6543288 w 12192000"/>
            <a:gd name="connsiteY3175" fmla="*/ 5313105 h 6858000"/>
            <a:gd name="connsiteX3176" fmla="*/ 6508463 w 12192000"/>
            <a:gd name="connsiteY3176" fmla="*/ 5278286 h 6858000"/>
            <a:gd name="connsiteX3177" fmla="*/ 6543288 w 12192000"/>
            <a:gd name="connsiteY3177" fmla="*/ 5243468 h 6858000"/>
            <a:gd name="connsiteX3178" fmla="*/ 6578100 w 12192000"/>
            <a:gd name="connsiteY3178" fmla="*/ 5278286 h 6858000"/>
            <a:gd name="connsiteX3179" fmla="*/ 6543288 w 12192000"/>
            <a:gd name="connsiteY3179" fmla="*/ 5313105 h 6858000"/>
            <a:gd name="connsiteX3180" fmla="*/ 7052644 w 12192000"/>
            <a:gd name="connsiteY3180" fmla="*/ 5313105 h 6858000"/>
            <a:gd name="connsiteX3181" fmla="*/ 7017818 w 12192000"/>
            <a:gd name="connsiteY3181" fmla="*/ 5278286 h 6858000"/>
            <a:gd name="connsiteX3182" fmla="*/ 7052644 w 12192000"/>
            <a:gd name="connsiteY3182" fmla="*/ 5243468 h 6858000"/>
            <a:gd name="connsiteX3183" fmla="*/ 7087456 w 12192000"/>
            <a:gd name="connsiteY3183" fmla="*/ 5278286 h 6858000"/>
            <a:gd name="connsiteX3184" fmla="*/ 7052644 w 12192000"/>
            <a:gd name="connsiteY3184" fmla="*/ 5313105 h 6858000"/>
            <a:gd name="connsiteX3185" fmla="*/ 7392214 w 12192000"/>
            <a:gd name="connsiteY3185" fmla="*/ 5313105 h 6858000"/>
            <a:gd name="connsiteX3186" fmla="*/ 7357388 w 12192000"/>
            <a:gd name="connsiteY3186" fmla="*/ 5278286 h 6858000"/>
            <a:gd name="connsiteX3187" fmla="*/ 7392214 w 12192000"/>
            <a:gd name="connsiteY3187" fmla="*/ 5243468 h 6858000"/>
            <a:gd name="connsiteX3188" fmla="*/ 7427026 w 12192000"/>
            <a:gd name="connsiteY3188" fmla="*/ 5278286 h 6858000"/>
            <a:gd name="connsiteX3189" fmla="*/ 7392214 w 12192000"/>
            <a:gd name="connsiteY3189" fmla="*/ 5313105 h 6858000"/>
            <a:gd name="connsiteX3190" fmla="*/ 7477106 w 12192000"/>
            <a:gd name="connsiteY3190" fmla="*/ 5313105 h 6858000"/>
            <a:gd name="connsiteX3191" fmla="*/ 7442280 w 12192000"/>
            <a:gd name="connsiteY3191" fmla="*/ 5278286 h 6858000"/>
            <a:gd name="connsiteX3192" fmla="*/ 7477106 w 12192000"/>
            <a:gd name="connsiteY3192" fmla="*/ 5243468 h 6858000"/>
            <a:gd name="connsiteX3193" fmla="*/ 7511918 w 12192000"/>
            <a:gd name="connsiteY3193" fmla="*/ 5278286 h 6858000"/>
            <a:gd name="connsiteX3194" fmla="*/ 7477106 w 12192000"/>
            <a:gd name="connsiteY3194" fmla="*/ 5313105 h 6858000"/>
            <a:gd name="connsiteX3195" fmla="*/ 7646890 w 12192000"/>
            <a:gd name="connsiteY3195" fmla="*/ 5313105 h 6858000"/>
            <a:gd name="connsiteX3196" fmla="*/ 7612065 w 12192000"/>
            <a:gd name="connsiteY3196" fmla="*/ 5278286 h 6858000"/>
            <a:gd name="connsiteX3197" fmla="*/ 7646890 w 12192000"/>
            <a:gd name="connsiteY3197" fmla="*/ 5243468 h 6858000"/>
            <a:gd name="connsiteX3198" fmla="*/ 7681703 w 12192000"/>
            <a:gd name="connsiteY3198" fmla="*/ 5278286 h 6858000"/>
            <a:gd name="connsiteX3199" fmla="*/ 7646890 w 12192000"/>
            <a:gd name="connsiteY3199" fmla="*/ 5313105 h 6858000"/>
            <a:gd name="connsiteX3200" fmla="*/ 7731784 w 12192000"/>
            <a:gd name="connsiteY3200" fmla="*/ 5313105 h 6858000"/>
            <a:gd name="connsiteX3201" fmla="*/ 7696958 w 12192000"/>
            <a:gd name="connsiteY3201" fmla="*/ 5278286 h 6858000"/>
            <a:gd name="connsiteX3202" fmla="*/ 7731784 w 12192000"/>
            <a:gd name="connsiteY3202" fmla="*/ 5243468 h 6858000"/>
            <a:gd name="connsiteX3203" fmla="*/ 7766596 w 12192000"/>
            <a:gd name="connsiteY3203" fmla="*/ 5278286 h 6858000"/>
            <a:gd name="connsiteX3204" fmla="*/ 7731784 w 12192000"/>
            <a:gd name="connsiteY3204" fmla="*/ 5313105 h 6858000"/>
            <a:gd name="connsiteX3205" fmla="*/ 7901568 w 12192000"/>
            <a:gd name="connsiteY3205" fmla="*/ 5313105 h 6858000"/>
            <a:gd name="connsiteX3206" fmla="*/ 7866743 w 12192000"/>
            <a:gd name="connsiteY3206" fmla="*/ 5278286 h 6858000"/>
            <a:gd name="connsiteX3207" fmla="*/ 7901568 w 12192000"/>
            <a:gd name="connsiteY3207" fmla="*/ 5243468 h 6858000"/>
            <a:gd name="connsiteX3208" fmla="*/ 7936380 w 12192000"/>
            <a:gd name="connsiteY3208" fmla="*/ 5278286 h 6858000"/>
            <a:gd name="connsiteX3209" fmla="*/ 7901568 w 12192000"/>
            <a:gd name="connsiteY3209" fmla="*/ 5313105 h 6858000"/>
            <a:gd name="connsiteX3210" fmla="*/ 7986460 w 12192000"/>
            <a:gd name="connsiteY3210" fmla="*/ 5313105 h 6858000"/>
            <a:gd name="connsiteX3211" fmla="*/ 7951635 w 12192000"/>
            <a:gd name="connsiteY3211" fmla="*/ 5278286 h 6858000"/>
            <a:gd name="connsiteX3212" fmla="*/ 7986460 w 12192000"/>
            <a:gd name="connsiteY3212" fmla="*/ 5243468 h 6858000"/>
            <a:gd name="connsiteX3213" fmla="*/ 8021273 w 12192000"/>
            <a:gd name="connsiteY3213" fmla="*/ 5278286 h 6858000"/>
            <a:gd name="connsiteX3214" fmla="*/ 7986460 w 12192000"/>
            <a:gd name="connsiteY3214" fmla="*/ 5313105 h 6858000"/>
            <a:gd name="connsiteX3215" fmla="*/ 8071353 w 12192000"/>
            <a:gd name="connsiteY3215" fmla="*/ 5313105 h 6858000"/>
            <a:gd name="connsiteX3216" fmla="*/ 8036527 w 12192000"/>
            <a:gd name="connsiteY3216" fmla="*/ 5278286 h 6858000"/>
            <a:gd name="connsiteX3217" fmla="*/ 8071353 w 12192000"/>
            <a:gd name="connsiteY3217" fmla="*/ 5243468 h 6858000"/>
            <a:gd name="connsiteX3218" fmla="*/ 8106165 w 12192000"/>
            <a:gd name="connsiteY3218" fmla="*/ 5278286 h 6858000"/>
            <a:gd name="connsiteX3219" fmla="*/ 8071353 w 12192000"/>
            <a:gd name="connsiteY3219" fmla="*/ 5313105 h 6858000"/>
            <a:gd name="connsiteX3220" fmla="*/ 8156246 w 12192000"/>
            <a:gd name="connsiteY3220" fmla="*/ 5313105 h 6858000"/>
            <a:gd name="connsiteX3221" fmla="*/ 8121420 w 12192000"/>
            <a:gd name="connsiteY3221" fmla="*/ 5278286 h 6858000"/>
            <a:gd name="connsiteX3222" fmla="*/ 8156246 w 12192000"/>
            <a:gd name="connsiteY3222" fmla="*/ 5243468 h 6858000"/>
            <a:gd name="connsiteX3223" fmla="*/ 8191058 w 12192000"/>
            <a:gd name="connsiteY3223" fmla="*/ 5278286 h 6858000"/>
            <a:gd name="connsiteX3224" fmla="*/ 8156246 w 12192000"/>
            <a:gd name="connsiteY3224" fmla="*/ 5313105 h 6858000"/>
            <a:gd name="connsiteX3225" fmla="*/ 8241138 w 12192000"/>
            <a:gd name="connsiteY3225" fmla="*/ 5313105 h 6858000"/>
            <a:gd name="connsiteX3226" fmla="*/ 8206313 w 12192000"/>
            <a:gd name="connsiteY3226" fmla="*/ 5278286 h 6858000"/>
            <a:gd name="connsiteX3227" fmla="*/ 8241138 w 12192000"/>
            <a:gd name="connsiteY3227" fmla="*/ 5243468 h 6858000"/>
            <a:gd name="connsiteX3228" fmla="*/ 8275950 w 12192000"/>
            <a:gd name="connsiteY3228" fmla="*/ 5278286 h 6858000"/>
            <a:gd name="connsiteX3229" fmla="*/ 8241138 w 12192000"/>
            <a:gd name="connsiteY3229" fmla="*/ 5313105 h 6858000"/>
            <a:gd name="connsiteX3230" fmla="*/ 8326030 w 12192000"/>
            <a:gd name="connsiteY3230" fmla="*/ 5313105 h 6858000"/>
            <a:gd name="connsiteX3231" fmla="*/ 8291205 w 12192000"/>
            <a:gd name="connsiteY3231" fmla="*/ 5278286 h 6858000"/>
            <a:gd name="connsiteX3232" fmla="*/ 8326030 w 12192000"/>
            <a:gd name="connsiteY3232" fmla="*/ 5243468 h 6858000"/>
            <a:gd name="connsiteX3233" fmla="*/ 8360843 w 12192000"/>
            <a:gd name="connsiteY3233" fmla="*/ 5278286 h 6858000"/>
            <a:gd name="connsiteX3234" fmla="*/ 8326030 w 12192000"/>
            <a:gd name="connsiteY3234" fmla="*/ 5313105 h 6858000"/>
            <a:gd name="connsiteX3235" fmla="*/ 8410923 w 12192000"/>
            <a:gd name="connsiteY3235" fmla="*/ 5313105 h 6858000"/>
            <a:gd name="connsiteX3236" fmla="*/ 8376097 w 12192000"/>
            <a:gd name="connsiteY3236" fmla="*/ 5278286 h 6858000"/>
            <a:gd name="connsiteX3237" fmla="*/ 8410923 w 12192000"/>
            <a:gd name="connsiteY3237" fmla="*/ 5243468 h 6858000"/>
            <a:gd name="connsiteX3238" fmla="*/ 8445735 w 12192000"/>
            <a:gd name="connsiteY3238" fmla="*/ 5278286 h 6858000"/>
            <a:gd name="connsiteX3239" fmla="*/ 8410923 w 12192000"/>
            <a:gd name="connsiteY3239" fmla="*/ 5313105 h 6858000"/>
            <a:gd name="connsiteX3240" fmla="*/ 8495816 w 12192000"/>
            <a:gd name="connsiteY3240" fmla="*/ 5313105 h 6858000"/>
            <a:gd name="connsiteX3241" fmla="*/ 8460990 w 12192000"/>
            <a:gd name="connsiteY3241" fmla="*/ 5278286 h 6858000"/>
            <a:gd name="connsiteX3242" fmla="*/ 8495816 w 12192000"/>
            <a:gd name="connsiteY3242" fmla="*/ 5243468 h 6858000"/>
            <a:gd name="connsiteX3243" fmla="*/ 8530628 w 12192000"/>
            <a:gd name="connsiteY3243" fmla="*/ 5278286 h 6858000"/>
            <a:gd name="connsiteX3244" fmla="*/ 8495816 w 12192000"/>
            <a:gd name="connsiteY3244" fmla="*/ 5313105 h 6858000"/>
            <a:gd name="connsiteX3245" fmla="*/ 8580708 w 12192000"/>
            <a:gd name="connsiteY3245" fmla="*/ 5313105 h 6858000"/>
            <a:gd name="connsiteX3246" fmla="*/ 8545883 w 12192000"/>
            <a:gd name="connsiteY3246" fmla="*/ 5278286 h 6858000"/>
            <a:gd name="connsiteX3247" fmla="*/ 8580708 w 12192000"/>
            <a:gd name="connsiteY3247" fmla="*/ 5243468 h 6858000"/>
            <a:gd name="connsiteX3248" fmla="*/ 8615520 w 12192000"/>
            <a:gd name="connsiteY3248" fmla="*/ 5278286 h 6858000"/>
            <a:gd name="connsiteX3249" fmla="*/ 8580708 w 12192000"/>
            <a:gd name="connsiteY3249" fmla="*/ 5313105 h 6858000"/>
            <a:gd name="connsiteX3250" fmla="*/ 8665600 w 12192000"/>
            <a:gd name="connsiteY3250" fmla="*/ 5313105 h 6858000"/>
            <a:gd name="connsiteX3251" fmla="*/ 8630775 w 12192000"/>
            <a:gd name="connsiteY3251" fmla="*/ 5278286 h 6858000"/>
            <a:gd name="connsiteX3252" fmla="*/ 8665600 w 12192000"/>
            <a:gd name="connsiteY3252" fmla="*/ 5243468 h 6858000"/>
            <a:gd name="connsiteX3253" fmla="*/ 8700413 w 12192000"/>
            <a:gd name="connsiteY3253" fmla="*/ 5278286 h 6858000"/>
            <a:gd name="connsiteX3254" fmla="*/ 8665600 w 12192000"/>
            <a:gd name="connsiteY3254" fmla="*/ 5313105 h 6858000"/>
            <a:gd name="connsiteX3255" fmla="*/ 8750493 w 12192000"/>
            <a:gd name="connsiteY3255" fmla="*/ 5313105 h 6858000"/>
            <a:gd name="connsiteX3256" fmla="*/ 8715667 w 12192000"/>
            <a:gd name="connsiteY3256" fmla="*/ 5278286 h 6858000"/>
            <a:gd name="connsiteX3257" fmla="*/ 8750493 w 12192000"/>
            <a:gd name="connsiteY3257" fmla="*/ 5243468 h 6858000"/>
            <a:gd name="connsiteX3258" fmla="*/ 8785305 w 12192000"/>
            <a:gd name="connsiteY3258" fmla="*/ 5278286 h 6858000"/>
            <a:gd name="connsiteX3259" fmla="*/ 8750493 w 12192000"/>
            <a:gd name="connsiteY3259" fmla="*/ 5313105 h 6858000"/>
            <a:gd name="connsiteX3260" fmla="*/ 8835386 w 12192000"/>
            <a:gd name="connsiteY3260" fmla="*/ 5313105 h 6858000"/>
            <a:gd name="connsiteX3261" fmla="*/ 8800560 w 12192000"/>
            <a:gd name="connsiteY3261" fmla="*/ 5278286 h 6858000"/>
            <a:gd name="connsiteX3262" fmla="*/ 8835386 w 12192000"/>
            <a:gd name="connsiteY3262" fmla="*/ 5243468 h 6858000"/>
            <a:gd name="connsiteX3263" fmla="*/ 8870198 w 12192000"/>
            <a:gd name="connsiteY3263" fmla="*/ 5278286 h 6858000"/>
            <a:gd name="connsiteX3264" fmla="*/ 8835386 w 12192000"/>
            <a:gd name="connsiteY3264" fmla="*/ 5313105 h 6858000"/>
            <a:gd name="connsiteX3265" fmla="*/ 8920278 w 12192000"/>
            <a:gd name="connsiteY3265" fmla="*/ 5313105 h 6858000"/>
            <a:gd name="connsiteX3266" fmla="*/ 8885453 w 12192000"/>
            <a:gd name="connsiteY3266" fmla="*/ 5278286 h 6858000"/>
            <a:gd name="connsiteX3267" fmla="*/ 8920278 w 12192000"/>
            <a:gd name="connsiteY3267" fmla="*/ 5243468 h 6858000"/>
            <a:gd name="connsiteX3268" fmla="*/ 8955090 w 12192000"/>
            <a:gd name="connsiteY3268" fmla="*/ 5278286 h 6858000"/>
            <a:gd name="connsiteX3269" fmla="*/ 8920278 w 12192000"/>
            <a:gd name="connsiteY3269" fmla="*/ 5313105 h 6858000"/>
            <a:gd name="connsiteX3270" fmla="*/ 9005170 w 12192000"/>
            <a:gd name="connsiteY3270" fmla="*/ 5313105 h 6858000"/>
            <a:gd name="connsiteX3271" fmla="*/ 8970345 w 12192000"/>
            <a:gd name="connsiteY3271" fmla="*/ 5278286 h 6858000"/>
            <a:gd name="connsiteX3272" fmla="*/ 9005170 w 12192000"/>
            <a:gd name="connsiteY3272" fmla="*/ 5243468 h 6858000"/>
            <a:gd name="connsiteX3273" fmla="*/ 9039983 w 12192000"/>
            <a:gd name="connsiteY3273" fmla="*/ 5278286 h 6858000"/>
            <a:gd name="connsiteX3274" fmla="*/ 9005170 w 12192000"/>
            <a:gd name="connsiteY3274" fmla="*/ 5313105 h 6858000"/>
            <a:gd name="connsiteX3275" fmla="*/ 9090063 w 12192000"/>
            <a:gd name="connsiteY3275" fmla="*/ 5313105 h 6858000"/>
            <a:gd name="connsiteX3276" fmla="*/ 9055237 w 12192000"/>
            <a:gd name="connsiteY3276" fmla="*/ 5278286 h 6858000"/>
            <a:gd name="connsiteX3277" fmla="*/ 9090063 w 12192000"/>
            <a:gd name="connsiteY3277" fmla="*/ 5243468 h 6858000"/>
            <a:gd name="connsiteX3278" fmla="*/ 9124875 w 12192000"/>
            <a:gd name="connsiteY3278" fmla="*/ 5278286 h 6858000"/>
            <a:gd name="connsiteX3279" fmla="*/ 9090063 w 12192000"/>
            <a:gd name="connsiteY3279" fmla="*/ 5313105 h 6858000"/>
            <a:gd name="connsiteX3280" fmla="*/ 9174956 w 12192000"/>
            <a:gd name="connsiteY3280" fmla="*/ 5313105 h 6858000"/>
            <a:gd name="connsiteX3281" fmla="*/ 9140130 w 12192000"/>
            <a:gd name="connsiteY3281" fmla="*/ 5278286 h 6858000"/>
            <a:gd name="connsiteX3282" fmla="*/ 9174956 w 12192000"/>
            <a:gd name="connsiteY3282" fmla="*/ 5243468 h 6858000"/>
            <a:gd name="connsiteX3283" fmla="*/ 9209768 w 12192000"/>
            <a:gd name="connsiteY3283" fmla="*/ 5278286 h 6858000"/>
            <a:gd name="connsiteX3284" fmla="*/ 9174956 w 12192000"/>
            <a:gd name="connsiteY3284" fmla="*/ 5313105 h 6858000"/>
            <a:gd name="connsiteX3285" fmla="*/ 9259848 w 12192000"/>
            <a:gd name="connsiteY3285" fmla="*/ 5313105 h 6858000"/>
            <a:gd name="connsiteX3286" fmla="*/ 9225023 w 12192000"/>
            <a:gd name="connsiteY3286" fmla="*/ 5278286 h 6858000"/>
            <a:gd name="connsiteX3287" fmla="*/ 9259848 w 12192000"/>
            <a:gd name="connsiteY3287" fmla="*/ 5243468 h 6858000"/>
            <a:gd name="connsiteX3288" fmla="*/ 9294660 w 12192000"/>
            <a:gd name="connsiteY3288" fmla="*/ 5278286 h 6858000"/>
            <a:gd name="connsiteX3289" fmla="*/ 9259848 w 12192000"/>
            <a:gd name="connsiteY3289" fmla="*/ 5313105 h 6858000"/>
            <a:gd name="connsiteX3290" fmla="*/ 9344740 w 12192000"/>
            <a:gd name="connsiteY3290" fmla="*/ 5313105 h 6858000"/>
            <a:gd name="connsiteX3291" fmla="*/ 9309915 w 12192000"/>
            <a:gd name="connsiteY3291" fmla="*/ 5278286 h 6858000"/>
            <a:gd name="connsiteX3292" fmla="*/ 9344740 w 12192000"/>
            <a:gd name="connsiteY3292" fmla="*/ 5243468 h 6858000"/>
            <a:gd name="connsiteX3293" fmla="*/ 9379553 w 12192000"/>
            <a:gd name="connsiteY3293" fmla="*/ 5278286 h 6858000"/>
            <a:gd name="connsiteX3294" fmla="*/ 9344740 w 12192000"/>
            <a:gd name="connsiteY3294" fmla="*/ 5313105 h 6858000"/>
            <a:gd name="connsiteX3295" fmla="*/ 9429633 w 12192000"/>
            <a:gd name="connsiteY3295" fmla="*/ 5313105 h 6858000"/>
            <a:gd name="connsiteX3296" fmla="*/ 9394807 w 12192000"/>
            <a:gd name="connsiteY3296" fmla="*/ 5278286 h 6858000"/>
            <a:gd name="connsiteX3297" fmla="*/ 9429633 w 12192000"/>
            <a:gd name="connsiteY3297" fmla="*/ 5243468 h 6858000"/>
            <a:gd name="connsiteX3298" fmla="*/ 9464445 w 12192000"/>
            <a:gd name="connsiteY3298" fmla="*/ 5278286 h 6858000"/>
            <a:gd name="connsiteX3299" fmla="*/ 9429633 w 12192000"/>
            <a:gd name="connsiteY3299" fmla="*/ 5313105 h 6858000"/>
            <a:gd name="connsiteX3300" fmla="*/ 9514525 w 12192000"/>
            <a:gd name="connsiteY3300" fmla="*/ 5313105 h 6858000"/>
            <a:gd name="connsiteX3301" fmla="*/ 9479699 w 12192000"/>
            <a:gd name="connsiteY3301" fmla="*/ 5278286 h 6858000"/>
            <a:gd name="connsiteX3302" fmla="*/ 9514525 w 12192000"/>
            <a:gd name="connsiteY3302" fmla="*/ 5243468 h 6858000"/>
            <a:gd name="connsiteX3303" fmla="*/ 9549337 w 12192000"/>
            <a:gd name="connsiteY3303" fmla="*/ 5278286 h 6858000"/>
            <a:gd name="connsiteX3304" fmla="*/ 9514525 w 12192000"/>
            <a:gd name="connsiteY3304" fmla="*/ 5313105 h 6858000"/>
            <a:gd name="connsiteX3305" fmla="*/ 9599418 w 12192000"/>
            <a:gd name="connsiteY3305" fmla="*/ 5313105 h 6858000"/>
            <a:gd name="connsiteX3306" fmla="*/ 9564593 w 12192000"/>
            <a:gd name="connsiteY3306" fmla="*/ 5278286 h 6858000"/>
            <a:gd name="connsiteX3307" fmla="*/ 9599418 w 12192000"/>
            <a:gd name="connsiteY3307" fmla="*/ 5243468 h 6858000"/>
            <a:gd name="connsiteX3308" fmla="*/ 9634230 w 12192000"/>
            <a:gd name="connsiteY3308" fmla="*/ 5278286 h 6858000"/>
            <a:gd name="connsiteX3309" fmla="*/ 9599418 w 12192000"/>
            <a:gd name="connsiteY3309" fmla="*/ 5313105 h 6858000"/>
            <a:gd name="connsiteX3310" fmla="*/ 9684310 w 12192000"/>
            <a:gd name="connsiteY3310" fmla="*/ 5313105 h 6858000"/>
            <a:gd name="connsiteX3311" fmla="*/ 9649485 w 12192000"/>
            <a:gd name="connsiteY3311" fmla="*/ 5278286 h 6858000"/>
            <a:gd name="connsiteX3312" fmla="*/ 9684310 w 12192000"/>
            <a:gd name="connsiteY3312" fmla="*/ 5243468 h 6858000"/>
            <a:gd name="connsiteX3313" fmla="*/ 9719123 w 12192000"/>
            <a:gd name="connsiteY3313" fmla="*/ 5278286 h 6858000"/>
            <a:gd name="connsiteX3314" fmla="*/ 9684310 w 12192000"/>
            <a:gd name="connsiteY3314" fmla="*/ 5313105 h 6858000"/>
            <a:gd name="connsiteX3315" fmla="*/ 9769203 w 12192000"/>
            <a:gd name="connsiteY3315" fmla="*/ 5313105 h 6858000"/>
            <a:gd name="connsiteX3316" fmla="*/ 9734377 w 12192000"/>
            <a:gd name="connsiteY3316" fmla="*/ 5278286 h 6858000"/>
            <a:gd name="connsiteX3317" fmla="*/ 9769203 w 12192000"/>
            <a:gd name="connsiteY3317" fmla="*/ 5243468 h 6858000"/>
            <a:gd name="connsiteX3318" fmla="*/ 9804015 w 12192000"/>
            <a:gd name="connsiteY3318" fmla="*/ 5278286 h 6858000"/>
            <a:gd name="connsiteX3319" fmla="*/ 9769203 w 12192000"/>
            <a:gd name="connsiteY3319" fmla="*/ 5313105 h 6858000"/>
            <a:gd name="connsiteX3320" fmla="*/ 9854095 w 12192000"/>
            <a:gd name="connsiteY3320" fmla="*/ 5313105 h 6858000"/>
            <a:gd name="connsiteX3321" fmla="*/ 9819269 w 12192000"/>
            <a:gd name="connsiteY3321" fmla="*/ 5278286 h 6858000"/>
            <a:gd name="connsiteX3322" fmla="*/ 9854095 w 12192000"/>
            <a:gd name="connsiteY3322" fmla="*/ 5243468 h 6858000"/>
            <a:gd name="connsiteX3323" fmla="*/ 9888907 w 12192000"/>
            <a:gd name="connsiteY3323" fmla="*/ 5278286 h 6858000"/>
            <a:gd name="connsiteX3324" fmla="*/ 9854095 w 12192000"/>
            <a:gd name="connsiteY3324" fmla="*/ 5313105 h 6858000"/>
            <a:gd name="connsiteX3325" fmla="*/ 9938988 w 12192000"/>
            <a:gd name="connsiteY3325" fmla="*/ 5313105 h 6858000"/>
            <a:gd name="connsiteX3326" fmla="*/ 9904163 w 12192000"/>
            <a:gd name="connsiteY3326" fmla="*/ 5278286 h 6858000"/>
            <a:gd name="connsiteX3327" fmla="*/ 9938988 w 12192000"/>
            <a:gd name="connsiteY3327" fmla="*/ 5243468 h 6858000"/>
            <a:gd name="connsiteX3328" fmla="*/ 9973800 w 12192000"/>
            <a:gd name="connsiteY3328" fmla="*/ 5278286 h 6858000"/>
            <a:gd name="connsiteX3329" fmla="*/ 9938988 w 12192000"/>
            <a:gd name="connsiteY3329" fmla="*/ 5313105 h 6858000"/>
            <a:gd name="connsiteX3330" fmla="*/ 10023880 w 12192000"/>
            <a:gd name="connsiteY3330" fmla="*/ 5313105 h 6858000"/>
            <a:gd name="connsiteX3331" fmla="*/ 9989055 w 12192000"/>
            <a:gd name="connsiteY3331" fmla="*/ 5278286 h 6858000"/>
            <a:gd name="connsiteX3332" fmla="*/ 10023880 w 12192000"/>
            <a:gd name="connsiteY3332" fmla="*/ 5243468 h 6858000"/>
            <a:gd name="connsiteX3333" fmla="*/ 10058693 w 12192000"/>
            <a:gd name="connsiteY3333" fmla="*/ 5278286 h 6858000"/>
            <a:gd name="connsiteX3334" fmla="*/ 10023880 w 12192000"/>
            <a:gd name="connsiteY3334" fmla="*/ 5313105 h 6858000"/>
            <a:gd name="connsiteX3335" fmla="*/ 10278558 w 12192000"/>
            <a:gd name="connsiteY3335" fmla="*/ 5313105 h 6858000"/>
            <a:gd name="connsiteX3336" fmla="*/ 10243733 w 12192000"/>
            <a:gd name="connsiteY3336" fmla="*/ 5278286 h 6858000"/>
            <a:gd name="connsiteX3337" fmla="*/ 10278558 w 12192000"/>
            <a:gd name="connsiteY3337" fmla="*/ 5243468 h 6858000"/>
            <a:gd name="connsiteX3338" fmla="*/ 10313370 w 12192000"/>
            <a:gd name="connsiteY3338" fmla="*/ 5278286 h 6858000"/>
            <a:gd name="connsiteX3339" fmla="*/ 10278558 w 12192000"/>
            <a:gd name="connsiteY3339" fmla="*/ 5313105 h 6858000"/>
            <a:gd name="connsiteX3340" fmla="*/ 1449737 w 12192000"/>
            <a:gd name="connsiteY3340" fmla="*/ 5228245 h 6858000"/>
            <a:gd name="connsiteX3341" fmla="*/ 1414918 w 12192000"/>
            <a:gd name="connsiteY3341" fmla="*/ 5193427 h 6858000"/>
            <a:gd name="connsiteX3342" fmla="*/ 1449737 w 12192000"/>
            <a:gd name="connsiteY3342" fmla="*/ 5158608 h 6858000"/>
            <a:gd name="connsiteX3343" fmla="*/ 1484555 w 12192000"/>
            <a:gd name="connsiteY3343" fmla="*/ 5193427 h 6858000"/>
            <a:gd name="connsiteX3344" fmla="*/ 1449737 w 12192000"/>
            <a:gd name="connsiteY3344" fmla="*/ 5228245 h 6858000"/>
            <a:gd name="connsiteX3345" fmla="*/ 1534629 w 12192000"/>
            <a:gd name="connsiteY3345" fmla="*/ 5228245 h 6858000"/>
            <a:gd name="connsiteX3346" fmla="*/ 1499810 w 12192000"/>
            <a:gd name="connsiteY3346" fmla="*/ 5193427 h 6858000"/>
            <a:gd name="connsiteX3347" fmla="*/ 1534629 w 12192000"/>
            <a:gd name="connsiteY3347" fmla="*/ 5158608 h 6858000"/>
            <a:gd name="connsiteX3348" fmla="*/ 1569448 w 12192000"/>
            <a:gd name="connsiteY3348" fmla="*/ 5193427 h 6858000"/>
            <a:gd name="connsiteX3349" fmla="*/ 1534629 w 12192000"/>
            <a:gd name="connsiteY3349" fmla="*/ 5228245 h 6858000"/>
            <a:gd name="connsiteX3350" fmla="*/ 1619521 w 12192000"/>
            <a:gd name="connsiteY3350" fmla="*/ 5228245 h 6858000"/>
            <a:gd name="connsiteX3351" fmla="*/ 1584702 w 12192000"/>
            <a:gd name="connsiteY3351" fmla="*/ 5193427 h 6858000"/>
            <a:gd name="connsiteX3352" fmla="*/ 1619521 w 12192000"/>
            <a:gd name="connsiteY3352" fmla="*/ 5158608 h 6858000"/>
            <a:gd name="connsiteX3353" fmla="*/ 1654340 w 12192000"/>
            <a:gd name="connsiteY3353" fmla="*/ 5193427 h 6858000"/>
            <a:gd name="connsiteX3354" fmla="*/ 1619521 w 12192000"/>
            <a:gd name="connsiteY3354" fmla="*/ 5228245 h 6858000"/>
            <a:gd name="connsiteX3355" fmla="*/ 1704413 w 12192000"/>
            <a:gd name="connsiteY3355" fmla="*/ 5228245 h 6858000"/>
            <a:gd name="connsiteX3356" fmla="*/ 1669594 w 12192000"/>
            <a:gd name="connsiteY3356" fmla="*/ 5193427 h 6858000"/>
            <a:gd name="connsiteX3357" fmla="*/ 1704413 w 12192000"/>
            <a:gd name="connsiteY3357" fmla="*/ 5158608 h 6858000"/>
            <a:gd name="connsiteX3358" fmla="*/ 1739232 w 12192000"/>
            <a:gd name="connsiteY3358" fmla="*/ 5193427 h 6858000"/>
            <a:gd name="connsiteX3359" fmla="*/ 1704413 w 12192000"/>
            <a:gd name="connsiteY3359" fmla="*/ 5228245 h 6858000"/>
            <a:gd name="connsiteX3360" fmla="*/ 1789306 w 12192000"/>
            <a:gd name="connsiteY3360" fmla="*/ 5228245 h 6858000"/>
            <a:gd name="connsiteX3361" fmla="*/ 1754487 w 12192000"/>
            <a:gd name="connsiteY3361" fmla="*/ 5193427 h 6858000"/>
            <a:gd name="connsiteX3362" fmla="*/ 1789306 w 12192000"/>
            <a:gd name="connsiteY3362" fmla="*/ 5158608 h 6858000"/>
            <a:gd name="connsiteX3363" fmla="*/ 1824124 w 12192000"/>
            <a:gd name="connsiteY3363" fmla="*/ 5193427 h 6858000"/>
            <a:gd name="connsiteX3364" fmla="*/ 1789306 w 12192000"/>
            <a:gd name="connsiteY3364" fmla="*/ 5228245 h 6858000"/>
            <a:gd name="connsiteX3365" fmla="*/ 1959091 w 12192000"/>
            <a:gd name="connsiteY3365" fmla="*/ 5228245 h 6858000"/>
            <a:gd name="connsiteX3366" fmla="*/ 1924272 w 12192000"/>
            <a:gd name="connsiteY3366" fmla="*/ 5193427 h 6858000"/>
            <a:gd name="connsiteX3367" fmla="*/ 1959091 w 12192000"/>
            <a:gd name="connsiteY3367" fmla="*/ 5158608 h 6858000"/>
            <a:gd name="connsiteX3368" fmla="*/ 1993910 w 12192000"/>
            <a:gd name="connsiteY3368" fmla="*/ 5193427 h 6858000"/>
            <a:gd name="connsiteX3369" fmla="*/ 1959091 w 12192000"/>
            <a:gd name="connsiteY3369" fmla="*/ 5228245 h 6858000"/>
            <a:gd name="connsiteX3370" fmla="*/ 2043983 w 12192000"/>
            <a:gd name="connsiteY3370" fmla="*/ 5228245 h 6858000"/>
            <a:gd name="connsiteX3371" fmla="*/ 2009164 w 12192000"/>
            <a:gd name="connsiteY3371" fmla="*/ 5193427 h 6858000"/>
            <a:gd name="connsiteX3372" fmla="*/ 2043983 w 12192000"/>
            <a:gd name="connsiteY3372" fmla="*/ 5158608 h 6858000"/>
            <a:gd name="connsiteX3373" fmla="*/ 2078802 w 12192000"/>
            <a:gd name="connsiteY3373" fmla="*/ 5193427 h 6858000"/>
            <a:gd name="connsiteX3374" fmla="*/ 2043983 w 12192000"/>
            <a:gd name="connsiteY3374" fmla="*/ 5228245 h 6858000"/>
            <a:gd name="connsiteX3375" fmla="*/ 2128876 w 12192000"/>
            <a:gd name="connsiteY3375" fmla="*/ 5228245 h 6858000"/>
            <a:gd name="connsiteX3376" fmla="*/ 2094057 w 12192000"/>
            <a:gd name="connsiteY3376" fmla="*/ 5193427 h 6858000"/>
            <a:gd name="connsiteX3377" fmla="*/ 2128876 w 12192000"/>
            <a:gd name="connsiteY3377" fmla="*/ 5158608 h 6858000"/>
            <a:gd name="connsiteX3378" fmla="*/ 2163694 w 12192000"/>
            <a:gd name="connsiteY3378" fmla="*/ 5193427 h 6858000"/>
            <a:gd name="connsiteX3379" fmla="*/ 2128876 w 12192000"/>
            <a:gd name="connsiteY3379" fmla="*/ 5228245 h 6858000"/>
            <a:gd name="connsiteX3380" fmla="*/ 2213769 w 12192000"/>
            <a:gd name="connsiteY3380" fmla="*/ 5228245 h 6858000"/>
            <a:gd name="connsiteX3381" fmla="*/ 2178950 w 12192000"/>
            <a:gd name="connsiteY3381" fmla="*/ 5193427 h 6858000"/>
            <a:gd name="connsiteX3382" fmla="*/ 2213769 w 12192000"/>
            <a:gd name="connsiteY3382" fmla="*/ 5158608 h 6858000"/>
            <a:gd name="connsiteX3383" fmla="*/ 2248588 w 12192000"/>
            <a:gd name="connsiteY3383" fmla="*/ 5193427 h 6858000"/>
            <a:gd name="connsiteX3384" fmla="*/ 2213769 w 12192000"/>
            <a:gd name="connsiteY3384" fmla="*/ 5228245 h 6858000"/>
            <a:gd name="connsiteX3385" fmla="*/ 2298661 w 12192000"/>
            <a:gd name="connsiteY3385" fmla="*/ 5228245 h 6858000"/>
            <a:gd name="connsiteX3386" fmla="*/ 2263842 w 12192000"/>
            <a:gd name="connsiteY3386" fmla="*/ 5193427 h 6858000"/>
            <a:gd name="connsiteX3387" fmla="*/ 2298661 w 12192000"/>
            <a:gd name="connsiteY3387" fmla="*/ 5158608 h 6858000"/>
            <a:gd name="connsiteX3388" fmla="*/ 2333480 w 12192000"/>
            <a:gd name="connsiteY3388" fmla="*/ 5193427 h 6858000"/>
            <a:gd name="connsiteX3389" fmla="*/ 2298661 w 12192000"/>
            <a:gd name="connsiteY3389" fmla="*/ 5228245 h 6858000"/>
            <a:gd name="connsiteX3390" fmla="*/ 2383553 w 12192000"/>
            <a:gd name="connsiteY3390" fmla="*/ 5228245 h 6858000"/>
            <a:gd name="connsiteX3391" fmla="*/ 2348734 w 12192000"/>
            <a:gd name="connsiteY3391" fmla="*/ 5193427 h 6858000"/>
            <a:gd name="connsiteX3392" fmla="*/ 2383553 w 12192000"/>
            <a:gd name="connsiteY3392" fmla="*/ 5158608 h 6858000"/>
            <a:gd name="connsiteX3393" fmla="*/ 2418372 w 12192000"/>
            <a:gd name="connsiteY3393" fmla="*/ 5193427 h 6858000"/>
            <a:gd name="connsiteX3394" fmla="*/ 2383553 w 12192000"/>
            <a:gd name="connsiteY3394" fmla="*/ 5228245 h 6858000"/>
            <a:gd name="connsiteX3395" fmla="*/ 2468446 w 12192000"/>
            <a:gd name="connsiteY3395" fmla="*/ 5228245 h 6858000"/>
            <a:gd name="connsiteX3396" fmla="*/ 2433627 w 12192000"/>
            <a:gd name="connsiteY3396" fmla="*/ 5193427 h 6858000"/>
            <a:gd name="connsiteX3397" fmla="*/ 2468446 w 12192000"/>
            <a:gd name="connsiteY3397" fmla="*/ 5158608 h 6858000"/>
            <a:gd name="connsiteX3398" fmla="*/ 2503264 w 12192000"/>
            <a:gd name="connsiteY3398" fmla="*/ 5193427 h 6858000"/>
            <a:gd name="connsiteX3399" fmla="*/ 2468446 w 12192000"/>
            <a:gd name="connsiteY3399" fmla="*/ 5228245 h 6858000"/>
            <a:gd name="connsiteX3400" fmla="*/ 2553339 w 12192000"/>
            <a:gd name="connsiteY3400" fmla="*/ 5228245 h 6858000"/>
            <a:gd name="connsiteX3401" fmla="*/ 2518520 w 12192000"/>
            <a:gd name="connsiteY3401" fmla="*/ 5193427 h 6858000"/>
            <a:gd name="connsiteX3402" fmla="*/ 2553339 w 12192000"/>
            <a:gd name="connsiteY3402" fmla="*/ 5158608 h 6858000"/>
            <a:gd name="connsiteX3403" fmla="*/ 2588158 w 12192000"/>
            <a:gd name="connsiteY3403" fmla="*/ 5193427 h 6858000"/>
            <a:gd name="connsiteX3404" fmla="*/ 2553339 w 12192000"/>
            <a:gd name="connsiteY3404" fmla="*/ 5228245 h 6858000"/>
            <a:gd name="connsiteX3405" fmla="*/ 2638231 w 12192000"/>
            <a:gd name="connsiteY3405" fmla="*/ 5228245 h 6858000"/>
            <a:gd name="connsiteX3406" fmla="*/ 2603412 w 12192000"/>
            <a:gd name="connsiteY3406" fmla="*/ 5193427 h 6858000"/>
            <a:gd name="connsiteX3407" fmla="*/ 2638231 w 12192000"/>
            <a:gd name="connsiteY3407" fmla="*/ 5158608 h 6858000"/>
            <a:gd name="connsiteX3408" fmla="*/ 2673050 w 12192000"/>
            <a:gd name="connsiteY3408" fmla="*/ 5193427 h 6858000"/>
            <a:gd name="connsiteX3409" fmla="*/ 2638231 w 12192000"/>
            <a:gd name="connsiteY3409" fmla="*/ 5228245 h 6858000"/>
            <a:gd name="connsiteX3410" fmla="*/ 2808016 w 12192000"/>
            <a:gd name="connsiteY3410" fmla="*/ 5228245 h 6858000"/>
            <a:gd name="connsiteX3411" fmla="*/ 2773197 w 12192000"/>
            <a:gd name="connsiteY3411" fmla="*/ 5193427 h 6858000"/>
            <a:gd name="connsiteX3412" fmla="*/ 2808016 w 12192000"/>
            <a:gd name="connsiteY3412" fmla="*/ 5158608 h 6858000"/>
            <a:gd name="connsiteX3413" fmla="*/ 2842834 w 12192000"/>
            <a:gd name="connsiteY3413" fmla="*/ 5193427 h 6858000"/>
            <a:gd name="connsiteX3414" fmla="*/ 2808016 w 12192000"/>
            <a:gd name="connsiteY3414" fmla="*/ 5228245 h 6858000"/>
            <a:gd name="connsiteX3415" fmla="*/ 2892908 w 12192000"/>
            <a:gd name="connsiteY3415" fmla="*/ 5228245 h 6858000"/>
            <a:gd name="connsiteX3416" fmla="*/ 2858089 w 12192000"/>
            <a:gd name="connsiteY3416" fmla="*/ 5193427 h 6858000"/>
            <a:gd name="connsiteX3417" fmla="*/ 2892908 w 12192000"/>
            <a:gd name="connsiteY3417" fmla="*/ 5158608 h 6858000"/>
            <a:gd name="connsiteX3418" fmla="*/ 2927727 w 12192000"/>
            <a:gd name="connsiteY3418" fmla="*/ 5193427 h 6858000"/>
            <a:gd name="connsiteX3419" fmla="*/ 2892908 w 12192000"/>
            <a:gd name="connsiteY3419" fmla="*/ 5228245 h 6858000"/>
            <a:gd name="connsiteX3420" fmla="*/ 3062693 w 12192000"/>
            <a:gd name="connsiteY3420" fmla="*/ 5228245 h 6858000"/>
            <a:gd name="connsiteX3421" fmla="*/ 3027874 w 12192000"/>
            <a:gd name="connsiteY3421" fmla="*/ 5193427 h 6858000"/>
            <a:gd name="connsiteX3422" fmla="*/ 3062693 w 12192000"/>
            <a:gd name="connsiteY3422" fmla="*/ 5158608 h 6858000"/>
            <a:gd name="connsiteX3423" fmla="*/ 3097512 w 12192000"/>
            <a:gd name="connsiteY3423" fmla="*/ 5193427 h 6858000"/>
            <a:gd name="connsiteX3424" fmla="*/ 3062693 w 12192000"/>
            <a:gd name="connsiteY3424" fmla="*/ 5228245 h 6858000"/>
            <a:gd name="connsiteX3425" fmla="*/ 3147586 w 12192000"/>
            <a:gd name="connsiteY3425" fmla="*/ 5228245 h 6858000"/>
            <a:gd name="connsiteX3426" fmla="*/ 3112767 w 12192000"/>
            <a:gd name="connsiteY3426" fmla="*/ 5193427 h 6858000"/>
            <a:gd name="connsiteX3427" fmla="*/ 3147586 w 12192000"/>
            <a:gd name="connsiteY3427" fmla="*/ 5158608 h 6858000"/>
            <a:gd name="connsiteX3428" fmla="*/ 3182404 w 12192000"/>
            <a:gd name="connsiteY3428" fmla="*/ 5193427 h 6858000"/>
            <a:gd name="connsiteX3429" fmla="*/ 3147586 w 12192000"/>
            <a:gd name="connsiteY3429" fmla="*/ 5228245 h 6858000"/>
            <a:gd name="connsiteX3430" fmla="*/ 3232478 w 12192000"/>
            <a:gd name="connsiteY3430" fmla="*/ 5228245 h 6858000"/>
            <a:gd name="connsiteX3431" fmla="*/ 3197659 w 12192000"/>
            <a:gd name="connsiteY3431" fmla="*/ 5193427 h 6858000"/>
            <a:gd name="connsiteX3432" fmla="*/ 3232478 w 12192000"/>
            <a:gd name="connsiteY3432" fmla="*/ 5158608 h 6858000"/>
            <a:gd name="connsiteX3433" fmla="*/ 3267297 w 12192000"/>
            <a:gd name="connsiteY3433" fmla="*/ 5193427 h 6858000"/>
            <a:gd name="connsiteX3434" fmla="*/ 3232478 w 12192000"/>
            <a:gd name="connsiteY3434" fmla="*/ 5228245 h 6858000"/>
            <a:gd name="connsiteX3435" fmla="*/ 3402263 w 12192000"/>
            <a:gd name="connsiteY3435" fmla="*/ 5228245 h 6858000"/>
            <a:gd name="connsiteX3436" fmla="*/ 3367444 w 12192000"/>
            <a:gd name="connsiteY3436" fmla="*/ 5193427 h 6858000"/>
            <a:gd name="connsiteX3437" fmla="*/ 3402263 w 12192000"/>
            <a:gd name="connsiteY3437" fmla="*/ 5158608 h 6858000"/>
            <a:gd name="connsiteX3438" fmla="*/ 3437082 w 12192000"/>
            <a:gd name="connsiteY3438" fmla="*/ 5193427 h 6858000"/>
            <a:gd name="connsiteX3439" fmla="*/ 3402263 w 12192000"/>
            <a:gd name="connsiteY3439" fmla="*/ 5228245 h 6858000"/>
            <a:gd name="connsiteX3440" fmla="*/ 3487156 w 12192000"/>
            <a:gd name="connsiteY3440" fmla="*/ 5228245 h 6858000"/>
            <a:gd name="connsiteX3441" fmla="*/ 3452337 w 12192000"/>
            <a:gd name="connsiteY3441" fmla="*/ 5193427 h 6858000"/>
            <a:gd name="connsiteX3442" fmla="*/ 3487156 w 12192000"/>
            <a:gd name="connsiteY3442" fmla="*/ 5158608 h 6858000"/>
            <a:gd name="connsiteX3443" fmla="*/ 3521974 w 12192000"/>
            <a:gd name="connsiteY3443" fmla="*/ 5193427 h 6858000"/>
            <a:gd name="connsiteX3444" fmla="*/ 3487156 w 12192000"/>
            <a:gd name="connsiteY3444" fmla="*/ 5228245 h 6858000"/>
            <a:gd name="connsiteX3445" fmla="*/ 3996511 w 12192000"/>
            <a:gd name="connsiteY3445" fmla="*/ 5228245 h 6858000"/>
            <a:gd name="connsiteX3446" fmla="*/ 3961692 w 12192000"/>
            <a:gd name="connsiteY3446" fmla="*/ 5193427 h 6858000"/>
            <a:gd name="connsiteX3447" fmla="*/ 3996511 w 12192000"/>
            <a:gd name="connsiteY3447" fmla="*/ 5158608 h 6858000"/>
            <a:gd name="connsiteX3448" fmla="*/ 4031330 w 12192000"/>
            <a:gd name="connsiteY3448" fmla="*/ 5193427 h 6858000"/>
            <a:gd name="connsiteX3449" fmla="*/ 3996511 w 12192000"/>
            <a:gd name="connsiteY3449" fmla="*/ 5228245 h 6858000"/>
            <a:gd name="connsiteX3450" fmla="*/ 4081403 w 12192000"/>
            <a:gd name="connsiteY3450" fmla="*/ 5228245 h 6858000"/>
            <a:gd name="connsiteX3451" fmla="*/ 4046584 w 12192000"/>
            <a:gd name="connsiteY3451" fmla="*/ 5193427 h 6858000"/>
            <a:gd name="connsiteX3452" fmla="*/ 4081403 w 12192000"/>
            <a:gd name="connsiteY3452" fmla="*/ 5158608 h 6858000"/>
            <a:gd name="connsiteX3453" fmla="*/ 4116222 w 12192000"/>
            <a:gd name="connsiteY3453" fmla="*/ 5193427 h 6858000"/>
            <a:gd name="connsiteX3454" fmla="*/ 4081403 w 12192000"/>
            <a:gd name="connsiteY3454" fmla="*/ 5228245 h 6858000"/>
            <a:gd name="connsiteX3455" fmla="*/ 4166296 w 12192000"/>
            <a:gd name="connsiteY3455" fmla="*/ 5228245 h 6858000"/>
            <a:gd name="connsiteX3456" fmla="*/ 4131477 w 12192000"/>
            <a:gd name="connsiteY3456" fmla="*/ 5193427 h 6858000"/>
            <a:gd name="connsiteX3457" fmla="*/ 4166296 w 12192000"/>
            <a:gd name="connsiteY3457" fmla="*/ 5158608 h 6858000"/>
            <a:gd name="connsiteX3458" fmla="*/ 4201114 w 12192000"/>
            <a:gd name="connsiteY3458" fmla="*/ 5193427 h 6858000"/>
            <a:gd name="connsiteX3459" fmla="*/ 4166296 w 12192000"/>
            <a:gd name="connsiteY3459" fmla="*/ 5228245 h 6858000"/>
            <a:gd name="connsiteX3460" fmla="*/ 4590758 w 12192000"/>
            <a:gd name="connsiteY3460" fmla="*/ 5228245 h 6858000"/>
            <a:gd name="connsiteX3461" fmla="*/ 4555939 w 12192000"/>
            <a:gd name="connsiteY3461" fmla="*/ 5193427 h 6858000"/>
            <a:gd name="connsiteX3462" fmla="*/ 4590758 w 12192000"/>
            <a:gd name="connsiteY3462" fmla="*/ 5158608 h 6858000"/>
            <a:gd name="connsiteX3463" fmla="*/ 4625577 w 12192000"/>
            <a:gd name="connsiteY3463" fmla="*/ 5193427 h 6858000"/>
            <a:gd name="connsiteX3464" fmla="*/ 4590758 w 12192000"/>
            <a:gd name="connsiteY3464" fmla="*/ 5228245 h 6858000"/>
            <a:gd name="connsiteX3465" fmla="*/ 4675650 w 12192000"/>
            <a:gd name="connsiteY3465" fmla="*/ 5228245 h 6858000"/>
            <a:gd name="connsiteX3466" fmla="*/ 4640831 w 12192000"/>
            <a:gd name="connsiteY3466" fmla="*/ 5193427 h 6858000"/>
            <a:gd name="connsiteX3467" fmla="*/ 4675650 w 12192000"/>
            <a:gd name="connsiteY3467" fmla="*/ 5158608 h 6858000"/>
            <a:gd name="connsiteX3468" fmla="*/ 4710469 w 12192000"/>
            <a:gd name="connsiteY3468" fmla="*/ 5193427 h 6858000"/>
            <a:gd name="connsiteX3469" fmla="*/ 4675650 w 12192000"/>
            <a:gd name="connsiteY3469" fmla="*/ 5228245 h 6858000"/>
            <a:gd name="connsiteX3470" fmla="*/ 4760543 w 12192000"/>
            <a:gd name="connsiteY3470" fmla="*/ 5228245 h 6858000"/>
            <a:gd name="connsiteX3471" fmla="*/ 4725724 w 12192000"/>
            <a:gd name="connsiteY3471" fmla="*/ 5193427 h 6858000"/>
            <a:gd name="connsiteX3472" fmla="*/ 4760543 w 12192000"/>
            <a:gd name="connsiteY3472" fmla="*/ 5158608 h 6858000"/>
            <a:gd name="connsiteX3473" fmla="*/ 4795362 w 12192000"/>
            <a:gd name="connsiteY3473" fmla="*/ 5193427 h 6858000"/>
            <a:gd name="connsiteX3474" fmla="*/ 4760543 w 12192000"/>
            <a:gd name="connsiteY3474" fmla="*/ 5228245 h 6858000"/>
            <a:gd name="connsiteX3475" fmla="*/ 4845436 w 12192000"/>
            <a:gd name="connsiteY3475" fmla="*/ 5228245 h 6858000"/>
            <a:gd name="connsiteX3476" fmla="*/ 4810617 w 12192000"/>
            <a:gd name="connsiteY3476" fmla="*/ 5193427 h 6858000"/>
            <a:gd name="connsiteX3477" fmla="*/ 4845436 w 12192000"/>
            <a:gd name="connsiteY3477" fmla="*/ 5158608 h 6858000"/>
            <a:gd name="connsiteX3478" fmla="*/ 4880254 w 12192000"/>
            <a:gd name="connsiteY3478" fmla="*/ 5193427 h 6858000"/>
            <a:gd name="connsiteX3479" fmla="*/ 4845436 w 12192000"/>
            <a:gd name="connsiteY3479" fmla="*/ 5228245 h 6858000"/>
            <a:gd name="connsiteX3480" fmla="*/ 4930328 w 12192000"/>
            <a:gd name="connsiteY3480" fmla="*/ 5228245 h 6858000"/>
            <a:gd name="connsiteX3481" fmla="*/ 4895509 w 12192000"/>
            <a:gd name="connsiteY3481" fmla="*/ 5193427 h 6858000"/>
            <a:gd name="connsiteX3482" fmla="*/ 4930328 w 12192000"/>
            <a:gd name="connsiteY3482" fmla="*/ 5158608 h 6858000"/>
            <a:gd name="connsiteX3483" fmla="*/ 4965147 w 12192000"/>
            <a:gd name="connsiteY3483" fmla="*/ 5193427 h 6858000"/>
            <a:gd name="connsiteX3484" fmla="*/ 4930328 w 12192000"/>
            <a:gd name="connsiteY3484" fmla="*/ 5228245 h 6858000"/>
            <a:gd name="connsiteX3485" fmla="*/ 5015220 w 12192000"/>
            <a:gd name="connsiteY3485" fmla="*/ 5228245 h 6858000"/>
            <a:gd name="connsiteX3486" fmla="*/ 4980401 w 12192000"/>
            <a:gd name="connsiteY3486" fmla="*/ 5193427 h 6858000"/>
            <a:gd name="connsiteX3487" fmla="*/ 5015220 w 12192000"/>
            <a:gd name="connsiteY3487" fmla="*/ 5158608 h 6858000"/>
            <a:gd name="connsiteX3488" fmla="*/ 5050039 w 12192000"/>
            <a:gd name="connsiteY3488" fmla="*/ 5193427 h 6858000"/>
            <a:gd name="connsiteX3489" fmla="*/ 5015220 w 12192000"/>
            <a:gd name="connsiteY3489" fmla="*/ 5228245 h 6858000"/>
            <a:gd name="connsiteX3490" fmla="*/ 6373504 w 12192000"/>
            <a:gd name="connsiteY3490" fmla="*/ 5228245 h 6858000"/>
            <a:gd name="connsiteX3491" fmla="*/ 6338678 w 12192000"/>
            <a:gd name="connsiteY3491" fmla="*/ 5193427 h 6858000"/>
            <a:gd name="connsiteX3492" fmla="*/ 6373504 w 12192000"/>
            <a:gd name="connsiteY3492" fmla="*/ 5158608 h 6858000"/>
            <a:gd name="connsiteX3493" fmla="*/ 6408316 w 12192000"/>
            <a:gd name="connsiteY3493" fmla="*/ 5193427 h 6858000"/>
            <a:gd name="connsiteX3494" fmla="*/ 6373504 w 12192000"/>
            <a:gd name="connsiteY3494" fmla="*/ 5228245 h 6858000"/>
            <a:gd name="connsiteX3495" fmla="*/ 6458396 w 12192000"/>
            <a:gd name="connsiteY3495" fmla="*/ 5228245 h 6858000"/>
            <a:gd name="connsiteX3496" fmla="*/ 6423570 w 12192000"/>
            <a:gd name="connsiteY3496" fmla="*/ 5193427 h 6858000"/>
            <a:gd name="connsiteX3497" fmla="*/ 6458396 w 12192000"/>
            <a:gd name="connsiteY3497" fmla="*/ 5158608 h 6858000"/>
            <a:gd name="connsiteX3498" fmla="*/ 6493208 w 12192000"/>
            <a:gd name="connsiteY3498" fmla="*/ 5193427 h 6858000"/>
            <a:gd name="connsiteX3499" fmla="*/ 6458396 w 12192000"/>
            <a:gd name="connsiteY3499" fmla="*/ 5228245 h 6858000"/>
            <a:gd name="connsiteX3500" fmla="*/ 6543288 w 12192000"/>
            <a:gd name="connsiteY3500" fmla="*/ 5228245 h 6858000"/>
            <a:gd name="connsiteX3501" fmla="*/ 6508463 w 12192000"/>
            <a:gd name="connsiteY3501" fmla="*/ 5193427 h 6858000"/>
            <a:gd name="connsiteX3502" fmla="*/ 6543288 w 12192000"/>
            <a:gd name="connsiteY3502" fmla="*/ 5158608 h 6858000"/>
            <a:gd name="connsiteX3503" fmla="*/ 6578100 w 12192000"/>
            <a:gd name="connsiteY3503" fmla="*/ 5193427 h 6858000"/>
            <a:gd name="connsiteX3504" fmla="*/ 6543288 w 12192000"/>
            <a:gd name="connsiteY3504" fmla="*/ 5228245 h 6858000"/>
            <a:gd name="connsiteX3505" fmla="*/ 6628181 w 12192000"/>
            <a:gd name="connsiteY3505" fmla="*/ 5228245 h 6858000"/>
            <a:gd name="connsiteX3506" fmla="*/ 6593356 w 12192000"/>
            <a:gd name="connsiteY3506" fmla="*/ 5193427 h 6858000"/>
            <a:gd name="connsiteX3507" fmla="*/ 6628181 w 12192000"/>
            <a:gd name="connsiteY3507" fmla="*/ 5158608 h 6858000"/>
            <a:gd name="connsiteX3508" fmla="*/ 6662994 w 12192000"/>
            <a:gd name="connsiteY3508" fmla="*/ 5193427 h 6858000"/>
            <a:gd name="connsiteX3509" fmla="*/ 6628181 w 12192000"/>
            <a:gd name="connsiteY3509" fmla="*/ 5228245 h 6858000"/>
            <a:gd name="connsiteX3510" fmla="*/ 6713074 w 12192000"/>
            <a:gd name="connsiteY3510" fmla="*/ 5228245 h 6858000"/>
            <a:gd name="connsiteX3511" fmla="*/ 6678248 w 12192000"/>
            <a:gd name="connsiteY3511" fmla="*/ 5193427 h 6858000"/>
            <a:gd name="connsiteX3512" fmla="*/ 6713074 w 12192000"/>
            <a:gd name="connsiteY3512" fmla="*/ 5158608 h 6858000"/>
            <a:gd name="connsiteX3513" fmla="*/ 6747886 w 12192000"/>
            <a:gd name="connsiteY3513" fmla="*/ 5193427 h 6858000"/>
            <a:gd name="connsiteX3514" fmla="*/ 6713074 w 12192000"/>
            <a:gd name="connsiteY3514" fmla="*/ 5228245 h 6858000"/>
            <a:gd name="connsiteX3515" fmla="*/ 6967750 w 12192000"/>
            <a:gd name="connsiteY3515" fmla="*/ 5228245 h 6858000"/>
            <a:gd name="connsiteX3516" fmla="*/ 6932925 w 12192000"/>
            <a:gd name="connsiteY3516" fmla="*/ 5193427 h 6858000"/>
            <a:gd name="connsiteX3517" fmla="*/ 6967750 w 12192000"/>
            <a:gd name="connsiteY3517" fmla="*/ 5158608 h 6858000"/>
            <a:gd name="connsiteX3518" fmla="*/ 7002563 w 12192000"/>
            <a:gd name="connsiteY3518" fmla="*/ 5193427 h 6858000"/>
            <a:gd name="connsiteX3519" fmla="*/ 6967750 w 12192000"/>
            <a:gd name="connsiteY3519" fmla="*/ 5228245 h 6858000"/>
            <a:gd name="connsiteX3520" fmla="*/ 7137536 w 12192000"/>
            <a:gd name="connsiteY3520" fmla="*/ 5228245 h 6858000"/>
            <a:gd name="connsiteX3521" fmla="*/ 7102710 w 12192000"/>
            <a:gd name="connsiteY3521" fmla="*/ 5193427 h 6858000"/>
            <a:gd name="connsiteX3522" fmla="*/ 7137536 w 12192000"/>
            <a:gd name="connsiteY3522" fmla="*/ 5158608 h 6858000"/>
            <a:gd name="connsiteX3523" fmla="*/ 7172348 w 12192000"/>
            <a:gd name="connsiteY3523" fmla="*/ 5193427 h 6858000"/>
            <a:gd name="connsiteX3524" fmla="*/ 7137536 w 12192000"/>
            <a:gd name="connsiteY3524" fmla="*/ 5228245 h 6858000"/>
            <a:gd name="connsiteX3525" fmla="*/ 7222428 w 12192000"/>
            <a:gd name="connsiteY3525" fmla="*/ 5228245 h 6858000"/>
            <a:gd name="connsiteX3526" fmla="*/ 7187603 w 12192000"/>
            <a:gd name="connsiteY3526" fmla="*/ 5193427 h 6858000"/>
            <a:gd name="connsiteX3527" fmla="*/ 7222428 w 12192000"/>
            <a:gd name="connsiteY3527" fmla="*/ 5158608 h 6858000"/>
            <a:gd name="connsiteX3528" fmla="*/ 7257240 w 12192000"/>
            <a:gd name="connsiteY3528" fmla="*/ 5193427 h 6858000"/>
            <a:gd name="connsiteX3529" fmla="*/ 7222428 w 12192000"/>
            <a:gd name="connsiteY3529" fmla="*/ 5228245 h 6858000"/>
            <a:gd name="connsiteX3530" fmla="*/ 7307320 w 12192000"/>
            <a:gd name="connsiteY3530" fmla="*/ 5228245 h 6858000"/>
            <a:gd name="connsiteX3531" fmla="*/ 7272495 w 12192000"/>
            <a:gd name="connsiteY3531" fmla="*/ 5193427 h 6858000"/>
            <a:gd name="connsiteX3532" fmla="*/ 7307320 w 12192000"/>
            <a:gd name="connsiteY3532" fmla="*/ 5158608 h 6858000"/>
            <a:gd name="connsiteX3533" fmla="*/ 7342133 w 12192000"/>
            <a:gd name="connsiteY3533" fmla="*/ 5193427 h 6858000"/>
            <a:gd name="connsiteX3534" fmla="*/ 7307320 w 12192000"/>
            <a:gd name="connsiteY3534" fmla="*/ 5228245 h 6858000"/>
            <a:gd name="connsiteX3535" fmla="*/ 7392214 w 12192000"/>
            <a:gd name="connsiteY3535" fmla="*/ 5228245 h 6858000"/>
            <a:gd name="connsiteX3536" fmla="*/ 7357388 w 12192000"/>
            <a:gd name="connsiteY3536" fmla="*/ 5193427 h 6858000"/>
            <a:gd name="connsiteX3537" fmla="*/ 7392214 w 12192000"/>
            <a:gd name="connsiteY3537" fmla="*/ 5158608 h 6858000"/>
            <a:gd name="connsiteX3538" fmla="*/ 7427026 w 12192000"/>
            <a:gd name="connsiteY3538" fmla="*/ 5193427 h 6858000"/>
            <a:gd name="connsiteX3539" fmla="*/ 7392214 w 12192000"/>
            <a:gd name="connsiteY3539" fmla="*/ 5228245 h 6858000"/>
            <a:gd name="connsiteX3540" fmla="*/ 7477106 w 12192000"/>
            <a:gd name="connsiteY3540" fmla="*/ 5228245 h 6858000"/>
            <a:gd name="connsiteX3541" fmla="*/ 7442280 w 12192000"/>
            <a:gd name="connsiteY3541" fmla="*/ 5193427 h 6858000"/>
            <a:gd name="connsiteX3542" fmla="*/ 7477106 w 12192000"/>
            <a:gd name="connsiteY3542" fmla="*/ 5158608 h 6858000"/>
            <a:gd name="connsiteX3543" fmla="*/ 7511918 w 12192000"/>
            <a:gd name="connsiteY3543" fmla="*/ 5193427 h 6858000"/>
            <a:gd name="connsiteX3544" fmla="*/ 7477106 w 12192000"/>
            <a:gd name="connsiteY3544" fmla="*/ 5228245 h 6858000"/>
            <a:gd name="connsiteX3545" fmla="*/ 7561998 w 12192000"/>
            <a:gd name="connsiteY3545" fmla="*/ 5228245 h 6858000"/>
            <a:gd name="connsiteX3546" fmla="*/ 7527173 w 12192000"/>
            <a:gd name="connsiteY3546" fmla="*/ 5193427 h 6858000"/>
            <a:gd name="connsiteX3547" fmla="*/ 7561998 w 12192000"/>
            <a:gd name="connsiteY3547" fmla="*/ 5158608 h 6858000"/>
            <a:gd name="connsiteX3548" fmla="*/ 7596810 w 12192000"/>
            <a:gd name="connsiteY3548" fmla="*/ 5193427 h 6858000"/>
            <a:gd name="connsiteX3549" fmla="*/ 7561998 w 12192000"/>
            <a:gd name="connsiteY3549" fmla="*/ 5228245 h 6858000"/>
            <a:gd name="connsiteX3550" fmla="*/ 7731784 w 12192000"/>
            <a:gd name="connsiteY3550" fmla="*/ 5228245 h 6858000"/>
            <a:gd name="connsiteX3551" fmla="*/ 7696958 w 12192000"/>
            <a:gd name="connsiteY3551" fmla="*/ 5193427 h 6858000"/>
            <a:gd name="connsiteX3552" fmla="*/ 7731784 w 12192000"/>
            <a:gd name="connsiteY3552" fmla="*/ 5158608 h 6858000"/>
            <a:gd name="connsiteX3553" fmla="*/ 7766596 w 12192000"/>
            <a:gd name="connsiteY3553" fmla="*/ 5193427 h 6858000"/>
            <a:gd name="connsiteX3554" fmla="*/ 7731784 w 12192000"/>
            <a:gd name="connsiteY3554" fmla="*/ 5228245 h 6858000"/>
            <a:gd name="connsiteX3555" fmla="*/ 7816676 w 12192000"/>
            <a:gd name="connsiteY3555" fmla="*/ 5228245 h 6858000"/>
            <a:gd name="connsiteX3556" fmla="*/ 7781850 w 12192000"/>
            <a:gd name="connsiteY3556" fmla="*/ 5193427 h 6858000"/>
            <a:gd name="connsiteX3557" fmla="*/ 7816676 w 12192000"/>
            <a:gd name="connsiteY3557" fmla="*/ 5158608 h 6858000"/>
            <a:gd name="connsiteX3558" fmla="*/ 7851488 w 12192000"/>
            <a:gd name="connsiteY3558" fmla="*/ 5193427 h 6858000"/>
            <a:gd name="connsiteX3559" fmla="*/ 7816676 w 12192000"/>
            <a:gd name="connsiteY3559" fmla="*/ 5228245 h 6858000"/>
            <a:gd name="connsiteX3560" fmla="*/ 7901568 w 12192000"/>
            <a:gd name="connsiteY3560" fmla="*/ 5228245 h 6858000"/>
            <a:gd name="connsiteX3561" fmla="*/ 7866743 w 12192000"/>
            <a:gd name="connsiteY3561" fmla="*/ 5193427 h 6858000"/>
            <a:gd name="connsiteX3562" fmla="*/ 7901568 w 12192000"/>
            <a:gd name="connsiteY3562" fmla="*/ 5158608 h 6858000"/>
            <a:gd name="connsiteX3563" fmla="*/ 7936380 w 12192000"/>
            <a:gd name="connsiteY3563" fmla="*/ 5193427 h 6858000"/>
            <a:gd name="connsiteX3564" fmla="*/ 7901568 w 12192000"/>
            <a:gd name="connsiteY3564" fmla="*/ 5228245 h 6858000"/>
            <a:gd name="connsiteX3565" fmla="*/ 7986460 w 12192000"/>
            <a:gd name="connsiteY3565" fmla="*/ 5228245 h 6858000"/>
            <a:gd name="connsiteX3566" fmla="*/ 7951635 w 12192000"/>
            <a:gd name="connsiteY3566" fmla="*/ 5193427 h 6858000"/>
            <a:gd name="connsiteX3567" fmla="*/ 7986460 w 12192000"/>
            <a:gd name="connsiteY3567" fmla="*/ 5158608 h 6858000"/>
            <a:gd name="connsiteX3568" fmla="*/ 8021273 w 12192000"/>
            <a:gd name="connsiteY3568" fmla="*/ 5193427 h 6858000"/>
            <a:gd name="connsiteX3569" fmla="*/ 7986460 w 12192000"/>
            <a:gd name="connsiteY3569" fmla="*/ 5228245 h 6858000"/>
            <a:gd name="connsiteX3570" fmla="*/ 8071353 w 12192000"/>
            <a:gd name="connsiteY3570" fmla="*/ 5228245 h 6858000"/>
            <a:gd name="connsiteX3571" fmla="*/ 8036527 w 12192000"/>
            <a:gd name="connsiteY3571" fmla="*/ 5193427 h 6858000"/>
            <a:gd name="connsiteX3572" fmla="*/ 8071353 w 12192000"/>
            <a:gd name="connsiteY3572" fmla="*/ 5158608 h 6858000"/>
            <a:gd name="connsiteX3573" fmla="*/ 8106165 w 12192000"/>
            <a:gd name="connsiteY3573" fmla="*/ 5193427 h 6858000"/>
            <a:gd name="connsiteX3574" fmla="*/ 8071353 w 12192000"/>
            <a:gd name="connsiteY3574" fmla="*/ 5228245 h 6858000"/>
            <a:gd name="connsiteX3575" fmla="*/ 8156246 w 12192000"/>
            <a:gd name="connsiteY3575" fmla="*/ 5228245 h 6858000"/>
            <a:gd name="connsiteX3576" fmla="*/ 8121420 w 12192000"/>
            <a:gd name="connsiteY3576" fmla="*/ 5193427 h 6858000"/>
            <a:gd name="connsiteX3577" fmla="*/ 8156246 w 12192000"/>
            <a:gd name="connsiteY3577" fmla="*/ 5158608 h 6858000"/>
            <a:gd name="connsiteX3578" fmla="*/ 8191058 w 12192000"/>
            <a:gd name="connsiteY3578" fmla="*/ 5193427 h 6858000"/>
            <a:gd name="connsiteX3579" fmla="*/ 8156246 w 12192000"/>
            <a:gd name="connsiteY3579" fmla="*/ 5228245 h 6858000"/>
            <a:gd name="connsiteX3580" fmla="*/ 8241138 w 12192000"/>
            <a:gd name="connsiteY3580" fmla="*/ 5228245 h 6858000"/>
            <a:gd name="connsiteX3581" fmla="*/ 8206313 w 12192000"/>
            <a:gd name="connsiteY3581" fmla="*/ 5193427 h 6858000"/>
            <a:gd name="connsiteX3582" fmla="*/ 8241138 w 12192000"/>
            <a:gd name="connsiteY3582" fmla="*/ 5158608 h 6858000"/>
            <a:gd name="connsiteX3583" fmla="*/ 8275950 w 12192000"/>
            <a:gd name="connsiteY3583" fmla="*/ 5193427 h 6858000"/>
            <a:gd name="connsiteX3584" fmla="*/ 8241138 w 12192000"/>
            <a:gd name="connsiteY3584" fmla="*/ 5228245 h 6858000"/>
            <a:gd name="connsiteX3585" fmla="*/ 8326030 w 12192000"/>
            <a:gd name="connsiteY3585" fmla="*/ 5228245 h 6858000"/>
            <a:gd name="connsiteX3586" fmla="*/ 8291205 w 12192000"/>
            <a:gd name="connsiteY3586" fmla="*/ 5193427 h 6858000"/>
            <a:gd name="connsiteX3587" fmla="*/ 8326030 w 12192000"/>
            <a:gd name="connsiteY3587" fmla="*/ 5158608 h 6858000"/>
            <a:gd name="connsiteX3588" fmla="*/ 8360843 w 12192000"/>
            <a:gd name="connsiteY3588" fmla="*/ 5193427 h 6858000"/>
            <a:gd name="connsiteX3589" fmla="*/ 8326030 w 12192000"/>
            <a:gd name="connsiteY3589" fmla="*/ 5228245 h 6858000"/>
            <a:gd name="connsiteX3590" fmla="*/ 8410923 w 12192000"/>
            <a:gd name="connsiteY3590" fmla="*/ 5228245 h 6858000"/>
            <a:gd name="connsiteX3591" fmla="*/ 8376097 w 12192000"/>
            <a:gd name="connsiteY3591" fmla="*/ 5193427 h 6858000"/>
            <a:gd name="connsiteX3592" fmla="*/ 8410923 w 12192000"/>
            <a:gd name="connsiteY3592" fmla="*/ 5158608 h 6858000"/>
            <a:gd name="connsiteX3593" fmla="*/ 8445735 w 12192000"/>
            <a:gd name="connsiteY3593" fmla="*/ 5193427 h 6858000"/>
            <a:gd name="connsiteX3594" fmla="*/ 8410923 w 12192000"/>
            <a:gd name="connsiteY3594" fmla="*/ 5228245 h 6858000"/>
            <a:gd name="connsiteX3595" fmla="*/ 8495816 w 12192000"/>
            <a:gd name="connsiteY3595" fmla="*/ 5228245 h 6858000"/>
            <a:gd name="connsiteX3596" fmla="*/ 8460990 w 12192000"/>
            <a:gd name="connsiteY3596" fmla="*/ 5193427 h 6858000"/>
            <a:gd name="connsiteX3597" fmla="*/ 8495816 w 12192000"/>
            <a:gd name="connsiteY3597" fmla="*/ 5158608 h 6858000"/>
            <a:gd name="connsiteX3598" fmla="*/ 8530628 w 12192000"/>
            <a:gd name="connsiteY3598" fmla="*/ 5193427 h 6858000"/>
            <a:gd name="connsiteX3599" fmla="*/ 8495816 w 12192000"/>
            <a:gd name="connsiteY3599" fmla="*/ 5228245 h 6858000"/>
            <a:gd name="connsiteX3600" fmla="*/ 8580708 w 12192000"/>
            <a:gd name="connsiteY3600" fmla="*/ 5228245 h 6858000"/>
            <a:gd name="connsiteX3601" fmla="*/ 8545883 w 12192000"/>
            <a:gd name="connsiteY3601" fmla="*/ 5193427 h 6858000"/>
            <a:gd name="connsiteX3602" fmla="*/ 8580708 w 12192000"/>
            <a:gd name="connsiteY3602" fmla="*/ 5158608 h 6858000"/>
            <a:gd name="connsiteX3603" fmla="*/ 8615520 w 12192000"/>
            <a:gd name="connsiteY3603" fmla="*/ 5193427 h 6858000"/>
            <a:gd name="connsiteX3604" fmla="*/ 8580708 w 12192000"/>
            <a:gd name="connsiteY3604" fmla="*/ 5228245 h 6858000"/>
            <a:gd name="connsiteX3605" fmla="*/ 8665600 w 12192000"/>
            <a:gd name="connsiteY3605" fmla="*/ 5228245 h 6858000"/>
            <a:gd name="connsiteX3606" fmla="*/ 8630775 w 12192000"/>
            <a:gd name="connsiteY3606" fmla="*/ 5193427 h 6858000"/>
            <a:gd name="connsiteX3607" fmla="*/ 8665600 w 12192000"/>
            <a:gd name="connsiteY3607" fmla="*/ 5158608 h 6858000"/>
            <a:gd name="connsiteX3608" fmla="*/ 8700413 w 12192000"/>
            <a:gd name="connsiteY3608" fmla="*/ 5193427 h 6858000"/>
            <a:gd name="connsiteX3609" fmla="*/ 8665600 w 12192000"/>
            <a:gd name="connsiteY3609" fmla="*/ 5228245 h 6858000"/>
            <a:gd name="connsiteX3610" fmla="*/ 8750493 w 12192000"/>
            <a:gd name="connsiteY3610" fmla="*/ 5228245 h 6858000"/>
            <a:gd name="connsiteX3611" fmla="*/ 8715667 w 12192000"/>
            <a:gd name="connsiteY3611" fmla="*/ 5193427 h 6858000"/>
            <a:gd name="connsiteX3612" fmla="*/ 8750493 w 12192000"/>
            <a:gd name="connsiteY3612" fmla="*/ 5158608 h 6858000"/>
            <a:gd name="connsiteX3613" fmla="*/ 8785305 w 12192000"/>
            <a:gd name="connsiteY3613" fmla="*/ 5193427 h 6858000"/>
            <a:gd name="connsiteX3614" fmla="*/ 8750493 w 12192000"/>
            <a:gd name="connsiteY3614" fmla="*/ 5228245 h 6858000"/>
            <a:gd name="connsiteX3615" fmla="*/ 8835386 w 12192000"/>
            <a:gd name="connsiteY3615" fmla="*/ 5228245 h 6858000"/>
            <a:gd name="connsiteX3616" fmla="*/ 8800560 w 12192000"/>
            <a:gd name="connsiteY3616" fmla="*/ 5193427 h 6858000"/>
            <a:gd name="connsiteX3617" fmla="*/ 8835386 w 12192000"/>
            <a:gd name="connsiteY3617" fmla="*/ 5158608 h 6858000"/>
            <a:gd name="connsiteX3618" fmla="*/ 8870198 w 12192000"/>
            <a:gd name="connsiteY3618" fmla="*/ 5193427 h 6858000"/>
            <a:gd name="connsiteX3619" fmla="*/ 8835386 w 12192000"/>
            <a:gd name="connsiteY3619" fmla="*/ 5228245 h 6858000"/>
            <a:gd name="connsiteX3620" fmla="*/ 8920278 w 12192000"/>
            <a:gd name="connsiteY3620" fmla="*/ 5228245 h 6858000"/>
            <a:gd name="connsiteX3621" fmla="*/ 8885453 w 12192000"/>
            <a:gd name="connsiteY3621" fmla="*/ 5193427 h 6858000"/>
            <a:gd name="connsiteX3622" fmla="*/ 8920278 w 12192000"/>
            <a:gd name="connsiteY3622" fmla="*/ 5158608 h 6858000"/>
            <a:gd name="connsiteX3623" fmla="*/ 8955090 w 12192000"/>
            <a:gd name="connsiteY3623" fmla="*/ 5193427 h 6858000"/>
            <a:gd name="connsiteX3624" fmla="*/ 8920278 w 12192000"/>
            <a:gd name="connsiteY3624" fmla="*/ 5228245 h 6858000"/>
            <a:gd name="connsiteX3625" fmla="*/ 9005170 w 12192000"/>
            <a:gd name="connsiteY3625" fmla="*/ 5228245 h 6858000"/>
            <a:gd name="connsiteX3626" fmla="*/ 8970345 w 12192000"/>
            <a:gd name="connsiteY3626" fmla="*/ 5193427 h 6858000"/>
            <a:gd name="connsiteX3627" fmla="*/ 9005170 w 12192000"/>
            <a:gd name="connsiteY3627" fmla="*/ 5158608 h 6858000"/>
            <a:gd name="connsiteX3628" fmla="*/ 9039983 w 12192000"/>
            <a:gd name="connsiteY3628" fmla="*/ 5193427 h 6858000"/>
            <a:gd name="connsiteX3629" fmla="*/ 9005170 w 12192000"/>
            <a:gd name="connsiteY3629" fmla="*/ 5228245 h 6858000"/>
            <a:gd name="connsiteX3630" fmla="*/ 9090063 w 12192000"/>
            <a:gd name="connsiteY3630" fmla="*/ 5228245 h 6858000"/>
            <a:gd name="connsiteX3631" fmla="*/ 9055237 w 12192000"/>
            <a:gd name="connsiteY3631" fmla="*/ 5193427 h 6858000"/>
            <a:gd name="connsiteX3632" fmla="*/ 9090063 w 12192000"/>
            <a:gd name="connsiteY3632" fmla="*/ 5158608 h 6858000"/>
            <a:gd name="connsiteX3633" fmla="*/ 9124875 w 12192000"/>
            <a:gd name="connsiteY3633" fmla="*/ 5193427 h 6858000"/>
            <a:gd name="connsiteX3634" fmla="*/ 9090063 w 12192000"/>
            <a:gd name="connsiteY3634" fmla="*/ 5228245 h 6858000"/>
            <a:gd name="connsiteX3635" fmla="*/ 9174956 w 12192000"/>
            <a:gd name="connsiteY3635" fmla="*/ 5228245 h 6858000"/>
            <a:gd name="connsiteX3636" fmla="*/ 9140130 w 12192000"/>
            <a:gd name="connsiteY3636" fmla="*/ 5193427 h 6858000"/>
            <a:gd name="connsiteX3637" fmla="*/ 9174956 w 12192000"/>
            <a:gd name="connsiteY3637" fmla="*/ 5158608 h 6858000"/>
            <a:gd name="connsiteX3638" fmla="*/ 9209768 w 12192000"/>
            <a:gd name="connsiteY3638" fmla="*/ 5193427 h 6858000"/>
            <a:gd name="connsiteX3639" fmla="*/ 9174956 w 12192000"/>
            <a:gd name="connsiteY3639" fmla="*/ 5228245 h 6858000"/>
            <a:gd name="connsiteX3640" fmla="*/ 9259848 w 12192000"/>
            <a:gd name="connsiteY3640" fmla="*/ 5228245 h 6858000"/>
            <a:gd name="connsiteX3641" fmla="*/ 9225023 w 12192000"/>
            <a:gd name="connsiteY3641" fmla="*/ 5193427 h 6858000"/>
            <a:gd name="connsiteX3642" fmla="*/ 9259848 w 12192000"/>
            <a:gd name="connsiteY3642" fmla="*/ 5158608 h 6858000"/>
            <a:gd name="connsiteX3643" fmla="*/ 9294660 w 12192000"/>
            <a:gd name="connsiteY3643" fmla="*/ 5193427 h 6858000"/>
            <a:gd name="connsiteX3644" fmla="*/ 9259848 w 12192000"/>
            <a:gd name="connsiteY3644" fmla="*/ 5228245 h 6858000"/>
            <a:gd name="connsiteX3645" fmla="*/ 9344740 w 12192000"/>
            <a:gd name="connsiteY3645" fmla="*/ 5228245 h 6858000"/>
            <a:gd name="connsiteX3646" fmla="*/ 9309915 w 12192000"/>
            <a:gd name="connsiteY3646" fmla="*/ 5193427 h 6858000"/>
            <a:gd name="connsiteX3647" fmla="*/ 9344740 w 12192000"/>
            <a:gd name="connsiteY3647" fmla="*/ 5158608 h 6858000"/>
            <a:gd name="connsiteX3648" fmla="*/ 9379553 w 12192000"/>
            <a:gd name="connsiteY3648" fmla="*/ 5193427 h 6858000"/>
            <a:gd name="connsiteX3649" fmla="*/ 9344740 w 12192000"/>
            <a:gd name="connsiteY3649" fmla="*/ 5228245 h 6858000"/>
            <a:gd name="connsiteX3650" fmla="*/ 9429633 w 12192000"/>
            <a:gd name="connsiteY3650" fmla="*/ 5228245 h 6858000"/>
            <a:gd name="connsiteX3651" fmla="*/ 9394807 w 12192000"/>
            <a:gd name="connsiteY3651" fmla="*/ 5193427 h 6858000"/>
            <a:gd name="connsiteX3652" fmla="*/ 9429633 w 12192000"/>
            <a:gd name="connsiteY3652" fmla="*/ 5158608 h 6858000"/>
            <a:gd name="connsiteX3653" fmla="*/ 9464445 w 12192000"/>
            <a:gd name="connsiteY3653" fmla="*/ 5193427 h 6858000"/>
            <a:gd name="connsiteX3654" fmla="*/ 9429633 w 12192000"/>
            <a:gd name="connsiteY3654" fmla="*/ 5228245 h 6858000"/>
            <a:gd name="connsiteX3655" fmla="*/ 9514525 w 12192000"/>
            <a:gd name="connsiteY3655" fmla="*/ 5228245 h 6858000"/>
            <a:gd name="connsiteX3656" fmla="*/ 9479699 w 12192000"/>
            <a:gd name="connsiteY3656" fmla="*/ 5193427 h 6858000"/>
            <a:gd name="connsiteX3657" fmla="*/ 9514525 w 12192000"/>
            <a:gd name="connsiteY3657" fmla="*/ 5158608 h 6858000"/>
            <a:gd name="connsiteX3658" fmla="*/ 9549337 w 12192000"/>
            <a:gd name="connsiteY3658" fmla="*/ 5193427 h 6858000"/>
            <a:gd name="connsiteX3659" fmla="*/ 9514525 w 12192000"/>
            <a:gd name="connsiteY3659" fmla="*/ 5228245 h 6858000"/>
            <a:gd name="connsiteX3660" fmla="*/ 9599418 w 12192000"/>
            <a:gd name="connsiteY3660" fmla="*/ 5228245 h 6858000"/>
            <a:gd name="connsiteX3661" fmla="*/ 9564593 w 12192000"/>
            <a:gd name="connsiteY3661" fmla="*/ 5193427 h 6858000"/>
            <a:gd name="connsiteX3662" fmla="*/ 9599418 w 12192000"/>
            <a:gd name="connsiteY3662" fmla="*/ 5158608 h 6858000"/>
            <a:gd name="connsiteX3663" fmla="*/ 9634230 w 12192000"/>
            <a:gd name="connsiteY3663" fmla="*/ 5193427 h 6858000"/>
            <a:gd name="connsiteX3664" fmla="*/ 9599418 w 12192000"/>
            <a:gd name="connsiteY3664" fmla="*/ 5228245 h 6858000"/>
            <a:gd name="connsiteX3665" fmla="*/ 9684310 w 12192000"/>
            <a:gd name="connsiteY3665" fmla="*/ 5228245 h 6858000"/>
            <a:gd name="connsiteX3666" fmla="*/ 9649485 w 12192000"/>
            <a:gd name="connsiteY3666" fmla="*/ 5193427 h 6858000"/>
            <a:gd name="connsiteX3667" fmla="*/ 9684310 w 12192000"/>
            <a:gd name="connsiteY3667" fmla="*/ 5158608 h 6858000"/>
            <a:gd name="connsiteX3668" fmla="*/ 9719123 w 12192000"/>
            <a:gd name="connsiteY3668" fmla="*/ 5193427 h 6858000"/>
            <a:gd name="connsiteX3669" fmla="*/ 9684310 w 12192000"/>
            <a:gd name="connsiteY3669" fmla="*/ 5228245 h 6858000"/>
            <a:gd name="connsiteX3670" fmla="*/ 9769203 w 12192000"/>
            <a:gd name="connsiteY3670" fmla="*/ 5228245 h 6858000"/>
            <a:gd name="connsiteX3671" fmla="*/ 9734377 w 12192000"/>
            <a:gd name="connsiteY3671" fmla="*/ 5193427 h 6858000"/>
            <a:gd name="connsiteX3672" fmla="*/ 9769203 w 12192000"/>
            <a:gd name="connsiteY3672" fmla="*/ 5158608 h 6858000"/>
            <a:gd name="connsiteX3673" fmla="*/ 9804015 w 12192000"/>
            <a:gd name="connsiteY3673" fmla="*/ 5193427 h 6858000"/>
            <a:gd name="connsiteX3674" fmla="*/ 9769203 w 12192000"/>
            <a:gd name="connsiteY3674" fmla="*/ 5228245 h 6858000"/>
            <a:gd name="connsiteX3675" fmla="*/ 9854095 w 12192000"/>
            <a:gd name="connsiteY3675" fmla="*/ 5228245 h 6858000"/>
            <a:gd name="connsiteX3676" fmla="*/ 9819269 w 12192000"/>
            <a:gd name="connsiteY3676" fmla="*/ 5193427 h 6858000"/>
            <a:gd name="connsiteX3677" fmla="*/ 9854095 w 12192000"/>
            <a:gd name="connsiteY3677" fmla="*/ 5158608 h 6858000"/>
            <a:gd name="connsiteX3678" fmla="*/ 9888907 w 12192000"/>
            <a:gd name="connsiteY3678" fmla="*/ 5193427 h 6858000"/>
            <a:gd name="connsiteX3679" fmla="*/ 9854095 w 12192000"/>
            <a:gd name="connsiteY3679" fmla="*/ 5228245 h 6858000"/>
            <a:gd name="connsiteX3680" fmla="*/ 9938988 w 12192000"/>
            <a:gd name="connsiteY3680" fmla="*/ 5228245 h 6858000"/>
            <a:gd name="connsiteX3681" fmla="*/ 9904163 w 12192000"/>
            <a:gd name="connsiteY3681" fmla="*/ 5193427 h 6858000"/>
            <a:gd name="connsiteX3682" fmla="*/ 9938988 w 12192000"/>
            <a:gd name="connsiteY3682" fmla="*/ 5158608 h 6858000"/>
            <a:gd name="connsiteX3683" fmla="*/ 9973800 w 12192000"/>
            <a:gd name="connsiteY3683" fmla="*/ 5193427 h 6858000"/>
            <a:gd name="connsiteX3684" fmla="*/ 9938988 w 12192000"/>
            <a:gd name="connsiteY3684" fmla="*/ 5228245 h 6858000"/>
            <a:gd name="connsiteX3685" fmla="*/ 10023880 w 12192000"/>
            <a:gd name="connsiteY3685" fmla="*/ 5228245 h 6858000"/>
            <a:gd name="connsiteX3686" fmla="*/ 9989055 w 12192000"/>
            <a:gd name="connsiteY3686" fmla="*/ 5193427 h 6858000"/>
            <a:gd name="connsiteX3687" fmla="*/ 10023880 w 12192000"/>
            <a:gd name="connsiteY3687" fmla="*/ 5158608 h 6858000"/>
            <a:gd name="connsiteX3688" fmla="*/ 10058693 w 12192000"/>
            <a:gd name="connsiteY3688" fmla="*/ 5193427 h 6858000"/>
            <a:gd name="connsiteX3689" fmla="*/ 10023880 w 12192000"/>
            <a:gd name="connsiteY3689" fmla="*/ 5228245 h 6858000"/>
            <a:gd name="connsiteX3690" fmla="*/ 10278558 w 12192000"/>
            <a:gd name="connsiteY3690" fmla="*/ 5228245 h 6858000"/>
            <a:gd name="connsiteX3691" fmla="*/ 10243733 w 12192000"/>
            <a:gd name="connsiteY3691" fmla="*/ 5193427 h 6858000"/>
            <a:gd name="connsiteX3692" fmla="*/ 10278558 w 12192000"/>
            <a:gd name="connsiteY3692" fmla="*/ 5158608 h 6858000"/>
            <a:gd name="connsiteX3693" fmla="*/ 10313370 w 12192000"/>
            <a:gd name="connsiteY3693" fmla="*/ 5193427 h 6858000"/>
            <a:gd name="connsiteX3694" fmla="*/ 10278558 w 12192000"/>
            <a:gd name="connsiteY3694" fmla="*/ 5228245 h 6858000"/>
            <a:gd name="connsiteX3695" fmla="*/ 1534629 w 12192000"/>
            <a:gd name="connsiteY3695" fmla="*/ 5143386 h 6858000"/>
            <a:gd name="connsiteX3696" fmla="*/ 1499810 w 12192000"/>
            <a:gd name="connsiteY3696" fmla="*/ 5108567 h 6858000"/>
            <a:gd name="connsiteX3697" fmla="*/ 1534629 w 12192000"/>
            <a:gd name="connsiteY3697" fmla="*/ 5073748 h 6858000"/>
            <a:gd name="connsiteX3698" fmla="*/ 1569448 w 12192000"/>
            <a:gd name="connsiteY3698" fmla="*/ 5108567 h 6858000"/>
            <a:gd name="connsiteX3699" fmla="*/ 1534629 w 12192000"/>
            <a:gd name="connsiteY3699" fmla="*/ 5143386 h 6858000"/>
            <a:gd name="connsiteX3700" fmla="*/ 2043983 w 12192000"/>
            <a:gd name="connsiteY3700" fmla="*/ 5143386 h 6858000"/>
            <a:gd name="connsiteX3701" fmla="*/ 2009164 w 12192000"/>
            <a:gd name="connsiteY3701" fmla="*/ 5108567 h 6858000"/>
            <a:gd name="connsiteX3702" fmla="*/ 2043983 w 12192000"/>
            <a:gd name="connsiteY3702" fmla="*/ 5073748 h 6858000"/>
            <a:gd name="connsiteX3703" fmla="*/ 2078802 w 12192000"/>
            <a:gd name="connsiteY3703" fmla="*/ 5108567 h 6858000"/>
            <a:gd name="connsiteX3704" fmla="*/ 2043983 w 12192000"/>
            <a:gd name="connsiteY3704" fmla="*/ 5143386 h 6858000"/>
            <a:gd name="connsiteX3705" fmla="*/ 2128876 w 12192000"/>
            <a:gd name="connsiteY3705" fmla="*/ 5143386 h 6858000"/>
            <a:gd name="connsiteX3706" fmla="*/ 2094057 w 12192000"/>
            <a:gd name="connsiteY3706" fmla="*/ 5108567 h 6858000"/>
            <a:gd name="connsiteX3707" fmla="*/ 2128876 w 12192000"/>
            <a:gd name="connsiteY3707" fmla="*/ 5073748 h 6858000"/>
            <a:gd name="connsiteX3708" fmla="*/ 2163694 w 12192000"/>
            <a:gd name="connsiteY3708" fmla="*/ 5108567 h 6858000"/>
            <a:gd name="connsiteX3709" fmla="*/ 2128876 w 12192000"/>
            <a:gd name="connsiteY3709" fmla="*/ 5143386 h 6858000"/>
            <a:gd name="connsiteX3710" fmla="*/ 2213769 w 12192000"/>
            <a:gd name="connsiteY3710" fmla="*/ 5143386 h 6858000"/>
            <a:gd name="connsiteX3711" fmla="*/ 2178950 w 12192000"/>
            <a:gd name="connsiteY3711" fmla="*/ 5108567 h 6858000"/>
            <a:gd name="connsiteX3712" fmla="*/ 2213769 w 12192000"/>
            <a:gd name="connsiteY3712" fmla="*/ 5073748 h 6858000"/>
            <a:gd name="connsiteX3713" fmla="*/ 2248588 w 12192000"/>
            <a:gd name="connsiteY3713" fmla="*/ 5108567 h 6858000"/>
            <a:gd name="connsiteX3714" fmla="*/ 2213769 w 12192000"/>
            <a:gd name="connsiteY3714" fmla="*/ 5143386 h 6858000"/>
            <a:gd name="connsiteX3715" fmla="*/ 2298661 w 12192000"/>
            <a:gd name="connsiteY3715" fmla="*/ 5143386 h 6858000"/>
            <a:gd name="connsiteX3716" fmla="*/ 2263842 w 12192000"/>
            <a:gd name="connsiteY3716" fmla="*/ 5108567 h 6858000"/>
            <a:gd name="connsiteX3717" fmla="*/ 2298661 w 12192000"/>
            <a:gd name="connsiteY3717" fmla="*/ 5073748 h 6858000"/>
            <a:gd name="connsiteX3718" fmla="*/ 2333480 w 12192000"/>
            <a:gd name="connsiteY3718" fmla="*/ 5108567 h 6858000"/>
            <a:gd name="connsiteX3719" fmla="*/ 2298661 w 12192000"/>
            <a:gd name="connsiteY3719" fmla="*/ 5143386 h 6858000"/>
            <a:gd name="connsiteX3720" fmla="*/ 2383553 w 12192000"/>
            <a:gd name="connsiteY3720" fmla="*/ 5143386 h 6858000"/>
            <a:gd name="connsiteX3721" fmla="*/ 2348734 w 12192000"/>
            <a:gd name="connsiteY3721" fmla="*/ 5108567 h 6858000"/>
            <a:gd name="connsiteX3722" fmla="*/ 2383553 w 12192000"/>
            <a:gd name="connsiteY3722" fmla="*/ 5073748 h 6858000"/>
            <a:gd name="connsiteX3723" fmla="*/ 2418372 w 12192000"/>
            <a:gd name="connsiteY3723" fmla="*/ 5108567 h 6858000"/>
            <a:gd name="connsiteX3724" fmla="*/ 2383553 w 12192000"/>
            <a:gd name="connsiteY3724" fmla="*/ 5143386 h 6858000"/>
            <a:gd name="connsiteX3725" fmla="*/ 2468446 w 12192000"/>
            <a:gd name="connsiteY3725" fmla="*/ 5143386 h 6858000"/>
            <a:gd name="connsiteX3726" fmla="*/ 2433627 w 12192000"/>
            <a:gd name="connsiteY3726" fmla="*/ 5108567 h 6858000"/>
            <a:gd name="connsiteX3727" fmla="*/ 2468446 w 12192000"/>
            <a:gd name="connsiteY3727" fmla="*/ 5073748 h 6858000"/>
            <a:gd name="connsiteX3728" fmla="*/ 2503264 w 12192000"/>
            <a:gd name="connsiteY3728" fmla="*/ 5108567 h 6858000"/>
            <a:gd name="connsiteX3729" fmla="*/ 2468446 w 12192000"/>
            <a:gd name="connsiteY3729" fmla="*/ 5143386 h 6858000"/>
            <a:gd name="connsiteX3730" fmla="*/ 2553339 w 12192000"/>
            <a:gd name="connsiteY3730" fmla="*/ 5143386 h 6858000"/>
            <a:gd name="connsiteX3731" fmla="*/ 2518520 w 12192000"/>
            <a:gd name="connsiteY3731" fmla="*/ 5108567 h 6858000"/>
            <a:gd name="connsiteX3732" fmla="*/ 2553339 w 12192000"/>
            <a:gd name="connsiteY3732" fmla="*/ 5073748 h 6858000"/>
            <a:gd name="connsiteX3733" fmla="*/ 2588158 w 12192000"/>
            <a:gd name="connsiteY3733" fmla="*/ 5108567 h 6858000"/>
            <a:gd name="connsiteX3734" fmla="*/ 2553339 w 12192000"/>
            <a:gd name="connsiteY3734" fmla="*/ 5143386 h 6858000"/>
            <a:gd name="connsiteX3735" fmla="*/ 2638231 w 12192000"/>
            <a:gd name="connsiteY3735" fmla="*/ 5143386 h 6858000"/>
            <a:gd name="connsiteX3736" fmla="*/ 2603412 w 12192000"/>
            <a:gd name="connsiteY3736" fmla="*/ 5108567 h 6858000"/>
            <a:gd name="connsiteX3737" fmla="*/ 2638231 w 12192000"/>
            <a:gd name="connsiteY3737" fmla="*/ 5073748 h 6858000"/>
            <a:gd name="connsiteX3738" fmla="*/ 2673050 w 12192000"/>
            <a:gd name="connsiteY3738" fmla="*/ 5108567 h 6858000"/>
            <a:gd name="connsiteX3739" fmla="*/ 2638231 w 12192000"/>
            <a:gd name="connsiteY3739" fmla="*/ 5143386 h 6858000"/>
            <a:gd name="connsiteX3740" fmla="*/ 2723123 w 12192000"/>
            <a:gd name="connsiteY3740" fmla="*/ 5143386 h 6858000"/>
            <a:gd name="connsiteX3741" fmla="*/ 2688304 w 12192000"/>
            <a:gd name="connsiteY3741" fmla="*/ 5108567 h 6858000"/>
            <a:gd name="connsiteX3742" fmla="*/ 2723123 w 12192000"/>
            <a:gd name="connsiteY3742" fmla="*/ 5073748 h 6858000"/>
            <a:gd name="connsiteX3743" fmla="*/ 2757942 w 12192000"/>
            <a:gd name="connsiteY3743" fmla="*/ 5108567 h 6858000"/>
            <a:gd name="connsiteX3744" fmla="*/ 2723123 w 12192000"/>
            <a:gd name="connsiteY3744" fmla="*/ 5143386 h 6858000"/>
            <a:gd name="connsiteX3745" fmla="*/ 2977801 w 12192000"/>
            <a:gd name="connsiteY3745" fmla="*/ 5143386 h 6858000"/>
            <a:gd name="connsiteX3746" fmla="*/ 2942982 w 12192000"/>
            <a:gd name="connsiteY3746" fmla="*/ 5108567 h 6858000"/>
            <a:gd name="connsiteX3747" fmla="*/ 2977801 w 12192000"/>
            <a:gd name="connsiteY3747" fmla="*/ 5073748 h 6858000"/>
            <a:gd name="connsiteX3748" fmla="*/ 3012620 w 12192000"/>
            <a:gd name="connsiteY3748" fmla="*/ 5108567 h 6858000"/>
            <a:gd name="connsiteX3749" fmla="*/ 2977801 w 12192000"/>
            <a:gd name="connsiteY3749" fmla="*/ 5143386 h 6858000"/>
            <a:gd name="connsiteX3750" fmla="*/ 3062693 w 12192000"/>
            <a:gd name="connsiteY3750" fmla="*/ 5143386 h 6858000"/>
            <a:gd name="connsiteX3751" fmla="*/ 3027874 w 12192000"/>
            <a:gd name="connsiteY3751" fmla="*/ 5108567 h 6858000"/>
            <a:gd name="connsiteX3752" fmla="*/ 3062693 w 12192000"/>
            <a:gd name="connsiteY3752" fmla="*/ 5073748 h 6858000"/>
            <a:gd name="connsiteX3753" fmla="*/ 3097512 w 12192000"/>
            <a:gd name="connsiteY3753" fmla="*/ 5108567 h 6858000"/>
            <a:gd name="connsiteX3754" fmla="*/ 3062693 w 12192000"/>
            <a:gd name="connsiteY3754" fmla="*/ 5143386 h 6858000"/>
            <a:gd name="connsiteX3755" fmla="*/ 3147586 w 12192000"/>
            <a:gd name="connsiteY3755" fmla="*/ 5143386 h 6858000"/>
            <a:gd name="connsiteX3756" fmla="*/ 3112767 w 12192000"/>
            <a:gd name="connsiteY3756" fmla="*/ 5108567 h 6858000"/>
            <a:gd name="connsiteX3757" fmla="*/ 3147586 w 12192000"/>
            <a:gd name="connsiteY3757" fmla="*/ 5073748 h 6858000"/>
            <a:gd name="connsiteX3758" fmla="*/ 3182404 w 12192000"/>
            <a:gd name="connsiteY3758" fmla="*/ 5108567 h 6858000"/>
            <a:gd name="connsiteX3759" fmla="*/ 3147586 w 12192000"/>
            <a:gd name="connsiteY3759" fmla="*/ 5143386 h 6858000"/>
            <a:gd name="connsiteX3760" fmla="*/ 3317371 w 12192000"/>
            <a:gd name="connsiteY3760" fmla="*/ 5143386 h 6858000"/>
            <a:gd name="connsiteX3761" fmla="*/ 3282552 w 12192000"/>
            <a:gd name="connsiteY3761" fmla="*/ 5108567 h 6858000"/>
            <a:gd name="connsiteX3762" fmla="*/ 3317371 w 12192000"/>
            <a:gd name="connsiteY3762" fmla="*/ 5073748 h 6858000"/>
            <a:gd name="connsiteX3763" fmla="*/ 3352190 w 12192000"/>
            <a:gd name="connsiteY3763" fmla="*/ 5108567 h 6858000"/>
            <a:gd name="connsiteX3764" fmla="*/ 3317371 w 12192000"/>
            <a:gd name="connsiteY3764" fmla="*/ 5143386 h 6858000"/>
            <a:gd name="connsiteX3765" fmla="*/ 3402263 w 12192000"/>
            <a:gd name="connsiteY3765" fmla="*/ 5143386 h 6858000"/>
            <a:gd name="connsiteX3766" fmla="*/ 3367444 w 12192000"/>
            <a:gd name="connsiteY3766" fmla="*/ 5108567 h 6858000"/>
            <a:gd name="connsiteX3767" fmla="*/ 3402263 w 12192000"/>
            <a:gd name="connsiteY3767" fmla="*/ 5073748 h 6858000"/>
            <a:gd name="connsiteX3768" fmla="*/ 3437082 w 12192000"/>
            <a:gd name="connsiteY3768" fmla="*/ 5108567 h 6858000"/>
            <a:gd name="connsiteX3769" fmla="*/ 3402263 w 12192000"/>
            <a:gd name="connsiteY3769" fmla="*/ 5143386 h 6858000"/>
            <a:gd name="connsiteX3770" fmla="*/ 3572048 w 12192000"/>
            <a:gd name="connsiteY3770" fmla="*/ 5143386 h 6858000"/>
            <a:gd name="connsiteX3771" fmla="*/ 3537229 w 12192000"/>
            <a:gd name="connsiteY3771" fmla="*/ 5108567 h 6858000"/>
            <a:gd name="connsiteX3772" fmla="*/ 3572048 w 12192000"/>
            <a:gd name="connsiteY3772" fmla="*/ 5073748 h 6858000"/>
            <a:gd name="connsiteX3773" fmla="*/ 3606867 w 12192000"/>
            <a:gd name="connsiteY3773" fmla="*/ 5108567 h 6858000"/>
            <a:gd name="connsiteX3774" fmla="*/ 3572048 w 12192000"/>
            <a:gd name="connsiteY3774" fmla="*/ 5143386 h 6858000"/>
            <a:gd name="connsiteX3775" fmla="*/ 3656941 w 12192000"/>
            <a:gd name="connsiteY3775" fmla="*/ 5143386 h 6858000"/>
            <a:gd name="connsiteX3776" fmla="*/ 3622122 w 12192000"/>
            <a:gd name="connsiteY3776" fmla="*/ 5108567 h 6858000"/>
            <a:gd name="connsiteX3777" fmla="*/ 3656941 w 12192000"/>
            <a:gd name="connsiteY3777" fmla="*/ 5073748 h 6858000"/>
            <a:gd name="connsiteX3778" fmla="*/ 3691760 w 12192000"/>
            <a:gd name="connsiteY3778" fmla="*/ 5108567 h 6858000"/>
            <a:gd name="connsiteX3779" fmla="*/ 3656941 w 12192000"/>
            <a:gd name="connsiteY3779" fmla="*/ 5143386 h 6858000"/>
            <a:gd name="connsiteX3780" fmla="*/ 3826726 w 12192000"/>
            <a:gd name="connsiteY3780" fmla="*/ 5143386 h 6858000"/>
            <a:gd name="connsiteX3781" fmla="*/ 3791907 w 12192000"/>
            <a:gd name="connsiteY3781" fmla="*/ 5108567 h 6858000"/>
            <a:gd name="connsiteX3782" fmla="*/ 3826726 w 12192000"/>
            <a:gd name="connsiteY3782" fmla="*/ 5073748 h 6858000"/>
            <a:gd name="connsiteX3783" fmla="*/ 3861544 w 12192000"/>
            <a:gd name="connsiteY3783" fmla="*/ 5108567 h 6858000"/>
            <a:gd name="connsiteX3784" fmla="*/ 3826726 w 12192000"/>
            <a:gd name="connsiteY3784" fmla="*/ 5143386 h 6858000"/>
            <a:gd name="connsiteX3785" fmla="*/ 3911618 w 12192000"/>
            <a:gd name="connsiteY3785" fmla="*/ 5143386 h 6858000"/>
            <a:gd name="connsiteX3786" fmla="*/ 3876799 w 12192000"/>
            <a:gd name="connsiteY3786" fmla="*/ 5108567 h 6858000"/>
            <a:gd name="connsiteX3787" fmla="*/ 3911618 w 12192000"/>
            <a:gd name="connsiteY3787" fmla="*/ 5073748 h 6858000"/>
            <a:gd name="connsiteX3788" fmla="*/ 3946437 w 12192000"/>
            <a:gd name="connsiteY3788" fmla="*/ 5108567 h 6858000"/>
            <a:gd name="connsiteX3789" fmla="*/ 3911618 w 12192000"/>
            <a:gd name="connsiteY3789" fmla="*/ 5143386 h 6858000"/>
            <a:gd name="connsiteX3790" fmla="*/ 3996511 w 12192000"/>
            <a:gd name="connsiteY3790" fmla="*/ 5143386 h 6858000"/>
            <a:gd name="connsiteX3791" fmla="*/ 3961692 w 12192000"/>
            <a:gd name="connsiteY3791" fmla="*/ 5108567 h 6858000"/>
            <a:gd name="connsiteX3792" fmla="*/ 3996511 w 12192000"/>
            <a:gd name="connsiteY3792" fmla="*/ 5073748 h 6858000"/>
            <a:gd name="connsiteX3793" fmla="*/ 4031330 w 12192000"/>
            <a:gd name="connsiteY3793" fmla="*/ 5108567 h 6858000"/>
            <a:gd name="connsiteX3794" fmla="*/ 3996511 w 12192000"/>
            <a:gd name="connsiteY3794" fmla="*/ 5143386 h 6858000"/>
            <a:gd name="connsiteX3795" fmla="*/ 4081403 w 12192000"/>
            <a:gd name="connsiteY3795" fmla="*/ 5143386 h 6858000"/>
            <a:gd name="connsiteX3796" fmla="*/ 4046584 w 12192000"/>
            <a:gd name="connsiteY3796" fmla="*/ 5108567 h 6858000"/>
            <a:gd name="connsiteX3797" fmla="*/ 4081403 w 12192000"/>
            <a:gd name="connsiteY3797" fmla="*/ 5073748 h 6858000"/>
            <a:gd name="connsiteX3798" fmla="*/ 4116222 w 12192000"/>
            <a:gd name="connsiteY3798" fmla="*/ 5108567 h 6858000"/>
            <a:gd name="connsiteX3799" fmla="*/ 4081403 w 12192000"/>
            <a:gd name="connsiteY3799" fmla="*/ 5143386 h 6858000"/>
            <a:gd name="connsiteX3800" fmla="*/ 4251188 w 12192000"/>
            <a:gd name="connsiteY3800" fmla="*/ 5143386 h 6858000"/>
            <a:gd name="connsiteX3801" fmla="*/ 4216369 w 12192000"/>
            <a:gd name="connsiteY3801" fmla="*/ 5108567 h 6858000"/>
            <a:gd name="connsiteX3802" fmla="*/ 4251188 w 12192000"/>
            <a:gd name="connsiteY3802" fmla="*/ 5073748 h 6858000"/>
            <a:gd name="connsiteX3803" fmla="*/ 4286007 w 12192000"/>
            <a:gd name="connsiteY3803" fmla="*/ 5108567 h 6858000"/>
            <a:gd name="connsiteX3804" fmla="*/ 4251188 w 12192000"/>
            <a:gd name="connsiteY3804" fmla="*/ 5143386 h 6858000"/>
            <a:gd name="connsiteX3805" fmla="*/ 4505866 w 12192000"/>
            <a:gd name="connsiteY3805" fmla="*/ 5143386 h 6858000"/>
            <a:gd name="connsiteX3806" fmla="*/ 4471047 w 12192000"/>
            <a:gd name="connsiteY3806" fmla="*/ 5108567 h 6858000"/>
            <a:gd name="connsiteX3807" fmla="*/ 4505866 w 12192000"/>
            <a:gd name="connsiteY3807" fmla="*/ 5073748 h 6858000"/>
            <a:gd name="connsiteX3808" fmla="*/ 4540684 w 12192000"/>
            <a:gd name="connsiteY3808" fmla="*/ 5108567 h 6858000"/>
            <a:gd name="connsiteX3809" fmla="*/ 4505866 w 12192000"/>
            <a:gd name="connsiteY3809" fmla="*/ 5143386 h 6858000"/>
            <a:gd name="connsiteX3810" fmla="*/ 4590758 w 12192000"/>
            <a:gd name="connsiteY3810" fmla="*/ 5143386 h 6858000"/>
            <a:gd name="connsiteX3811" fmla="*/ 4555939 w 12192000"/>
            <a:gd name="connsiteY3811" fmla="*/ 5108567 h 6858000"/>
            <a:gd name="connsiteX3812" fmla="*/ 4590758 w 12192000"/>
            <a:gd name="connsiteY3812" fmla="*/ 5073748 h 6858000"/>
            <a:gd name="connsiteX3813" fmla="*/ 4625577 w 12192000"/>
            <a:gd name="connsiteY3813" fmla="*/ 5108567 h 6858000"/>
            <a:gd name="connsiteX3814" fmla="*/ 4590758 w 12192000"/>
            <a:gd name="connsiteY3814" fmla="*/ 5143386 h 6858000"/>
            <a:gd name="connsiteX3815" fmla="*/ 4675650 w 12192000"/>
            <a:gd name="connsiteY3815" fmla="*/ 5143386 h 6858000"/>
            <a:gd name="connsiteX3816" fmla="*/ 4640831 w 12192000"/>
            <a:gd name="connsiteY3816" fmla="*/ 5108567 h 6858000"/>
            <a:gd name="connsiteX3817" fmla="*/ 4675650 w 12192000"/>
            <a:gd name="connsiteY3817" fmla="*/ 5073748 h 6858000"/>
            <a:gd name="connsiteX3818" fmla="*/ 4710469 w 12192000"/>
            <a:gd name="connsiteY3818" fmla="*/ 5108567 h 6858000"/>
            <a:gd name="connsiteX3819" fmla="*/ 4675650 w 12192000"/>
            <a:gd name="connsiteY3819" fmla="*/ 5143386 h 6858000"/>
            <a:gd name="connsiteX3820" fmla="*/ 4760543 w 12192000"/>
            <a:gd name="connsiteY3820" fmla="*/ 5143386 h 6858000"/>
            <a:gd name="connsiteX3821" fmla="*/ 4725724 w 12192000"/>
            <a:gd name="connsiteY3821" fmla="*/ 5108567 h 6858000"/>
            <a:gd name="connsiteX3822" fmla="*/ 4760543 w 12192000"/>
            <a:gd name="connsiteY3822" fmla="*/ 5073748 h 6858000"/>
            <a:gd name="connsiteX3823" fmla="*/ 4795362 w 12192000"/>
            <a:gd name="connsiteY3823" fmla="*/ 5108567 h 6858000"/>
            <a:gd name="connsiteX3824" fmla="*/ 4760543 w 12192000"/>
            <a:gd name="connsiteY3824" fmla="*/ 5143386 h 6858000"/>
            <a:gd name="connsiteX3825" fmla="*/ 4845436 w 12192000"/>
            <a:gd name="connsiteY3825" fmla="*/ 5143386 h 6858000"/>
            <a:gd name="connsiteX3826" fmla="*/ 4810617 w 12192000"/>
            <a:gd name="connsiteY3826" fmla="*/ 5108567 h 6858000"/>
            <a:gd name="connsiteX3827" fmla="*/ 4845436 w 12192000"/>
            <a:gd name="connsiteY3827" fmla="*/ 5073748 h 6858000"/>
            <a:gd name="connsiteX3828" fmla="*/ 4880254 w 12192000"/>
            <a:gd name="connsiteY3828" fmla="*/ 5108567 h 6858000"/>
            <a:gd name="connsiteX3829" fmla="*/ 4845436 w 12192000"/>
            <a:gd name="connsiteY3829" fmla="*/ 5143386 h 6858000"/>
            <a:gd name="connsiteX3830" fmla="*/ 4930328 w 12192000"/>
            <a:gd name="connsiteY3830" fmla="*/ 5143386 h 6858000"/>
            <a:gd name="connsiteX3831" fmla="*/ 4895509 w 12192000"/>
            <a:gd name="connsiteY3831" fmla="*/ 5108567 h 6858000"/>
            <a:gd name="connsiteX3832" fmla="*/ 4930328 w 12192000"/>
            <a:gd name="connsiteY3832" fmla="*/ 5073748 h 6858000"/>
            <a:gd name="connsiteX3833" fmla="*/ 4965147 w 12192000"/>
            <a:gd name="connsiteY3833" fmla="*/ 5108567 h 6858000"/>
            <a:gd name="connsiteX3834" fmla="*/ 4930328 w 12192000"/>
            <a:gd name="connsiteY3834" fmla="*/ 5143386 h 6858000"/>
            <a:gd name="connsiteX3835" fmla="*/ 6288611 w 12192000"/>
            <a:gd name="connsiteY3835" fmla="*/ 5143386 h 6858000"/>
            <a:gd name="connsiteX3836" fmla="*/ 6253786 w 12192000"/>
            <a:gd name="connsiteY3836" fmla="*/ 5108567 h 6858000"/>
            <a:gd name="connsiteX3837" fmla="*/ 6288611 w 12192000"/>
            <a:gd name="connsiteY3837" fmla="*/ 5073748 h 6858000"/>
            <a:gd name="connsiteX3838" fmla="*/ 6323424 w 12192000"/>
            <a:gd name="connsiteY3838" fmla="*/ 5108567 h 6858000"/>
            <a:gd name="connsiteX3839" fmla="*/ 6288611 w 12192000"/>
            <a:gd name="connsiteY3839" fmla="*/ 5143386 h 6858000"/>
            <a:gd name="connsiteX3840" fmla="*/ 6373504 w 12192000"/>
            <a:gd name="connsiteY3840" fmla="*/ 5143386 h 6858000"/>
            <a:gd name="connsiteX3841" fmla="*/ 6338678 w 12192000"/>
            <a:gd name="connsiteY3841" fmla="*/ 5108567 h 6858000"/>
            <a:gd name="connsiteX3842" fmla="*/ 6373504 w 12192000"/>
            <a:gd name="connsiteY3842" fmla="*/ 5073748 h 6858000"/>
            <a:gd name="connsiteX3843" fmla="*/ 6408316 w 12192000"/>
            <a:gd name="connsiteY3843" fmla="*/ 5108567 h 6858000"/>
            <a:gd name="connsiteX3844" fmla="*/ 6373504 w 12192000"/>
            <a:gd name="connsiteY3844" fmla="*/ 5143386 h 6858000"/>
            <a:gd name="connsiteX3845" fmla="*/ 6458396 w 12192000"/>
            <a:gd name="connsiteY3845" fmla="*/ 5143386 h 6858000"/>
            <a:gd name="connsiteX3846" fmla="*/ 6423570 w 12192000"/>
            <a:gd name="connsiteY3846" fmla="*/ 5108567 h 6858000"/>
            <a:gd name="connsiteX3847" fmla="*/ 6458396 w 12192000"/>
            <a:gd name="connsiteY3847" fmla="*/ 5073748 h 6858000"/>
            <a:gd name="connsiteX3848" fmla="*/ 6493208 w 12192000"/>
            <a:gd name="connsiteY3848" fmla="*/ 5108567 h 6858000"/>
            <a:gd name="connsiteX3849" fmla="*/ 6458396 w 12192000"/>
            <a:gd name="connsiteY3849" fmla="*/ 5143386 h 6858000"/>
            <a:gd name="connsiteX3850" fmla="*/ 6543288 w 12192000"/>
            <a:gd name="connsiteY3850" fmla="*/ 5143386 h 6858000"/>
            <a:gd name="connsiteX3851" fmla="*/ 6508463 w 12192000"/>
            <a:gd name="connsiteY3851" fmla="*/ 5108567 h 6858000"/>
            <a:gd name="connsiteX3852" fmla="*/ 6543288 w 12192000"/>
            <a:gd name="connsiteY3852" fmla="*/ 5073748 h 6858000"/>
            <a:gd name="connsiteX3853" fmla="*/ 6578100 w 12192000"/>
            <a:gd name="connsiteY3853" fmla="*/ 5108567 h 6858000"/>
            <a:gd name="connsiteX3854" fmla="*/ 6543288 w 12192000"/>
            <a:gd name="connsiteY3854" fmla="*/ 5143386 h 6858000"/>
            <a:gd name="connsiteX3855" fmla="*/ 6628181 w 12192000"/>
            <a:gd name="connsiteY3855" fmla="*/ 5143386 h 6858000"/>
            <a:gd name="connsiteX3856" fmla="*/ 6593356 w 12192000"/>
            <a:gd name="connsiteY3856" fmla="*/ 5108567 h 6858000"/>
            <a:gd name="connsiteX3857" fmla="*/ 6628181 w 12192000"/>
            <a:gd name="connsiteY3857" fmla="*/ 5073748 h 6858000"/>
            <a:gd name="connsiteX3858" fmla="*/ 6662994 w 12192000"/>
            <a:gd name="connsiteY3858" fmla="*/ 5108567 h 6858000"/>
            <a:gd name="connsiteX3859" fmla="*/ 6628181 w 12192000"/>
            <a:gd name="connsiteY3859" fmla="*/ 5143386 h 6858000"/>
            <a:gd name="connsiteX3860" fmla="*/ 6713074 w 12192000"/>
            <a:gd name="connsiteY3860" fmla="*/ 5143386 h 6858000"/>
            <a:gd name="connsiteX3861" fmla="*/ 6678248 w 12192000"/>
            <a:gd name="connsiteY3861" fmla="*/ 5108567 h 6858000"/>
            <a:gd name="connsiteX3862" fmla="*/ 6713074 w 12192000"/>
            <a:gd name="connsiteY3862" fmla="*/ 5073748 h 6858000"/>
            <a:gd name="connsiteX3863" fmla="*/ 6747886 w 12192000"/>
            <a:gd name="connsiteY3863" fmla="*/ 5108567 h 6858000"/>
            <a:gd name="connsiteX3864" fmla="*/ 6713074 w 12192000"/>
            <a:gd name="connsiteY3864" fmla="*/ 5143386 h 6858000"/>
            <a:gd name="connsiteX3865" fmla="*/ 6797966 w 12192000"/>
            <a:gd name="connsiteY3865" fmla="*/ 5143386 h 6858000"/>
            <a:gd name="connsiteX3866" fmla="*/ 6763140 w 12192000"/>
            <a:gd name="connsiteY3866" fmla="*/ 5108567 h 6858000"/>
            <a:gd name="connsiteX3867" fmla="*/ 6797966 w 12192000"/>
            <a:gd name="connsiteY3867" fmla="*/ 5073748 h 6858000"/>
            <a:gd name="connsiteX3868" fmla="*/ 6832778 w 12192000"/>
            <a:gd name="connsiteY3868" fmla="*/ 5108567 h 6858000"/>
            <a:gd name="connsiteX3869" fmla="*/ 6797966 w 12192000"/>
            <a:gd name="connsiteY3869" fmla="*/ 5143386 h 6858000"/>
            <a:gd name="connsiteX3870" fmla="*/ 7052644 w 12192000"/>
            <a:gd name="connsiteY3870" fmla="*/ 5143386 h 6858000"/>
            <a:gd name="connsiteX3871" fmla="*/ 7017818 w 12192000"/>
            <a:gd name="connsiteY3871" fmla="*/ 5108567 h 6858000"/>
            <a:gd name="connsiteX3872" fmla="*/ 7052644 w 12192000"/>
            <a:gd name="connsiteY3872" fmla="*/ 5073748 h 6858000"/>
            <a:gd name="connsiteX3873" fmla="*/ 7087456 w 12192000"/>
            <a:gd name="connsiteY3873" fmla="*/ 5108567 h 6858000"/>
            <a:gd name="connsiteX3874" fmla="*/ 7052644 w 12192000"/>
            <a:gd name="connsiteY3874" fmla="*/ 5143386 h 6858000"/>
            <a:gd name="connsiteX3875" fmla="*/ 7137536 w 12192000"/>
            <a:gd name="connsiteY3875" fmla="*/ 5143386 h 6858000"/>
            <a:gd name="connsiteX3876" fmla="*/ 7102710 w 12192000"/>
            <a:gd name="connsiteY3876" fmla="*/ 5108567 h 6858000"/>
            <a:gd name="connsiteX3877" fmla="*/ 7137536 w 12192000"/>
            <a:gd name="connsiteY3877" fmla="*/ 5073748 h 6858000"/>
            <a:gd name="connsiteX3878" fmla="*/ 7172348 w 12192000"/>
            <a:gd name="connsiteY3878" fmla="*/ 5108567 h 6858000"/>
            <a:gd name="connsiteX3879" fmla="*/ 7137536 w 12192000"/>
            <a:gd name="connsiteY3879" fmla="*/ 5143386 h 6858000"/>
            <a:gd name="connsiteX3880" fmla="*/ 7222428 w 12192000"/>
            <a:gd name="connsiteY3880" fmla="*/ 5143386 h 6858000"/>
            <a:gd name="connsiteX3881" fmla="*/ 7187603 w 12192000"/>
            <a:gd name="connsiteY3881" fmla="*/ 5108567 h 6858000"/>
            <a:gd name="connsiteX3882" fmla="*/ 7222428 w 12192000"/>
            <a:gd name="connsiteY3882" fmla="*/ 5073748 h 6858000"/>
            <a:gd name="connsiteX3883" fmla="*/ 7257240 w 12192000"/>
            <a:gd name="connsiteY3883" fmla="*/ 5108567 h 6858000"/>
            <a:gd name="connsiteX3884" fmla="*/ 7222428 w 12192000"/>
            <a:gd name="connsiteY3884" fmla="*/ 5143386 h 6858000"/>
            <a:gd name="connsiteX3885" fmla="*/ 7307320 w 12192000"/>
            <a:gd name="connsiteY3885" fmla="*/ 5143386 h 6858000"/>
            <a:gd name="connsiteX3886" fmla="*/ 7272495 w 12192000"/>
            <a:gd name="connsiteY3886" fmla="*/ 5108567 h 6858000"/>
            <a:gd name="connsiteX3887" fmla="*/ 7307320 w 12192000"/>
            <a:gd name="connsiteY3887" fmla="*/ 5073748 h 6858000"/>
            <a:gd name="connsiteX3888" fmla="*/ 7342133 w 12192000"/>
            <a:gd name="connsiteY3888" fmla="*/ 5108567 h 6858000"/>
            <a:gd name="connsiteX3889" fmla="*/ 7307320 w 12192000"/>
            <a:gd name="connsiteY3889" fmla="*/ 5143386 h 6858000"/>
            <a:gd name="connsiteX3890" fmla="*/ 7392214 w 12192000"/>
            <a:gd name="connsiteY3890" fmla="*/ 5143386 h 6858000"/>
            <a:gd name="connsiteX3891" fmla="*/ 7357388 w 12192000"/>
            <a:gd name="connsiteY3891" fmla="*/ 5108567 h 6858000"/>
            <a:gd name="connsiteX3892" fmla="*/ 7392214 w 12192000"/>
            <a:gd name="connsiteY3892" fmla="*/ 5073748 h 6858000"/>
            <a:gd name="connsiteX3893" fmla="*/ 7427026 w 12192000"/>
            <a:gd name="connsiteY3893" fmla="*/ 5108567 h 6858000"/>
            <a:gd name="connsiteX3894" fmla="*/ 7392214 w 12192000"/>
            <a:gd name="connsiteY3894" fmla="*/ 5143386 h 6858000"/>
            <a:gd name="connsiteX3895" fmla="*/ 7477106 w 12192000"/>
            <a:gd name="connsiteY3895" fmla="*/ 5143386 h 6858000"/>
            <a:gd name="connsiteX3896" fmla="*/ 7442280 w 12192000"/>
            <a:gd name="connsiteY3896" fmla="*/ 5108567 h 6858000"/>
            <a:gd name="connsiteX3897" fmla="*/ 7477106 w 12192000"/>
            <a:gd name="connsiteY3897" fmla="*/ 5073748 h 6858000"/>
            <a:gd name="connsiteX3898" fmla="*/ 7511918 w 12192000"/>
            <a:gd name="connsiteY3898" fmla="*/ 5108567 h 6858000"/>
            <a:gd name="connsiteX3899" fmla="*/ 7477106 w 12192000"/>
            <a:gd name="connsiteY3899" fmla="*/ 5143386 h 6858000"/>
            <a:gd name="connsiteX3900" fmla="*/ 7561998 w 12192000"/>
            <a:gd name="connsiteY3900" fmla="*/ 5143386 h 6858000"/>
            <a:gd name="connsiteX3901" fmla="*/ 7527173 w 12192000"/>
            <a:gd name="connsiteY3901" fmla="*/ 5108567 h 6858000"/>
            <a:gd name="connsiteX3902" fmla="*/ 7561998 w 12192000"/>
            <a:gd name="connsiteY3902" fmla="*/ 5073748 h 6858000"/>
            <a:gd name="connsiteX3903" fmla="*/ 7596810 w 12192000"/>
            <a:gd name="connsiteY3903" fmla="*/ 5108567 h 6858000"/>
            <a:gd name="connsiteX3904" fmla="*/ 7561998 w 12192000"/>
            <a:gd name="connsiteY3904" fmla="*/ 5143386 h 6858000"/>
            <a:gd name="connsiteX3905" fmla="*/ 7646890 w 12192000"/>
            <a:gd name="connsiteY3905" fmla="*/ 5143386 h 6858000"/>
            <a:gd name="connsiteX3906" fmla="*/ 7612065 w 12192000"/>
            <a:gd name="connsiteY3906" fmla="*/ 5108567 h 6858000"/>
            <a:gd name="connsiteX3907" fmla="*/ 7646890 w 12192000"/>
            <a:gd name="connsiteY3907" fmla="*/ 5073748 h 6858000"/>
            <a:gd name="connsiteX3908" fmla="*/ 7681703 w 12192000"/>
            <a:gd name="connsiteY3908" fmla="*/ 5108567 h 6858000"/>
            <a:gd name="connsiteX3909" fmla="*/ 7646890 w 12192000"/>
            <a:gd name="connsiteY3909" fmla="*/ 5143386 h 6858000"/>
            <a:gd name="connsiteX3910" fmla="*/ 7731784 w 12192000"/>
            <a:gd name="connsiteY3910" fmla="*/ 5143386 h 6858000"/>
            <a:gd name="connsiteX3911" fmla="*/ 7696958 w 12192000"/>
            <a:gd name="connsiteY3911" fmla="*/ 5108567 h 6858000"/>
            <a:gd name="connsiteX3912" fmla="*/ 7731784 w 12192000"/>
            <a:gd name="connsiteY3912" fmla="*/ 5073748 h 6858000"/>
            <a:gd name="connsiteX3913" fmla="*/ 7766596 w 12192000"/>
            <a:gd name="connsiteY3913" fmla="*/ 5108567 h 6858000"/>
            <a:gd name="connsiteX3914" fmla="*/ 7731784 w 12192000"/>
            <a:gd name="connsiteY3914" fmla="*/ 5143386 h 6858000"/>
            <a:gd name="connsiteX3915" fmla="*/ 7816676 w 12192000"/>
            <a:gd name="connsiteY3915" fmla="*/ 5143386 h 6858000"/>
            <a:gd name="connsiteX3916" fmla="*/ 7781850 w 12192000"/>
            <a:gd name="connsiteY3916" fmla="*/ 5108567 h 6858000"/>
            <a:gd name="connsiteX3917" fmla="*/ 7816676 w 12192000"/>
            <a:gd name="connsiteY3917" fmla="*/ 5073748 h 6858000"/>
            <a:gd name="connsiteX3918" fmla="*/ 7851488 w 12192000"/>
            <a:gd name="connsiteY3918" fmla="*/ 5108567 h 6858000"/>
            <a:gd name="connsiteX3919" fmla="*/ 7816676 w 12192000"/>
            <a:gd name="connsiteY3919" fmla="*/ 5143386 h 6858000"/>
            <a:gd name="connsiteX3920" fmla="*/ 7901568 w 12192000"/>
            <a:gd name="connsiteY3920" fmla="*/ 5143386 h 6858000"/>
            <a:gd name="connsiteX3921" fmla="*/ 7866743 w 12192000"/>
            <a:gd name="connsiteY3921" fmla="*/ 5108567 h 6858000"/>
            <a:gd name="connsiteX3922" fmla="*/ 7901568 w 12192000"/>
            <a:gd name="connsiteY3922" fmla="*/ 5073748 h 6858000"/>
            <a:gd name="connsiteX3923" fmla="*/ 7936380 w 12192000"/>
            <a:gd name="connsiteY3923" fmla="*/ 5108567 h 6858000"/>
            <a:gd name="connsiteX3924" fmla="*/ 7901568 w 12192000"/>
            <a:gd name="connsiteY3924" fmla="*/ 5143386 h 6858000"/>
            <a:gd name="connsiteX3925" fmla="*/ 7986460 w 12192000"/>
            <a:gd name="connsiteY3925" fmla="*/ 5143386 h 6858000"/>
            <a:gd name="connsiteX3926" fmla="*/ 7951635 w 12192000"/>
            <a:gd name="connsiteY3926" fmla="*/ 5108567 h 6858000"/>
            <a:gd name="connsiteX3927" fmla="*/ 7986460 w 12192000"/>
            <a:gd name="connsiteY3927" fmla="*/ 5073748 h 6858000"/>
            <a:gd name="connsiteX3928" fmla="*/ 8021273 w 12192000"/>
            <a:gd name="connsiteY3928" fmla="*/ 5108567 h 6858000"/>
            <a:gd name="connsiteX3929" fmla="*/ 7986460 w 12192000"/>
            <a:gd name="connsiteY3929" fmla="*/ 5143386 h 6858000"/>
            <a:gd name="connsiteX3930" fmla="*/ 8071353 w 12192000"/>
            <a:gd name="connsiteY3930" fmla="*/ 5143386 h 6858000"/>
            <a:gd name="connsiteX3931" fmla="*/ 8036527 w 12192000"/>
            <a:gd name="connsiteY3931" fmla="*/ 5108567 h 6858000"/>
            <a:gd name="connsiteX3932" fmla="*/ 8071353 w 12192000"/>
            <a:gd name="connsiteY3932" fmla="*/ 5073748 h 6858000"/>
            <a:gd name="connsiteX3933" fmla="*/ 8106165 w 12192000"/>
            <a:gd name="connsiteY3933" fmla="*/ 5108567 h 6858000"/>
            <a:gd name="connsiteX3934" fmla="*/ 8071353 w 12192000"/>
            <a:gd name="connsiteY3934" fmla="*/ 5143386 h 6858000"/>
            <a:gd name="connsiteX3935" fmla="*/ 8156246 w 12192000"/>
            <a:gd name="connsiteY3935" fmla="*/ 5143386 h 6858000"/>
            <a:gd name="connsiteX3936" fmla="*/ 8121420 w 12192000"/>
            <a:gd name="connsiteY3936" fmla="*/ 5108567 h 6858000"/>
            <a:gd name="connsiteX3937" fmla="*/ 8156246 w 12192000"/>
            <a:gd name="connsiteY3937" fmla="*/ 5073748 h 6858000"/>
            <a:gd name="connsiteX3938" fmla="*/ 8191058 w 12192000"/>
            <a:gd name="connsiteY3938" fmla="*/ 5108567 h 6858000"/>
            <a:gd name="connsiteX3939" fmla="*/ 8156246 w 12192000"/>
            <a:gd name="connsiteY3939" fmla="*/ 5143386 h 6858000"/>
            <a:gd name="connsiteX3940" fmla="*/ 8241138 w 12192000"/>
            <a:gd name="connsiteY3940" fmla="*/ 5143386 h 6858000"/>
            <a:gd name="connsiteX3941" fmla="*/ 8206313 w 12192000"/>
            <a:gd name="connsiteY3941" fmla="*/ 5108567 h 6858000"/>
            <a:gd name="connsiteX3942" fmla="*/ 8241138 w 12192000"/>
            <a:gd name="connsiteY3942" fmla="*/ 5073748 h 6858000"/>
            <a:gd name="connsiteX3943" fmla="*/ 8275950 w 12192000"/>
            <a:gd name="connsiteY3943" fmla="*/ 5108567 h 6858000"/>
            <a:gd name="connsiteX3944" fmla="*/ 8241138 w 12192000"/>
            <a:gd name="connsiteY3944" fmla="*/ 5143386 h 6858000"/>
            <a:gd name="connsiteX3945" fmla="*/ 8326030 w 12192000"/>
            <a:gd name="connsiteY3945" fmla="*/ 5143386 h 6858000"/>
            <a:gd name="connsiteX3946" fmla="*/ 8291205 w 12192000"/>
            <a:gd name="connsiteY3946" fmla="*/ 5108567 h 6858000"/>
            <a:gd name="connsiteX3947" fmla="*/ 8326030 w 12192000"/>
            <a:gd name="connsiteY3947" fmla="*/ 5073748 h 6858000"/>
            <a:gd name="connsiteX3948" fmla="*/ 8360843 w 12192000"/>
            <a:gd name="connsiteY3948" fmla="*/ 5108567 h 6858000"/>
            <a:gd name="connsiteX3949" fmla="*/ 8326030 w 12192000"/>
            <a:gd name="connsiteY3949" fmla="*/ 5143386 h 6858000"/>
            <a:gd name="connsiteX3950" fmla="*/ 8410923 w 12192000"/>
            <a:gd name="connsiteY3950" fmla="*/ 5143386 h 6858000"/>
            <a:gd name="connsiteX3951" fmla="*/ 8376097 w 12192000"/>
            <a:gd name="connsiteY3951" fmla="*/ 5108567 h 6858000"/>
            <a:gd name="connsiteX3952" fmla="*/ 8410923 w 12192000"/>
            <a:gd name="connsiteY3952" fmla="*/ 5073748 h 6858000"/>
            <a:gd name="connsiteX3953" fmla="*/ 8445735 w 12192000"/>
            <a:gd name="connsiteY3953" fmla="*/ 5108567 h 6858000"/>
            <a:gd name="connsiteX3954" fmla="*/ 8410923 w 12192000"/>
            <a:gd name="connsiteY3954" fmla="*/ 5143386 h 6858000"/>
            <a:gd name="connsiteX3955" fmla="*/ 8495816 w 12192000"/>
            <a:gd name="connsiteY3955" fmla="*/ 5143386 h 6858000"/>
            <a:gd name="connsiteX3956" fmla="*/ 8460990 w 12192000"/>
            <a:gd name="connsiteY3956" fmla="*/ 5108567 h 6858000"/>
            <a:gd name="connsiteX3957" fmla="*/ 8495816 w 12192000"/>
            <a:gd name="connsiteY3957" fmla="*/ 5073748 h 6858000"/>
            <a:gd name="connsiteX3958" fmla="*/ 8530628 w 12192000"/>
            <a:gd name="connsiteY3958" fmla="*/ 5108567 h 6858000"/>
            <a:gd name="connsiteX3959" fmla="*/ 8495816 w 12192000"/>
            <a:gd name="connsiteY3959" fmla="*/ 5143386 h 6858000"/>
            <a:gd name="connsiteX3960" fmla="*/ 8580708 w 12192000"/>
            <a:gd name="connsiteY3960" fmla="*/ 5143386 h 6858000"/>
            <a:gd name="connsiteX3961" fmla="*/ 8545883 w 12192000"/>
            <a:gd name="connsiteY3961" fmla="*/ 5108567 h 6858000"/>
            <a:gd name="connsiteX3962" fmla="*/ 8580708 w 12192000"/>
            <a:gd name="connsiteY3962" fmla="*/ 5073748 h 6858000"/>
            <a:gd name="connsiteX3963" fmla="*/ 8615520 w 12192000"/>
            <a:gd name="connsiteY3963" fmla="*/ 5108567 h 6858000"/>
            <a:gd name="connsiteX3964" fmla="*/ 8580708 w 12192000"/>
            <a:gd name="connsiteY3964" fmla="*/ 5143386 h 6858000"/>
            <a:gd name="connsiteX3965" fmla="*/ 8665600 w 12192000"/>
            <a:gd name="connsiteY3965" fmla="*/ 5143386 h 6858000"/>
            <a:gd name="connsiteX3966" fmla="*/ 8630775 w 12192000"/>
            <a:gd name="connsiteY3966" fmla="*/ 5108567 h 6858000"/>
            <a:gd name="connsiteX3967" fmla="*/ 8665600 w 12192000"/>
            <a:gd name="connsiteY3967" fmla="*/ 5073748 h 6858000"/>
            <a:gd name="connsiteX3968" fmla="*/ 8700413 w 12192000"/>
            <a:gd name="connsiteY3968" fmla="*/ 5108567 h 6858000"/>
            <a:gd name="connsiteX3969" fmla="*/ 8665600 w 12192000"/>
            <a:gd name="connsiteY3969" fmla="*/ 5143386 h 6858000"/>
            <a:gd name="connsiteX3970" fmla="*/ 8750493 w 12192000"/>
            <a:gd name="connsiteY3970" fmla="*/ 5143386 h 6858000"/>
            <a:gd name="connsiteX3971" fmla="*/ 8715667 w 12192000"/>
            <a:gd name="connsiteY3971" fmla="*/ 5108567 h 6858000"/>
            <a:gd name="connsiteX3972" fmla="*/ 8750493 w 12192000"/>
            <a:gd name="connsiteY3972" fmla="*/ 5073748 h 6858000"/>
            <a:gd name="connsiteX3973" fmla="*/ 8785305 w 12192000"/>
            <a:gd name="connsiteY3973" fmla="*/ 5108567 h 6858000"/>
            <a:gd name="connsiteX3974" fmla="*/ 8750493 w 12192000"/>
            <a:gd name="connsiteY3974" fmla="*/ 5143386 h 6858000"/>
            <a:gd name="connsiteX3975" fmla="*/ 8835386 w 12192000"/>
            <a:gd name="connsiteY3975" fmla="*/ 5143386 h 6858000"/>
            <a:gd name="connsiteX3976" fmla="*/ 8800560 w 12192000"/>
            <a:gd name="connsiteY3976" fmla="*/ 5108567 h 6858000"/>
            <a:gd name="connsiteX3977" fmla="*/ 8835386 w 12192000"/>
            <a:gd name="connsiteY3977" fmla="*/ 5073748 h 6858000"/>
            <a:gd name="connsiteX3978" fmla="*/ 8870198 w 12192000"/>
            <a:gd name="connsiteY3978" fmla="*/ 5108567 h 6858000"/>
            <a:gd name="connsiteX3979" fmla="*/ 8835386 w 12192000"/>
            <a:gd name="connsiteY3979" fmla="*/ 5143386 h 6858000"/>
            <a:gd name="connsiteX3980" fmla="*/ 8920278 w 12192000"/>
            <a:gd name="connsiteY3980" fmla="*/ 5143386 h 6858000"/>
            <a:gd name="connsiteX3981" fmla="*/ 8885453 w 12192000"/>
            <a:gd name="connsiteY3981" fmla="*/ 5108567 h 6858000"/>
            <a:gd name="connsiteX3982" fmla="*/ 8920278 w 12192000"/>
            <a:gd name="connsiteY3982" fmla="*/ 5073748 h 6858000"/>
            <a:gd name="connsiteX3983" fmla="*/ 8955090 w 12192000"/>
            <a:gd name="connsiteY3983" fmla="*/ 5108567 h 6858000"/>
            <a:gd name="connsiteX3984" fmla="*/ 8920278 w 12192000"/>
            <a:gd name="connsiteY3984" fmla="*/ 5143386 h 6858000"/>
            <a:gd name="connsiteX3985" fmla="*/ 9005170 w 12192000"/>
            <a:gd name="connsiteY3985" fmla="*/ 5143386 h 6858000"/>
            <a:gd name="connsiteX3986" fmla="*/ 8970345 w 12192000"/>
            <a:gd name="connsiteY3986" fmla="*/ 5108567 h 6858000"/>
            <a:gd name="connsiteX3987" fmla="*/ 9005170 w 12192000"/>
            <a:gd name="connsiteY3987" fmla="*/ 5073748 h 6858000"/>
            <a:gd name="connsiteX3988" fmla="*/ 9039983 w 12192000"/>
            <a:gd name="connsiteY3988" fmla="*/ 5108567 h 6858000"/>
            <a:gd name="connsiteX3989" fmla="*/ 9005170 w 12192000"/>
            <a:gd name="connsiteY3989" fmla="*/ 5143386 h 6858000"/>
            <a:gd name="connsiteX3990" fmla="*/ 9090063 w 12192000"/>
            <a:gd name="connsiteY3990" fmla="*/ 5143386 h 6858000"/>
            <a:gd name="connsiteX3991" fmla="*/ 9055237 w 12192000"/>
            <a:gd name="connsiteY3991" fmla="*/ 5108567 h 6858000"/>
            <a:gd name="connsiteX3992" fmla="*/ 9090063 w 12192000"/>
            <a:gd name="connsiteY3992" fmla="*/ 5073748 h 6858000"/>
            <a:gd name="connsiteX3993" fmla="*/ 9124875 w 12192000"/>
            <a:gd name="connsiteY3993" fmla="*/ 5108567 h 6858000"/>
            <a:gd name="connsiteX3994" fmla="*/ 9090063 w 12192000"/>
            <a:gd name="connsiteY3994" fmla="*/ 5143386 h 6858000"/>
            <a:gd name="connsiteX3995" fmla="*/ 9174956 w 12192000"/>
            <a:gd name="connsiteY3995" fmla="*/ 5143386 h 6858000"/>
            <a:gd name="connsiteX3996" fmla="*/ 9140130 w 12192000"/>
            <a:gd name="connsiteY3996" fmla="*/ 5108567 h 6858000"/>
            <a:gd name="connsiteX3997" fmla="*/ 9174956 w 12192000"/>
            <a:gd name="connsiteY3997" fmla="*/ 5073748 h 6858000"/>
            <a:gd name="connsiteX3998" fmla="*/ 9209768 w 12192000"/>
            <a:gd name="connsiteY3998" fmla="*/ 5108567 h 6858000"/>
            <a:gd name="connsiteX3999" fmla="*/ 9174956 w 12192000"/>
            <a:gd name="connsiteY3999" fmla="*/ 5143386 h 6858000"/>
            <a:gd name="connsiteX4000" fmla="*/ 9259848 w 12192000"/>
            <a:gd name="connsiteY4000" fmla="*/ 5143386 h 6858000"/>
            <a:gd name="connsiteX4001" fmla="*/ 9225023 w 12192000"/>
            <a:gd name="connsiteY4001" fmla="*/ 5108567 h 6858000"/>
            <a:gd name="connsiteX4002" fmla="*/ 9259848 w 12192000"/>
            <a:gd name="connsiteY4002" fmla="*/ 5073748 h 6858000"/>
            <a:gd name="connsiteX4003" fmla="*/ 9294660 w 12192000"/>
            <a:gd name="connsiteY4003" fmla="*/ 5108567 h 6858000"/>
            <a:gd name="connsiteX4004" fmla="*/ 9259848 w 12192000"/>
            <a:gd name="connsiteY4004" fmla="*/ 5143386 h 6858000"/>
            <a:gd name="connsiteX4005" fmla="*/ 9344740 w 12192000"/>
            <a:gd name="connsiteY4005" fmla="*/ 5143386 h 6858000"/>
            <a:gd name="connsiteX4006" fmla="*/ 9309915 w 12192000"/>
            <a:gd name="connsiteY4006" fmla="*/ 5108567 h 6858000"/>
            <a:gd name="connsiteX4007" fmla="*/ 9344740 w 12192000"/>
            <a:gd name="connsiteY4007" fmla="*/ 5073748 h 6858000"/>
            <a:gd name="connsiteX4008" fmla="*/ 9379553 w 12192000"/>
            <a:gd name="connsiteY4008" fmla="*/ 5108567 h 6858000"/>
            <a:gd name="connsiteX4009" fmla="*/ 9344740 w 12192000"/>
            <a:gd name="connsiteY4009" fmla="*/ 5143386 h 6858000"/>
            <a:gd name="connsiteX4010" fmla="*/ 9429633 w 12192000"/>
            <a:gd name="connsiteY4010" fmla="*/ 5143386 h 6858000"/>
            <a:gd name="connsiteX4011" fmla="*/ 9394807 w 12192000"/>
            <a:gd name="connsiteY4011" fmla="*/ 5108567 h 6858000"/>
            <a:gd name="connsiteX4012" fmla="*/ 9429633 w 12192000"/>
            <a:gd name="connsiteY4012" fmla="*/ 5073748 h 6858000"/>
            <a:gd name="connsiteX4013" fmla="*/ 9464445 w 12192000"/>
            <a:gd name="connsiteY4013" fmla="*/ 5108567 h 6858000"/>
            <a:gd name="connsiteX4014" fmla="*/ 9429633 w 12192000"/>
            <a:gd name="connsiteY4014" fmla="*/ 5143386 h 6858000"/>
            <a:gd name="connsiteX4015" fmla="*/ 9514525 w 12192000"/>
            <a:gd name="connsiteY4015" fmla="*/ 5143386 h 6858000"/>
            <a:gd name="connsiteX4016" fmla="*/ 9479699 w 12192000"/>
            <a:gd name="connsiteY4016" fmla="*/ 5108567 h 6858000"/>
            <a:gd name="connsiteX4017" fmla="*/ 9514525 w 12192000"/>
            <a:gd name="connsiteY4017" fmla="*/ 5073748 h 6858000"/>
            <a:gd name="connsiteX4018" fmla="*/ 9549337 w 12192000"/>
            <a:gd name="connsiteY4018" fmla="*/ 5108567 h 6858000"/>
            <a:gd name="connsiteX4019" fmla="*/ 9514525 w 12192000"/>
            <a:gd name="connsiteY4019" fmla="*/ 5143386 h 6858000"/>
            <a:gd name="connsiteX4020" fmla="*/ 9599418 w 12192000"/>
            <a:gd name="connsiteY4020" fmla="*/ 5143386 h 6858000"/>
            <a:gd name="connsiteX4021" fmla="*/ 9564593 w 12192000"/>
            <a:gd name="connsiteY4021" fmla="*/ 5108567 h 6858000"/>
            <a:gd name="connsiteX4022" fmla="*/ 9599418 w 12192000"/>
            <a:gd name="connsiteY4022" fmla="*/ 5073748 h 6858000"/>
            <a:gd name="connsiteX4023" fmla="*/ 9634230 w 12192000"/>
            <a:gd name="connsiteY4023" fmla="*/ 5108567 h 6858000"/>
            <a:gd name="connsiteX4024" fmla="*/ 9599418 w 12192000"/>
            <a:gd name="connsiteY4024" fmla="*/ 5143386 h 6858000"/>
            <a:gd name="connsiteX4025" fmla="*/ 9684310 w 12192000"/>
            <a:gd name="connsiteY4025" fmla="*/ 5143386 h 6858000"/>
            <a:gd name="connsiteX4026" fmla="*/ 9649485 w 12192000"/>
            <a:gd name="connsiteY4026" fmla="*/ 5108567 h 6858000"/>
            <a:gd name="connsiteX4027" fmla="*/ 9684310 w 12192000"/>
            <a:gd name="connsiteY4027" fmla="*/ 5073748 h 6858000"/>
            <a:gd name="connsiteX4028" fmla="*/ 9719123 w 12192000"/>
            <a:gd name="connsiteY4028" fmla="*/ 5108567 h 6858000"/>
            <a:gd name="connsiteX4029" fmla="*/ 9684310 w 12192000"/>
            <a:gd name="connsiteY4029" fmla="*/ 5143386 h 6858000"/>
            <a:gd name="connsiteX4030" fmla="*/ 9769203 w 12192000"/>
            <a:gd name="connsiteY4030" fmla="*/ 5143386 h 6858000"/>
            <a:gd name="connsiteX4031" fmla="*/ 9734377 w 12192000"/>
            <a:gd name="connsiteY4031" fmla="*/ 5108567 h 6858000"/>
            <a:gd name="connsiteX4032" fmla="*/ 9769203 w 12192000"/>
            <a:gd name="connsiteY4032" fmla="*/ 5073748 h 6858000"/>
            <a:gd name="connsiteX4033" fmla="*/ 9804015 w 12192000"/>
            <a:gd name="connsiteY4033" fmla="*/ 5108567 h 6858000"/>
            <a:gd name="connsiteX4034" fmla="*/ 9769203 w 12192000"/>
            <a:gd name="connsiteY4034" fmla="*/ 5143386 h 6858000"/>
            <a:gd name="connsiteX4035" fmla="*/ 10278558 w 12192000"/>
            <a:gd name="connsiteY4035" fmla="*/ 5143386 h 6858000"/>
            <a:gd name="connsiteX4036" fmla="*/ 10243733 w 12192000"/>
            <a:gd name="connsiteY4036" fmla="*/ 5108567 h 6858000"/>
            <a:gd name="connsiteX4037" fmla="*/ 10278558 w 12192000"/>
            <a:gd name="connsiteY4037" fmla="*/ 5073748 h 6858000"/>
            <a:gd name="connsiteX4038" fmla="*/ 10313370 w 12192000"/>
            <a:gd name="connsiteY4038" fmla="*/ 5108567 h 6858000"/>
            <a:gd name="connsiteX4039" fmla="*/ 10278558 w 12192000"/>
            <a:gd name="connsiteY4039" fmla="*/ 5143386 h 6858000"/>
            <a:gd name="connsiteX4040" fmla="*/ 10363450 w 12192000"/>
            <a:gd name="connsiteY4040" fmla="*/ 5143386 h 6858000"/>
            <a:gd name="connsiteX4041" fmla="*/ 10328625 w 12192000"/>
            <a:gd name="connsiteY4041" fmla="*/ 5108567 h 6858000"/>
            <a:gd name="connsiteX4042" fmla="*/ 10363450 w 12192000"/>
            <a:gd name="connsiteY4042" fmla="*/ 5073748 h 6858000"/>
            <a:gd name="connsiteX4043" fmla="*/ 10398263 w 12192000"/>
            <a:gd name="connsiteY4043" fmla="*/ 5108567 h 6858000"/>
            <a:gd name="connsiteX4044" fmla="*/ 10363450 w 12192000"/>
            <a:gd name="connsiteY4044" fmla="*/ 5143386 h 6858000"/>
            <a:gd name="connsiteX4045" fmla="*/ 1364843 w 12192000"/>
            <a:gd name="connsiteY4045" fmla="*/ 5058526 h 6858000"/>
            <a:gd name="connsiteX4046" fmla="*/ 1330024 w 12192000"/>
            <a:gd name="connsiteY4046" fmla="*/ 5023707 h 6858000"/>
            <a:gd name="connsiteX4047" fmla="*/ 1364843 w 12192000"/>
            <a:gd name="connsiteY4047" fmla="*/ 4988888 h 6858000"/>
            <a:gd name="connsiteX4048" fmla="*/ 1399662 w 12192000"/>
            <a:gd name="connsiteY4048" fmla="*/ 5023707 h 6858000"/>
            <a:gd name="connsiteX4049" fmla="*/ 1364843 w 12192000"/>
            <a:gd name="connsiteY4049" fmla="*/ 5058526 h 6858000"/>
            <a:gd name="connsiteX4050" fmla="*/ 1449737 w 12192000"/>
            <a:gd name="connsiteY4050" fmla="*/ 5058526 h 6858000"/>
            <a:gd name="connsiteX4051" fmla="*/ 1414918 w 12192000"/>
            <a:gd name="connsiteY4051" fmla="*/ 5023707 h 6858000"/>
            <a:gd name="connsiteX4052" fmla="*/ 1449737 w 12192000"/>
            <a:gd name="connsiteY4052" fmla="*/ 4988888 h 6858000"/>
            <a:gd name="connsiteX4053" fmla="*/ 1484555 w 12192000"/>
            <a:gd name="connsiteY4053" fmla="*/ 5023707 h 6858000"/>
            <a:gd name="connsiteX4054" fmla="*/ 1449737 w 12192000"/>
            <a:gd name="connsiteY4054" fmla="*/ 5058526 h 6858000"/>
            <a:gd name="connsiteX4055" fmla="*/ 2128876 w 12192000"/>
            <a:gd name="connsiteY4055" fmla="*/ 5058526 h 6858000"/>
            <a:gd name="connsiteX4056" fmla="*/ 2094057 w 12192000"/>
            <a:gd name="connsiteY4056" fmla="*/ 5023707 h 6858000"/>
            <a:gd name="connsiteX4057" fmla="*/ 2128876 w 12192000"/>
            <a:gd name="connsiteY4057" fmla="*/ 4988888 h 6858000"/>
            <a:gd name="connsiteX4058" fmla="*/ 2163694 w 12192000"/>
            <a:gd name="connsiteY4058" fmla="*/ 5023707 h 6858000"/>
            <a:gd name="connsiteX4059" fmla="*/ 2128876 w 12192000"/>
            <a:gd name="connsiteY4059" fmla="*/ 5058526 h 6858000"/>
            <a:gd name="connsiteX4060" fmla="*/ 2213769 w 12192000"/>
            <a:gd name="connsiteY4060" fmla="*/ 5058526 h 6858000"/>
            <a:gd name="connsiteX4061" fmla="*/ 2178950 w 12192000"/>
            <a:gd name="connsiteY4061" fmla="*/ 5023707 h 6858000"/>
            <a:gd name="connsiteX4062" fmla="*/ 2213769 w 12192000"/>
            <a:gd name="connsiteY4062" fmla="*/ 4988888 h 6858000"/>
            <a:gd name="connsiteX4063" fmla="*/ 2248588 w 12192000"/>
            <a:gd name="connsiteY4063" fmla="*/ 5023707 h 6858000"/>
            <a:gd name="connsiteX4064" fmla="*/ 2213769 w 12192000"/>
            <a:gd name="connsiteY4064" fmla="*/ 5058526 h 6858000"/>
            <a:gd name="connsiteX4065" fmla="*/ 2298661 w 12192000"/>
            <a:gd name="connsiteY4065" fmla="*/ 5058526 h 6858000"/>
            <a:gd name="connsiteX4066" fmla="*/ 2263842 w 12192000"/>
            <a:gd name="connsiteY4066" fmla="*/ 5023707 h 6858000"/>
            <a:gd name="connsiteX4067" fmla="*/ 2298661 w 12192000"/>
            <a:gd name="connsiteY4067" fmla="*/ 4988888 h 6858000"/>
            <a:gd name="connsiteX4068" fmla="*/ 2333480 w 12192000"/>
            <a:gd name="connsiteY4068" fmla="*/ 5023707 h 6858000"/>
            <a:gd name="connsiteX4069" fmla="*/ 2298661 w 12192000"/>
            <a:gd name="connsiteY4069" fmla="*/ 5058526 h 6858000"/>
            <a:gd name="connsiteX4070" fmla="*/ 2383553 w 12192000"/>
            <a:gd name="connsiteY4070" fmla="*/ 5058526 h 6858000"/>
            <a:gd name="connsiteX4071" fmla="*/ 2348734 w 12192000"/>
            <a:gd name="connsiteY4071" fmla="*/ 5023707 h 6858000"/>
            <a:gd name="connsiteX4072" fmla="*/ 2383553 w 12192000"/>
            <a:gd name="connsiteY4072" fmla="*/ 4988888 h 6858000"/>
            <a:gd name="connsiteX4073" fmla="*/ 2418372 w 12192000"/>
            <a:gd name="connsiteY4073" fmla="*/ 5023707 h 6858000"/>
            <a:gd name="connsiteX4074" fmla="*/ 2383553 w 12192000"/>
            <a:gd name="connsiteY4074" fmla="*/ 5058526 h 6858000"/>
            <a:gd name="connsiteX4075" fmla="*/ 2468446 w 12192000"/>
            <a:gd name="connsiteY4075" fmla="*/ 5058526 h 6858000"/>
            <a:gd name="connsiteX4076" fmla="*/ 2433627 w 12192000"/>
            <a:gd name="connsiteY4076" fmla="*/ 5023707 h 6858000"/>
            <a:gd name="connsiteX4077" fmla="*/ 2468446 w 12192000"/>
            <a:gd name="connsiteY4077" fmla="*/ 4988888 h 6858000"/>
            <a:gd name="connsiteX4078" fmla="*/ 2503264 w 12192000"/>
            <a:gd name="connsiteY4078" fmla="*/ 5023707 h 6858000"/>
            <a:gd name="connsiteX4079" fmla="*/ 2468446 w 12192000"/>
            <a:gd name="connsiteY4079" fmla="*/ 5058526 h 6858000"/>
            <a:gd name="connsiteX4080" fmla="*/ 2553339 w 12192000"/>
            <a:gd name="connsiteY4080" fmla="*/ 5058526 h 6858000"/>
            <a:gd name="connsiteX4081" fmla="*/ 2518520 w 12192000"/>
            <a:gd name="connsiteY4081" fmla="*/ 5023707 h 6858000"/>
            <a:gd name="connsiteX4082" fmla="*/ 2553339 w 12192000"/>
            <a:gd name="connsiteY4082" fmla="*/ 4988888 h 6858000"/>
            <a:gd name="connsiteX4083" fmla="*/ 2588158 w 12192000"/>
            <a:gd name="connsiteY4083" fmla="*/ 5023707 h 6858000"/>
            <a:gd name="connsiteX4084" fmla="*/ 2553339 w 12192000"/>
            <a:gd name="connsiteY4084" fmla="*/ 5058526 h 6858000"/>
            <a:gd name="connsiteX4085" fmla="*/ 2638231 w 12192000"/>
            <a:gd name="connsiteY4085" fmla="*/ 5058526 h 6858000"/>
            <a:gd name="connsiteX4086" fmla="*/ 2603412 w 12192000"/>
            <a:gd name="connsiteY4086" fmla="*/ 5023707 h 6858000"/>
            <a:gd name="connsiteX4087" fmla="*/ 2638231 w 12192000"/>
            <a:gd name="connsiteY4087" fmla="*/ 4988888 h 6858000"/>
            <a:gd name="connsiteX4088" fmla="*/ 2673050 w 12192000"/>
            <a:gd name="connsiteY4088" fmla="*/ 5023707 h 6858000"/>
            <a:gd name="connsiteX4089" fmla="*/ 2638231 w 12192000"/>
            <a:gd name="connsiteY4089" fmla="*/ 5058526 h 6858000"/>
            <a:gd name="connsiteX4090" fmla="*/ 2808016 w 12192000"/>
            <a:gd name="connsiteY4090" fmla="*/ 5058526 h 6858000"/>
            <a:gd name="connsiteX4091" fmla="*/ 2773197 w 12192000"/>
            <a:gd name="connsiteY4091" fmla="*/ 5023707 h 6858000"/>
            <a:gd name="connsiteX4092" fmla="*/ 2808016 w 12192000"/>
            <a:gd name="connsiteY4092" fmla="*/ 4988888 h 6858000"/>
            <a:gd name="connsiteX4093" fmla="*/ 2842834 w 12192000"/>
            <a:gd name="connsiteY4093" fmla="*/ 5023707 h 6858000"/>
            <a:gd name="connsiteX4094" fmla="*/ 2808016 w 12192000"/>
            <a:gd name="connsiteY4094" fmla="*/ 5058526 h 6858000"/>
            <a:gd name="connsiteX4095" fmla="*/ 2892908 w 12192000"/>
            <a:gd name="connsiteY4095" fmla="*/ 5058526 h 6858000"/>
            <a:gd name="connsiteX4096" fmla="*/ 2858089 w 12192000"/>
            <a:gd name="connsiteY4096" fmla="*/ 5023707 h 6858000"/>
            <a:gd name="connsiteX4097" fmla="*/ 2892908 w 12192000"/>
            <a:gd name="connsiteY4097" fmla="*/ 4988888 h 6858000"/>
            <a:gd name="connsiteX4098" fmla="*/ 2927727 w 12192000"/>
            <a:gd name="connsiteY4098" fmla="*/ 5023707 h 6858000"/>
            <a:gd name="connsiteX4099" fmla="*/ 2892908 w 12192000"/>
            <a:gd name="connsiteY4099" fmla="*/ 5058526 h 6858000"/>
            <a:gd name="connsiteX4100" fmla="*/ 2977801 w 12192000"/>
            <a:gd name="connsiteY4100" fmla="*/ 5058526 h 6858000"/>
            <a:gd name="connsiteX4101" fmla="*/ 2942982 w 12192000"/>
            <a:gd name="connsiteY4101" fmla="*/ 5023707 h 6858000"/>
            <a:gd name="connsiteX4102" fmla="*/ 2977801 w 12192000"/>
            <a:gd name="connsiteY4102" fmla="*/ 4988888 h 6858000"/>
            <a:gd name="connsiteX4103" fmla="*/ 3012620 w 12192000"/>
            <a:gd name="connsiteY4103" fmla="*/ 5023707 h 6858000"/>
            <a:gd name="connsiteX4104" fmla="*/ 2977801 w 12192000"/>
            <a:gd name="connsiteY4104" fmla="*/ 5058526 h 6858000"/>
            <a:gd name="connsiteX4105" fmla="*/ 3062693 w 12192000"/>
            <a:gd name="connsiteY4105" fmla="*/ 5058526 h 6858000"/>
            <a:gd name="connsiteX4106" fmla="*/ 3027874 w 12192000"/>
            <a:gd name="connsiteY4106" fmla="*/ 5023707 h 6858000"/>
            <a:gd name="connsiteX4107" fmla="*/ 3062693 w 12192000"/>
            <a:gd name="connsiteY4107" fmla="*/ 4988888 h 6858000"/>
            <a:gd name="connsiteX4108" fmla="*/ 3097512 w 12192000"/>
            <a:gd name="connsiteY4108" fmla="*/ 5023707 h 6858000"/>
            <a:gd name="connsiteX4109" fmla="*/ 3062693 w 12192000"/>
            <a:gd name="connsiteY4109" fmla="*/ 5058526 h 6858000"/>
            <a:gd name="connsiteX4110" fmla="*/ 3147586 w 12192000"/>
            <a:gd name="connsiteY4110" fmla="*/ 5058526 h 6858000"/>
            <a:gd name="connsiteX4111" fmla="*/ 3112767 w 12192000"/>
            <a:gd name="connsiteY4111" fmla="*/ 5023707 h 6858000"/>
            <a:gd name="connsiteX4112" fmla="*/ 3147586 w 12192000"/>
            <a:gd name="connsiteY4112" fmla="*/ 4988888 h 6858000"/>
            <a:gd name="connsiteX4113" fmla="*/ 3182404 w 12192000"/>
            <a:gd name="connsiteY4113" fmla="*/ 5023707 h 6858000"/>
            <a:gd name="connsiteX4114" fmla="*/ 3147586 w 12192000"/>
            <a:gd name="connsiteY4114" fmla="*/ 5058526 h 6858000"/>
            <a:gd name="connsiteX4115" fmla="*/ 3232478 w 12192000"/>
            <a:gd name="connsiteY4115" fmla="*/ 5058526 h 6858000"/>
            <a:gd name="connsiteX4116" fmla="*/ 3197659 w 12192000"/>
            <a:gd name="connsiteY4116" fmla="*/ 5023707 h 6858000"/>
            <a:gd name="connsiteX4117" fmla="*/ 3232478 w 12192000"/>
            <a:gd name="connsiteY4117" fmla="*/ 4988888 h 6858000"/>
            <a:gd name="connsiteX4118" fmla="*/ 3267297 w 12192000"/>
            <a:gd name="connsiteY4118" fmla="*/ 5023707 h 6858000"/>
            <a:gd name="connsiteX4119" fmla="*/ 3232478 w 12192000"/>
            <a:gd name="connsiteY4119" fmla="*/ 5058526 h 6858000"/>
            <a:gd name="connsiteX4120" fmla="*/ 3317371 w 12192000"/>
            <a:gd name="connsiteY4120" fmla="*/ 5058526 h 6858000"/>
            <a:gd name="connsiteX4121" fmla="*/ 3282552 w 12192000"/>
            <a:gd name="connsiteY4121" fmla="*/ 5023707 h 6858000"/>
            <a:gd name="connsiteX4122" fmla="*/ 3317371 w 12192000"/>
            <a:gd name="connsiteY4122" fmla="*/ 4988888 h 6858000"/>
            <a:gd name="connsiteX4123" fmla="*/ 3352190 w 12192000"/>
            <a:gd name="connsiteY4123" fmla="*/ 5023707 h 6858000"/>
            <a:gd name="connsiteX4124" fmla="*/ 3317371 w 12192000"/>
            <a:gd name="connsiteY4124" fmla="*/ 5058526 h 6858000"/>
            <a:gd name="connsiteX4125" fmla="*/ 3656941 w 12192000"/>
            <a:gd name="connsiteY4125" fmla="*/ 5058526 h 6858000"/>
            <a:gd name="connsiteX4126" fmla="*/ 3622122 w 12192000"/>
            <a:gd name="connsiteY4126" fmla="*/ 5023707 h 6858000"/>
            <a:gd name="connsiteX4127" fmla="*/ 3656941 w 12192000"/>
            <a:gd name="connsiteY4127" fmla="*/ 4988888 h 6858000"/>
            <a:gd name="connsiteX4128" fmla="*/ 3691760 w 12192000"/>
            <a:gd name="connsiteY4128" fmla="*/ 5023707 h 6858000"/>
            <a:gd name="connsiteX4129" fmla="*/ 3656941 w 12192000"/>
            <a:gd name="connsiteY4129" fmla="*/ 5058526 h 6858000"/>
            <a:gd name="connsiteX4130" fmla="*/ 3996511 w 12192000"/>
            <a:gd name="connsiteY4130" fmla="*/ 5058526 h 6858000"/>
            <a:gd name="connsiteX4131" fmla="*/ 3961692 w 12192000"/>
            <a:gd name="connsiteY4131" fmla="*/ 5023707 h 6858000"/>
            <a:gd name="connsiteX4132" fmla="*/ 3996511 w 12192000"/>
            <a:gd name="connsiteY4132" fmla="*/ 4988888 h 6858000"/>
            <a:gd name="connsiteX4133" fmla="*/ 4031330 w 12192000"/>
            <a:gd name="connsiteY4133" fmla="*/ 5023707 h 6858000"/>
            <a:gd name="connsiteX4134" fmla="*/ 3996511 w 12192000"/>
            <a:gd name="connsiteY4134" fmla="*/ 5058526 h 6858000"/>
            <a:gd name="connsiteX4135" fmla="*/ 4081403 w 12192000"/>
            <a:gd name="connsiteY4135" fmla="*/ 5058526 h 6858000"/>
            <a:gd name="connsiteX4136" fmla="*/ 4046584 w 12192000"/>
            <a:gd name="connsiteY4136" fmla="*/ 5023707 h 6858000"/>
            <a:gd name="connsiteX4137" fmla="*/ 4081403 w 12192000"/>
            <a:gd name="connsiteY4137" fmla="*/ 4988888 h 6858000"/>
            <a:gd name="connsiteX4138" fmla="*/ 4116222 w 12192000"/>
            <a:gd name="connsiteY4138" fmla="*/ 5023707 h 6858000"/>
            <a:gd name="connsiteX4139" fmla="*/ 4081403 w 12192000"/>
            <a:gd name="connsiteY4139" fmla="*/ 5058526 h 6858000"/>
            <a:gd name="connsiteX4140" fmla="*/ 4590758 w 12192000"/>
            <a:gd name="connsiteY4140" fmla="*/ 5058526 h 6858000"/>
            <a:gd name="connsiteX4141" fmla="*/ 4555939 w 12192000"/>
            <a:gd name="connsiteY4141" fmla="*/ 5023707 h 6858000"/>
            <a:gd name="connsiteX4142" fmla="*/ 4590758 w 12192000"/>
            <a:gd name="connsiteY4142" fmla="*/ 4988888 h 6858000"/>
            <a:gd name="connsiteX4143" fmla="*/ 4625577 w 12192000"/>
            <a:gd name="connsiteY4143" fmla="*/ 5023707 h 6858000"/>
            <a:gd name="connsiteX4144" fmla="*/ 4590758 w 12192000"/>
            <a:gd name="connsiteY4144" fmla="*/ 5058526 h 6858000"/>
            <a:gd name="connsiteX4145" fmla="*/ 4675650 w 12192000"/>
            <a:gd name="connsiteY4145" fmla="*/ 5058526 h 6858000"/>
            <a:gd name="connsiteX4146" fmla="*/ 4640831 w 12192000"/>
            <a:gd name="connsiteY4146" fmla="*/ 5023707 h 6858000"/>
            <a:gd name="connsiteX4147" fmla="*/ 4675650 w 12192000"/>
            <a:gd name="connsiteY4147" fmla="*/ 4988888 h 6858000"/>
            <a:gd name="connsiteX4148" fmla="*/ 4710469 w 12192000"/>
            <a:gd name="connsiteY4148" fmla="*/ 5023707 h 6858000"/>
            <a:gd name="connsiteX4149" fmla="*/ 4675650 w 12192000"/>
            <a:gd name="connsiteY4149" fmla="*/ 5058526 h 6858000"/>
            <a:gd name="connsiteX4150" fmla="*/ 4760543 w 12192000"/>
            <a:gd name="connsiteY4150" fmla="*/ 5058526 h 6858000"/>
            <a:gd name="connsiteX4151" fmla="*/ 4725724 w 12192000"/>
            <a:gd name="connsiteY4151" fmla="*/ 5023707 h 6858000"/>
            <a:gd name="connsiteX4152" fmla="*/ 4760543 w 12192000"/>
            <a:gd name="connsiteY4152" fmla="*/ 4988888 h 6858000"/>
            <a:gd name="connsiteX4153" fmla="*/ 4795362 w 12192000"/>
            <a:gd name="connsiteY4153" fmla="*/ 5023707 h 6858000"/>
            <a:gd name="connsiteX4154" fmla="*/ 4760543 w 12192000"/>
            <a:gd name="connsiteY4154" fmla="*/ 5058526 h 6858000"/>
            <a:gd name="connsiteX4155" fmla="*/ 5269898 w 12192000"/>
            <a:gd name="connsiteY4155" fmla="*/ 5058526 h 6858000"/>
            <a:gd name="connsiteX4156" fmla="*/ 5235079 w 12192000"/>
            <a:gd name="connsiteY4156" fmla="*/ 5023707 h 6858000"/>
            <a:gd name="connsiteX4157" fmla="*/ 5269898 w 12192000"/>
            <a:gd name="connsiteY4157" fmla="*/ 4988888 h 6858000"/>
            <a:gd name="connsiteX4158" fmla="*/ 5304717 w 12192000"/>
            <a:gd name="connsiteY4158" fmla="*/ 5023707 h 6858000"/>
            <a:gd name="connsiteX4159" fmla="*/ 5269898 w 12192000"/>
            <a:gd name="connsiteY4159" fmla="*/ 5058526 h 6858000"/>
            <a:gd name="connsiteX4160" fmla="*/ 5439683 w 12192000"/>
            <a:gd name="connsiteY4160" fmla="*/ 5058526 h 6858000"/>
            <a:gd name="connsiteX4161" fmla="*/ 5404864 w 12192000"/>
            <a:gd name="connsiteY4161" fmla="*/ 5023707 h 6858000"/>
            <a:gd name="connsiteX4162" fmla="*/ 5439683 w 12192000"/>
            <a:gd name="connsiteY4162" fmla="*/ 4988888 h 6858000"/>
            <a:gd name="connsiteX4163" fmla="*/ 5474502 w 12192000"/>
            <a:gd name="connsiteY4163" fmla="*/ 5023707 h 6858000"/>
            <a:gd name="connsiteX4164" fmla="*/ 5439683 w 12192000"/>
            <a:gd name="connsiteY4164" fmla="*/ 5058526 h 6858000"/>
            <a:gd name="connsiteX4165" fmla="*/ 6203718 w 12192000"/>
            <a:gd name="connsiteY4165" fmla="*/ 5058526 h 6858000"/>
            <a:gd name="connsiteX4166" fmla="*/ 6168893 w 12192000"/>
            <a:gd name="connsiteY4166" fmla="*/ 5023707 h 6858000"/>
            <a:gd name="connsiteX4167" fmla="*/ 6203718 w 12192000"/>
            <a:gd name="connsiteY4167" fmla="*/ 4988888 h 6858000"/>
            <a:gd name="connsiteX4168" fmla="*/ 6238530 w 12192000"/>
            <a:gd name="connsiteY4168" fmla="*/ 5023707 h 6858000"/>
            <a:gd name="connsiteX4169" fmla="*/ 6203718 w 12192000"/>
            <a:gd name="connsiteY4169" fmla="*/ 5058526 h 6858000"/>
            <a:gd name="connsiteX4170" fmla="*/ 6288611 w 12192000"/>
            <a:gd name="connsiteY4170" fmla="*/ 5058526 h 6858000"/>
            <a:gd name="connsiteX4171" fmla="*/ 6253786 w 12192000"/>
            <a:gd name="connsiteY4171" fmla="*/ 5023707 h 6858000"/>
            <a:gd name="connsiteX4172" fmla="*/ 6288611 w 12192000"/>
            <a:gd name="connsiteY4172" fmla="*/ 4988888 h 6858000"/>
            <a:gd name="connsiteX4173" fmla="*/ 6323424 w 12192000"/>
            <a:gd name="connsiteY4173" fmla="*/ 5023707 h 6858000"/>
            <a:gd name="connsiteX4174" fmla="*/ 6288611 w 12192000"/>
            <a:gd name="connsiteY4174" fmla="*/ 5058526 h 6858000"/>
            <a:gd name="connsiteX4175" fmla="*/ 6373504 w 12192000"/>
            <a:gd name="connsiteY4175" fmla="*/ 5058526 h 6858000"/>
            <a:gd name="connsiteX4176" fmla="*/ 6338678 w 12192000"/>
            <a:gd name="connsiteY4176" fmla="*/ 5023707 h 6858000"/>
            <a:gd name="connsiteX4177" fmla="*/ 6373504 w 12192000"/>
            <a:gd name="connsiteY4177" fmla="*/ 4988888 h 6858000"/>
            <a:gd name="connsiteX4178" fmla="*/ 6408316 w 12192000"/>
            <a:gd name="connsiteY4178" fmla="*/ 5023707 h 6858000"/>
            <a:gd name="connsiteX4179" fmla="*/ 6373504 w 12192000"/>
            <a:gd name="connsiteY4179" fmla="*/ 5058526 h 6858000"/>
            <a:gd name="connsiteX4180" fmla="*/ 6543288 w 12192000"/>
            <a:gd name="connsiteY4180" fmla="*/ 5058526 h 6858000"/>
            <a:gd name="connsiteX4181" fmla="*/ 6508463 w 12192000"/>
            <a:gd name="connsiteY4181" fmla="*/ 5023707 h 6858000"/>
            <a:gd name="connsiteX4182" fmla="*/ 6543288 w 12192000"/>
            <a:gd name="connsiteY4182" fmla="*/ 4988888 h 6858000"/>
            <a:gd name="connsiteX4183" fmla="*/ 6578100 w 12192000"/>
            <a:gd name="connsiteY4183" fmla="*/ 5023707 h 6858000"/>
            <a:gd name="connsiteX4184" fmla="*/ 6543288 w 12192000"/>
            <a:gd name="connsiteY4184" fmla="*/ 5058526 h 6858000"/>
            <a:gd name="connsiteX4185" fmla="*/ 6628181 w 12192000"/>
            <a:gd name="connsiteY4185" fmla="*/ 5058526 h 6858000"/>
            <a:gd name="connsiteX4186" fmla="*/ 6593356 w 12192000"/>
            <a:gd name="connsiteY4186" fmla="*/ 5023707 h 6858000"/>
            <a:gd name="connsiteX4187" fmla="*/ 6628181 w 12192000"/>
            <a:gd name="connsiteY4187" fmla="*/ 4988888 h 6858000"/>
            <a:gd name="connsiteX4188" fmla="*/ 6662994 w 12192000"/>
            <a:gd name="connsiteY4188" fmla="*/ 5023707 h 6858000"/>
            <a:gd name="connsiteX4189" fmla="*/ 6628181 w 12192000"/>
            <a:gd name="connsiteY4189" fmla="*/ 5058526 h 6858000"/>
            <a:gd name="connsiteX4190" fmla="*/ 6967750 w 12192000"/>
            <a:gd name="connsiteY4190" fmla="*/ 5058526 h 6858000"/>
            <a:gd name="connsiteX4191" fmla="*/ 6932925 w 12192000"/>
            <a:gd name="connsiteY4191" fmla="*/ 5023707 h 6858000"/>
            <a:gd name="connsiteX4192" fmla="*/ 6967750 w 12192000"/>
            <a:gd name="connsiteY4192" fmla="*/ 4988888 h 6858000"/>
            <a:gd name="connsiteX4193" fmla="*/ 7002563 w 12192000"/>
            <a:gd name="connsiteY4193" fmla="*/ 5023707 h 6858000"/>
            <a:gd name="connsiteX4194" fmla="*/ 6967750 w 12192000"/>
            <a:gd name="connsiteY4194" fmla="*/ 5058526 h 6858000"/>
            <a:gd name="connsiteX4195" fmla="*/ 7052644 w 12192000"/>
            <a:gd name="connsiteY4195" fmla="*/ 5058526 h 6858000"/>
            <a:gd name="connsiteX4196" fmla="*/ 7017818 w 12192000"/>
            <a:gd name="connsiteY4196" fmla="*/ 5023707 h 6858000"/>
            <a:gd name="connsiteX4197" fmla="*/ 7052644 w 12192000"/>
            <a:gd name="connsiteY4197" fmla="*/ 4988888 h 6858000"/>
            <a:gd name="connsiteX4198" fmla="*/ 7087456 w 12192000"/>
            <a:gd name="connsiteY4198" fmla="*/ 5023707 h 6858000"/>
            <a:gd name="connsiteX4199" fmla="*/ 7052644 w 12192000"/>
            <a:gd name="connsiteY4199" fmla="*/ 5058526 h 6858000"/>
            <a:gd name="connsiteX4200" fmla="*/ 7137536 w 12192000"/>
            <a:gd name="connsiteY4200" fmla="*/ 5058526 h 6858000"/>
            <a:gd name="connsiteX4201" fmla="*/ 7102710 w 12192000"/>
            <a:gd name="connsiteY4201" fmla="*/ 5023707 h 6858000"/>
            <a:gd name="connsiteX4202" fmla="*/ 7137536 w 12192000"/>
            <a:gd name="connsiteY4202" fmla="*/ 4988888 h 6858000"/>
            <a:gd name="connsiteX4203" fmla="*/ 7172348 w 12192000"/>
            <a:gd name="connsiteY4203" fmla="*/ 5023707 h 6858000"/>
            <a:gd name="connsiteX4204" fmla="*/ 7137536 w 12192000"/>
            <a:gd name="connsiteY4204" fmla="*/ 5058526 h 6858000"/>
            <a:gd name="connsiteX4205" fmla="*/ 7222428 w 12192000"/>
            <a:gd name="connsiteY4205" fmla="*/ 5058526 h 6858000"/>
            <a:gd name="connsiteX4206" fmla="*/ 7187603 w 12192000"/>
            <a:gd name="connsiteY4206" fmla="*/ 5023707 h 6858000"/>
            <a:gd name="connsiteX4207" fmla="*/ 7222428 w 12192000"/>
            <a:gd name="connsiteY4207" fmla="*/ 4988888 h 6858000"/>
            <a:gd name="connsiteX4208" fmla="*/ 7257240 w 12192000"/>
            <a:gd name="connsiteY4208" fmla="*/ 5023707 h 6858000"/>
            <a:gd name="connsiteX4209" fmla="*/ 7222428 w 12192000"/>
            <a:gd name="connsiteY4209" fmla="*/ 5058526 h 6858000"/>
            <a:gd name="connsiteX4210" fmla="*/ 7307320 w 12192000"/>
            <a:gd name="connsiteY4210" fmla="*/ 5058526 h 6858000"/>
            <a:gd name="connsiteX4211" fmla="*/ 7272495 w 12192000"/>
            <a:gd name="connsiteY4211" fmla="*/ 5023707 h 6858000"/>
            <a:gd name="connsiteX4212" fmla="*/ 7307320 w 12192000"/>
            <a:gd name="connsiteY4212" fmla="*/ 4988888 h 6858000"/>
            <a:gd name="connsiteX4213" fmla="*/ 7342133 w 12192000"/>
            <a:gd name="connsiteY4213" fmla="*/ 5023707 h 6858000"/>
            <a:gd name="connsiteX4214" fmla="*/ 7307320 w 12192000"/>
            <a:gd name="connsiteY4214" fmla="*/ 5058526 h 6858000"/>
            <a:gd name="connsiteX4215" fmla="*/ 7392214 w 12192000"/>
            <a:gd name="connsiteY4215" fmla="*/ 5058526 h 6858000"/>
            <a:gd name="connsiteX4216" fmla="*/ 7357388 w 12192000"/>
            <a:gd name="connsiteY4216" fmla="*/ 5023707 h 6858000"/>
            <a:gd name="connsiteX4217" fmla="*/ 7392214 w 12192000"/>
            <a:gd name="connsiteY4217" fmla="*/ 4988888 h 6858000"/>
            <a:gd name="connsiteX4218" fmla="*/ 7427026 w 12192000"/>
            <a:gd name="connsiteY4218" fmla="*/ 5023707 h 6858000"/>
            <a:gd name="connsiteX4219" fmla="*/ 7392214 w 12192000"/>
            <a:gd name="connsiteY4219" fmla="*/ 5058526 h 6858000"/>
            <a:gd name="connsiteX4220" fmla="*/ 7477106 w 12192000"/>
            <a:gd name="connsiteY4220" fmla="*/ 5058526 h 6858000"/>
            <a:gd name="connsiteX4221" fmla="*/ 7442280 w 12192000"/>
            <a:gd name="connsiteY4221" fmla="*/ 5023707 h 6858000"/>
            <a:gd name="connsiteX4222" fmla="*/ 7477106 w 12192000"/>
            <a:gd name="connsiteY4222" fmla="*/ 4988888 h 6858000"/>
            <a:gd name="connsiteX4223" fmla="*/ 7511918 w 12192000"/>
            <a:gd name="connsiteY4223" fmla="*/ 5023707 h 6858000"/>
            <a:gd name="connsiteX4224" fmla="*/ 7477106 w 12192000"/>
            <a:gd name="connsiteY4224" fmla="*/ 5058526 h 6858000"/>
            <a:gd name="connsiteX4225" fmla="*/ 7561998 w 12192000"/>
            <a:gd name="connsiteY4225" fmla="*/ 5058526 h 6858000"/>
            <a:gd name="connsiteX4226" fmla="*/ 7527173 w 12192000"/>
            <a:gd name="connsiteY4226" fmla="*/ 5023707 h 6858000"/>
            <a:gd name="connsiteX4227" fmla="*/ 7561998 w 12192000"/>
            <a:gd name="connsiteY4227" fmla="*/ 4988888 h 6858000"/>
            <a:gd name="connsiteX4228" fmla="*/ 7596810 w 12192000"/>
            <a:gd name="connsiteY4228" fmla="*/ 5023707 h 6858000"/>
            <a:gd name="connsiteX4229" fmla="*/ 7561998 w 12192000"/>
            <a:gd name="connsiteY4229" fmla="*/ 5058526 h 6858000"/>
            <a:gd name="connsiteX4230" fmla="*/ 7646890 w 12192000"/>
            <a:gd name="connsiteY4230" fmla="*/ 5058526 h 6858000"/>
            <a:gd name="connsiteX4231" fmla="*/ 7612065 w 12192000"/>
            <a:gd name="connsiteY4231" fmla="*/ 5023707 h 6858000"/>
            <a:gd name="connsiteX4232" fmla="*/ 7646890 w 12192000"/>
            <a:gd name="connsiteY4232" fmla="*/ 4988888 h 6858000"/>
            <a:gd name="connsiteX4233" fmla="*/ 7681703 w 12192000"/>
            <a:gd name="connsiteY4233" fmla="*/ 5023707 h 6858000"/>
            <a:gd name="connsiteX4234" fmla="*/ 7646890 w 12192000"/>
            <a:gd name="connsiteY4234" fmla="*/ 5058526 h 6858000"/>
            <a:gd name="connsiteX4235" fmla="*/ 7731784 w 12192000"/>
            <a:gd name="connsiteY4235" fmla="*/ 5058526 h 6858000"/>
            <a:gd name="connsiteX4236" fmla="*/ 7696958 w 12192000"/>
            <a:gd name="connsiteY4236" fmla="*/ 5023707 h 6858000"/>
            <a:gd name="connsiteX4237" fmla="*/ 7731784 w 12192000"/>
            <a:gd name="connsiteY4237" fmla="*/ 4988888 h 6858000"/>
            <a:gd name="connsiteX4238" fmla="*/ 7766596 w 12192000"/>
            <a:gd name="connsiteY4238" fmla="*/ 5023707 h 6858000"/>
            <a:gd name="connsiteX4239" fmla="*/ 7731784 w 12192000"/>
            <a:gd name="connsiteY4239" fmla="*/ 5058526 h 6858000"/>
            <a:gd name="connsiteX4240" fmla="*/ 7816676 w 12192000"/>
            <a:gd name="connsiteY4240" fmla="*/ 5058526 h 6858000"/>
            <a:gd name="connsiteX4241" fmla="*/ 7781850 w 12192000"/>
            <a:gd name="connsiteY4241" fmla="*/ 5023707 h 6858000"/>
            <a:gd name="connsiteX4242" fmla="*/ 7816676 w 12192000"/>
            <a:gd name="connsiteY4242" fmla="*/ 4988888 h 6858000"/>
            <a:gd name="connsiteX4243" fmla="*/ 7851488 w 12192000"/>
            <a:gd name="connsiteY4243" fmla="*/ 5023707 h 6858000"/>
            <a:gd name="connsiteX4244" fmla="*/ 7816676 w 12192000"/>
            <a:gd name="connsiteY4244" fmla="*/ 5058526 h 6858000"/>
            <a:gd name="connsiteX4245" fmla="*/ 7901568 w 12192000"/>
            <a:gd name="connsiteY4245" fmla="*/ 5058526 h 6858000"/>
            <a:gd name="connsiteX4246" fmla="*/ 7866743 w 12192000"/>
            <a:gd name="connsiteY4246" fmla="*/ 5023707 h 6858000"/>
            <a:gd name="connsiteX4247" fmla="*/ 7901568 w 12192000"/>
            <a:gd name="connsiteY4247" fmla="*/ 4988888 h 6858000"/>
            <a:gd name="connsiteX4248" fmla="*/ 7936380 w 12192000"/>
            <a:gd name="connsiteY4248" fmla="*/ 5023707 h 6858000"/>
            <a:gd name="connsiteX4249" fmla="*/ 7901568 w 12192000"/>
            <a:gd name="connsiteY4249" fmla="*/ 5058526 h 6858000"/>
            <a:gd name="connsiteX4250" fmla="*/ 7986460 w 12192000"/>
            <a:gd name="connsiteY4250" fmla="*/ 5058526 h 6858000"/>
            <a:gd name="connsiteX4251" fmla="*/ 7951635 w 12192000"/>
            <a:gd name="connsiteY4251" fmla="*/ 5023707 h 6858000"/>
            <a:gd name="connsiteX4252" fmla="*/ 7986460 w 12192000"/>
            <a:gd name="connsiteY4252" fmla="*/ 4988888 h 6858000"/>
            <a:gd name="connsiteX4253" fmla="*/ 8021273 w 12192000"/>
            <a:gd name="connsiteY4253" fmla="*/ 5023707 h 6858000"/>
            <a:gd name="connsiteX4254" fmla="*/ 7986460 w 12192000"/>
            <a:gd name="connsiteY4254" fmla="*/ 5058526 h 6858000"/>
            <a:gd name="connsiteX4255" fmla="*/ 8071353 w 12192000"/>
            <a:gd name="connsiteY4255" fmla="*/ 5058526 h 6858000"/>
            <a:gd name="connsiteX4256" fmla="*/ 8036527 w 12192000"/>
            <a:gd name="connsiteY4256" fmla="*/ 5023707 h 6858000"/>
            <a:gd name="connsiteX4257" fmla="*/ 8071353 w 12192000"/>
            <a:gd name="connsiteY4257" fmla="*/ 4988888 h 6858000"/>
            <a:gd name="connsiteX4258" fmla="*/ 8106165 w 12192000"/>
            <a:gd name="connsiteY4258" fmla="*/ 5023707 h 6858000"/>
            <a:gd name="connsiteX4259" fmla="*/ 8071353 w 12192000"/>
            <a:gd name="connsiteY4259" fmla="*/ 5058526 h 6858000"/>
            <a:gd name="connsiteX4260" fmla="*/ 8156246 w 12192000"/>
            <a:gd name="connsiteY4260" fmla="*/ 5058526 h 6858000"/>
            <a:gd name="connsiteX4261" fmla="*/ 8121420 w 12192000"/>
            <a:gd name="connsiteY4261" fmla="*/ 5023707 h 6858000"/>
            <a:gd name="connsiteX4262" fmla="*/ 8156246 w 12192000"/>
            <a:gd name="connsiteY4262" fmla="*/ 4988888 h 6858000"/>
            <a:gd name="connsiteX4263" fmla="*/ 8191058 w 12192000"/>
            <a:gd name="connsiteY4263" fmla="*/ 5023707 h 6858000"/>
            <a:gd name="connsiteX4264" fmla="*/ 8156246 w 12192000"/>
            <a:gd name="connsiteY4264" fmla="*/ 5058526 h 6858000"/>
            <a:gd name="connsiteX4265" fmla="*/ 8241138 w 12192000"/>
            <a:gd name="connsiteY4265" fmla="*/ 5058526 h 6858000"/>
            <a:gd name="connsiteX4266" fmla="*/ 8206313 w 12192000"/>
            <a:gd name="connsiteY4266" fmla="*/ 5023707 h 6858000"/>
            <a:gd name="connsiteX4267" fmla="*/ 8241138 w 12192000"/>
            <a:gd name="connsiteY4267" fmla="*/ 4988888 h 6858000"/>
            <a:gd name="connsiteX4268" fmla="*/ 8275950 w 12192000"/>
            <a:gd name="connsiteY4268" fmla="*/ 5023707 h 6858000"/>
            <a:gd name="connsiteX4269" fmla="*/ 8241138 w 12192000"/>
            <a:gd name="connsiteY4269" fmla="*/ 5058526 h 6858000"/>
            <a:gd name="connsiteX4270" fmla="*/ 8326030 w 12192000"/>
            <a:gd name="connsiteY4270" fmla="*/ 5058526 h 6858000"/>
            <a:gd name="connsiteX4271" fmla="*/ 8291205 w 12192000"/>
            <a:gd name="connsiteY4271" fmla="*/ 5023707 h 6858000"/>
            <a:gd name="connsiteX4272" fmla="*/ 8326030 w 12192000"/>
            <a:gd name="connsiteY4272" fmla="*/ 4988888 h 6858000"/>
            <a:gd name="connsiteX4273" fmla="*/ 8360843 w 12192000"/>
            <a:gd name="connsiteY4273" fmla="*/ 5023707 h 6858000"/>
            <a:gd name="connsiteX4274" fmla="*/ 8326030 w 12192000"/>
            <a:gd name="connsiteY4274" fmla="*/ 5058526 h 6858000"/>
            <a:gd name="connsiteX4275" fmla="*/ 8410923 w 12192000"/>
            <a:gd name="connsiteY4275" fmla="*/ 5058526 h 6858000"/>
            <a:gd name="connsiteX4276" fmla="*/ 8376097 w 12192000"/>
            <a:gd name="connsiteY4276" fmla="*/ 5023707 h 6858000"/>
            <a:gd name="connsiteX4277" fmla="*/ 8410923 w 12192000"/>
            <a:gd name="connsiteY4277" fmla="*/ 4988888 h 6858000"/>
            <a:gd name="connsiteX4278" fmla="*/ 8445735 w 12192000"/>
            <a:gd name="connsiteY4278" fmla="*/ 5023707 h 6858000"/>
            <a:gd name="connsiteX4279" fmla="*/ 8410923 w 12192000"/>
            <a:gd name="connsiteY4279" fmla="*/ 5058526 h 6858000"/>
            <a:gd name="connsiteX4280" fmla="*/ 8495816 w 12192000"/>
            <a:gd name="connsiteY4280" fmla="*/ 5058526 h 6858000"/>
            <a:gd name="connsiteX4281" fmla="*/ 8460990 w 12192000"/>
            <a:gd name="connsiteY4281" fmla="*/ 5023707 h 6858000"/>
            <a:gd name="connsiteX4282" fmla="*/ 8495816 w 12192000"/>
            <a:gd name="connsiteY4282" fmla="*/ 4988888 h 6858000"/>
            <a:gd name="connsiteX4283" fmla="*/ 8530628 w 12192000"/>
            <a:gd name="connsiteY4283" fmla="*/ 5023707 h 6858000"/>
            <a:gd name="connsiteX4284" fmla="*/ 8495816 w 12192000"/>
            <a:gd name="connsiteY4284" fmla="*/ 5058526 h 6858000"/>
            <a:gd name="connsiteX4285" fmla="*/ 8580708 w 12192000"/>
            <a:gd name="connsiteY4285" fmla="*/ 5058526 h 6858000"/>
            <a:gd name="connsiteX4286" fmla="*/ 8545883 w 12192000"/>
            <a:gd name="connsiteY4286" fmla="*/ 5023707 h 6858000"/>
            <a:gd name="connsiteX4287" fmla="*/ 8580708 w 12192000"/>
            <a:gd name="connsiteY4287" fmla="*/ 4988888 h 6858000"/>
            <a:gd name="connsiteX4288" fmla="*/ 8615520 w 12192000"/>
            <a:gd name="connsiteY4288" fmla="*/ 5023707 h 6858000"/>
            <a:gd name="connsiteX4289" fmla="*/ 8580708 w 12192000"/>
            <a:gd name="connsiteY4289" fmla="*/ 5058526 h 6858000"/>
            <a:gd name="connsiteX4290" fmla="*/ 8665600 w 12192000"/>
            <a:gd name="connsiteY4290" fmla="*/ 5058526 h 6858000"/>
            <a:gd name="connsiteX4291" fmla="*/ 8630775 w 12192000"/>
            <a:gd name="connsiteY4291" fmla="*/ 5023707 h 6858000"/>
            <a:gd name="connsiteX4292" fmla="*/ 8665600 w 12192000"/>
            <a:gd name="connsiteY4292" fmla="*/ 4988888 h 6858000"/>
            <a:gd name="connsiteX4293" fmla="*/ 8700413 w 12192000"/>
            <a:gd name="connsiteY4293" fmla="*/ 5023707 h 6858000"/>
            <a:gd name="connsiteX4294" fmla="*/ 8665600 w 12192000"/>
            <a:gd name="connsiteY4294" fmla="*/ 5058526 h 6858000"/>
            <a:gd name="connsiteX4295" fmla="*/ 8750493 w 12192000"/>
            <a:gd name="connsiteY4295" fmla="*/ 5058526 h 6858000"/>
            <a:gd name="connsiteX4296" fmla="*/ 8715667 w 12192000"/>
            <a:gd name="connsiteY4296" fmla="*/ 5023707 h 6858000"/>
            <a:gd name="connsiteX4297" fmla="*/ 8750493 w 12192000"/>
            <a:gd name="connsiteY4297" fmla="*/ 4988888 h 6858000"/>
            <a:gd name="connsiteX4298" fmla="*/ 8785305 w 12192000"/>
            <a:gd name="connsiteY4298" fmla="*/ 5023707 h 6858000"/>
            <a:gd name="connsiteX4299" fmla="*/ 8750493 w 12192000"/>
            <a:gd name="connsiteY4299" fmla="*/ 5058526 h 6858000"/>
            <a:gd name="connsiteX4300" fmla="*/ 8835386 w 12192000"/>
            <a:gd name="connsiteY4300" fmla="*/ 5058526 h 6858000"/>
            <a:gd name="connsiteX4301" fmla="*/ 8800560 w 12192000"/>
            <a:gd name="connsiteY4301" fmla="*/ 5023707 h 6858000"/>
            <a:gd name="connsiteX4302" fmla="*/ 8835386 w 12192000"/>
            <a:gd name="connsiteY4302" fmla="*/ 4988888 h 6858000"/>
            <a:gd name="connsiteX4303" fmla="*/ 8870198 w 12192000"/>
            <a:gd name="connsiteY4303" fmla="*/ 5023707 h 6858000"/>
            <a:gd name="connsiteX4304" fmla="*/ 8835386 w 12192000"/>
            <a:gd name="connsiteY4304" fmla="*/ 5058526 h 6858000"/>
            <a:gd name="connsiteX4305" fmla="*/ 8920278 w 12192000"/>
            <a:gd name="connsiteY4305" fmla="*/ 5058526 h 6858000"/>
            <a:gd name="connsiteX4306" fmla="*/ 8885453 w 12192000"/>
            <a:gd name="connsiteY4306" fmla="*/ 5023707 h 6858000"/>
            <a:gd name="connsiteX4307" fmla="*/ 8920278 w 12192000"/>
            <a:gd name="connsiteY4307" fmla="*/ 4988888 h 6858000"/>
            <a:gd name="connsiteX4308" fmla="*/ 8955090 w 12192000"/>
            <a:gd name="connsiteY4308" fmla="*/ 5023707 h 6858000"/>
            <a:gd name="connsiteX4309" fmla="*/ 8920278 w 12192000"/>
            <a:gd name="connsiteY4309" fmla="*/ 5058526 h 6858000"/>
            <a:gd name="connsiteX4310" fmla="*/ 9005170 w 12192000"/>
            <a:gd name="connsiteY4310" fmla="*/ 5058526 h 6858000"/>
            <a:gd name="connsiteX4311" fmla="*/ 8970345 w 12192000"/>
            <a:gd name="connsiteY4311" fmla="*/ 5023707 h 6858000"/>
            <a:gd name="connsiteX4312" fmla="*/ 9005170 w 12192000"/>
            <a:gd name="connsiteY4312" fmla="*/ 4988888 h 6858000"/>
            <a:gd name="connsiteX4313" fmla="*/ 9039983 w 12192000"/>
            <a:gd name="connsiteY4313" fmla="*/ 5023707 h 6858000"/>
            <a:gd name="connsiteX4314" fmla="*/ 9005170 w 12192000"/>
            <a:gd name="connsiteY4314" fmla="*/ 5058526 h 6858000"/>
            <a:gd name="connsiteX4315" fmla="*/ 9090063 w 12192000"/>
            <a:gd name="connsiteY4315" fmla="*/ 5058526 h 6858000"/>
            <a:gd name="connsiteX4316" fmla="*/ 9055237 w 12192000"/>
            <a:gd name="connsiteY4316" fmla="*/ 5023707 h 6858000"/>
            <a:gd name="connsiteX4317" fmla="*/ 9090063 w 12192000"/>
            <a:gd name="connsiteY4317" fmla="*/ 4988888 h 6858000"/>
            <a:gd name="connsiteX4318" fmla="*/ 9124875 w 12192000"/>
            <a:gd name="connsiteY4318" fmla="*/ 5023707 h 6858000"/>
            <a:gd name="connsiteX4319" fmla="*/ 9090063 w 12192000"/>
            <a:gd name="connsiteY4319" fmla="*/ 5058526 h 6858000"/>
            <a:gd name="connsiteX4320" fmla="*/ 9174956 w 12192000"/>
            <a:gd name="connsiteY4320" fmla="*/ 5058526 h 6858000"/>
            <a:gd name="connsiteX4321" fmla="*/ 9140130 w 12192000"/>
            <a:gd name="connsiteY4321" fmla="*/ 5023707 h 6858000"/>
            <a:gd name="connsiteX4322" fmla="*/ 9174956 w 12192000"/>
            <a:gd name="connsiteY4322" fmla="*/ 4988888 h 6858000"/>
            <a:gd name="connsiteX4323" fmla="*/ 9209768 w 12192000"/>
            <a:gd name="connsiteY4323" fmla="*/ 5023707 h 6858000"/>
            <a:gd name="connsiteX4324" fmla="*/ 9174956 w 12192000"/>
            <a:gd name="connsiteY4324" fmla="*/ 5058526 h 6858000"/>
            <a:gd name="connsiteX4325" fmla="*/ 9259848 w 12192000"/>
            <a:gd name="connsiteY4325" fmla="*/ 5058526 h 6858000"/>
            <a:gd name="connsiteX4326" fmla="*/ 9225023 w 12192000"/>
            <a:gd name="connsiteY4326" fmla="*/ 5023707 h 6858000"/>
            <a:gd name="connsiteX4327" fmla="*/ 9259848 w 12192000"/>
            <a:gd name="connsiteY4327" fmla="*/ 4988888 h 6858000"/>
            <a:gd name="connsiteX4328" fmla="*/ 9294660 w 12192000"/>
            <a:gd name="connsiteY4328" fmla="*/ 5023707 h 6858000"/>
            <a:gd name="connsiteX4329" fmla="*/ 9259848 w 12192000"/>
            <a:gd name="connsiteY4329" fmla="*/ 5058526 h 6858000"/>
            <a:gd name="connsiteX4330" fmla="*/ 9344740 w 12192000"/>
            <a:gd name="connsiteY4330" fmla="*/ 5058526 h 6858000"/>
            <a:gd name="connsiteX4331" fmla="*/ 9309915 w 12192000"/>
            <a:gd name="connsiteY4331" fmla="*/ 5023707 h 6858000"/>
            <a:gd name="connsiteX4332" fmla="*/ 9344740 w 12192000"/>
            <a:gd name="connsiteY4332" fmla="*/ 4988888 h 6858000"/>
            <a:gd name="connsiteX4333" fmla="*/ 9379553 w 12192000"/>
            <a:gd name="connsiteY4333" fmla="*/ 5023707 h 6858000"/>
            <a:gd name="connsiteX4334" fmla="*/ 9344740 w 12192000"/>
            <a:gd name="connsiteY4334" fmla="*/ 5058526 h 6858000"/>
            <a:gd name="connsiteX4335" fmla="*/ 9429633 w 12192000"/>
            <a:gd name="connsiteY4335" fmla="*/ 5058526 h 6858000"/>
            <a:gd name="connsiteX4336" fmla="*/ 9394807 w 12192000"/>
            <a:gd name="connsiteY4336" fmla="*/ 5023707 h 6858000"/>
            <a:gd name="connsiteX4337" fmla="*/ 9429633 w 12192000"/>
            <a:gd name="connsiteY4337" fmla="*/ 4988888 h 6858000"/>
            <a:gd name="connsiteX4338" fmla="*/ 9464445 w 12192000"/>
            <a:gd name="connsiteY4338" fmla="*/ 5023707 h 6858000"/>
            <a:gd name="connsiteX4339" fmla="*/ 9429633 w 12192000"/>
            <a:gd name="connsiteY4339" fmla="*/ 5058526 h 6858000"/>
            <a:gd name="connsiteX4340" fmla="*/ 9514525 w 12192000"/>
            <a:gd name="connsiteY4340" fmla="*/ 5058526 h 6858000"/>
            <a:gd name="connsiteX4341" fmla="*/ 9479699 w 12192000"/>
            <a:gd name="connsiteY4341" fmla="*/ 5023707 h 6858000"/>
            <a:gd name="connsiteX4342" fmla="*/ 9514525 w 12192000"/>
            <a:gd name="connsiteY4342" fmla="*/ 4988888 h 6858000"/>
            <a:gd name="connsiteX4343" fmla="*/ 9549337 w 12192000"/>
            <a:gd name="connsiteY4343" fmla="*/ 5023707 h 6858000"/>
            <a:gd name="connsiteX4344" fmla="*/ 9514525 w 12192000"/>
            <a:gd name="connsiteY4344" fmla="*/ 5058526 h 6858000"/>
            <a:gd name="connsiteX4345" fmla="*/ 9599418 w 12192000"/>
            <a:gd name="connsiteY4345" fmla="*/ 5058526 h 6858000"/>
            <a:gd name="connsiteX4346" fmla="*/ 9564593 w 12192000"/>
            <a:gd name="connsiteY4346" fmla="*/ 5023707 h 6858000"/>
            <a:gd name="connsiteX4347" fmla="*/ 9599418 w 12192000"/>
            <a:gd name="connsiteY4347" fmla="*/ 4988888 h 6858000"/>
            <a:gd name="connsiteX4348" fmla="*/ 9634230 w 12192000"/>
            <a:gd name="connsiteY4348" fmla="*/ 5023707 h 6858000"/>
            <a:gd name="connsiteX4349" fmla="*/ 9599418 w 12192000"/>
            <a:gd name="connsiteY4349" fmla="*/ 5058526 h 6858000"/>
            <a:gd name="connsiteX4350" fmla="*/ 9684310 w 12192000"/>
            <a:gd name="connsiteY4350" fmla="*/ 5058526 h 6858000"/>
            <a:gd name="connsiteX4351" fmla="*/ 9649485 w 12192000"/>
            <a:gd name="connsiteY4351" fmla="*/ 5023707 h 6858000"/>
            <a:gd name="connsiteX4352" fmla="*/ 9684310 w 12192000"/>
            <a:gd name="connsiteY4352" fmla="*/ 4988888 h 6858000"/>
            <a:gd name="connsiteX4353" fmla="*/ 9719123 w 12192000"/>
            <a:gd name="connsiteY4353" fmla="*/ 5023707 h 6858000"/>
            <a:gd name="connsiteX4354" fmla="*/ 9684310 w 12192000"/>
            <a:gd name="connsiteY4354" fmla="*/ 5058526 h 6858000"/>
            <a:gd name="connsiteX4355" fmla="*/ 10278558 w 12192000"/>
            <a:gd name="connsiteY4355" fmla="*/ 5058526 h 6858000"/>
            <a:gd name="connsiteX4356" fmla="*/ 10243733 w 12192000"/>
            <a:gd name="connsiteY4356" fmla="*/ 5023707 h 6858000"/>
            <a:gd name="connsiteX4357" fmla="*/ 10278558 w 12192000"/>
            <a:gd name="connsiteY4357" fmla="*/ 4988888 h 6858000"/>
            <a:gd name="connsiteX4358" fmla="*/ 10313370 w 12192000"/>
            <a:gd name="connsiteY4358" fmla="*/ 5023707 h 6858000"/>
            <a:gd name="connsiteX4359" fmla="*/ 10278558 w 12192000"/>
            <a:gd name="connsiteY4359" fmla="*/ 5058526 h 6858000"/>
            <a:gd name="connsiteX4360" fmla="*/ 10363450 w 12192000"/>
            <a:gd name="connsiteY4360" fmla="*/ 5058526 h 6858000"/>
            <a:gd name="connsiteX4361" fmla="*/ 10328625 w 12192000"/>
            <a:gd name="connsiteY4361" fmla="*/ 5023707 h 6858000"/>
            <a:gd name="connsiteX4362" fmla="*/ 10363450 w 12192000"/>
            <a:gd name="connsiteY4362" fmla="*/ 4988888 h 6858000"/>
            <a:gd name="connsiteX4363" fmla="*/ 10398263 w 12192000"/>
            <a:gd name="connsiteY4363" fmla="*/ 5023707 h 6858000"/>
            <a:gd name="connsiteX4364" fmla="*/ 10363450 w 12192000"/>
            <a:gd name="connsiteY4364" fmla="*/ 5058526 h 6858000"/>
            <a:gd name="connsiteX4365" fmla="*/ 1195059 w 12192000"/>
            <a:gd name="connsiteY4365" fmla="*/ 4973666 h 6858000"/>
            <a:gd name="connsiteX4366" fmla="*/ 1160240 w 12192000"/>
            <a:gd name="connsiteY4366" fmla="*/ 4938847 h 6858000"/>
            <a:gd name="connsiteX4367" fmla="*/ 1195059 w 12192000"/>
            <a:gd name="connsiteY4367" fmla="*/ 4904029 h 6858000"/>
            <a:gd name="connsiteX4368" fmla="*/ 1229878 w 12192000"/>
            <a:gd name="connsiteY4368" fmla="*/ 4938847 h 6858000"/>
            <a:gd name="connsiteX4369" fmla="*/ 1195059 w 12192000"/>
            <a:gd name="connsiteY4369" fmla="*/ 4973666 h 6858000"/>
            <a:gd name="connsiteX4370" fmla="*/ 1279951 w 12192000"/>
            <a:gd name="connsiteY4370" fmla="*/ 4973666 h 6858000"/>
            <a:gd name="connsiteX4371" fmla="*/ 1245132 w 12192000"/>
            <a:gd name="connsiteY4371" fmla="*/ 4938847 h 6858000"/>
            <a:gd name="connsiteX4372" fmla="*/ 1279951 w 12192000"/>
            <a:gd name="connsiteY4372" fmla="*/ 4904029 h 6858000"/>
            <a:gd name="connsiteX4373" fmla="*/ 1314770 w 12192000"/>
            <a:gd name="connsiteY4373" fmla="*/ 4938847 h 6858000"/>
            <a:gd name="connsiteX4374" fmla="*/ 1279951 w 12192000"/>
            <a:gd name="connsiteY4374" fmla="*/ 4973666 h 6858000"/>
            <a:gd name="connsiteX4375" fmla="*/ 2128876 w 12192000"/>
            <a:gd name="connsiteY4375" fmla="*/ 4973666 h 6858000"/>
            <a:gd name="connsiteX4376" fmla="*/ 2094057 w 12192000"/>
            <a:gd name="connsiteY4376" fmla="*/ 4938847 h 6858000"/>
            <a:gd name="connsiteX4377" fmla="*/ 2128876 w 12192000"/>
            <a:gd name="connsiteY4377" fmla="*/ 4904029 h 6858000"/>
            <a:gd name="connsiteX4378" fmla="*/ 2163694 w 12192000"/>
            <a:gd name="connsiteY4378" fmla="*/ 4938847 h 6858000"/>
            <a:gd name="connsiteX4379" fmla="*/ 2128876 w 12192000"/>
            <a:gd name="connsiteY4379" fmla="*/ 4973666 h 6858000"/>
            <a:gd name="connsiteX4380" fmla="*/ 2213769 w 12192000"/>
            <a:gd name="connsiteY4380" fmla="*/ 4973666 h 6858000"/>
            <a:gd name="connsiteX4381" fmla="*/ 2178950 w 12192000"/>
            <a:gd name="connsiteY4381" fmla="*/ 4938847 h 6858000"/>
            <a:gd name="connsiteX4382" fmla="*/ 2213769 w 12192000"/>
            <a:gd name="connsiteY4382" fmla="*/ 4904029 h 6858000"/>
            <a:gd name="connsiteX4383" fmla="*/ 2248588 w 12192000"/>
            <a:gd name="connsiteY4383" fmla="*/ 4938847 h 6858000"/>
            <a:gd name="connsiteX4384" fmla="*/ 2213769 w 12192000"/>
            <a:gd name="connsiteY4384" fmla="*/ 4973666 h 6858000"/>
            <a:gd name="connsiteX4385" fmla="*/ 2298661 w 12192000"/>
            <a:gd name="connsiteY4385" fmla="*/ 4973666 h 6858000"/>
            <a:gd name="connsiteX4386" fmla="*/ 2263842 w 12192000"/>
            <a:gd name="connsiteY4386" fmla="*/ 4938847 h 6858000"/>
            <a:gd name="connsiteX4387" fmla="*/ 2298661 w 12192000"/>
            <a:gd name="connsiteY4387" fmla="*/ 4904029 h 6858000"/>
            <a:gd name="connsiteX4388" fmla="*/ 2333480 w 12192000"/>
            <a:gd name="connsiteY4388" fmla="*/ 4938847 h 6858000"/>
            <a:gd name="connsiteX4389" fmla="*/ 2298661 w 12192000"/>
            <a:gd name="connsiteY4389" fmla="*/ 4973666 h 6858000"/>
            <a:gd name="connsiteX4390" fmla="*/ 2383553 w 12192000"/>
            <a:gd name="connsiteY4390" fmla="*/ 4973666 h 6858000"/>
            <a:gd name="connsiteX4391" fmla="*/ 2348734 w 12192000"/>
            <a:gd name="connsiteY4391" fmla="*/ 4938847 h 6858000"/>
            <a:gd name="connsiteX4392" fmla="*/ 2383553 w 12192000"/>
            <a:gd name="connsiteY4392" fmla="*/ 4904029 h 6858000"/>
            <a:gd name="connsiteX4393" fmla="*/ 2418372 w 12192000"/>
            <a:gd name="connsiteY4393" fmla="*/ 4938847 h 6858000"/>
            <a:gd name="connsiteX4394" fmla="*/ 2383553 w 12192000"/>
            <a:gd name="connsiteY4394" fmla="*/ 4973666 h 6858000"/>
            <a:gd name="connsiteX4395" fmla="*/ 2468446 w 12192000"/>
            <a:gd name="connsiteY4395" fmla="*/ 4973666 h 6858000"/>
            <a:gd name="connsiteX4396" fmla="*/ 2433627 w 12192000"/>
            <a:gd name="connsiteY4396" fmla="*/ 4938847 h 6858000"/>
            <a:gd name="connsiteX4397" fmla="*/ 2468446 w 12192000"/>
            <a:gd name="connsiteY4397" fmla="*/ 4904029 h 6858000"/>
            <a:gd name="connsiteX4398" fmla="*/ 2503264 w 12192000"/>
            <a:gd name="connsiteY4398" fmla="*/ 4938847 h 6858000"/>
            <a:gd name="connsiteX4399" fmla="*/ 2468446 w 12192000"/>
            <a:gd name="connsiteY4399" fmla="*/ 4973666 h 6858000"/>
            <a:gd name="connsiteX4400" fmla="*/ 2553339 w 12192000"/>
            <a:gd name="connsiteY4400" fmla="*/ 4973666 h 6858000"/>
            <a:gd name="connsiteX4401" fmla="*/ 2518520 w 12192000"/>
            <a:gd name="connsiteY4401" fmla="*/ 4938847 h 6858000"/>
            <a:gd name="connsiteX4402" fmla="*/ 2553339 w 12192000"/>
            <a:gd name="connsiteY4402" fmla="*/ 4904029 h 6858000"/>
            <a:gd name="connsiteX4403" fmla="*/ 2588158 w 12192000"/>
            <a:gd name="connsiteY4403" fmla="*/ 4938847 h 6858000"/>
            <a:gd name="connsiteX4404" fmla="*/ 2553339 w 12192000"/>
            <a:gd name="connsiteY4404" fmla="*/ 4973666 h 6858000"/>
            <a:gd name="connsiteX4405" fmla="*/ 2638231 w 12192000"/>
            <a:gd name="connsiteY4405" fmla="*/ 4973666 h 6858000"/>
            <a:gd name="connsiteX4406" fmla="*/ 2603412 w 12192000"/>
            <a:gd name="connsiteY4406" fmla="*/ 4938847 h 6858000"/>
            <a:gd name="connsiteX4407" fmla="*/ 2638231 w 12192000"/>
            <a:gd name="connsiteY4407" fmla="*/ 4904029 h 6858000"/>
            <a:gd name="connsiteX4408" fmla="*/ 2673050 w 12192000"/>
            <a:gd name="connsiteY4408" fmla="*/ 4938847 h 6858000"/>
            <a:gd name="connsiteX4409" fmla="*/ 2638231 w 12192000"/>
            <a:gd name="connsiteY4409" fmla="*/ 4973666 h 6858000"/>
            <a:gd name="connsiteX4410" fmla="*/ 2723123 w 12192000"/>
            <a:gd name="connsiteY4410" fmla="*/ 4973666 h 6858000"/>
            <a:gd name="connsiteX4411" fmla="*/ 2688304 w 12192000"/>
            <a:gd name="connsiteY4411" fmla="*/ 4938847 h 6858000"/>
            <a:gd name="connsiteX4412" fmla="*/ 2723123 w 12192000"/>
            <a:gd name="connsiteY4412" fmla="*/ 4904029 h 6858000"/>
            <a:gd name="connsiteX4413" fmla="*/ 2757942 w 12192000"/>
            <a:gd name="connsiteY4413" fmla="*/ 4938847 h 6858000"/>
            <a:gd name="connsiteX4414" fmla="*/ 2723123 w 12192000"/>
            <a:gd name="connsiteY4414" fmla="*/ 4973666 h 6858000"/>
            <a:gd name="connsiteX4415" fmla="*/ 2808016 w 12192000"/>
            <a:gd name="connsiteY4415" fmla="*/ 4973666 h 6858000"/>
            <a:gd name="connsiteX4416" fmla="*/ 2773197 w 12192000"/>
            <a:gd name="connsiteY4416" fmla="*/ 4938847 h 6858000"/>
            <a:gd name="connsiteX4417" fmla="*/ 2808016 w 12192000"/>
            <a:gd name="connsiteY4417" fmla="*/ 4904029 h 6858000"/>
            <a:gd name="connsiteX4418" fmla="*/ 2842834 w 12192000"/>
            <a:gd name="connsiteY4418" fmla="*/ 4938847 h 6858000"/>
            <a:gd name="connsiteX4419" fmla="*/ 2808016 w 12192000"/>
            <a:gd name="connsiteY4419" fmla="*/ 4973666 h 6858000"/>
            <a:gd name="connsiteX4420" fmla="*/ 2892908 w 12192000"/>
            <a:gd name="connsiteY4420" fmla="*/ 4973666 h 6858000"/>
            <a:gd name="connsiteX4421" fmla="*/ 2858089 w 12192000"/>
            <a:gd name="connsiteY4421" fmla="*/ 4938847 h 6858000"/>
            <a:gd name="connsiteX4422" fmla="*/ 2892908 w 12192000"/>
            <a:gd name="connsiteY4422" fmla="*/ 4904029 h 6858000"/>
            <a:gd name="connsiteX4423" fmla="*/ 2927727 w 12192000"/>
            <a:gd name="connsiteY4423" fmla="*/ 4938847 h 6858000"/>
            <a:gd name="connsiteX4424" fmla="*/ 2892908 w 12192000"/>
            <a:gd name="connsiteY4424" fmla="*/ 4973666 h 6858000"/>
            <a:gd name="connsiteX4425" fmla="*/ 2977801 w 12192000"/>
            <a:gd name="connsiteY4425" fmla="*/ 4973666 h 6858000"/>
            <a:gd name="connsiteX4426" fmla="*/ 2942982 w 12192000"/>
            <a:gd name="connsiteY4426" fmla="*/ 4938847 h 6858000"/>
            <a:gd name="connsiteX4427" fmla="*/ 2977801 w 12192000"/>
            <a:gd name="connsiteY4427" fmla="*/ 4904029 h 6858000"/>
            <a:gd name="connsiteX4428" fmla="*/ 3012620 w 12192000"/>
            <a:gd name="connsiteY4428" fmla="*/ 4938847 h 6858000"/>
            <a:gd name="connsiteX4429" fmla="*/ 2977801 w 12192000"/>
            <a:gd name="connsiteY4429" fmla="*/ 4973666 h 6858000"/>
            <a:gd name="connsiteX4430" fmla="*/ 3062693 w 12192000"/>
            <a:gd name="connsiteY4430" fmla="*/ 4973666 h 6858000"/>
            <a:gd name="connsiteX4431" fmla="*/ 3027874 w 12192000"/>
            <a:gd name="connsiteY4431" fmla="*/ 4938847 h 6858000"/>
            <a:gd name="connsiteX4432" fmla="*/ 3062693 w 12192000"/>
            <a:gd name="connsiteY4432" fmla="*/ 4904029 h 6858000"/>
            <a:gd name="connsiteX4433" fmla="*/ 3097512 w 12192000"/>
            <a:gd name="connsiteY4433" fmla="*/ 4938847 h 6858000"/>
            <a:gd name="connsiteX4434" fmla="*/ 3062693 w 12192000"/>
            <a:gd name="connsiteY4434" fmla="*/ 4973666 h 6858000"/>
            <a:gd name="connsiteX4435" fmla="*/ 3232478 w 12192000"/>
            <a:gd name="connsiteY4435" fmla="*/ 4973666 h 6858000"/>
            <a:gd name="connsiteX4436" fmla="*/ 3197659 w 12192000"/>
            <a:gd name="connsiteY4436" fmla="*/ 4938847 h 6858000"/>
            <a:gd name="connsiteX4437" fmla="*/ 3232478 w 12192000"/>
            <a:gd name="connsiteY4437" fmla="*/ 4904029 h 6858000"/>
            <a:gd name="connsiteX4438" fmla="*/ 3267297 w 12192000"/>
            <a:gd name="connsiteY4438" fmla="*/ 4938847 h 6858000"/>
            <a:gd name="connsiteX4439" fmla="*/ 3232478 w 12192000"/>
            <a:gd name="connsiteY4439" fmla="*/ 4973666 h 6858000"/>
            <a:gd name="connsiteX4440" fmla="*/ 3826726 w 12192000"/>
            <a:gd name="connsiteY4440" fmla="*/ 4973666 h 6858000"/>
            <a:gd name="connsiteX4441" fmla="*/ 3791907 w 12192000"/>
            <a:gd name="connsiteY4441" fmla="*/ 4938847 h 6858000"/>
            <a:gd name="connsiteX4442" fmla="*/ 3826726 w 12192000"/>
            <a:gd name="connsiteY4442" fmla="*/ 4904029 h 6858000"/>
            <a:gd name="connsiteX4443" fmla="*/ 3861544 w 12192000"/>
            <a:gd name="connsiteY4443" fmla="*/ 4938847 h 6858000"/>
            <a:gd name="connsiteX4444" fmla="*/ 3826726 w 12192000"/>
            <a:gd name="connsiteY4444" fmla="*/ 4973666 h 6858000"/>
            <a:gd name="connsiteX4445" fmla="*/ 4081403 w 12192000"/>
            <a:gd name="connsiteY4445" fmla="*/ 4973666 h 6858000"/>
            <a:gd name="connsiteX4446" fmla="*/ 4046584 w 12192000"/>
            <a:gd name="connsiteY4446" fmla="*/ 4938847 h 6858000"/>
            <a:gd name="connsiteX4447" fmla="*/ 4081403 w 12192000"/>
            <a:gd name="connsiteY4447" fmla="*/ 4904029 h 6858000"/>
            <a:gd name="connsiteX4448" fmla="*/ 4116222 w 12192000"/>
            <a:gd name="connsiteY4448" fmla="*/ 4938847 h 6858000"/>
            <a:gd name="connsiteX4449" fmla="*/ 4081403 w 12192000"/>
            <a:gd name="connsiteY4449" fmla="*/ 4973666 h 6858000"/>
            <a:gd name="connsiteX4450" fmla="*/ 4590758 w 12192000"/>
            <a:gd name="connsiteY4450" fmla="*/ 4973666 h 6858000"/>
            <a:gd name="connsiteX4451" fmla="*/ 4555939 w 12192000"/>
            <a:gd name="connsiteY4451" fmla="*/ 4938847 h 6858000"/>
            <a:gd name="connsiteX4452" fmla="*/ 4590758 w 12192000"/>
            <a:gd name="connsiteY4452" fmla="*/ 4904029 h 6858000"/>
            <a:gd name="connsiteX4453" fmla="*/ 4625577 w 12192000"/>
            <a:gd name="connsiteY4453" fmla="*/ 4938847 h 6858000"/>
            <a:gd name="connsiteX4454" fmla="*/ 4590758 w 12192000"/>
            <a:gd name="connsiteY4454" fmla="*/ 4973666 h 6858000"/>
            <a:gd name="connsiteX4455" fmla="*/ 4675650 w 12192000"/>
            <a:gd name="connsiteY4455" fmla="*/ 4973666 h 6858000"/>
            <a:gd name="connsiteX4456" fmla="*/ 4640831 w 12192000"/>
            <a:gd name="connsiteY4456" fmla="*/ 4938847 h 6858000"/>
            <a:gd name="connsiteX4457" fmla="*/ 4675650 w 12192000"/>
            <a:gd name="connsiteY4457" fmla="*/ 4904029 h 6858000"/>
            <a:gd name="connsiteX4458" fmla="*/ 4710469 w 12192000"/>
            <a:gd name="connsiteY4458" fmla="*/ 4938847 h 6858000"/>
            <a:gd name="connsiteX4459" fmla="*/ 4675650 w 12192000"/>
            <a:gd name="connsiteY4459" fmla="*/ 4973666 h 6858000"/>
            <a:gd name="connsiteX4460" fmla="*/ 5354790 w 12192000"/>
            <a:gd name="connsiteY4460" fmla="*/ 4973666 h 6858000"/>
            <a:gd name="connsiteX4461" fmla="*/ 5319971 w 12192000"/>
            <a:gd name="connsiteY4461" fmla="*/ 4938847 h 6858000"/>
            <a:gd name="connsiteX4462" fmla="*/ 5354790 w 12192000"/>
            <a:gd name="connsiteY4462" fmla="*/ 4904029 h 6858000"/>
            <a:gd name="connsiteX4463" fmla="*/ 5389609 w 12192000"/>
            <a:gd name="connsiteY4463" fmla="*/ 4938847 h 6858000"/>
            <a:gd name="connsiteX4464" fmla="*/ 5354790 w 12192000"/>
            <a:gd name="connsiteY4464" fmla="*/ 4973666 h 6858000"/>
            <a:gd name="connsiteX4465" fmla="*/ 6203718 w 12192000"/>
            <a:gd name="connsiteY4465" fmla="*/ 4973666 h 6858000"/>
            <a:gd name="connsiteX4466" fmla="*/ 6168893 w 12192000"/>
            <a:gd name="connsiteY4466" fmla="*/ 4938847 h 6858000"/>
            <a:gd name="connsiteX4467" fmla="*/ 6203718 w 12192000"/>
            <a:gd name="connsiteY4467" fmla="*/ 4904029 h 6858000"/>
            <a:gd name="connsiteX4468" fmla="*/ 6238530 w 12192000"/>
            <a:gd name="connsiteY4468" fmla="*/ 4938847 h 6858000"/>
            <a:gd name="connsiteX4469" fmla="*/ 6203718 w 12192000"/>
            <a:gd name="connsiteY4469" fmla="*/ 4973666 h 6858000"/>
            <a:gd name="connsiteX4470" fmla="*/ 6288611 w 12192000"/>
            <a:gd name="connsiteY4470" fmla="*/ 4973666 h 6858000"/>
            <a:gd name="connsiteX4471" fmla="*/ 6253786 w 12192000"/>
            <a:gd name="connsiteY4471" fmla="*/ 4938847 h 6858000"/>
            <a:gd name="connsiteX4472" fmla="*/ 6288611 w 12192000"/>
            <a:gd name="connsiteY4472" fmla="*/ 4904029 h 6858000"/>
            <a:gd name="connsiteX4473" fmla="*/ 6323424 w 12192000"/>
            <a:gd name="connsiteY4473" fmla="*/ 4938847 h 6858000"/>
            <a:gd name="connsiteX4474" fmla="*/ 6288611 w 12192000"/>
            <a:gd name="connsiteY4474" fmla="*/ 4973666 h 6858000"/>
            <a:gd name="connsiteX4475" fmla="*/ 6543288 w 12192000"/>
            <a:gd name="connsiteY4475" fmla="*/ 4973666 h 6858000"/>
            <a:gd name="connsiteX4476" fmla="*/ 6508463 w 12192000"/>
            <a:gd name="connsiteY4476" fmla="*/ 4938847 h 6858000"/>
            <a:gd name="connsiteX4477" fmla="*/ 6543288 w 12192000"/>
            <a:gd name="connsiteY4477" fmla="*/ 4904029 h 6858000"/>
            <a:gd name="connsiteX4478" fmla="*/ 6578100 w 12192000"/>
            <a:gd name="connsiteY4478" fmla="*/ 4938847 h 6858000"/>
            <a:gd name="connsiteX4479" fmla="*/ 6543288 w 12192000"/>
            <a:gd name="connsiteY4479" fmla="*/ 4973666 h 6858000"/>
            <a:gd name="connsiteX4480" fmla="*/ 6628181 w 12192000"/>
            <a:gd name="connsiteY4480" fmla="*/ 4973666 h 6858000"/>
            <a:gd name="connsiteX4481" fmla="*/ 6593356 w 12192000"/>
            <a:gd name="connsiteY4481" fmla="*/ 4938847 h 6858000"/>
            <a:gd name="connsiteX4482" fmla="*/ 6628181 w 12192000"/>
            <a:gd name="connsiteY4482" fmla="*/ 4904029 h 6858000"/>
            <a:gd name="connsiteX4483" fmla="*/ 6662994 w 12192000"/>
            <a:gd name="connsiteY4483" fmla="*/ 4938847 h 6858000"/>
            <a:gd name="connsiteX4484" fmla="*/ 6628181 w 12192000"/>
            <a:gd name="connsiteY4484" fmla="*/ 4973666 h 6858000"/>
            <a:gd name="connsiteX4485" fmla="*/ 6713074 w 12192000"/>
            <a:gd name="connsiteY4485" fmla="*/ 4973666 h 6858000"/>
            <a:gd name="connsiteX4486" fmla="*/ 6678248 w 12192000"/>
            <a:gd name="connsiteY4486" fmla="*/ 4938847 h 6858000"/>
            <a:gd name="connsiteX4487" fmla="*/ 6713074 w 12192000"/>
            <a:gd name="connsiteY4487" fmla="*/ 4904029 h 6858000"/>
            <a:gd name="connsiteX4488" fmla="*/ 6747886 w 12192000"/>
            <a:gd name="connsiteY4488" fmla="*/ 4938847 h 6858000"/>
            <a:gd name="connsiteX4489" fmla="*/ 6713074 w 12192000"/>
            <a:gd name="connsiteY4489" fmla="*/ 4973666 h 6858000"/>
            <a:gd name="connsiteX4490" fmla="*/ 6882858 w 12192000"/>
            <a:gd name="connsiteY4490" fmla="*/ 4973666 h 6858000"/>
            <a:gd name="connsiteX4491" fmla="*/ 6848033 w 12192000"/>
            <a:gd name="connsiteY4491" fmla="*/ 4938847 h 6858000"/>
            <a:gd name="connsiteX4492" fmla="*/ 6882858 w 12192000"/>
            <a:gd name="connsiteY4492" fmla="*/ 4904029 h 6858000"/>
            <a:gd name="connsiteX4493" fmla="*/ 6917670 w 12192000"/>
            <a:gd name="connsiteY4493" fmla="*/ 4938847 h 6858000"/>
            <a:gd name="connsiteX4494" fmla="*/ 6882858 w 12192000"/>
            <a:gd name="connsiteY4494" fmla="*/ 4973666 h 6858000"/>
            <a:gd name="connsiteX4495" fmla="*/ 6967750 w 12192000"/>
            <a:gd name="connsiteY4495" fmla="*/ 4973666 h 6858000"/>
            <a:gd name="connsiteX4496" fmla="*/ 6932925 w 12192000"/>
            <a:gd name="connsiteY4496" fmla="*/ 4938847 h 6858000"/>
            <a:gd name="connsiteX4497" fmla="*/ 6967750 w 12192000"/>
            <a:gd name="connsiteY4497" fmla="*/ 4904029 h 6858000"/>
            <a:gd name="connsiteX4498" fmla="*/ 7002563 w 12192000"/>
            <a:gd name="connsiteY4498" fmla="*/ 4938847 h 6858000"/>
            <a:gd name="connsiteX4499" fmla="*/ 6967750 w 12192000"/>
            <a:gd name="connsiteY4499" fmla="*/ 4973666 h 6858000"/>
            <a:gd name="connsiteX4500" fmla="*/ 7052644 w 12192000"/>
            <a:gd name="connsiteY4500" fmla="*/ 4973666 h 6858000"/>
            <a:gd name="connsiteX4501" fmla="*/ 7017818 w 12192000"/>
            <a:gd name="connsiteY4501" fmla="*/ 4938847 h 6858000"/>
            <a:gd name="connsiteX4502" fmla="*/ 7052644 w 12192000"/>
            <a:gd name="connsiteY4502" fmla="*/ 4904029 h 6858000"/>
            <a:gd name="connsiteX4503" fmla="*/ 7087456 w 12192000"/>
            <a:gd name="connsiteY4503" fmla="*/ 4938847 h 6858000"/>
            <a:gd name="connsiteX4504" fmla="*/ 7052644 w 12192000"/>
            <a:gd name="connsiteY4504" fmla="*/ 4973666 h 6858000"/>
            <a:gd name="connsiteX4505" fmla="*/ 7137536 w 12192000"/>
            <a:gd name="connsiteY4505" fmla="*/ 4973666 h 6858000"/>
            <a:gd name="connsiteX4506" fmla="*/ 7102710 w 12192000"/>
            <a:gd name="connsiteY4506" fmla="*/ 4938847 h 6858000"/>
            <a:gd name="connsiteX4507" fmla="*/ 7137536 w 12192000"/>
            <a:gd name="connsiteY4507" fmla="*/ 4904029 h 6858000"/>
            <a:gd name="connsiteX4508" fmla="*/ 7172348 w 12192000"/>
            <a:gd name="connsiteY4508" fmla="*/ 4938847 h 6858000"/>
            <a:gd name="connsiteX4509" fmla="*/ 7137536 w 12192000"/>
            <a:gd name="connsiteY4509" fmla="*/ 4973666 h 6858000"/>
            <a:gd name="connsiteX4510" fmla="*/ 7222428 w 12192000"/>
            <a:gd name="connsiteY4510" fmla="*/ 4973666 h 6858000"/>
            <a:gd name="connsiteX4511" fmla="*/ 7187603 w 12192000"/>
            <a:gd name="connsiteY4511" fmla="*/ 4938847 h 6858000"/>
            <a:gd name="connsiteX4512" fmla="*/ 7222428 w 12192000"/>
            <a:gd name="connsiteY4512" fmla="*/ 4904029 h 6858000"/>
            <a:gd name="connsiteX4513" fmla="*/ 7257240 w 12192000"/>
            <a:gd name="connsiteY4513" fmla="*/ 4938847 h 6858000"/>
            <a:gd name="connsiteX4514" fmla="*/ 7222428 w 12192000"/>
            <a:gd name="connsiteY4514" fmla="*/ 4973666 h 6858000"/>
            <a:gd name="connsiteX4515" fmla="*/ 7307320 w 12192000"/>
            <a:gd name="connsiteY4515" fmla="*/ 4973666 h 6858000"/>
            <a:gd name="connsiteX4516" fmla="*/ 7272495 w 12192000"/>
            <a:gd name="connsiteY4516" fmla="*/ 4938847 h 6858000"/>
            <a:gd name="connsiteX4517" fmla="*/ 7307320 w 12192000"/>
            <a:gd name="connsiteY4517" fmla="*/ 4904029 h 6858000"/>
            <a:gd name="connsiteX4518" fmla="*/ 7342133 w 12192000"/>
            <a:gd name="connsiteY4518" fmla="*/ 4938847 h 6858000"/>
            <a:gd name="connsiteX4519" fmla="*/ 7307320 w 12192000"/>
            <a:gd name="connsiteY4519" fmla="*/ 4973666 h 6858000"/>
            <a:gd name="connsiteX4520" fmla="*/ 7392214 w 12192000"/>
            <a:gd name="connsiteY4520" fmla="*/ 4973666 h 6858000"/>
            <a:gd name="connsiteX4521" fmla="*/ 7357388 w 12192000"/>
            <a:gd name="connsiteY4521" fmla="*/ 4938847 h 6858000"/>
            <a:gd name="connsiteX4522" fmla="*/ 7392214 w 12192000"/>
            <a:gd name="connsiteY4522" fmla="*/ 4904029 h 6858000"/>
            <a:gd name="connsiteX4523" fmla="*/ 7427026 w 12192000"/>
            <a:gd name="connsiteY4523" fmla="*/ 4938847 h 6858000"/>
            <a:gd name="connsiteX4524" fmla="*/ 7392214 w 12192000"/>
            <a:gd name="connsiteY4524" fmla="*/ 4973666 h 6858000"/>
            <a:gd name="connsiteX4525" fmla="*/ 7477106 w 12192000"/>
            <a:gd name="connsiteY4525" fmla="*/ 4973666 h 6858000"/>
            <a:gd name="connsiteX4526" fmla="*/ 7442280 w 12192000"/>
            <a:gd name="connsiteY4526" fmla="*/ 4938847 h 6858000"/>
            <a:gd name="connsiteX4527" fmla="*/ 7477106 w 12192000"/>
            <a:gd name="connsiteY4527" fmla="*/ 4904029 h 6858000"/>
            <a:gd name="connsiteX4528" fmla="*/ 7511918 w 12192000"/>
            <a:gd name="connsiteY4528" fmla="*/ 4938847 h 6858000"/>
            <a:gd name="connsiteX4529" fmla="*/ 7477106 w 12192000"/>
            <a:gd name="connsiteY4529" fmla="*/ 4973666 h 6858000"/>
            <a:gd name="connsiteX4530" fmla="*/ 7561998 w 12192000"/>
            <a:gd name="connsiteY4530" fmla="*/ 4973666 h 6858000"/>
            <a:gd name="connsiteX4531" fmla="*/ 7527173 w 12192000"/>
            <a:gd name="connsiteY4531" fmla="*/ 4938847 h 6858000"/>
            <a:gd name="connsiteX4532" fmla="*/ 7561998 w 12192000"/>
            <a:gd name="connsiteY4532" fmla="*/ 4904029 h 6858000"/>
            <a:gd name="connsiteX4533" fmla="*/ 7596810 w 12192000"/>
            <a:gd name="connsiteY4533" fmla="*/ 4938847 h 6858000"/>
            <a:gd name="connsiteX4534" fmla="*/ 7561998 w 12192000"/>
            <a:gd name="connsiteY4534" fmla="*/ 4973666 h 6858000"/>
            <a:gd name="connsiteX4535" fmla="*/ 7646890 w 12192000"/>
            <a:gd name="connsiteY4535" fmla="*/ 4973666 h 6858000"/>
            <a:gd name="connsiteX4536" fmla="*/ 7612065 w 12192000"/>
            <a:gd name="connsiteY4536" fmla="*/ 4938847 h 6858000"/>
            <a:gd name="connsiteX4537" fmla="*/ 7646890 w 12192000"/>
            <a:gd name="connsiteY4537" fmla="*/ 4904029 h 6858000"/>
            <a:gd name="connsiteX4538" fmla="*/ 7681703 w 12192000"/>
            <a:gd name="connsiteY4538" fmla="*/ 4938847 h 6858000"/>
            <a:gd name="connsiteX4539" fmla="*/ 7646890 w 12192000"/>
            <a:gd name="connsiteY4539" fmla="*/ 4973666 h 6858000"/>
            <a:gd name="connsiteX4540" fmla="*/ 7731784 w 12192000"/>
            <a:gd name="connsiteY4540" fmla="*/ 4973666 h 6858000"/>
            <a:gd name="connsiteX4541" fmla="*/ 7696958 w 12192000"/>
            <a:gd name="connsiteY4541" fmla="*/ 4938847 h 6858000"/>
            <a:gd name="connsiteX4542" fmla="*/ 7731784 w 12192000"/>
            <a:gd name="connsiteY4542" fmla="*/ 4904029 h 6858000"/>
            <a:gd name="connsiteX4543" fmla="*/ 7766596 w 12192000"/>
            <a:gd name="connsiteY4543" fmla="*/ 4938847 h 6858000"/>
            <a:gd name="connsiteX4544" fmla="*/ 7731784 w 12192000"/>
            <a:gd name="connsiteY4544" fmla="*/ 4973666 h 6858000"/>
            <a:gd name="connsiteX4545" fmla="*/ 7816676 w 12192000"/>
            <a:gd name="connsiteY4545" fmla="*/ 4973666 h 6858000"/>
            <a:gd name="connsiteX4546" fmla="*/ 7781850 w 12192000"/>
            <a:gd name="connsiteY4546" fmla="*/ 4938847 h 6858000"/>
            <a:gd name="connsiteX4547" fmla="*/ 7816676 w 12192000"/>
            <a:gd name="connsiteY4547" fmla="*/ 4904029 h 6858000"/>
            <a:gd name="connsiteX4548" fmla="*/ 7851488 w 12192000"/>
            <a:gd name="connsiteY4548" fmla="*/ 4938847 h 6858000"/>
            <a:gd name="connsiteX4549" fmla="*/ 7816676 w 12192000"/>
            <a:gd name="connsiteY4549" fmla="*/ 4973666 h 6858000"/>
            <a:gd name="connsiteX4550" fmla="*/ 7901568 w 12192000"/>
            <a:gd name="connsiteY4550" fmla="*/ 4973666 h 6858000"/>
            <a:gd name="connsiteX4551" fmla="*/ 7866743 w 12192000"/>
            <a:gd name="connsiteY4551" fmla="*/ 4938847 h 6858000"/>
            <a:gd name="connsiteX4552" fmla="*/ 7901568 w 12192000"/>
            <a:gd name="connsiteY4552" fmla="*/ 4904029 h 6858000"/>
            <a:gd name="connsiteX4553" fmla="*/ 7936380 w 12192000"/>
            <a:gd name="connsiteY4553" fmla="*/ 4938847 h 6858000"/>
            <a:gd name="connsiteX4554" fmla="*/ 7901568 w 12192000"/>
            <a:gd name="connsiteY4554" fmla="*/ 4973666 h 6858000"/>
            <a:gd name="connsiteX4555" fmla="*/ 7986460 w 12192000"/>
            <a:gd name="connsiteY4555" fmla="*/ 4973666 h 6858000"/>
            <a:gd name="connsiteX4556" fmla="*/ 7951635 w 12192000"/>
            <a:gd name="connsiteY4556" fmla="*/ 4938847 h 6858000"/>
            <a:gd name="connsiteX4557" fmla="*/ 7986460 w 12192000"/>
            <a:gd name="connsiteY4557" fmla="*/ 4904029 h 6858000"/>
            <a:gd name="connsiteX4558" fmla="*/ 8021273 w 12192000"/>
            <a:gd name="connsiteY4558" fmla="*/ 4938847 h 6858000"/>
            <a:gd name="connsiteX4559" fmla="*/ 7986460 w 12192000"/>
            <a:gd name="connsiteY4559" fmla="*/ 4973666 h 6858000"/>
            <a:gd name="connsiteX4560" fmla="*/ 8071353 w 12192000"/>
            <a:gd name="connsiteY4560" fmla="*/ 4973666 h 6858000"/>
            <a:gd name="connsiteX4561" fmla="*/ 8036527 w 12192000"/>
            <a:gd name="connsiteY4561" fmla="*/ 4938847 h 6858000"/>
            <a:gd name="connsiteX4562" fmla="*/ 8071353 w 12192000"/>
            <a:gd name="connsiteY4562" fmla="*/ 4904029 h 6858000"/>
            <a:gd name="connsiteX4563" fmla="*/ 8106165 w 12192000"/>
            <a:gd name="connsiteY4563" fmla="*/ 4938847 h 6858000"/>
            <a:gd name="connsiteX4564" fmla="*/ 8071353 w 12192000"/>
            <a:gd name="connsiteY4564" fmla="*/ 4973666 h 6858000"/>
            <a:gd name="connsiteX4565" fmla="*/ 8156246 w 12192000"/>
            <a:gd name="connsiteY4565" fmla="*/ 4973666 h 6858000"/>
            <a:gd name="connsiteX4566" fmla="*/ 8121420 w 12192000"/>
            <a:gd name="connsiteY4566" fmla="*/ 4938847 h 6858000"/>
            <a:gd name="connsiteX4567" fmla="*/ 8156246 w 12192000"/>
            <a:gd name="connsiteY4567" fmla="*/ 4904029 h 6858000"/>
            <a:gd name="connsiteX4568" fmla="*/ 8191058 w 12192000"/>
            <a:gd name="connsiteY4568" fmla="*/ 4938847 h 6858000"/>
            <a:gd name="connsiteX4569" fmla="*/ 8156246 w 12192000"/>
            <a:gd name="connsiteY4569" fmla="*/ 4973666 h 6858000"/>
            <a:gd name="connsiteX4570" fmla="*/ 8241138 w 12192000"/>
            <a:gd name="connsiteY4570" fmla="*/ 4973666 h 6858000"/>
            <a:gd name="connsiteX4571" fmla="*/ 8206313 w 12192000"/>
            <a:gd name="connsiteY4571" fmla="*/ 4938847 h 6858000"/>
            <a:gd name="connsiteX4572" fmla="*/ 8241138 w 12192000"/>
            <a:gd name="connsiteY4572" fmla="*/ 4904029 h 6858000"/>
            <a:gd name="connsiteX4573" fmla="*/ 8275950 w 12192000"/>
            <a:gd name="connsiteY4573" fmla="*/ 4938847 h 6858000"/>
            <a:gd name="connsiteX4574" fmla="*/ 8241138 w 12192000"/>
            <a:gd name="connsiteY4574" fmla="*/ 4973666 h 6858000"/>
            <a:gd name="connsiteX4575" fmla="*/ 8326030 w 12192000"/>
            <a:gd name="connsiteY4575" fmla="*/ 4973666 h 6858000"/>
            <a:gd name="connsiteX4576" fmla="*/ 8291205 w 12192000"/>
            <a:gd name="connsiteY4576" fmla="*/ 4938847 h 6858000"/>
            <a:gd name="connsiteX4577" fmla="*/ 8326030 w 12192000"/>
            <a:gd name="connsiteY4577" fmla="*/ 4904029 h 6858000"/>
            <a:gd name="connsiteX4578" fmla="*/ 8360843 w 12192000"/>
            <a:gd name="connsiteY4578" fmla="*/ 4938847 h 6858000"/>
            <a:gd name="connsiteX4579" fmla="*/ 8326030 w 12192000"/>
            <a:gd name="connsiteY4579" fmla="*/ 4973666 h 6858000"/>
            <a:gd name="connsiteX4580" fmla="*/ 8410923 w 12192000"/>
            <a:gd name="connsiteY4580" fmla="*/ 4973666 h 6858000"/>
            <a:gd name="connsiteX4581" fmla="*/ 8376097 w 12192000"/>
            <a:gd name="connsiteY4581" fmla="*/ 4938847 h 6858000"/>
            <a:gd name="connsiteX4582" fmla="*/ 8410923 w 12192000"/>
            <a:gd name="connsiteY4582" fmla="*/ 4904029 h 6858000"/>
            <a:gd name="connsiteX4583" fmla="*/ 8445735 w 12192000"/>
            <a:gd name="connsiteY4583" fmla="*/ 4938847 h 6858000"/>
            <a:gd name="connsiteX4584" fmla="*/ 8410923 w 12192000"/>
            <a:gd name="connsiteY4584" fmla="*/ 4973666 h 6858000"/>
            <a:gd name="connsiteX4585" fmla="*/ 8495816 w 12192000"/>
            <a:gd name="connsiteY4585" fmla="*/ 4973666 h 6858000"/>
            <a:gd name="connsiteX4586" fmla="*/ 8460990 w 12192000"/>
            <a:gd name="connsiteY4586" fmla="*/ 4938847 h 6858000"/>
            <a:gd name="connsiteX4587" fmla="*/ 8495816 w 12192000"/>
            <a:gd name="connsiteY4587" fmla="*/ 4904029 h 6858000"/>
            <a:gd name="connsiteX4588" fmla="*/ 8530628 w 12192000"/>
            <a:gd name="connsiteY4588" fmla="*/ 4938847 h 6858000"/>
            <a:gd name="connsiteX4589" fmla="*/ 8495816 w 12192000"/>
            <a:gd name="connsiteY4589" fmla="*/ 4973666 h 6858000"/>
            <a:gd name="connsiteX4590" fmla="*/ 8580708 w 12192000"/>
            <a:gd name="connsiteY4590" fmla="*/ 4973666 h 6858000"/>
            <a:gd name="connsiteX4591" fmla="*/ 8545883 w 12192000"/>
            <a:gd name="connsiteY4591" fmla="*/ 4938847 h 6858000"/>
            <a:gd name="connsiteX4592" fmla="*/ 8580708 w 12192000"/>
            <a:gd name="connsiteY4592" fmla="*/ 4904029 h 6858000"/>
            <a:gd name="connsiteX4593" fmla="*/ 8615520 w 12192000"/>
            <a:gd name="connsiteY4593" fmla="*/ 4938847 h 6858000"/>
            <a:gd name="connsiteX4594" fmla="*/ 8580708 w 12192000"/>
            <a:gd name="connsiteY4594" fmla="*/ 4973666 h 6858000"/>
            <a:gd name="connsiteX4595" fmla="*/ 8665600 w 12192000"/>
            <a:gd name="connsiteY4595" fmla="*/ 4973666 h 6858000"/>
            <a:gd name="connsiteX4596" fmla="*/ 8630775 w 12192000"/>
            <a:gd name="connsiteY4596" fmla="*/ 4938847 h 6858000"/>
            <a:gd name="connsiteX4597" fmla="*/ 8665600 w 12192000"/>
            <a:gd name="connsiteY4597" fmla="*/ 4904029 h 6858000"/>
            <a:gd name="connsiteX4598" fmla="*/ 8700413 w 12192000"/>
            <a:gd name="connsiteY4598" fmla="*/ 4938847 h 6858000"/>
            <a:gd name="connsiteX4599" fmla="*/ 8665600 w 12192000"/>
            <a:gd name="connsiteY4599" fmla="*/ 4973666 h 6858000"/>
            <a:gd name="connsiteX4600" fmla="*/ 8750493 w 12192000"/>
            <a:gd name="connsiteY4600" fmla="*/ 4973666 h 6858000"/>
            <a:gd name="connsiteX4601" fmla="*/ 8715667 w 12192000"/>
            <a:gd name="connsiteY4601" fmla="*/ 4938847 h 6858000"/>
            <a:gd name="connsiteX4602" fmla="*/ 8750493 w 12192000"/>
            <a:gd name="connsiteY4602" fmla="*/ 4904029 h 6858000"/>
            <a:gd name="connsiteX4603" fmla="*/ 8785305 w 12192000"/>
            <a:gd name="connsiteY4603" fmla="*/ 4938847 h 6858000"/>
            <a:gd name="connsiteX4604" fmla="*/ 8750493 w 12192000"/>
            <a:gd name="connsiteY4604" fmla="*/ 4973666 h 6858000"/>
            <a:gd name="connsiteX4605" fmla="*/ 8835386 w 12192000"/>
            <a:gd name="connsiteY4605" fmla="*/ 4973666 h 6858000"/>
            <a:gd name="connsiteX4606" fmla="*/ 8800560 w 12192000"/>
            <a:gd name="connsiteY4606" fmla="*/ 4938847 h 6858000"/>
            <a:gd name="connsiteX4607" fmla="*/ 8835386 w 12192000"/>
            <a:gd name="connsiteY4607" fmla="*/ 4904029 h 6858000"/>
            <a:gd name="connsiteX4608" fmla="*/ 8870198 w 12192000"/>
            <a:gd name="connsiteY4608" fmla="*/ 4938847 h 6858000"/>
            <a:gd name="connsiteX4609" fmla="*/ 8835386 w 12192000"/>
            <a:gd name="connsiteY4609" fmla="*/ 4973666 h 6858000"/>
            <a:gd name="connsiteX4610" fmla="*/ 8920278 w 12192000"/>
            <a:gd name="connsiteY4610" fmla="*/ 4973666 h 6858000"/>
            <a:gd name="connsiteX4611" fmla="*/ 8885453 w 12192000"/>
            <a:gd name="connsiteY4611" fmla="*/ 4938847 h 6858000"/>
            <a:gd name="connsiteX4612" fmla="*/ 8920278 w 12192000"/>
            <a:gd name="connsiteY4612" fmla="*/ 4904029 h 6858000"/>
            <a:gd name="connsiteX4613" fmla="*/ 8955090 w 12192000"/>
            <a:gd name="connsiteY4613" fmla="*/ 4938847 h 6858000"/>
            <a:gd name="connsiteX4614" fmla="*/ 8920278 w 12192000"/>
            <a:gd name="connsiteY4614" fmla="*/ 4973666 h 6858000"/>
            <a:gd name="connsiteX4615" fmla="*/ 9005170 w 12192000"/>
            <a:gd name="connsiteY4615" fmla="*/ 4973666 h 6858000"/>
            <a:gd name="connsiteX4616" fmla="*/ 8970345 w 12192000"/>
            <a:gd name="connsiteY4616" fmla="*/ 4938847 h 6858000"/>
            <a:gd name="connsiteX4617" fmla="*/ 9005170 w 12192000"/>
            <a:gd name="connsiteY4617" fmla="*/ 4904029 h 6858000"/>
            <a:gd name="connsiteX4618" fmla="*/ 9039983 w 12192000"/>
            <a:gd name="connsiteY4618" fmla="*/ 4938847 h 6858000"/>
            <a:gd name="connsiteX4619" fmla="*/ 9005170 w 12192000"/>
            <a:gd name="connsiteY4619" fmla="*/ 4973666 h 6858000"/>
            <a:gd name="connsiteX4620" fmla="*/ 9090063 w 12192000"/>
            <a:gd name="connsiteY4620" fmla="*/ 4973666 h 6858000"/>
            <a:gd name="connsiteX4621" fmla="*/ 9055237 w 12192000"/>
            <a:gd name="connsiteY4621" fmla="*/ 4938847 h 6858000"/>
            <a:gd name="connsiteX4622" fmla="*/ 9090063 w 12192000"/>
            <a:gd name="connsiteY4622" fmla="*/ 4904029 h 6858000"/>
            <a:gd name="connsiteX4623" fmla="*/ 9124875 w 12192000"/>
            <a:gd name="connsiteY4623" fmla="*/ 4938847 h 6858000"/>
            <a:gd name="connsiteX4624" fmla="*/ 9090063 w 12192000"/>
            <a:gd name="connsiteY4624" fmla="*/ 4973666 h 6858000"/>
            <a:gd name="connsiteX4625" fmla="*/ 9174956 w 12192000"/>
            <a:gd name="connsiteY4625" fmla="*/ 4973666 h 6858000"/>
            <a:gd name="connsiteX4626" fmla="*/ 9140130 w 12192000"/>
            <a:gd name="connsiteY4626" fmla="*/ 4938847 h 6858000"/>
            <a:gd name="connsiteX4627" fmla="*/ 9174956 w 12192000"/>
            <a:gd name="connsiteY4627" fmla="*/ 4904029 h 6858000"/>
            <a:gd name="connsiteX4628" fmla="*/ 9209768 w 12192000"/>
            <a:gd name="connsiteY4628" fmla="*/ 4938847 h 6858000"/>
            <a:gd name="connsiteX4629" fmla="*/ 9174956 w 12192000"/>
            <a:gd name="connsiteY4629" fmla="*/ 4973666 h 6858000"/>
            <a:gd name="connsiteX4630" fmla="*/ 9259848 w 12192000"/>
            <a:gd name="connsiteY4630" fmla="*/ 4973666 h 6858000"/>
            <a:gd name="connsiteX4631" fmla="*/ 9225023 w 12192000"/>
            <a:gd name="connsiteY4631" fmla="*/ 4938847 h 6858000"/>
            <a:gd name="connsiteX4632" fmla="*/ 9259848 w 12192000"/>
            <a:gd name="connsiteY4632" fmla="*/ 4904029 h 6858000"/>
            <a:gd name="connsiteX4633" fmla="*/ 9294660 w 12192000"/>
            <a:gd name="connsiteY4633" fmla="*/ 4938847 h 6858000"/>
            <a:gd name="connsiteX4634" fmla="*/ 9259848 w 12192000"/>
            <a:gd name="connsiteY4634" fmla="*/ 4973666 h 6858000"/>
            <a:gd name="connsiteX4635" fmla="*/ 9344740 w 12192000"/>
            <a:gd name="connsiteY4635" fmla="*/ 4973666 h 6858000"/>
            <a:gd name="connsiteX4636" fmla="*/ 9309915 w 12192000"/>
            <a:gd name="connsiteY4636" fmla="*/ 4938847 h 6858000"/>
            <a:gd name="connsiteX4637" fmla="*/ 9344740 w 12192000"/>
            <a:gd name="connsiteY4637" fmla="*/ 4904029 h 6858000"/>
            <a:gd name="connsiteX4638" fmla="*/ 9379553 w 12192000"/>
            <a:gd name="connsiteY4638" fmla="*/ 4938847 h 6858000"/>
            <a:gd name="connsiteX4639" fmla="*/ 9344740 w 12192000"/>
            <a:gd name="connsiteY4639" fmla="*/ 4973666 h 6858000"/>
            <a:gd name="connsiteX4640" fmla="*/ 9429633 w 12192000"/>
            <a:gd name="connsiteY4640" fmla="*/ 4973666 h 6858000"/>
            <a:gd name="connsiteX4641" fmla="*/ 9394807 w 12192000"/>
            <a:gd name="connsiteY4641" fmla="*/ 4938847 h 6858000"/>
            <a:gd name="connsiteX4642" fmla="*/ 9429633 w 12192000"/>
            <a:gd name="connsiteY4642" fmla="*/ 4904029 h 6858000"/>
            <a:gd name="connsiteX4643" fmla="*/ 9464445 w 12192000"/>
            <a:gd name="connsiteY4643" fmla="*/ 4938847 h 6858000"/>
            <a:gd name="connsiteX4644" fmla="*/ 9429633 w 12192000"/>
            <a:gd name="connsiteY4644" fmla="*/ 4973666 h 6858000"/>
            <a:gd name="connsiteX4645" fmla="*/ 9514525 w 12192000"/>
            <a:gd name="connsiteY4645" fmla="*/ 4973666 h 6858000"/>
            <a:gd name="connsiteX4646" fmla="*/ 9479699 w 12192000"/>
            <a:gd name="connsiteY4646" fmla="*/ 4938847 h 6858000"/>
            <a:gd name="connsiteX4647" fmla="*/ 9514525 w 12192000"/>
            <a:gd name="connsiteY4647" fmla="*/ 4904029 h 6858000"/>
            <a:gd name="connsiteX4648" fmla="*/ 9549337 w 12192000"/>
            <a:gd name="connsiteY4648" fmla="*/ 4938847 h 6858000"/>
            <a:gd name="connsiteX4649" fmla="*/ 9514525 w 12192000"/>
            <a:gd name="connsiteY4649" fmla="*/ 4973666 h 6858000"/>
            <a:gd name="connsiteX4650" fmla="*/ 9599418 w 12192000"/>
            <a:gd name="connsiteY4650" fmla="*/ 4973666 h 6858000"/>
            <a:gd name="connsiteX4651" fmla="*/ 9564593 w 12192000"/>
            <a:gd name="connsiteY4651" fmla="*/ 4938847 h 6858000"/>
            <a:gd name="connsiteX4652" fmla="*/ 9599418 w 12192000"/>
            <a:gd name="connsiteY4652" fmla="*/ 4904029 h 6858000"/>
            <a:gd name="connsiteX4653" fmla="*/ 9634230 w 12192000"/>
            <a:gd name="connsiteY4653" fmla="*/ 4938847 h 6858000"/>
            <a:gd name="connsiteX4654" fmla="*/ 9599418 w 12192000"/>
            <a:gd name="connsiteY4654" fmla="*/ 4973666 h 6858000"/>
            <a:gd name="connsiteX4655" fmla="*/ 9684310 w 12192000"/>
            <a:gd name="connsiteY4655" fmla="*/ 4973666 h 6858000"/>
            <a:gd name="connsiteX4656" fmla="*/ 9649485 w 12192000"/>
            <a:gd name="connsiteY4656" fmla="*/ 4938847 h 6858000"/>
            <a:gd name="connsiteX4657" fmla="*/ 9684310 w 12192000"/>
            <a:gd name="connsiteY4657" fmla="*/ 4904029 h 6858000"/>
            <a:gd name="connsiteX4658" fmla="*/ 9719123 w 12192000"/>
            <a:gd name="connsiteY4658" fmla="*/ 4938847 h 6858000"/>
            <a:gd name="connsiteX4659" fmla="*/ 9684310 w 12192000"/>
            <a:gd name="connsiteY4659" fmla="*/ 4973666 h 6858000"/>
            <a:gd name="connsiteX4660" fmla="*/ 10278558 w 12192000"/>
            <a:gd name="connsiteY4660" fmla="*/ 4973666 h 6858000"/>
            <a:gd name="connsiteX4661" fmla="*/ 10243733 w 12192000"/>
            <a:gd name="connsiteY4661" fmla="*/ 4938847 h 6858000"/>
            <a:gd name="connsiteX4662" fmla="*/ 10278558 w 12192000"/>
            <a:gd name="connsiteY4662" fmla="*/ 4904029 h 6858000"/>
            <a:gd name="connsiteX4663" fmla="*/ 10313370 w 12192000"/>
            <a:gd name="connsiteY4663" fmla="*/ 4938847 h 6858000"/>
            <a:gd name="connsiteX4664" fmla="*/ 10278558 w 12192000"/>
            <a:gd name="connsiteY4664" fmla="*/ 4973666 h 6858000"/>
            <a:gd name="connsiteX4665" fmla="*/ 10363450 w 12192000"/>
            <a:gd name="connsiteY4665" fmla="*/ 4973666 h 6858000"/>
            <a:gd name="connsiteX4666" fmla="*/ 10328625 w 12192000"/>
            <a:gd name="connsiteY4666" fmla="*/ 4938847 h 6858000"/>
            <a:gd name="connsiteX4667" fmla="*/ 10363450 w 12192000"/>
            <a:gd name="connsiteY4667" fmla="*/ 4904029 h 6858000"/>
            <a:gd name="connsiteX4668" fmla="*/ 10398263 w 12192000"/>
            <a:gd name="connsiteY4668" fmla="*/ 4938847 h 6858000"/>
            <a:gd name="connsiteX4669" fmla="*/ 10363450 w 12192000"/>
            <a:gd name="connsiteY4669" fmla="*/ 4973666 h 6858000"/>
            <a:gd name="connsiteX4670" fmla="*/ 10448343 w 12192000"/>
            <a:gd name="connsiteY4670" fmla="*/ 4973666 h 6858000"/>
            <a:gd name="connsiteX4671" fmla="*/ 10413517 w 12192000"/>
            <a:gd name="connsiteY4671" fmla="*/ 4938847 h 6858000"/>
            <a:gd name="connsiteX4672" fmla="*/ 10448343 w 12192000"/>
            <a:gd name="connsiteY4672" fmla="*/ 4904029 h 6858000"/>
            <a:gd name="connsiteX4673" fmla="*/ 10483155 w 12192000"/>
            <a:gd name="connsiteY4673" fmla="*/ 4938847 h 6858000"/>
            <a:gd name="connsiteX4674" fmla="*/ 10448343 w 12192000"/>
            <a:gd name="connsiteY4674" fmla="*/ 4973666 h 6858000"/>
            <a:gd name="connsiteX4675" fmla="*/ 10618128 w 12192000"/>
            <a:gd name="connsiteY4675" fmla="*/ 4973666 h 6858000"/>
            <a:gd name="connsiteX4676" fmla="*/ 10583303 w 12192000"/>
            <a:gd name="connsiteY4676" fmla="*/ 4938847 h 6858000"/>
            <a:gd name="connsiteX4677" fmla="*/ 10618128 w 12192000"/>
            <a:gd name="connsiteY4677" fmla="*/ 4904029 h 6858000"/>
            <a:gd name="connsiteX4678" fmla="*/ 10652940 w 12192000"/>
            <a:gd name="connsiteY4678" fmla="*/ 4938847 h 6858000"/>
            <a:gd name="connsiteX4679" fmla="*/ 10618128 w 12192000"/>
            <a:gd name="connsiteY4679" fmla="*/ 4973666 h 6858000"/>
            <a:gd name="connsiteX4680" fmla="*/ 855489 w 12192000"/>
            <a:gd name="connsiteY4680" fmla="*/ 4888805 h 6858000"/>
            <a:gd name="connsiteX4681" fmla="*/ 820670 w 12192000"/>
            <a:gd name="connsiteY4681" fmla="*/ 4853987 h 6858000"/>
            <a:gd name="connsiteX4682" fmla="*/ 855489 w 12192000"/>
            <a:gd name="connsiteY4682" fmla="*/ 4819168 h 6858000"/>
            <a:gd name="connsiteX4683" fmla="*/ 890308 w 12192000"/>
            <a:gd name="connsiteY4683" fmla="*/ 4853987 h 6858000"/>
            <a:gd name="connsiteX4684" fmla="*/ 855489 w 12192000"/>
            <a:gd name="connsiteY4684" fmla="*/ 4888805 h 6858000"/>
            <a:gd name="connsiteX4685" fmla="*/ 940381 w 12192000"/>
            <a:gd name="connsiteY4685" fmla="*/ 4888805 h 6858000"/>
            <a:gd name="connsiteX4686" fmla="*/ 905562 w 12192000"/>
            <a:gd name="connsiteY4686" fmla="*/ 4853987 h 6858000"/>
            <a:gd name="connsiteX4687" fmla="*/ 940381 w 12192000"/>
            <a:gd name="connsiteY4687" fmla="*/ 4819168 h 6858000"/>
            <a:gd name="connsiteX4688" fmla="*/ 975200 w 12192000"/>
            <a:gd name="connsiteY4688" fmla="*/ 4853987 h 6858000"/>
            <a:gd name="connsiteX4689" fmla="*/ 940381 w 12192000"/>
            <a:gd name="connsiteY4689" fmla="*/ 4888805 h 6858000"/>
            <a:gd name="connsiteX4690" fmla="*/ 1025273 w 12192000"/>
            <a:gd name="connsiteY4690" fmla="*/ 4888805 h 6858000"/>
            <a:gd name="connsiteX4691" fmla="*/ 990454 w 12192000"/>
            <a:gd name="connsiteY4691" fmla="*/ 4853987 h 6858000"/>
            <a:gd name="connsiteX4692" fmla="*/ 1025273 w 12192000"/>
            <a:gd name="connsiteY4692" fmla="*/ 4819168 h 6858000"/>
            <a:gd name="connsiteX4693" fmla="*/ 1060092 w 12192000"/>
            <a:gd name="connsiteY4693" fmla="*/ 4853987 h 6858000"/>
            <a:gd name="connsiteX4694" fmla="*/ 1025273 w 12192000"/>
            <a:gd name="connsiteY4694" fmla="*/ 4888805 h 6858000"/>
            <a:gd name="connsiteX4695" fmla="*/ 1110167 w 12192000"/>
            <a:gd name="connsiteY4695" fmla="*/ 4888805 h 6858000"/>
            <a:gd name="connsiteX4696" fmla="*/ 1075348 w 12192000"/>
            <a:gd name="connsiteY4696" fmla="*/ 4853987 h 6858000"/>
            <a:gd name="connsiteX4697" fmla="*/ 1110167 w 12192000"/>
            <a:gd name="connsiteY4697" fmla="*/ 4819168 h 6858000"/>
            <a:gd name="connsiteX4698" fmla="*/ 1144985 w 12192000"/>
            <a:gd name="connsiteY4698" fmla="*/ 4853987 h 6858000"/>
            <a:gd name="connsiteX4699" fmla="*/ 1110167 w 12192000"/>
            <a:gd name="connsiteY4699" fmla="*/ 4888805 h 6858000"/>
            <a:gd name="connsiteX4700" fmla="*/ 2128876 w 12192000"/>
            <a:gd name="connsiteY4700" fmla="*/ 4888805 h 6858000"/>
            <a:gd name="connsiteX4701" fmla="*/ 2094057 w 12192000"/>
            <a:gd name="connsiteY4701" fmla="*/ 4853987 h 6858000"/>
            <a:gd name="connsiteX4702" fmla="*/ 2128876 w 12192000"/>
            <a:gd name="connsiteY4702" fmla="*/ 4819168 h 6858000"/>
            <a:gd name="connsiteX4703" fmla="*/ 2163694 w 12192000"/>
            <a:gd name="connsiteY4703" fmla="*/ 4853987 h 6858000"/>
            <a:gd name="connsiteX4704" fmla="*/ 2128876 w 12192000"/>
            <a:gd name="connsiteY4704" fmla="*/ 4888805 h 6858000"/>
            <a:gd name="connsiteX4705" fmla="*/ 2213769 w 12192000"/>
            <a:gd name="connsiteY4705" fmla="*/ 4888805 h 6858000"/>
            <a:gd name="connsiteX4706" fmla="*/ 2178950 w 12192000"/>
            <a:gd name="connsiteY4706" fmla="*/ 4853987 h 6858000"/>
            <a:gd name="connsiteX4707" fmla="*/ 2213769 w 12192000"/>
            <a:gd name="connsiteY4707" fmla="*/ 4819168 h 6858000"/>
            <a:gd name="connsiteX4708" fmla="*/ 2248588 w 12192000"/>
            <a:gd name="connsiteY4708" fmla="*/ 4853987 h 6858000"/>
            <a:gd name="connsiteX4709" fmla="*/ 2213769 w 12192000"/>
            <a:gd name="connsiteY4709" fmla="*/ 4888805 h 6858000"/>
            <a:gd name="connsiteX4710" fmla="*/ 2298661 w 12192000"/>
            <a:gd name="connsiteY4710" fmla="*/ 4888805 h 6858000"/>
            <a:gd name="connsiteX4711" fmla="*/ 2263842 w 12192000"/>
            <a:gd name="connsiteY4711" fmla="*/ 4853987 h 6858000"/>
            <a:gd name="connsiteX4712" fmla="*/ 2298661 w 12192000"/>
            <a:gd name="connsiteY4712" fmla="*/ 4819168 h 6858000"/>
            <a:gd name="connsiteX4713" fmla="*/ 2333480 w 12192000"/>
            <a:gd name="connsiteY4713" fmla="*/ 4853987 h 6858000"/>
            <a:gd name="connsiteX4714" fmla="*/ 2298661 w 12192000"/>
            <a:gd name="connsiteY4714" fmla="*/ 4888805 h 6858000"/>
            <a:gd name="connsiteX4715" fmla="*/ 2383553 w 12192000"/>
            <a:gd name="connsiteY4715" fmla="*/ 4888805 h 6858000"/>
            <a:gd name="connsiteX4716" fmla="*/ 2348734 w 12192000"/>
            <a:gd name="connsiteY4716" fmla="*/ 4853987 h 6858000"/>
            <a:gd name="connsiteX4717" fmla="*/ 2383553 w 12192000"/>
            <a:gd name="connsiteY4717" fmla="*/ 4819168 h 6858000"/>
            <a:gd name="connsiteX4718" fmla="*/ 2418372 w 12192000"/>
            <a:gd name="connsiteY4718" fmla="*/ 4853987 h 6858000"/>
            <a:gd name="connsiteX4719" fmla="*/ 2383553 w 12192000"/>
            <a:gd name="connsiteY4719" fmla="*/ 4888805 h 6858000"/>
            <a:gd name="connsiteX4720" fmla="*/ 2468446 w 12192000"/>
            <a:gd name="connsiteY4720" fmla="*/ 4888805 h 6858000"/>
            <a:gd name="connsiteX4721" fmla="*/ 2433627 w 12192000"/>
            <a:gd name="connsiteY4721" fmla="*/ 4853987 h 6858000"/>
            <a:gd name="connsiteX4722" fmla="*/ 2468446 w 12192000"/>
            <a:gd name="connsiteY4722" fmla="*/ 4819168 h 6858000"/>
            <a:gd name="connsiteX4723" fmla="*/ 2503264 w 12192000"/>
            <a:gd name="connsiteY4723" fmla="*/ 4853987 h 6858000"/>
            <a:gd name="connsiteX4724" fmla="*/ 2468446 w 12192000"/>
            <a:gd name="connsiteY4724" fmla="*/ 4888805 h 6858000"/>
            <a:gd name="connsiteX4725" fmla="*/ 2553339 w 12192000"/>
            <a:gd name="connsiteY4725" fmla="*/ 4888805 h 6858000"/>
            <a:gd name="connsiteX4726" fmla="*/ 2518520 w 12192000"/>
            <a:gd name="connsiteY4726" fmla="*/ 4853987 h 6858000"/>
            <a:gd name="connsiteX4727" fmla="*/ 2553339 w 12192000"/>
            <a:gd name="connsiteY4727" fmla="*/ 4819168 h 6858000"/>
            <a:gd name="connsiteX4728" fmla="*/ 2588158 w 12192000"/>
            <a:gd name="connsiteY4728" fmla="*/ 4853987 h 6858000"/>
            <a:gd name="connsiteX4729" fmla="*/ 2553339 w 12192000"/>
            <a:gd name="connsiteY4729" fmla="*/ 4888805 h 6858000"/>
            <a:gd name="connsiteX4730" fmla="*/ 2638231 w 12192000"/>
            <a:gd name="connsiteY4730" fmla="*/ 4888805 h 6858000"/>
            <a:gd name="connsiteX4731" fmla="*/ 2603412 w 12192000"/>
            <a:gd name="connsiteY4731" fmla="*/ 4853987 h 6858000"/>
            <a:gd name="connsiteX4732" fmla="*/ 2638231 w 12192000"/>
            <a:gd name="connsiteY4732" fmla="*/ 4819168 h 6858000"/>
            <a:gd name="connsiteX4733" fmla="*/ 2673050 w 12192000"/>
            <a:gd name="connsiteY4733" fmla="*/ 4853987 h 6858000"/>
            <a:gd name="connsiteX4734" fmla="*/ 2638231 w 12192000"/>
            <a:gd name="connsiteY4734" fmla="*/ 4888805 h 6858000"/>
            <a:gd name="connsiteX4735" fmla="*/ 2723123 w 12192000"/>
            <a:gd name="connsiteY4735" fmla="*/ 4888805 h 6858000"/>
            <a:gd name="connsiteX4736" fmla="*/ 2688304 w 12192000"/>
            <a:gd name="connsiteY4736" fmla="*/ 4853987 h 6858000"/>
            <a:gd name="connsiteX4737" fmla="*/ 2723123 w 12192000"/>
            <a:gd name="connsiteY4737" fmla="*/ 4819168 h 6858000"/>
            <a:gd name="connsiteX4738" fmla="*/ 2757942 w 12192000"/>
            <a:gd name="connsiteY4738" fmla="*/ 4853987 h 6858000"/>
            <a:gd name="connsiteX4739" fmla="*/ 2723123 w 12192000"/>
            <a:gd name="connsiteY4739" fmla="*/ 4888805 h 6858000"/>
            <a:gd name="connsiteX4740" fmla="*/ 2808016 w 12192000"/>
            <a:gd name="connsiteY4740" fmla="*/ 4888805 h 6858000"/>
            <a:gd name="connsiteX4741" fmla="*/ 2773197 w 12192000"/>
            <a:gd name="connsiteY4741" fmla="*/ 4853987 h 6858000"/>
            <a:gd name="connsiteX4742" fmla="*/ 2808016 w 12192000"/>
            <a:gd name="connsiteY4742" fmla="*/ 4819168 h 6858000"/>
            <a:gd name="connsiteX4743" fmla="*/ 2842834 w 12192000"/>
            <a:gd name="connsiteY4743" fmla="*/ 4853987 h 6858000"/>
            <a:gd name="connsiteX4744" fmla="*/ 2808016 w 12192000"/>
            <a:gd name="connsiteY4744" fmla="*/ 4888805 h 6858000"/>
            <a:gd name="connsiteX4745" fmla="*/ 2892908 w 12192000"/>
            <a:gd name="connsiteY4745" fmla="*/ 4888805 h 6858000"/>
            <a:gd name="connsiteX4746" fmla="*/ 2858089 w 12192000"/>
            <a:gd name="connsiteY4746" fmla="*/ 4853987 h 6858000"/>
            <a:gd name="connsiteX4747" fmla="*/ 2892908 w 12192000"/>
            <a:gd name="connsiteY4747" fmla="*/ 4819168 h 6858000"/>
            <a:gd name="connsiteX4748" fmla="*/ 2927727 w 12192000"/>
            <a:gd name="connsiteY4748" fmla="*/ 4853987 h 6858000"/>
            <a:gd name="connsiteX4749" fmla="*/ 2892908 w 12192000"/>
            <a:gd name="connsiteY4749" fmla="*/ 4888805 h 6858000"/>
            <a:gd name="connsiteX4750" fmla="*/ 3062693 w 12192000"/>
            <a:gd name="connsiteY4750" fmla="*/ 4888805 h 6858000"/>
            <a:gd name="connsiteX4751" fmla="*/ 3027874 w 12192000"/>
            <a:gd name="connsiteY4751" fmla="*/ 4853987 h 6858000"/>
            <a:gd name="connsiteX4752" fmla="*/ 3062693 w 12192000"/>
            <a:gd name="connsiteY4752" fmla="*/ 4819168 h 6858000"/>
            <a:gd name="connsiteX4753" fmla="*/ 3097512 w 12192000"/>
            <a:gd name="connsiteY4753" fmla="*/ 4853987 h 6858000"/>
            <a:gd name="connsiteX4754" fmla="*/ 3062693 w 12192000"/>
            <a:gd name="connsiteY4754" fmla="*/ 4888805 h 6858000"/>
            <a:gd name="connsiteX4755" fmla="*/ 3147586 w 12192000"/>
            <a:gd name="connsiteY4755" fmla="*/ 4888805 h 6858000"/>
            <a:gd name="connsiteX4756" fmla="*/ 3112767 w 12192000"/>
            <a:gd name="connsiteY4756" fmla="*/ 4853987 h 6858000"/>
            <a:gd name="connsiteX4757" fmla="*/ 3147586 w 12192000"/>
            <a:gd name="connsiteY4757" fmla="*/ 4819168 h 6858000"/>
            <a:gd name="connsiteX4758" fmla="*/ 3182404 w 12192000"/>
            <a:gd name="connsiteY4758" fmla="*/ 4853987 h 6858000"/>
            <a:gd name="connsiteX4759" fmla="*/ 3147586 w 12192000"/>
            <a:gd name="connsiteY4759" fmla="*/ 4888805 h 6858000"/>
            <a:gd name="connsiteX4760" fmla="*/ 3232478 w 12192000"/>
            <a:gd name="connsiteY4760" fmla="*/ 4888805 h 6858000"/>
            <a:gd name="connsiteX4761" fmla="*/ 3197659 w 12192000"/>
            <a:gd name="connsiteY4761" fmla="*/ 4853987 h 6858000"/>
            <a:gd name="connsiteX4762" fmla="*/ 3232478 w 12192000"/>
            <a:gd name="connsiteY4762" fmla="*/ 4819168 h 6858000"/>
            <a:gd name="connsiteX4763" fmla="*/ 3267297 w 12192000"/>
            <a:gd name="connsiteY4763" fmla="*/ 4853987 h 6858000"/>
            <a:gd name="connsiteX4764" fmla="*/ 3232478 w 12192000"/>
            <a:gd name="connsiteY4764" fmla="*/ 4888805 h 6858000"/>
            <a:gd name="connsiteX4765" fmla="*/ 3826726 w 12192000"/>
            <a:gd name="connsiteY4765" fmla="*/ 4888805 h 6858000"/>
            <a:gd name="connsiteX4766" fmla="*/ 3791907 w 12192000"/>
            <a:gd name="connsiteY4766" fmla="*/ 4853987 h 6858000"/>
            <a:gd name="connsiteX4767" fmla="*/ 3826726 w 12192000"/>
            <a:gd name="connsiteY4767" fmla="*/ 4819168 h 6858000"/>
            <a:gd name="connsiteX4768" fmla="*/ 3861544 w 12192000"/>
            <a:gd name="connsiteY4768" fmla="*/ 4853987 h 6858000"/>
            <a:gd name="connsiteX4769" fmla="*/ 3826726 w 12192000"/>
            <a:gd name="connsiteY4769" fmla="*/ 4888805 h 6858000"/>
            <a:gd name="connsiteX4770" fmla="*/ 3911618 w 12192000"/>
            <a:gd name="connsiteY4770" fmla="*/ 4888805 h 6858000"/>
            <a:gd name="connsiteX4771" fmla="*/ 3876799 w 12192000"/>
            <a:gd name="connsiteY4771" fmla="*/ 4853987 h 6858000"/>
            <a:gd name="connsiteX4772" fmla="*/ 3911618 w 12192000"/>
            <a:gd name="connsiteY4772" fmla="*/ 4819168 h 6858000"/>
            <a:gd name="connsiteX4773" fmla="*/ 3946437 w 12192000"/>
            <a:gd name="connsiteY4773" fmla="*/ 4853987 h 6858000"/>
            <a:gd name="connsiteX4774" fmla="*/ 3911618 w 12192000"/>
            <a:gd name="connsiteY4774" fmla="*/ 4888805 h 6858000"/>
            <a:gd name="connsiteX4775" fmla="*/ 4590758 w 12192000"/>
            <a:gd name="connsiteY4775" fmla="*/ 4888805 h 6858000"/>
            <a:gd name="connsiteX4776" fmla="*/ 4555939 w 12192000"/>
            <a:gd name="connsiteY4776" fmla="*/ 4853987 h 6858000"/>
            <a:gd name="connsiteX4777" fmla="*/ 4590758 w 12192000"/>
            <a:gd name="connsiteY4777" fmla="*/ 4819168 h 6858000"/>
            <a:gd name="connsiteX4778" fmla="*/ 4625577 w 12192000"/>
            <a:gd name="connsiteY4778" fmla="*/ 4853987 h 6858000"/>
            <a:gd name="connsiteX4779" fmla="*/ 4590758 w 12192000"/>
            <a:gd name="connsiteY4779" fmla="*/ 4888805 h 6858000"/>
            <a:gd name="connsiteX4780" fmla="*/ 4675650 w 12192000"/>
            <a:gd name="connsiteY4780" fmla="*/ 4888805 h 6858000"/>
            <a:gd name="connsiteX4781" fmla="*/ 4640831 w 12192000"/>
            <a:gd name="connsiteY4781" fmla="*/ 4853987 h 6858000"/>
            <a:gd name="connsiteX4782" fmla="*/ 4675650 w 12192000"/>
            <a:gd name="connsiteY4782" fmla="*/ 4819168 h 6858000"/>
            <a:gd name="connsiteX4783" fmla="*/ 4710469 w 12192000"/>
            <a:gd name="connsiteY4783" fmla="*/ 4853987 h 6858000"/>
            <a:gd name="connsiteX4784" fmla="*/ 4675650 w 12192000"/>
            <a:gd name="connsiteY4784" fmla="*/ 4888805 h 6858000"/>
            <a:gd name="connsiteX4785" fmla="*/ 6118826 w 12192000"/>
            <a:gd name="connsiteY4785" fmla="*/ 4888805 h 6858000"/>
            <a:gd name="connsiteX4786" fmla="*/ 6084000 w 12192000"/>
            <a:gd name="connsiteY4786" fmla="*/ 4853987 h 6858000"/>
            <a:gd name="connsiteX4787" fmla="*/ 6118826 w 12192000"/>
            <a:gd name="connsiteY4787" fmla="*/ 4819168 h 6858000"/>
            <a:gd name="connsiteX4788" fmla="*/ 6153638 w 12192000"/>
            <a:gd name="connsiteY4788" fmla="*/ 4853987 h 6858000"/>
            <a:gd name="connsiteX4789" fmla="*/ 6118826 w 12192000"/>
            <a:gd name="connsiteY4789" fmla="*/ 4888805 h 6858000"/>
            <a:gd name="connsiteX4790" fmla="*/ 6203718 w 12192000"/>
            <a:gd name="connsiteY4790" fmla="*/ 4888805 h 6858000"/>
            <a:gd name="connsiteX4791" fmla="*/ 6168893 w 12192000"/>
            <a:gd name="connsiteY4791" fmla="*/ 4853987 h 6858000"/>
            <a:gd name="connsiteX4792" fmla="*/ 6203718 w 12192000"/>
            <a:gd name="connsiteY4792" fmla="*/ 4819168 h 6858000"/>
            <a:gd name="connsiteX4793" fmla="*/ 6238530 w 12192000"/>
            <a:gd name="connsiteY4793" fmla="*/ 4853987 h 6858000"/>
            <a:gd name="connsiteX4794" fmla="*/ 6203718 w 12192000"/>
            <a:gd name="connsiteY4794" fmla="*/ 4888805 h 6858000"/>
            <a:gd name="connsiteX4795" fmla="*/ 6288611 w 12192000"/>
            <a:gd name="connsiteY4795" fmla="*/ 4888805 h 6858000"/>
            <a:gd name="connsiteX4796" fmla="*/ 6253786 w 12192000"/>
            <a:gd name="connsiteY4796" fmla="*/ 4853987 h 6858000"/>
            <a:gd name="connsiteX4797" fmla="*/ 6288611 w 12192000"/>
            <a:gd name="connsiteY4797" fmla="*/ 4819168 h 6858000"/>
            <a:gd name="connsiteX4798" fmla="*/ 6323424 w 12192000"/>
            <a:gd name="connsiteY4798" fmla="*/ 4853987 h 6858000"/>
            <a:gd name="connsiteX4799" fmla="*/ 6288611 w 12192000"/>
            <a:gd name="connsiteY4799" fmla="*/ 4888805 h 6858000"/>
            <a:gd name="connsiteX4800" fmla="*/ 6458396 w 12192000"/>
            <a:gd name="connsiteY4800" fmla="*/ 4888805 h 6858000"/>
            <a:gd name="connsiteX4801" fmla="*/ 6423570 w 12192000"/>
            <a:gd name="connsiteY4801" fmla="*/ 4853987 h 6858000"/>
            <a:gd name="connsiteX4802" fmla="*/ 6458396 w 12192000"/>
            <a:gd name="connsiteY4802" fmla="*/ 4819168 h 6858000"/>
            <a:gd name="connsiteX4803" fmla="*/ 6493208 w 12192000"/>
            <a:gd name="connsiteY4803" fmla="*/ 4853987 h 6858000"/>
            <a:gd name="connsiteX4804" fmla="*/ 6458396 w 12192000"/>
            <a:gd name="connsiteY4804" fmla="*/ 4888805 h 6858000"/>
            <a:gd name="connsiteX4805" fmla="*/ 6713074 w 12192000"/>
            <a:gd name="connsiteY4805" fmla="*/ 4888805 h 6858000"/>
            <a:gd name="connsiteX4806" fmla="*/ 6678248 w 12192000"/>
            <a:gd name="connsiteY4806" fmla="*/ 4853987 h 6858000"/>
            <a:gd name="connsiteX4807" fmla="*/ 6713074 w 12192000"/>
            <a:gd name="connsiteY4807" fmla="*/ 4819168 h 6858000"/>
            <a:gd name="connsiteX4808" fmla="*/ 6747886 w 12192000"/>
            <a:gd name="connsiteY4808" fmla="*/ 4853987 h 6858000"/>
            <a:gd name="connsiteX4809" fmla="*/ 6713074 w 12192000"/>
            <a:gd name="connsiteY4809" fmla="*/ 4888805 h 6858000"/>
            <a:gd name="connsiteX4810" fmla="*/ 6882858 w 12192000"/>
            <a:gd name="connsiteY4810" fmla="*/ 4888805 h 6858000"/>
            <a:gd name="connsiteX4811" fmla="*/ 6848033 w 12192000"/>
            <a:gd name="connsiteY4811" fmla="*/ 4853987 h 6858000"/>
            <a:gd name="connsiteX4812" fmla="*/ 6882858 w 12192000"/>
            <a:gd name="connsiteY4812" fmla="*/ 4819168 h 6858000"/>
            <a:gd name="connsiteX4813" fmla="*/ 6917670 w 12192000"/>
            <a:gd name="connsiteY4813" fmla="*/ 4853987 h 6858000"/>
            <a:gd name="connsiteX4814" fmla="*/ 6882858 w 12192000"/>
            <a:gd name="connsiteY4814" fmla="*/ 4888805 h 6858000"/>
            <a:gd name="connsiteX4815" fmla="*/ 6967750 w 12192000"/>
            <a:gd name="connsiteY4815" fmla="*/ 4888805 h 6858000"/>
            <a:gd name="connsiteX4816" fmla="*/ 6932925 w 12192000"/>
            <a:gd name="connsiteY4816" fmla="*/ 4853987 h 6858000"/>
            <a:gd name="connsiteX4817" fmla="*/ 6967750 w 12192000"/>
            <a:gd name="connsiteY4817" fmla="*/ 4819168 h 6858000"/>
            <a:gd name="connsiteX4818" fmla="*/ 7002563 w 12192000"/>
            <a:gd name="connsiteY4818" fmla="*/ 4853987 h 6858000"/>
            <a:gd name="connsiteX4819" fmla="*/ 6967750 w 12192000"/>
            <a:gd name="connsiteY4819" fmla="*/ 4888805 h 6858000"/>
            <a:gd name="connsiteX4820" fmla="*/ 7052644 w 12192000"/>
            <a:gd name="connsiteY4820" fmla="*/ 4888805 h 6858000"/>
            <a:gd name="connsiteX4821" fmla="*/ 7017818 w 12192000"/>
            <a:gd name="connsiteY4821" fmla="*/ 4853987 h 6858000"/>
            <a:gd name="connsiteX4822" fmla="*/ 7052644 w 12192000"/>
            <a:gd name="connsiteY4822" fmla="*/ 4819168 h 6858000"/>
            <a:gd name="connsiteX4823" fmla="*/ 7087456 w 12192000"/>
            <a:gd name="connsiteY4823" fmla="*/ 4853987 h 6858000"/>
            <a:gd name="connsiteX4824" fmla="*/ 7052644 w 12192000"/>
            <a:gd name="connsiteY4824" fmla="*/ 4888805 h 6858000"/>
            <a:gd name="connsiteX4825" fmla="*/ 7137536 w 12192000"/>
            <a:gd name="connsiteY4825" fmla="*/ 4888805 h 6858000"/>
            <a:gd name="connsiteX4826" fmla="*/ 7102710 w 12192000"/>
            <a:gd name="connsiteY4826" fmla="*/ 4853987 h 6858000"/>
            <a:gd name="connsiteX4827" fmla="*/ 7137536 w 12192000"/>
            <a:gd name="connsiteY4827" fmla="*/ 4819168 h 6858000"/>
            <a:gd name="connsiteX4828" fmla="*/ 7172348 w 12192000"/>
            <a:gd name="connsiteY4828" fmla="*/ 4853987 h 6858000"/>
            <a:gd name="connsiteX4829" fmla="*/ 7137536 w 12192000"/>
            <a:gd name="connsiteY4829" fmla="*/ 4888805 h 6858000"/>
            <a:gd name="connsiteX4830" fmla="*/ 7222428 w 12192000"/>
            <a:gd name="connsiteY4830" fmla="*/ 4888805 h 6858000"/>
            <a:gd name="connsiteX4831" fmla="*/ 7187603 w 12192000"/>
            <a:gd name="connsiteY4831" fmla="*/ 4853987 h 6858000"/>
            <a:gd name="connsiteX4832" fmla="*/ 7222428 w 12192000"/>
            <a:gd name="connsiteY4832" fmla="*/ 4819168 h 6858000"/>
            <a:gd name="connsiteX4833" fmla="*/ 7257240 w 12192000"/>
            <a:gd name="connsiteY4833" fmla="*/ 4853987 h 6858000"/>
            <a:gd name="connsiteX4834" fmla="*/ 7222428 w 12192000"/>
            <a:gd name="connsiteY4834" fmla="*/ 4888805 h 6858000"/>
            <a:gd name="connsiteX4835" fmla="*/ 7307320 w 12192000"/>
            <a:gd name="connsiteY4835" fmla="*/ 4888805 h 6858000"/>
            <a:gd name="connsiteX4836" fmla="*/ 7272495 w 12192000"/>
            <a:gd name="connsiteY4836" fmla="*/ 4853987 h 6858000"/>
            <a:gd name="connsiteX4837" fmla="*/ 7307320 w 12192000"/>
            <a:gd name="connsiteY4837" fmla="*/ 4819168 h 6858000"/>
            <a:gd name="connsiteX4838" fmla="*/ 7342133 w 12192000"/>
            <a:gd name="connsiteY4838" fmla="*/ 4853987 h 6858000"/>
            <a:gd name="connsiteX4839" fmla="*/ 7307320 w 12192000"/>
            <a:gd name="connsiteY4839" fmla="*/ 4888805 h 6858000"/>
            <a:gd name="connsiteX4840" fmla="*/ 7392214 w 12192000"/>
            <a:gd name="connsiteY4840" fmla="*/ 4888805 h 6858000"/>
            <a:gd name="connsiteX4841" fmla="*/ 7357388 w 12192000"/>
            <a:gd name="connsiteY4841" fmla="*/ 4853987 h 6858000"/>
            <a:gd name="connsiteX4842" fmla="*/ 7392214 w 12192000"/>
            <a:gd name="connsiteY4842" fmla="*/ 4819168 h 6858000"/>
            <a:gd name="connsiteX4843" fmla="*/ 7427026 w 12192000"/>
            <a:gd name="connsiteY4843" fmla="*/ 4853987 h 6858000"/>
            <a:gd name="connsiteX4844" fmla="*/ 7392214 w 12192000"/>
            <a:gd name="connsiteY4844" fmla="*/ 4888805 h 6858000"/>
            <a:gd name="connsiteX4845" fmla="*/ 7477106 w 12192000"/>
            <a:gd name="connsiteY4845" fmla="*/ 4888805 h 6858000"/>
            <a:gd name="connsiteX4846" fmla="*/ 7442280 w 12192000"/>
            <a:gd name="connsiteY4846" fmla="*/ 4853987 h 6858000"/>
            <a:gd name="connsiteX4847" fmla="*/ 7477106 w 12192000"/>
            <a:gd name="connsiteY4847" fmla="*/ 4819168 h 6858000"/>
            <a:gd name="connsiteX4848" fmla="*/ 7511918 w 12192000"/>
            <a:gd name="connsiteY4848" fmla="*/ 4853987 h 6858000"/>
            <a:gd name="connsiteX4849" fmla="*/ 7477106 w 12192000"/>
            <a:gd name="connsiteY4849" fmla="*/ 4888805 h 6858000"/>
            <a:gd name="connsiteX4850" fmla="*/ 7561998 w 12192000"/>
            <a:gd name="connsiteY4850" fmla="*/ 4888805 h 6858000"/>
            <a:gd name="connsiteX4851" fmla="*/ 7527173 w 12192000"/>
            <a:gd name="connsiteY4851" fmla="*/ 4853987 h 6858000"/>
            <a:gd name="connsiteX4852" fmla="*/ 7561998 w 12192000"/>
            <a:gd name="connsiteY4852" fmla="*/ 4819168 h 6858000"/>
            <a:gd name="connsiteX4853" fmla="*/ 7596810 w 12192000"/>
            <a:gd name="connsiteY4853" fmla="*/ 4853987 h 6858000"/>
            <a:gd name="connsiteX4854" fmla="*/ 7561998 w 12192000"/>
            <a:gd name="connsiteY4854" fmla="*/ 4888805 h 6858000"/>
            <a:gd name="connsiteX4855" fmla="*/ 7646890 w 12192000"/>
            <a:gd name="connsiteY4855" fmla="*/ 4888805 h 6858000"/>
            <a:gd name="connsiteX4856" fmla="*/ 7612065 w 12192000"/>
            <a:gd name="connsiteY4856" fmla="*/ 4853987 h 6858000"/>
            <a:gd name="connsiteX4857" fmla="*/ 7646890 w 12192000"/>
            <a:gd name="connsiteY4857" fmla="*/ 4819168 h 6858000"/>
            <a:gd name="connsiteX4858" fmla="*/ 7681703 w 12192000"/>
            <a:gd name="connsiteY4858" fmla="*/ 4853987 h 6858000"/>
            <a:gd name="connsiteX4859" fmla="*/ 7646890 w 12192000"/>
            <a:gd name="connsiteY4859" fmla="*/ 4888805 h 6858000"/>
            <a:gd name="connsiteX4860" fmla="*/ 7731784 w 12192000"/>
            <a:gd name="connsiteY4860" fmla="*/ 4888805 h 6858000"/>
            <a:gd name="connsiteX4861" fmla="*/ 7696958 w 12192000"/>
            <a:gd name="connsiteY4861" fmla="*/ 4853987 h 6858000"/>
            <a:gd name="connsiteX4862" fmla="*/ 7731784 w 12192000"/>
            <a:gd name="connsiteY4862" fmla="*/ 4819168 h 6858000"/>
            <a:gd name="connsiteX4863" fmla="*/ 7766596 w 12192000"/>
            <a:gd name="connsiteY4863" fmla="*/ 4853987 h 6858000"/>
            <a:gd name="connsiteX4864" fmla="*/ 7731784 w 12192000"/>
            <a:gd name="connsiteY4864" fmla="*/ 4888805 h 6858000"/>
            <a:gd name="connsiteX4865" fmla="*/ 7816676 w 12192000"/>
            <a:gd name="connsiteY4865" fmla="*/ 4888805 h 6858000"/>
            <a:gd name="connsiteX4866" fmla="*/ 7781850 w 12192000"/>
            <a:gd name="connsiteY4866" fmla="*/ 4853987 h 6858000"/>
            <a:gd name="connsiteX4867" fmla="*/ 7816676 w 12192000"/>
            <a:gd name="connsiteY4867" fmla="*/ 4819168 h 6858000"/>
            <a:gd name="connsiteX4868" fmla="*/ 7851488 w 12192000"/>
            <a:gd name="connsiteY4868" fmla="*/ 4853987 h 6858000"/>
            <a:gd name="connsiteX4869" fmla="*/ 7816676 w 12192000"/>
            <a:gd name="connsiteY4869" fmla="*/ 4888805 h 6858000"/>
            <a:gd name="connsiteX4870" fmla="*/ 7901568 w 12192000"/>
            <a:gd name="connsiteY4870" fmla="*/ 4888805 h 6858000"/>
            <a:gd name="connsiteX4871" fmla="*/ 7866743 w 12192000"/>
            <a:gd name="connsiteY4871" fmla="*/ 4853987 h 6858000"/>
            <a:gd name="connsiteX4872" fmla="*/ 7901568 w 12192000"/>
            <a:gd name="connsiteY4872" fmla="*/ 4819168 h 6858000"/>
            <a:gd name="connsiteX4873" fmla="*/ 7936380 w 12192000"/>
            <a:gd name="connsiteY4873" fmla="*/ 4853987 h 6858000"/>
            <a:gd name="connsiteX4874" fmla="*/ 7901568 w 12192000"/>
            <a:gd name="connsiteY4874" fmla="*/ 4888805 h 6858000"/>
            <a:gd name="connsiteX4875" fmla="*/ 7986460 w 12192000"/>
            <a:gd name="connsiteY4875" fmla="*/ 4888805 h 6858000"/>
            <a:gd name="connsiteX4876" fmla="*/ 7951635 w 12192000"/>
            <a:gd name="connsiteY4876" fmla="*/ 4853987 h 6858000"/>
            <a:gd name="connsiteX4877" fmla="*/ 7986460 w 12192000"/>
            <a:gd name="connsiteY4877" fmla="*/ 4819168 h 6858000"/>
            <a:gd name="connsiteX4878" fmla="*/ 8021273 w 12192000"/>
            <a:gd name="connsiteY4878" fmla="*/ 4853987 h 6858000"/>
            <a:gd name="connsiteX4879" fmla="*/ 7986460 w 12192000"/>
            <a:gd name="connsiteY4879" fmla="*/ 4888805 h 6858000"/>
            <a:gd name="connsiteX4880" fmla="*/ 8071353 w 12192000"/>
            <a:gd name="connsiteY4880" fmla="*/ 4888805 h 6858000"/>
            <a:gd name="connsiteX4881" fmla="*/ 8036527 w 12192000"/>
            <a:gd name="connsiteY4881" fmla="*/ 4853987 h 6858000"/>
            <a:gd name="connsiteX4882" fmla="*/ 8071353 w 12192000"/>
            <a:gd name="connsiteY4882" fmla="*/ 4819168 h 6858000"/>
            <a:gd name="connsiteX4883" fmla="*/ 8106165 w 12192000"/>
            <a:gd name="connsiteY4883" fmla="*/ 4853987 h 6858000"/>
            <a:gd name="connsiteX4884" fmla="*/ 8071353 w 12192000"/>
            <a:gd name="connsiteY4884" fmla="*/ 4888805 h 6858000"/>
            <a:gd name="connsiteX4885" fmla="*/ 8156246 w 12192000"/>
            <a:gd name="connsiteY4885" fmla="*/ 4888805 h 6858000"/>
            <a:gd name="connsiteX4886" fmla="*/ 8121420 w 12192000"/>
            <a:gd name="connsiteY4886" fmla="*/ 4853987 h 6858000"/>
            <a:gd name="connsiteX4887" fmla="*/ 8156246 w 12192000"/>
            <a:gd name="connsiteY4887" fmla="*/ 4819168 h 6858000"/>
            <a:gd name="connsiteX4888" fmla="*/ 8191058 w 12192000"/>
            <a:gd name="connsiteY4888" fmla="*/ 4853987 h 6858000"/>
            <a:gd name="connsiteX4889" fmla="*/ 8156246 w 12192000"/>
            <a:gd name="connsiteY4889" fmla="*/ 4888805 h 6858000"/>
            <a:gd name="connsiteX4890" fmla="*/ 8241138 w 12192000"/>
            <a:gd name="connsiteY4890" fmla="*/ 4888805 h 6858000"/>
            <a:gd name="connsiteX4891" fmla="*/ 8206313 w 12192000"/>
            <a:gd name="connsiteY4891" fmla="*/ 4853987 h 6858000"/>
            <a:gd name="connsiteX4892" fmla="*/ 8241138 w 12192000"/>
            <a:gd name="connsiteY4892" fmla="*/ 4819168 h 6858000"/>
            <a:gd name="connsiteX4893" fmla="*/ 8275950 w 12192000"/>
            <a:gd name="connsiteY4893" fmla="*/ 4853987 h 6858000"/>
            <a:gd name="connsiteX4894" fmla="*/ 8241138 w 12192000"/>
            <a:gd name="connsiteY4894" fmla="*/ 4888805 h 6858000"/>
            <a:gd name="connsiteX4895" fmla="*/ 8326030 w 12192000"/>
            <a:gd name="connsiteY4895" fmla="*/ 4888805 h 6858000"/>
            <a:gd name="connsiteX4896" fmla="*/ 8291205 w 12192000"/>
            <a:gd name="connsiteY4896" fmla="*/ 4853987 h 6858000"/>
            <a:gd name="connsiteX4897" fmla="*/ 8326030 w 12192000"/>
            <a:gd name="connsiteY4897" fmla="*/ 4819168 h 6858000"/>
            <a:gd name="connsiteX4898" fmla="*/ 8360843 w 12192000"/>
            <a:gd name="connsiteY4898" fmla="*/ 4853987 h 6858000"/>
            <a:gd name="connsiteX4899" fmla="*/ 8326030 w 12192000"/>
            <a:gd name="connsiteY4899" fmla="*/ 4888805 h 6858000"/>
            <a:gd name="connsiteX4900" fmla="*/ 8410923 w 12192000"/>
            <a:gd name="connsiteY4900" fmla="*/ 4888805 h 6858000"/>
            <a:gd name="connsiteX4901" fmla="*/ 8376097 w 12192000"/>
            <a:gd name="connsiteY4901" fmla="*/ 4853987 h 6858000"/>
            <a:gd name="connsiteX4902" fmla="*/ 8410923 w 12192000"/>
            <a:gd name="connsiteY4902" fmla="*/ 4819168 h 6858000"/>
            <a:gd name="connsiteX4903" fmla="*/ 8445735 w 12192000"/>
            <a:gd name="connsiteY4903" fmla="*/ 4853987 h 6858000"/>
            <a:gd name="connsiteX4904" fmla="*/ 8410923 w 12192000"/>
            <a:gd name="connsiteY4904" fmla="*/ 4888805 h 6858000"/>
            <a:gd name="connsiteX4905" fmla="*/ 8495816 w 12192000"/>
            <a:gd name="connsiteY4905" fmla="*/ 4888805 h 6858000"/>
            <a:gd name="connsiteX4906" fmla="*/ 8460990 w 12192000"/>
            <a:gd name="connsiteY4906" fmla="*/ 4853987 h 6858000"/>
            <a:gd name="connsiteX4907" fmla="*/ 8495816 w 12192000"/>
            <a:gd name="connsiteY4907" fmla="*/ 4819168 h 6858000"/>
            <a:gd name="connsiteX4908" fmla="*/ 8530628 w 12192000"/>
            <a:gd name="connsiteY4908" fmla="*/ 4853987 h 6858000"/>
            <a:gd name="connsiteX4909" fmla="*/ 8495816 w 12192000"/>
            <a:gd name="connsiteY4909" fmla="*/ 4888805 h 6858000"/>
            <a:gd name="connsiteX4910" fmla="*/ 8580708 w 12192000"/>
            <a:gd name="connsiteY4910" fmla="*/ 4888805 h 6858000"/>
            <a:gd name="connsiteX4911" fmla="*/ 8545883 w 12192000"/>
            <a:gd name="connsiteY4911" fmla="*/ 4853987 h 6858000"/>
            <a:gd name="connsiteX4912" fmla="*/ 8580708 w 12192000"/>
            <a:gd name="connsiteY4912" fmla="*/ 4819168 h 6858000"/>
            <a:gd name="connsiteX4913" fmla="*/ 8615520 w 12192000"/>
            <a:gd name="connsiteY4913" fmla="*/ 4853987 h 6858000"/>
            <a:gd name="connsiteX4914" fmla="*/ 8580708 w 12192000"/>
            <a:gd name="connsiteY4914" fmla="*/ 4888805 h 6858000"/>
            <a:gd name="connsiteX4915" fmla="*/ 8665600 w 12192000"/>
            <a:gd name="connsiteY4915" fmla="*/ 4888805 h 6858000"/>
            <a:gd name="connsiteX4916" fmla="*/ 8630775 w 12192000"/>
            <a:gd name="connsiteY4916" fmla="*/ 4853987 h 6858000"/>
            <a:gd name="connsiteX4917" fmla="*/ 8665600 w 12192000"/>
            <a:gd name="connsiteY4917" fmla="*/ 4819168 h 6858000"/>
            <a:gd name="connsiteX4918" fmla="*/ 8700413 w 12192000"/>
            <a:gd name="connsiteY4918" fmla="*/ 4853987 h 6858000"/>
            <a:gd name="connsiteX4919" fmla="*/ 8665600 w 12192000"/>
            <a:gd name="connsiteY4919" fmla="*/ 4888805 h 6858000"/>
            <a:gd name="connsiteX4920" fmla="*/ 8750493 w 12192000"/>
            <a:gd name="connsiteY4920" fmla="*/ 4888805 h 6858000"/>
            <a:gd name="connsiteX4921" fmla="*/ 8715667 w 12192000"/>
            <a:gd name="connsiteY4921" fmla="*/ 4853987 h 6858000"/>
            <a:gd name="connsiteX4922" fmla="*/ 8750493 w 12192000"/>
            <a:gd name="connsiteY4922" fmla="*/ 4819168 h 6858000"/>
            <a:gd name="connsiteX4923" fmla="*/ 8785305 w 12192000"/>
            <a:gd name="connsiteY4923" fmla="*/ 4853987 h 6858000"/>
            <a:gd name="connsiteX4924" fmla="*/ 8750493 w 12192000"/>
            <a:gd name="connsiteY4924" fmla="*/ 4888805 h 6858000"/>
            <a:gd name="connsiteX4925" fmla="*/ 8835386 w 12192000"/>
            <a:gd name="connsiteY4925" fmla="*/ 4888805 h 6858000"/>
            <a:gd name="connsiteX4926" fmla="*/ 8800560 w 12192000"/>
            <a:gd name="connsiteY4926" fmla="*/ 4853987 h 6858000"/>
            <a:gd name="connsiteX4927" fmla="*/ 8835386 w 12192000"/>
            <a:gd name="connsiteY4927" fmla="*/ 4819168 h 6858000"/>
            <a:gd name="connsiteX4928" fmla="*/ 8870198 w 12192000"/>
            <a:gd name="connsiteY4928" fmla="*/ 4853987 h 6858000"/>
            <a:gd name="connsiteX4929" fmla="*/ 8835386 w 12192000"/>
            <a:gd name="connsiteY4929" fmla="*/ 4888805 h 6858000"/>
            <a:gd name="connsiteX4930" fmla="*/ 8920278 w 12192000"/>
            <a:gd name="connsiteY4930" fmla="*/ 4888805 h 6858000"/>
            <a:gd name="connsiteX4931" fmla="*/ 8885453 w 12192000"/>
            <a:gd name="connsiteY4931" fmla="*/ 4853987 h 6858000"/>
            <a:gd name="connsiteX4932" fmla="*/ 8920278 w 12192000"/>
            <a:gd name="connsiteY4932" fmla="*/ 4819168 h 6858000"/>
            <a:gd name="connsiteX4933" fmla="*/ 8955090 w 12192000"/>
            <a:gd name="connsiteY4933" fmla="*/ 4853987 h 6858000"/>
            <a:gd name="connsiteX4934" fmla="*/ 8920278 w 12192000"/>
            <a:gd name="connsiteY4934" fmla="*/ 4888805 h 6858000"/>
            <a:gd name="connsiteX4935" fmla="*/ 9005170 w 12192000"/>
            <a:gd name="connsiteY4935" fmla="*/ 4888805 h 6858000"/>
            <a:gd name="connsiteX4936" fmla="*/ 8970345 w 12192000"/>
            <a:gd name="connsiteY4936" fmla="*/ 4853987 h 6858000"/>
            <a:gd name="connsiteX4937" fmla="*/ 9005170 w 12192000"/>
            <a:gd name="connsiteY4937" fmla="*/ 4819168 h 6858000"/>
            <a:gd name="connsiteX4938" fmla="*/ 9039983 w 12192000"/>
            <a:gd name="connsiteY4938" fmla="*/ 4853987 h 6858000"/>
            <a:gd name="connsiteX4939" fmla="*/ 9005170 w 12192000"/>
            <a:gd name="connsiteY4939" fmla="*/ 4888805 h 6858000"/>
            <a:gd name="connsiteX4940" fmla="*/ 9090063 w 12192000"/>
            <a:gd name="connsiteY4940" fmla="*/ 4888805 h 6858000"/>
            <a:gd name="connsiteX4941" fmla="*/ 9055237 w 12192000"/>
            <a:gd name="connsiteY4941" fmla="*/ 4853987 h 6858000"/>
            <a:gd name="connsiteX4942" fmla="*/ 9090063 w 12192000"/>
            <a:gd name="connsiteY4942" fmla="*/ 4819168 h 6858000"/>
            <a:gd name="connsiteX4943" fmla="*/ 9124875 w 12192000"/>
            <a:gd name="connsiteY4943" fmla="*/ 4853987 h 6858000"/>
            <a:gd name="connsiteX4944" fmla="*/ 9090063 w 12192000"/>
            <a:gd name="connsiteY4944" fmla="*/ 4888805 h 6858000"/>
            <a:gd name="connsiteX4945" fmla="*/ 9174956 w 12192000"/>
            <a:gd name="connsiteY4945" fmla="*/ 4888805 h 6858000"/>
            <a:gd name="connsiteX4946" fmla="*/ 9140130 w 12192000"/>
            <a:gd name="connsiteY4946" fmla="*/ 4853987 h 6858000"/>
            <a:gd name="connsiteX4947" fmla="*/ 9174956 w 12192000"/>
            <a:gd name="connsiteY4947" fmla="*/ 4819168 h 6858000"/>
            <a:gd name="connsiteX4948" fmla="*/ 9209768 w 12192000"/>
            <a:gd name="connsiteY4948" fmla="*/ 4853987 h 6858000"/>
            <a:gd name="connsiteX4949" fmla="*/ 9174956 w 12192000"/>
            <a:gd name="connsiteY4949" fmla="*/ 4888805 h 6858000"/>
            <a:gd name="connsiteX4950" fmla="*/ 9259848 w 12192000"/>
            <a:gd name="connsiteY4950" fmla="*/ 4888805 h 6858000"/>
            <a:gd name="connsiteX4951" fmla="*/ 9225023 w 12192000"/>
            <a:gd name="connsiteY4951" fmla="*/ 4853987 h 6858000"/>
            <a:gd name="connsiteX4952" fmla="*/ 9259848 w 12192000"/>
            <a:gd name="connsiteY4952" fmla="*/ 4819168 h 6858000"/>
            <a:gd name="connsiteX4953" fmla="*/ 9294660 w 12192000"/>
            <a:gd name="connsiteY4953" fmla="*/ 4853987 h 6858000"/>
            <a:gd name="connsiteX4954" fmla="*/ 9259848 w 12192000"/>
            <a:gd name="connsiteY4954" fmla="*/ 4888805 h 6858000"/>
            <a:gd name="connsiteX4955" fmla="*/ 9344740 w 12192000"/>
            <a:gd name="connsiteY4955" fmla="*/ 4888805 h 6858000"/>
            <a:gd name="connsiteX4956" fmla="*/ 9309915 w 12192000"/>
            <a:gd name="connsiteY4956" fmla="*/ 4853987 h 6858000"/>
            <a:gd name="connsiteX4957" fmla="*/ 9344740 w 12192000"/>
            <a:gd name="connsiteY4957" fmla="*/ 4819168 h 6858000"/>
            <a:gd name="connsiteX4958" fmla="*/ 9379553 w 12192000"/>
            <a:gd name="connsiteY4958" fmla="*/ 4853987 h 6858000"/>
            <a:gd name="connsiteX4959" fmla="*/ 9344740 w 12192000"/>
            <a:gd name="connsiteY4959" fmla="*/ 4888805 h 6858000"/>
            <a:gd name="connsiteX4960" fmla="*/ 9429633 w 12192000"/>
            <a:gd name="connsiteY4960" fmla="*/ 4888805 h 6858000"/>
            <a:gd name="connsiteX4961" fmla="*/ 9394807 w 12192000"/>
            <a:gd name="connsiteY4961" fmla="*/ 4853987 h 6858000"/>
            <a:gd name="connsiteX4962" fmla="*/ 9429633 w 12192000"/>
            <a:gd name="connsiteY4962" fmla="*/ 4819168 h 6858000"/>
            <a:gd name="connsiteX4963" fmla="*/ 9464445 w 12192000"/>
            <a:gd name="connsiteY4963" fmla="*/ 4853987 h 6858000"/>
            <a:gd name="connsiteX4964" fmla="*/ 9429633 w 12192000"/>
            <a:gd name="connsiteY4964" fmla="*/ 4888805 h 6858000"/>
            <a:gd name="connsiteX4965" fmla="*/ 9514525 w 12192000"/>
            <a:gd name="connsiteY4965" fmla="*/ 4888805 h 6858000"/>
            <a:gd name="connsiteX4966" fmla="*/ 9479699 w 12192000"/>
            <a:gd name="connsiteY4966" fmla="*/ 4853987 h 6858000"/>
            <a:gd name="connsiteX4967" fmla="*/ 9514525 w 12192000"/>
            <a:gd name="connsiteY4967" fmla="*/ 4819168 h 6858000"/>
            <a:gd name="connsiteX4968" fmla="*/ 9549337 w 12192000"/>
            <a:gd name="connsiteY4968" fmla="*/ 4853987 h 6858000"/>
            <a:gd name="connsiteX4969" fmla="*/ 9514525 w 12192000"/>
            <a:gd name="connsiteY4969" fmla="*/ 4888805 h 6858000"/>
            <a:gd name="connsiteX4970" fmla="*/ 9599418 w 12192000"/>
            <a:gd name="connsiteY4970" fmla="*/ 4888805 h 6858000"/>
            <a:gd name="connsiteX4971" fmla="*/ 9564593 w 12192000"/>
            <a:gd name="connsiteY4971" fmla="*/ 4853987 h 6858000"/>
            <a:gd name="connsiteX4972" fmla="*/ 9599418 w 12192000"/>
            <a:gd name="connsiteY4972" fmla="*/ 4819168 h 6858000"/>
            <a:gd name="connsiteX4973" fmla="*/ 9634230 w 12192000"/>
            <a:gd name="connsiteY4973" fmla="*/ 4853987 h 6858000"/>
            <a:gd name="connsiteX4974" fmla="*/ 9599418 w 12192000"/>
            <a:gd name="connsiteY4974" fmla="*/ 4888805 h 6858000"/>
            <a:gd name="connsiteX4975" fmla="*/ 9684310 w 12192000"/>
            <a:gd name="connsiteY4975" fmla="*/ 4888805 h 6858000"/>
            <a:gd name="connsiteX4976" fmla="*/ 9649485 w 12192000"/>
            <a:gd name="connsiteY4976" fmla="*/ 4853987 h 6858000"/>
            <a:gd name="connsiteX4977" fmla="*/ 9684310 w 12192000"/>
            <a:gd name="connsiteY4977" fmla="*/ 4819168 h 6858000"/>
            <a:gd name="connsiteX4978" fmla="*/ 9719123 w 12192000"/>
            <a:gd name="connsiteY4978" fmla="*/ 4853987 h 6858000"/>
            <a:gd name="connsiteX4979" fmla="*/ 9684310 w 12192000"/>
            <a:gd name="connsiteY4979" fmla="*/ 4888805 h 6858000"/>
            <a:gd name="connsiteX4980" fmla="*/ 10363450 w 12192000"/>
            <a:gd name="connsiteY4980" fmla="*/ 4888805 h 6858000"/>
            <a:gd name="connsiteX4981" fmla="*/ 10328625 w 12192000"/>
            <a:gd name="connsiteY4981" fmla="*/ 4853987 h 6858000"/>
            <a:gd name="connsiteX4982" fmla="*/ 10363450 w 12192000"/>
            <a:gd name="connsiteY4982" fmla="*/ 4819168 h 6858000"/>
            <a:gd name="connsiteX4983" fmla="*/ 10398263 w 12192000"/>
            <a:gd name="connsiteY4983" fmla="*/ 4853987 h 6858000"/>
            <a:gd name="connsiteX4984" fmla="*/ 10363450 w 12192000"/>
            <a:gd name="connsiteY4984" fmla="*/ 4888805 h 6858000"/>
            <a:gd name="connsiteX4985" fmla="*/ 2213769 w 12192000"/>
            <a:gd name="connsiteY4985" fmla="*/ 4803946 h 6858000"/>
            <a:gd name="connsiteX4986" fmla="*/ 2178950 w 12192000"/>
            <a:gd name="connsiteY4986" fmla="*/ 4769127 h 6858000"/>
            <a:gd name="connsiteX4987" fmla="*/ 2213769 w 12192000"/>
            <a:gd name="connsiteY4987" fmla="*/ 4734308 h 6858000"/>
            <a:gd name="connsiteX4988" fmla="*/ 2248588 w 12192000"/>
            <a:gd name="connsiteY4988" fmla="*/ 4769127 h 6858000"/>
            <a:gd name="connsiteX4989" fmla="*/ 2213769 w 12192000"/>
            <a:gd name="connsiteY4989" fmla="*/ 4803946 h 6858000"/>
            <a:gd name="connsiteX4990" fmla="*/ 2298661 w 12192000"/>
            <a:gd name="connsiteY4990" fmla="*/ 4803946 h 6858000"/>
            <a:gd name="connsiteX4991" fmla="*/ 2263842 w 12192000"/>
            <a:gd name="connsiteY4991" fmla="*/ 4769127 h 6858000"/>
            <a:gd name="connsiteX4992" fmla="*/ 2298661 w 12192000"/>
            <a:gd name="connsiteY4992" fmla="*/ 4734308 h 6858000"/>
            <a:gd name="connsiteX4993" fmla="*/ 2333480 w 12192000"/>
            <a:gd name="connsiteY4993" fmla="*/ 4769127 h 6858000"/>
            <a:gd name="connsiteX4994" fmla="*/ 2298661 w 12192000"/>
            <a:gd name="connsiteY4994" fmla="*/ 4803946 h 6858000"/>
            <a:gd name="connsiteX4995" fmla="*/ 2383553 w 12192000"/>
            <a:gd name="connsiteY4995" fmla="*/ 4803946 h 6858000"/>
            <a:gd name="connsiteX4996" fmla="*/ 2348734 w 12192000"/>
            <a:gd name="connsiteY4996" fmla="*/ 4769127 h 6858000"/>
            <a:gd name="connsiteX4997" fmla="*/ 2383553 w 12192000"/>
            <a:gd name="connsiteY4997" fmla="*/ 4734308 h 6858000"/>
            <a:gd name="connsiteX4998" fmla="*/ 2418372 w 12192000"/>
            <a:gd name="connsiteY4998" fmla="*/ 4769127 h 6858000"/>
            <a:gd name="connsiteX4999" fmla="*/ 2383553 w 12192000"/>
            <a:gd name="connsiteY4999" fmla="*/ 4803946 h 6858000"/>
            <a:gd name="connsiteX5000" fmla="*/ 2468446 w 12192000"/>
            <a:gd name="connsiteY5000" fmla="*/ 4803946 h 6858000"/>
            <a:gd name="connsiteX5001" fmla="*/ 2433627 w 12192000"/>
            <a:gd name="connsiteY5001" fmla="*/ 4769127 h 6858000"/>
            <a:gd name="connsiteX5002" fmla="*/ 2468446 w 12192000"/>
            <a:gd name="connsiteY5002" fmla="*/ 4734308 h 6858000"/>
            <a:gd name="connsiteX5003" fmla="*/ 2503264 w 12192000"/>
            <a:gd name="connsiteY5003" fmla="*/ 4769127 h 6858000"/>
            <a:gd name="connsiteX5004" fmla="*/ 2468446 w 12192000"/>
            <a:gd name="connsiteY5004" fmla="*/ 4803946 h 6858000"/>
            <a:gd name="connsiteX5005" fmla="*/ 2553339 w 12192000"/>
            <a:gd name="connsiteY5005" fmla="*/ 4803946 h 6858000"/>
            <a:gd name="connsiteX5006" fmla="*/ 2518520 w 12192000"/>
            <a:gd name="connsiteY5006" fmla="*/ 4769127 h 6858000"/>
            <a:gd name="connsiteX5007" fmla="*/ 2553339 w 12192000"/>
            <a:gd name="connsiteY5007" fmla="*/ 4734308 h 6858000"/>
            <a:gd name="connsiteX5008" fmla="*/ 2588158 w 12192000"/>
            <a:gd name="connsiteY5008" fmla="*/ 4769127 h 6858000"/>
            <a:gd name="connsiteX5009" fmla="*/ 2553339 w 12192000"/>
            <a:gd name="connsiteY5009" fmla="*/ 4803946 h 6858000"/>
            <a:gd name="connsiteX5010" fmla="*/ 2638231 w 12192000"/>
            <a:gd name="connsiteY5010" fmla="*/ 4803946 h 6858000"/>
            <a:gd name="connsiteX5011" fmla="*/ 2603412 w 12192000"/>
            <a:gd name="connsiteY5011" fmla="*/ 4769127 h 6858000"/>
            <a:gd name="connsiteX5012" fmla="*/ 2638231 w 12192000"/>
            <a:gd name="connsiteY5012" fmla="*/ 4734308 h 6858000"/>
            <a:gd name="connsiteX5013" fmla="*/ 2673050 w 12192000"/>
            <a:gd name="connsiteY5013" fmla="*/ 4769127 h 6858000"/>
            <a:gd name="connsiteX5014" fmla="*/ 2638231 w 12192000"/>
            <a:gd name="connsiteY5014" fmla="*/ 4803946 h 6858000"/>
            <a:gd name="connsiteX5015" fmla="*/ 2723123 w 12192000"/>
            <a:gd name="connsiteY5015" fmla="*/ 4803946 h 6858000"/>
            <a:gd name="connsiteX5016" fmla="*/ 2688304 w 12192000"/>
            <a:gd name="connsiteY5016" fmla="*/ 4769127 h 6858000"/>
            <a:gd name="connsiteX5017" fmla="*/ 2723123 w 12192000"/>
            <a:gd name="connsiteY5017" fmla="*/ 4734308 h 6858000"/>
            <a:gd name="connsiteX5018" fmla="*/ 2757942 w 12192000"/>
            <a:gd name="connsiteY5018" fmla="*/ 4769127 h 6858000"/>
            <a:gd name="connsiteX5019" fmla="*/ 2723123 w 12192000"/>
            <a:gd name="connsiteY5019" fmla="*/ 4803946 h 6858000"/>
            <a:gd name="connsiteX5020" fmla="*/ 2808016 w 12192000"/>
            <a:gd name="connsiteY5020" fmla="*/ 4803946 h 6858000"/>
            <a:gd name="connsiteX5021" fmla="*/ 2773197 w 12192000"/>
            <a:gd name="connsiteY5021" fmla="*/ 4769127 h 6858000"/>
            <a:gd name="connsiteX5022" fmla="*/ 2808016 w 12192000"/>
            <a:gd name="connsiteY5022" fmla="*/ 4734308 h 6858000"/>
            <a:gd name="connsiteX5023" fmla="*/ 2842834 w 12192000"/>
            <a:gd name="connsiteY5023" fmla="*/ 4769127 h 6858000"/>
            <a:gd name="connsiteX5024" fmla="*/ 2808016 w 12192000"/>
            <a:gd name="connsiteY5024" fmla="*/ 4803946 h 6858000"/>
            <a:gd name="connsiteX5025" fmla="*/ 2892908 w 12192000"/>
            <a:gd name="connsiteY5025" fmla="*/ 4803946 h 6858000"/>
            <a:gd name="connsiteX5026" fmla="*/ 2858089 w 12192000"/>
            <a:gd name="connsiteY5026" fmla="*/ 4769127 h 6858000"/>
            <a:gd name="connsiteX5027" fmla="*/ 2892908 w 12192000"/>
            <a:gd name="connsiteY5027" fmla="*/ 4734308 h 6858000"/>
            <a:gd name="connsiteX5028" fmla="*/ 2927727 w 12192000"/>
            <a:gd name="connsiteY5028" fmla="*/ 4769127 h 6858000"/>
            <a:gd name="connsiteX5029" fmla="*/ 2892908 w 12192000"/>
            <a:gd name="connsiteY5029" fmla="*/ 4803946 h 6858000"/>
            <a:gd name="connsiteX5030" fmla="*/ 2977801 w 12192000"/>
            <a:gd name="connsiteY5030" fmla="*/ 4803946 h 6858000"/>
            <a:gd name="connsiteX5031" fmla="*/ 2942982 w 12192000"/>
            <a:gd name="connsiteY5031" fmla="*/ 4769127 h 6858000"/>
            <a:gd name="connsiteX5032" fmla="*/ 2977801 w 12192000"/>
            <a:gd name="connsiteY5032" fmla="*/ 4734308 h 6858000"/>
            <a:gd name="connsiteX5033" fmla="*/ 3012620 w 12192000"/>
            <a:gd name="connsiteY5033" fmla="*/ 4769127 h 6858000"/>
            <a:gd name="connsiteX5034" fmla="*/ 2977801 w 12192000"/>
            <a:gd name="connsiteY5034" fmla="*/ 4803946 h 6858000"/>
            <a:gd name="connsiteX5035" fmla="*/ 3062693 w 12192000"/>
            <a:gd name="connsiteY5035" fmla="*/ 4803946 h 6858000"/>
            <a:gd name="connsiteX5036" fmla="*/ 3027874 w 12192000"/>
            <a:gd name="connsiteY5036" fmla="*/ 4769127 h 6858000"/>
            <a:gd name="connsiteX5037" fmla="*/ 3062693 w 12192000"/>
            <a:gd name="connsiteY5037" fmla="*/ 4734308 h 6858000"/>
            <a:gd name="connsiteX5038" fmla="*/ 3097512 w 12192000"/>
            <a:gd name="connsiteY5038" fmla="*/ 4769127 h 6858000"/>
            <a:gd name="connsiteX5039" fmla="*/ 3062693 w 12192000"/>
            <a:gd name="connsiteY5039" fmla="*/ 4803946 h 6858000"/>
            <a:gd name="connsiteX5040" fmla="*/ 3232478 w 12192000"/>
            <a:gd name="connsiteY5040" fmla="*/ 4803946 h 6858000"/>
            <a:gd name="connsiteX5041" fmla="*/ 3197659 w 12192000"/>
            <a:gd name="connsiteY5041" fmla="*/ 4769127 h 6858000"/>
            <a:gd name="connsiteX5042" fmla="*/ 3232478 w 12192000"/>
            <a:gd name="connsiteY5042" fmla="*/ 4734308 h 6858000"/>
            <a:gd name="connsiteX5043" fmla="*/ 3267297 w 12192000"/>
            <a:gd name="connsiteY5043" fmla="*/ 4769127 h 6858000"/>
            <a:gd name="connsiteX5044" fmla="*/ 3232478 w 12192000"/>
            <a:gd name="connsiteY5044" fmla="*/ 4803946 h 6858000"/>
            <a:gd name="connsiteX5045" fmla="*/ 3741833 w 12192000"/>
            <a:gd name="connsiteY5045" fmla="*/ 4803946 h 6858000"/>
            <a:gd name="connsiteX5046" fmla="*/ 3707014 w 12192000"/>
            <a:gd name="connsiteY5046" fmla="*/ 4769127 h 6858000"/>
            <a:gd name="connsiteX5047" fmla="*/ 3741833 w 12192000"/>
            <a:gd name="connsiteY5047" fmla="*/ 4734308 h 6858000"/>
            <a:gd name="connsiteX5048" fmla="*/ 3776652 w 12192000"/>
            <a:gd name="connsiteY5048" fmla="*/ 4769127 h 6858000"/>
            <a:gd name="connsiteX5049" fmla="*/ 3741833 w 12192000"/>
            <a:gd name="connsiteY5049" fmla="*/ 4803946 h 6858000"/>
            <a:gd name="connsiteX5050" fmla="*/ 3826726 w 12192000"/>
            <a:gd name="connsiteY5050" fmla="*/ 4803946 h 6858000"/>
            <a:gd name="connsiteX5051" fmla="*/ 3791907 w 12192000"/>
            <a:gd name="connsiteY5051" fmla="*/ 4769127 h 6858000"/>
            <a:gd name="connsiteX5052" fmla="*/ 3826726 w 12192000"/>
            <a:gd name="connsiteY5052" fmla="*/ 4734308 h 6858000"/>
            <a:gd name="connsiteX5053" fmla="*/ 3861544 w 12192000"/>
            <a:gd name="connsiteY5053" fmla="*/ 4769127 h 6858000"/>
            <a:gd name="connsiteX5054" fmla="*/ 3826726 w 12192000"/>
            <a:gd name="connsiteY5054" fmla="*/ 4803946 h 6858000"/>
            <a:gd name="connsiteX5055" fmla="*/ 3911618 w 12192000"/>
            <a:gd name="connsiteY5055" fmla="*/ 4803946 h 6858000"/>
            <a:gd name="connsiteX5056" fmla="*/ 3876799 w 12192000"/>
            <a:gd name="connsiteY5056" fmla="*/ 4769127 h 6858000"/>
            <a:gd name="connsiteX5057" fmla="*/ 3911618 w 12192000"/>
            <a:gd name="connsiteY5057" fmla="*/ 4734308 h 6858000"/>
            <a:gd name="connsiteX5058" fmla="*/ 3946437 w 12192000"/>
            <a:gd name="connsiteY5058" fmla="*/ 4769127 h 6858000"/>
            <a:gd name="connsiteX5059" fmla="*/ 3911618 w 12192000"/>
            <a:gd name="connsiteY5059" fmla="*/ 4803946 h 6858000"/>
            <a:gd name="connsiteX5060" fmla="*/ 4081403 w 12192000"/>
            <a:gd name="connsiteY5060" fmla="*/ 4803946 h 6858000"/>
            <a:gd name="connsiteX5061" fmla="*/ 4046584 w 12192000"/>
            <a:gd name="connsiteY5061" fmla="*/ 4769127 h 6858000"/>
            <a:gd name="connsiteX5062" fmla="*/ 4081403 w 12192000"/>
            <a:gd name="connsiteY5062" fmla="*/ 4734308 h 6858000"/>
            <a:gd name="connsiteX5063" fmla="*/ 4116222 w 12192000"/>
            <a:gd name="connsiteY5063" fmla="*/ 4769127 h 6858000"/>
            <a:gd name="connsiteX5064" fmla="*/ 4081403 w 12192000"/>
            <a:gd name="connsiteY5064" fmla="*/ 4803946 h 6858000"/>
            <a:gd name="connsiteX5065" fmla="*/ 6033934 w 12192000"/>
            <a:gd name="connsiteY5065" fmla="*/ 4803946 h 6858000"/>
            <a:gd name="connsiteX5066" fmla="*/ 5999108 w 12192000"/>
            <a:gd name="connsiteY5066" fmla="*/ 4769127 h 6858000"/>
            <a:gd name="connsiteX5067" fmla="*/ 6033934 w 12192000"/>
            <a:gd name="connsiteY5067" fmla="*/ 4734308 h 6858000"/>
            <a:gd name="connsiteX5068" fmla="*/ 6068746 w 12192000"/>
            <a:gd name="connsiteY5068" fmla="*/ 4769127 h 6858000"/>
            <a:gd name="connsiteX5069" fmla="*/ 6033934 w 12192000"/>
            <a:gd name="connsiteY5069" fmla="*/ 4803946 h 6858000"/>
            <a:gd name="connsiteX5070" fmla="*/ 6118826 w 12192000"/>
            <a:gd name="connsiteY5070" fmla="*/ 4803946 h 6858000"/>
            <a:gd name="connsiteX5071" fmla="*/ 6084000 w 12192000"/>
            <a:gd name="connsiteY5071" fmla="*/ 4769127 h 6858000"/>
            <a:gd name="connsiteX5072" fmla="*/ 6118826 w 12192000"/>
            <a:gd name="connsiteY5072" fmla="*/ 4734308 h 6858000"/>
            <a:gd name="connsiteX5073" fmla="*/ 6153638 w 12192000"/>
            <a:gd name="connsiteY5073" fmla="*/ 4769127 h 6858000"/>
            <a:gd name="connsiteX5074" fmla="*/ 6118826 w 12192000"/>
            <a:gd name="connsiteY5074" fmla="*/ 4803946 h 6858000"/>
            <a:gd name="connsiteX5075" fmla="*/ 6203718 w 12192000"/>
            <a:gd name="connsiteY5075" fmla="*/ 4803946 h 6858000"/>
            <a:gd name="connsiteX5076" fmla="*/ 6168893 w 12192000"/>
            <a:gd name="connsiteY5076" fmla="*/ 4769127 h 6858000"/>
            <a:gd name="connsiteX5077" fmla="*/ 6203718 w 12192000"/>
            <a:gd name="connsiteY5077" fmla="*/ 4734308 h 6858000"/>
            <a:gd name="connsiteX5078" fmla="*/ 6238530 w 12192000"/>
            <a:gd name="connsiteY5078" fmla="*/ 4769127 h 6858000"/>
            <a:gd name="connsiteX5079" fmla="*/ 6203718 w 12192000"/>
            <a:gd name="connsiteY5079" fmla="*/ 4803946 h 6858000"/>
            <a:gd name="connsiteX5080" fmla="*/ 6458396 w 12192000"/>
            <a:gd name="connsiteY5080" fmla="*/ 4803946 h 6858000"/>
            <a:gd name="connsiteX5081" fmla="*/ 6423570 w 12192000"/>
            <a:gd name="connsiteY5081" fmla="*/ 4769127 h 6858000"/>
            <a:gd name="connsiteX5082" fmla="*/ 6458396 w 12192000"/>
            <a:gd name="connsiteY5082" fmla="*/ 4734308 h 6858000"/>
            <a:gd name="connsiteX5083" fmla="*/ 6493208 w 12192000"/>
            <a:gd name="connsiteY5083" fmla="*/ 4769127 h 6858000"/>
            <a:gd name="connsiteX5084" fmla="*/ 6458396 w 12192000"/>
            <a:gd name="connsiteY5084" fmla="*/ 4803946 h 6858000"/>
            <a:gd name="connsiteX5085" fmla="*/ 6543288 w 12192000"/>
            <a:gd name="connsiteY5085" fmla="*/ 4803946 h 6858000"/>
            <a:gd name="connsiteX5086" fmla="*/ 6508463 w 12192000"/>
            <a:gd name="connsiteY5086" fmla="*/ 4769127 h 6858000"/>
            <a:gd name="connsiteX5087" fmla="*/ 6543288 w 12192000"/>
            <a:gd name="connsiteY5087" fmla="*/ 4734308 h 6858000"/>
            <a:gd name="connsiteX5088" fmla="*/ 6578100 w 12192000"/>
            <a:gd name="connsiteY5088" fmla="*/ 4769127 h 6858000"/>
            <a:gd name="connsiteX5089" fmla="*/ 6543288 w 12192000"/>
            <a:gd name="connsiteY5089" fmla="*/ 4803946 h 6858000"/>
            <a:gd name="connsiteX5090" fmla="*/ 6628181 w 12192000"/>
            <a:gd name="connsiteY5090" fmla="*/ 4803946 h 6858000"/>
            <a:gd name="connsiteX5091" fmla="*/ 6593356 w 12192000"/>
            <a:gd name="connsiteY5091" fmla="*/ 4769127 h 6858000"/>
            <a:gd name="connsiteX5092" fmla="*/ 6628181 w 12192000"/>
            <a:gd name="connsiteY5092" fmla="*/ 4734308 h 6858000"/>
            <a:gd name="connsiteX5093" fmla="*/ 6662994 w 12192000"/>
            <a:gd name="connsiteY5093" fmla="*/ 4769127 h 6858000"/>
            <a:gd name="connsiteX5094" fmla="*/ 6628181 w 12192000"/>
            <a:gd name="connsiteY5094" fmla="*/ 4803946 h 6858000"/>
            <a:gd name="connsiteX5095" fmla="*/ 6797966 w 12192000"/>
            <a:gd name="connsiteY5095" fmla="*/ 4803946 h 6858000"/>
            <a:gd name="connsiteX5096" fmla="*/ 6763140 w 12192000"/>
            <a:gd name="connsiteY5096" fmla="*/ 4769127 h 6858000"/>
            <a:gd name="connsiteX5097" fmla="*/ 6797966 w 12192000"/>
            <a:gd name="connsiteY5097" fmla="*/ 4734308 h 6858000"/>
            <a:gd name="connsiteX5098" fmla="*/ 6832778 w 12192000"/>
            <a:gd name="connsiteY5098" fmla="*/ 4769127 h 6858000"/>
            <a:gd name="connsiteX5099" fmla="*/ 6797966 w 12192000"/>
            <a:gd name="connsiteY5099" fmla="*/ 4803946 h 6858000"/>
            <a:gd name="connsiteX5100" fmla="*/ 6882858 w 12192000"/>
            <a:gd name="connsiteY5100" fmla="*/ 4803946 h 6858000"/>
            <a:gd name="connsiteX5101" fmla="*/ 6848033 w 12192000"/>
            <a:gd name="connsiteY5101" fmla="*/ 4769127 h 6858000"/>
            <a:gd name="connsiteX5102" fmla="*/ 6882858 w 12192000"/>
            <a:gd name="connsiteY5102" fmla="*/ 4734308 h 6858000"/>
            <a:gd name="connsiteX5103" fmla="*/ 6917670 w 12192000"/>
            <a:gd name="connsiteY5103" fmla="*/ 4769127 h 6858000"/>
            <a:gd name="connsiteX5104" fmla="*/ 6882858 w 12192000"/>
            <a:gd name="connsiteY5104" fmla="*/ 4803946 h 6858000"/>
            <a:gd name="connsiteX5105" fmla="*/ 6967750 w 12192000"/>
            <a:gd name="connsiteY5105" fmla="*/ 4803946 h 6858000"/>
            <a:gd name="connsiteX5106" fmla="*/ 6932925 w 12192000"/>
            <a:gd name="connsiteY5106" fmla="*/ 4769127 h 6858000"/>
            <a:gd name="connsiteX5107" fmla="*/ 6967750 w 12192000"/>
            <a:gd name="connsiteY5107" fmla="*/ 4734308 h 6858000"/>
            <a:gd name="connsiteX5108" fmla="*/ 7002563 w 12192000"/>
            <a:gd name="connsiteY5108" fmla="*/ 4769127 h 6858000"/>
            <a:gd name="connsiteX5109" fmla="*/ 6967750 w 12192000"/>
            <a:gd name="connsiteY5109" fmla="*/ 4803946 h 6858000"/>
            <a:gd name="connsiteX5110" fmla="*/ 7052644 w 12192000"/>
            <a:gd name="connsiteY5110" fmla="*/ 4803946 h 6858000"/>
            <a:gd name="connsiteX5111" fmla="*/ 7017818 w 12192000"/>
            <a:gd name="connsiteY5111" fmla="*/ 4769127 h 6858000"/>
            <a:gd name="connsiteX5112" fmla="*/ 7052644 w 12192000"/>
            <a:gd name="connsiteY5112" fmla="*/ 4734308 h 6858000"/>
            <a:gd name="connsiteX5113" fmla="*/ 7087456 w 12192000"/>
            <a:gd name="connsiteY5113" fmla="*/ 4769127 h 6858000"/>
            <a:gd name="connsiteX5114" fmla="*/ 7052644 w 12192000"/>
            <a:gd name="connsiteY5114" fmla="*/ 4803946 h 6858000"/>
            <a:gd name="connsiteX5115" fmla="*/ 7137536 w 12192000"/>
            <a:gd name="connsiteY5115" fmla="*/ 4803946 h 6858000"/>
            <a:gd name="connsiteX5116" fmla="*/ 7102710 w 12192000"/>
            <a:gd name="connsiteY5116" fmla="*/ 4769127 h 6858000"/>
            <a:gd name="connsiteX5117" fmla="*/ 7137536 w 12192000"/>
            <a:gd name="connsiteY5117" fmla="*/ 4734308 h 6858000"/>
            <a:gd name="connsiteX5118" fmla="*/ 7172348 w 12192000"/>
            <a:gd name="connsiteY5118" fmla="*/ 4769127 h 6858000"/>
            <a:gd name="connsiteX5119" fmla="*/ 7137536 w 12192000"/>
            <a:gd name="connsiteY5119" fmla="*/ 4803946 h 6858000"/>
            <a:gd name="connsiteX5120" fmla="*/ 7222428 w 12192000"/>
            <a:gd name="connsiteY5120" fmla="*/ 4803946 h 6858000"/>
            <a:gd name="connsiteX5121" fmla="*/ 7187603 w 12192000"/>
            <a:gd name="connsiteY5121" fmla="*/ 4769127 h 6858000"/>
            <a:gd name="connsiteX5122" fmla="*/ 7222428 w 12192000"/>
            <a:gd name="connsiteY5122" fmla="*/ 4734308 h 6858000"/>
            <a:gd name="connsiteX5123" fmla="*/ 7257240 w 12192000"/>
            <a:gd name="connsiteY5123" fmla="*/ 4769127 h 6858000"/>
            <a:gd name="connsiteX5124" fmla="*/ 7222428 w 12192000"/>
            <a:gd name="connsiteY5124" fmla="*/ 4803946 h 6858000"/>
            <a:gd name="connsiteX5125" fmla="*/ 7307320 w 12192000"/>
            <a:gd name="connsiteY5125" fmla="*/ 4803946 h 6858000"/>
            <a:gd name="connsiteX5126" fmla="*/ 7272495 w 12192000"/>
            <a:gd name="connsiteY5126" fmla="*/ 4769127 h 6858000"/>
            <a:gd name="connsiteX5127" fmla="*/ 7307320 w 12192000"/>
            <a:gd name="connsiteY5127" fmla="*/ 4734308 h 6858000"/>
            <a:gd name="connsiteX5128" fmla="*/ 7342133 w 12192000"/>
            <a:gd name="connsiteY5128" fmla="*/ 4769127 h 6858000"/>
            <a:gd name="connsiteX5129" fmla="*/ 7307320 w 12192000"/>
            <a:gd name="connsiteY5129" fmla="*/ 4803946 h 6858000"/>
            <a:gd name="connsiteX5130" fmla="*/ 7392214 w 12192000"/>
            <a:gd name="connsiteY5130" fmla="*/ 4803946 h 6858000"/>
            <a:gd name="connsiteX5131" fmla="*/ 7357388 w 12192000"/>
            <a:gd name="connsiteY5131" fmla="*/ 4769127 h 6858000"/>
            <a:gd name="connsiteX5132" fmla="*/ 7392214 w 12192000"/>
            <a:gd name="connsiteY5132" fmla="*/ 4734308 h 6858000"/>
            <a:gd name="connsiteX5133" fmla="*/ 7427026 w 12192000"/>
            <a:gd name="connsiteY5133" fmla="*/ 4769127 h 6858000"/>
            <a:gd name="connsiteX5134" fmla="*/ 7392214 w 12192000"/>
            <a:gd name="connsiteY5134" fmla="*/ 4803946 h 6858000"/>
            <a:gd name="connsiteX5135" fmla="*/ 7477106 w 12192000"/>
            <a:gd name="connsiteY5135" fmla="*/ 4803946 h 6858000"/>
            <a:gd name="connsiteX5136" fmla="*/ 7442280 w 12192000"/>
            <a:gd name="connsiteY5136" fmla="*/ 4769127 h 6858000"/>
            <a:gd name="connsiteX5137" fmla="*/ 7477106 w 12192000"/>
            <a:gd name="connsiteY5137" fmla="*/ 4734308 h 6858000"/>
            <a:gd name="connsiteX5138" fmla="*/ 7511918 w 12192000"/>
            <a:gd name="connsiteY5138" fmla="*/ 4769127 h 6858000"/>
            <a:gd name="connsiteX5139" fmla="*/ 7477106 w 12192000"/>
            <a:gd name="connsiteY5139" fmla="*/ 4803946 h 6858000"/>
            <a:gd name="connsiteX5140" fmla="*/ 7561998 w 12192000"/>
            <a:gd name="connsiteY5140" fmla="*/ 4803946 h 6858000"/>
            <a:gd name="connsiteX5141" fmla="*/ 7527173 w 12192000"/>
            <a:gd name="connsiteY5141" fmla="*/ 4769127 h 6858000"/>
            <a:gd name="connsiteX5142" fmla="*/ 7561998 w 12192000"/>
            <a:gd name="connsiteY5142" fmla="*/ 4734308 h 6858000"/>
            <a:gd name="connsiteX5143" fmla="*/ 7596810 w 12192000"/>
            <a:gd name="connsiteY5143" fmla="*/ 4769127 h 6858000"/>
            <a:gd name="connsiteX5144" fmla="*/ 7561998 w 12192000"/>
            <a:gd name="connsiteY5144" fmla="*/ 4803946 h 6858000"/>
            <a:gd name="connsiteX5145" fmla="*/ 7646890 w 12192000"/>
            <a:gd name="connsiteY5145" fmla="*/ 4803946 h 6858000"/>
            <a:gd name="connsiteX5146" fmla="*/ 7612065 w 12192000"/>
            <a:gd name="connsiteY5146" fmla="*/ 4769127 h 6858000"/>
            <a:gd name="connsiteX5147" fmla="*/ 7646890 w 12192000"/>
            <a:gd name="connsiteY5147" fmla="*/ 4734308 h 6858000"/>
            <a:gd name="connsiteX5148" fmla="*/ 7681703 w 12192000"/>
            <a:gd name="connsiteY5148" fmla="*/ 4769127 h 6858000"/>
            <a:gd name="connsiteX5149" fmla="*/ 7646890 w 12192000"/>
            <a:gd name="connsiteY5149" fmla="*/ 4803946 h 6858000"/>
            <a:gd name="connsiteX5150" fmla="*/ 7731784 w 12192000"/>
            <a:gd name="connsiteY5150" fmla="*/ 4803946 h 6858000"/>
            <a:gd name="connsiteX5151" fmla="*/ 7696958 w 12192000"/>
            <a:gd name="connsiteY5151" fmla="*/ 4769127 h 6858000"/>
            <a:gd name="connsiteX5152" fmla="*/ 7731784 w 12192000"/>
            <a:gd name="connsiteY5152" fmla="*/ 4734308 h 6858000"/>
            <a:gd name="connsiteX5153" fmla="*/ 7766596 w 12192000"/>
            <a:gd name="connsiteY5153" fmla="*/ 4769127 h 6858000"/>
            <a:gd name="connsiteX5154" fmla="*/ 7731784 w 12192000"/>
            <a:gd name="connsiteY5154" fmla="*/ 4803946 h 6858000"/>
            <a:gd name="connsiteX5155" fmla="*/ 7816676 w 12192000"/>
            <a:gd name="connsiteY5155" fmla="*/ 4803946 h 6858000"/>
            <a:gd name="connsiteX5156" fmla="*/ 7781850 w 12192000"/>
            <a:gd name="connsiteY5156" fmla="*/ 4769127 h 6858000"/>
            <a:gd name="connsiteX5157" fmla="*/ 7816676 w 12192000"/>
            <a:gd name="connsiteY5157" fmla="*/ 4734308 h 6858000"/>
            <a:gd name="connsiteX5158" fmla="*/ 7851488 w 12192000"/>
            <a:gd name="connsiteY5158" fmla="*/ 4769127 h 6858000"/>
            <a:gd name="connsiteX5159" fmla="*/ 7816676 w 12192000"/>
            <a:gd name="connsiteY5159" fmla="*/ 4803946 h 6858000"/>
            <a:gd name="connsiteX5160" fmla="*/ 7901568 w 12192000"/>
            <a:gd name="connsiteY5160" fmla="*/ 4803946 h 6858000"/>
            <a:gd name="connsiteX5161" fmla="*/ 7866743 w 12192000"/>
            <a:gd name="connsiteY5161" fmla="*/ 4769127 h 6858000"/>
            <a:gd name="connsiteX5162" fmla="*/ 7901568 w 12192000"/>
            <a:gd name="connsiteY5162" fmla="*/ 4734308 h 6858000"/>
            <a:gd name="connsiteX5163" fmla="*/ 7936380 w 12192000"/>
            <a:gd name="connsiteY5163" fmla="*/ 4769127 h 6858000"/>
            <a:gd name="connsiteX5164" fmla="*/ 7901568 w 12192000"/>
            <a:gd name="connsiteY5164" fmla="*/ 4803946 h 6858000"/>
            <a:gd name="connsiteX5165" fmla="*/ 7986460 w 12192000"/>
            <a:gd name="connsiteY5165" fmla="*/ 4803946 h 6858000"/>
            <a:gd name="connsiteX5166" fmla="*/ 7951635 w 12192000"/>
            <a:gd name="connsiteY5166" fmla="*/ 4769127 h 6858000"/>
            <a:gd name="connsiteX5167" fmla="*/ 7986460 w 12192000"/>
            <a:gd name="connsiteY5167" fmla="*/ 4734308 h 6858000"/>
            <a:gd name="connsiteX5168" fmla="*/ 8021273 w 12192000"/>
            <a:gd name="connsiteY5168" fmla="*/ 4769127 h 6858000"/>
            <a:gd name="connsiteX5169" fmla="*/ 7986460 w 12192000"/>
            <a:gd name="connsiteY5169" fmla="*/ 4803946 h 6858000"/>
            <a:gd name="connsiteX5170" fmla="*/ 8071353 w 12192000"/>
            <a:gd name="connsiteY5170" fmla="*/ 4803946 h 6858000"/>
            <a:gd name="connsiteX5171" fmla="*/ 8036527 w 12192000"/>
            <a:gd name="connsiteY5171" fmla="*/ 4769127 h 6858000"/>
            <a:gd name="connsiteX5172" fmla="*/ 8071353 w 12192000"/>
            <a:gd name="connsiteY5172" fmla="*/ 4734308 h 6858000"/>
            <a:gd name="connsiteX5173" fmla="*/ 8106165 w 12192000"/>
            <a:gd name="connsiteY5173" fmla="*/ 4769127 h 6858000"/>
            <a:gd name="connsiteX5174" fmla="*/ 8071353 w 12192000"/>
            <a:gd name="connsiteY5174" fmla="*/ 4803946 h 6858000"/>
            <a:gd name="connsiteX5175" fmla="*/ 8156246 w 12192000"/>
            <a:gd name="connsiteY5175" fmla="*/ 4803946 h 6858000"/>
            <a:gd name="connsiteX5176" fmla="*/ 8121420 w 12192000"/>
            <a:gd name="connsiteY5176" fmla="*/ 4769127 h 6858000"/>
            <a:gd name="connsiteX5177" fmla="*/ 8156246 w 12192000"/>
            <a:gd name="connsiteY5177" fmla="*/ 4734308 h 6858000"/>
            <a:gd name="connsiteX5178" fmla="*/ 8191058 w 12192000"/>
            <a:gd name="connsiteY5178" fmla="*/ 4769127 h 6858000"/>
            <a:gd name="connsiteX5179" fmla="*/ 8156246 w 12192000"/>
            <a:gd name="connsiteY5179" fmla="*/ 4803946 h 6858000"/>
            <a:gd name="connsiteX5180" fmla="*/ 8241138 w 12192000"/>
            <a:gd name="connsiteY5180" fmla="*/ 4803946 h 6858000"/>
            <a:gd name="connsiteX5181" fmla="*/ 8206313 w 12192000"/>
            <a:gd name="connsiteY5181" fmla="*/ 4769127 h 6858000"/>
            <a:gd name="connsiteX5182" fmla="*/ 8241138 w 12192000"/>
            <a:gd name="connsiteY5182" fmla="*/ 4734308 h 6858000"/>
            <a:gd name="connsiteX5183" fmla="*/ 8275950 w 12192000"/>
            <a:gd name="connsiteY5183" fmla="*/ 4769127 h 6858000"/>
            <a:gd name="connsiteX5184" fmla="*/ 8241138 w 12192000"/>
            <a:gd name="connsiteY5184" fmla="*/ 4803946 h 6858000"/>
            <a:gd name="connsiteX5185" fmla="*/ 8326030 w 12192000"/>
            <a:gd name="connsiteY5185" fmla="*/ 4803946 h 6858000"/>
            <a:gd name="connsiteX5186" fmla="*/ 8291205 w 12192000"/>
            <a:gd name="connsiteY5186" fmla="*/ 4769127 h 6858000"/>
            <a:gd name="connsiteX5187" fmla="*/ 8326030 w 12192000"/>
            <a:gd name="connsiteY5187" fmla="*/ 4734308 h 6858000"/>
            <a:gd name="connsiteX5188" fmla="*/ 8360843 w 12192000"/>
            <a:gd name="connsiteY5188" fmla="*/ 4769127 h 6858000"/>
            <a:gd name="connsiteX5189" fmla="*/ 8326030 w 12192000"/>
            <a:gd name="connsiteY5189" fmla="*/ 4803946 h 6858000"/>
            <a:gd name="connsiteX5190" fmla="*/ 8410923 w 12192000"/>
            <a:gd name="connsiteY5190" fmla="*/ 4803946 h 6858000"/>
            <a:gd name="connsiteX5191" fmla="*/ 8376097 w 12192000"/>
            <a:gd name="connsiteY5191" fmla="*/ 4769127 h 6858000"/>
            <a:gd name="connsiteX5192" fmla="*/ 8410923 w 12192000"/>
            <a:gd name="connsiteY5192" fmla="*/ 4734308 h 6858000"/>
            <a:gd name="connsiteX5193" fmla="*/ 8445735 w 12192000"/>
            <a:gd name="connsiteY5193" fmla="*/ 4769127 h 6858000"/>
            <a:gd name="connsiteX5194" fmla="*/ 8410923 w 12192000"/>
            <a:gd name="connsiteY5194" fmla="*/ 4803946 h 6858000"/>
            <a:gd name="connsiteX5195" fmla="*/ 8495816 w 12192000"/>
            <a:gd name="connsiteY5195" fmla="*/ 4803946 h 6858000"/>
            <a:gd name="connsiteX5196" fmla="*/ 8460990 w 12192000"/>
            <a:gd name="connsiteY5196" fmla="*/ 4769127 h 6858000"/>
            <a:gd name="connsiteX5197" fmla="*/ 8495816 w 12192000"/>
            <a:gd name="connsiteY5197" fmla="*/ 4734308 h 6858000"/>
            <a:gd name="connsiteX5198" fmla="*/ 8530628 w 12192000"/>
            <a:gd name="connsiteY5198" fmla="*/ 4769127 h 6858000"/>
            <a:gd name="connsiteX5199" fmla="*/ 8495816 w 12192000"/>
            <a:gd name="connsiteY5199" fmla="*/ 4803946 h 6858000"/>
            <a:gd name="connsiteX5200" fmla="*/ 8580708 w 12192000"/>
            <a:gd name="connsiteY5200" fmla="*/ 4803946 h 6858000"/>
            <a:gd name="connsiteX5201" fmla="*/ 8545883 w 12192000"/>
            <a:gd name="connsiteY5201" fmla="*/ 4769127 h 6858000"/>
            <a:gd name="connsiteX5202" fmla="*/ 8580708 w 12192000"/>
            <a:gd name="connsiteY5202" fmla="*/ 4734308 h 6858000"/>
            <a:gd name="connsiteX5203" fmla="*/ 8615520 w 12192000"/>
            <a:gd name="connsiteY5203" fmla="*/ 4769127 h 6858000"/>
            <a:gd name="connsiteX5204" fmla="*/ 8580708 w 12192000"/>
            <a:gd name="connsiteY5204" fmla="*/ 4803946 h 6858000"/>
            <a:gd name="connsiteX5205" fmla="*/ 8665600 w 12192000"/>
            <a:gd name="connsiteY5205" fmla="*/ 4803946 h 6858000"/>
            <a:gd name="connsiteX5206" fmla="*/ 8630775 w 12192000"/>
            <a:gd name="connsiteY5206" fmla="*/ 4769127 h 6858000"/>
            <a:gd name="connsiteX5207" fmla="*/ 8665600 w 12192000"/>
            <a:gd name="connsiteY5207" fmla="*/ 4734308 h 6858000"/>
            <a:gd name="connsiteX5208" fmla="*/ 8700413 w 12192000"/>
            <a:gd name="connsiteY5208" fmla="*/ 4769127 h 6858000"/>
            <a:gd name="connsiteX5209" fmla="*/ 8665600 w 12192000"/>
            <a:gd name="connsiteY5209" fmla="*/ 4803946 h 6858000"/>
            <a:gd name="connsiteX5210" fmla="*/ 8750493 w 12192000"/>
            <a:gd name="connsiteY5210" fmla="*/ 4803946 h 6858000"/>
            <a:gd name="connsiteX5211" fmla="*/ 8715667 w 12192000"/>
            <a:gd name="connsiteY5211" fmla="*/ 4769127 h 6858000"/>
            <a:gd name="connsiteX5212" fmla="*/ 8750493 w 12192000"/>
            <a:gd name="connsiteY5212" fmla="*/ 4734308 h 6858000"/>
            <a:gd name="connsiteX5213" fmla="*/ 8785305 w 12192000"/>
            <a:gd name="connsiteY5213" fmla="*/ 4769127 h 6858000"/>
            <a:gd name="connsiteX5214" fmla="*/ 8750493 w 12192000"/>
            <a:gd name="connsiteY5214" fmla="*/ 4803946 h 6858000"/>
            <a:gd name="connsiteX5215" fmla="*/ 8835386 w 12192000"/>
            <a:gd name="connsiteY5215" fmla="*/ 4803946 h 6858000"/>
            <a:gd name="connsiteX5216" fmla="*/ 8800560 w 12192000"/>
            <a:gd name="connsiteY5216" fmla="*/ 4769127 h 6858000"/>
            <a:gd name="connsiteX5217" fmla="*/ 8835386 w 12192000"/>
            <a:gd name="connsiteY5217" fmla="*/ 4734308 h 6858000"/>
            <a:gd name="connsiteX5218" fmla="*/ 8870198 w 12192000"/>
            <a:gd name="connsiteY5218" fmla="*/ 4769127 h 6858000"/>
            <a:gd name="connsiteX5219" fmla="*/ 8835386 w 12192000"/>
            <a:gd name="connsiteY5219" fmla="*/ 4803946 h 6858000"/>
            <a:gd name="connsiteX5220" fmla="*/ 8920278 w 12192000"/>
            <a:gd name="connsiteY5220" fmla="*/ 4803946 h 6858000"/>
            <a:gd name="connsiteX5221" fmla="*/ 8885453 w 12192000"/>
            <a:gd name="connsiteY5221" fmla="*/ 4769127 h 6858000"/>
            <a:gd name="connsiteX5222" fmla="*/ 8920278 w 12192000"/>
            <a:gd name="connsiteY5222" fmla="*/ 4734308 h 6858000"/>
            <a:gd name="connsiteX5223" fmla="*/ 8955090 w 12192000"/>
            <a:gd name="connsiteY5223" fmla="*/ 4769127 h 6858000"/>
            <a:gd name="connsiteX5224" fmla="*/ 8920278 w 12192000"/>
            <a:gd name="connsiteY5224" fmla="*/ 4803946 h 6858000"/>
            <a:gd name="connsiteX5225" fmla="*/ 9005170 w 12192000"/>
            <a:gd name="connsiteY5225" fmla="*/ 4803946 h 6858000"/>
            <a:gd name="connsiteX5226" fmla="*/ 8970345 w 12192000"/>
            <a:gd name="connsiteY5226" fmla="*/ 4769127 h 6858000"/>
            <a:gd name="connsiteX5227" fmla="*/ 9005170 w 12192000"/>
            <a:gd name="connsiteY5227" fmla="*/ 4734308 h 6858000"/>
            <a:gd name="connsiteX5228" fmla="*/ 9039983 w 12192000"/>
            <a:gd name="connsiteY5228" fmla="*/ 4769127 h 6858000"/>
            <a:gd name="connsiteX5229" fmla="*/ 9005170 w 12192000"/>
            <a:gd name="connsiteY5229" fmla="*/ 4803946 h 6858000"/>
            <a:gd name="connsiteX5230" fmla="*/ 9090063 w 12192000"/>
            <a:gd name="connsiteY5230" fmla="*/ 4803946 h 6858000"/>
            <a:gd name="connsiteX5231" fmla="*/ 9055237 w 12192000"/>
            <a:gd name="connsiteY5231" fmla="*/ 4769127 h 6858000"/>
            <a:gd name="connsiteX5232" fmla="*/ 9090063 w 12192000"/>
            <a:gd name="connsiteY5232" fmla="*/ 4734308 h 6858000"/>
            <a:gd name="connsiteX5233" fmla="*/ 9124875 w 12192000"/>
            <a:gd name="connsiteY5233" fmla="*/ 4769127 h 6858000"/>
            <a:gd name="connsiteX5234" fmla="*/ 9090063 w 12192000"/>
            <a:gd name="connsiteY5234" fmla="*/ 4803946 h 6858000"/>
            <a:gd name="connsiteX5235" fmla="*/ 9174956 w 12192000"/>
            <a:gd name="connsiteY5235" fmla="*/ 4803946 h 6858000"/>
            <a:gd name="connsiteX5236" fmla="*/ 9140130 w 12192000"/>
            <a:gd name="connsiteY5236" fmla="*/ 4769127 h 6858000"/>
            <a:gd name="connsiteX5237" fmla="*/ 9174956 w 12192000"/>
            <a:gd name="connsiteY5237" fmla="*/ 4734308 h 6858000"/>
            <a:gd name="connsiteX5238" fmla="*/ 9209768 w 12192000"/>
            <a:gd name="connsiteY5238" fmla="*/ 4769127 h 6858000"/>
            <a:gd name="connsiteX5239" fmla="*/ 9174956 w 12192000"/>
            <a:gd name="connsiteY5239" fmla="*/ 4803946 h 6858000"/>
            <a:gd name="connsiteX5240" fmla="*/ 9259848 w 12192000"/>
            <a:gd name="connsiteY5240" fmla="*/ 4803946 h 6858000"/>
            <a:gd name="connsiteX5241" fmla="*/ 9225023 w 12192000"/>
            <a:gd name="connsiteY5241" fmla="*/ 4769127 h 6858000"/>
            <a:gd name="connsiteX5242" fmla="*/ 9259848 w 12192000"/>
            <a:gd name="connsiteY5242" fmla="*/ 4734308 h 6858000"/>
            <a:gd name="connsiteX5243" fmla="*/ 9294660 w 12192000"/>
            <a:gd name="connsiteY5243" fmla="*/ 4769127 h 6858000"/>
            <a:gd name="connsiteX5244" fmla="*/ 9259848 w 12192000"/>
            <a:gd name="connsiteY5244" fmla="*/ 4803946 h 6858000"/>
            <a:gd name="connsiteX5245" fmla="*/ 9344740 w 12192000"/>
            <a:gd name="connsiteY5245" fmla="*/ 4803946 h 6858000"/>
            <a:gd name="connsiteX5246" fmla="*/ 9309915 w 12192000"/>
            <a:gd name="connsiteY5246" fmla="*/ 4769127 h 6858000"/>
            <a:gd name="connsiteX5247" fmla="*/ 9344740 w 12192000"/>
            <a:gd name="connsiteY5247" fmla="*/ 4734308 h 6858000"/>
            <a:gd name="connsiteX5248" fmla="*/ 9379553 w 12192000"/>
            <a:gd name="connsiteY5248" fmla="*/ 4769127 h 6858000"/>
            <a:gd name="connsiteX5249" fmla="*/ 9344740 w 12192000"/>
            <a:gd name="connsiteY5249" fmla="*/ 4803946 h 6858000"/>
            <a:gd name="connsiteX5250" fmla="*/ 9429633 w 12192000"/>
            <a:gd name="connsiteY5250" fmla="*/ 4803946 h 6858000"/>
            <a:gd name="connsiteX5251" fmla="*/ 9394807 w 12192000"/>
            <a:gd name="connsiteY5251" fmla="*/ 4769127 h 6858000"/>
            <a:gd name="connsiteX5252" fmla="*/ 9429633 w 12192000"/>
            <a:gd name="connsiteY5252" fmla="*/ 4734308 h 6858000"/>
            <a:gd name="connsiteX5253" fmla="*/ 9464445 w 12192000"/>
            <a:gd name="connsiteY5253" fmla="*/ 4769127 h 6858000"/>
            <a:gd name="connsiteX5254" fmla="*/ 9429633 w 12192000"/>
            <a:gd name="connsiteY5254" fmla="*/ 4803946 h 6858000"/>
            <a:gd name="connsiteX5255" fmla="*/ 9514525 w 12192000"/>
            <a:gd name="connsiteY5255" fmla="*/ 4803946 h 6858000"/>
            <a:gd name="connsiteX5256" fmla="*/ 9479699 w 12192000"/>
            <a:gd name="connsiteY5256" fmla="*/ 4769127 h 6858000"/>
            <a:gd name="connsiteX5257" fmla="*/ 9514525 w 12192000"/>
            <a:gd name="connsiteY5257" fmla="*/ 4734308 h 6858000"/>
            <a:gd name="connsiteX5258" fmla="*/ 9549337 w 12192000"/>
            <a:gd name="connsiteY5258" fmla="*/ 4769127 h 6858000"/>
            <a:gd name="connsiteX5259" fmla="*/ 9514525 w 12192000"/>
            <a:gd name="connsiteY5259" fmla="*/ 4803946 h 6858000"/>
            <a:gd name="connsiteX5260" fmla="*/ 9599418 w 12192000"/>
            <a:gd name="connsiteY5260" fmla="*/ 4803946 h 6858000"/>
            <a:gd name="connsiteX5261" fmla="*/ 9564593 w 12192000"/>
            <a:gd name="connsiteY5261" fmla="*/ 4769127 h 6858000"/>
            <a:gd name="connsiteX5262" fmla="*/ 9599418 w 12192000"/>
            <a:gd name="connsiteY5262" fmla="*/ 4734308 h 6858000"/>
            <a:gd name="connsiteX5263" fmla="*/ 9634230 w 12192000"/>
            <a:gd name="connsiteY5263" fmla="*/ 4769127 h 6858000"/>
            <a:gd name="connsiteX5264" fmla="*/ 9599418 w 12192000"/>
            <a:gd name="connsiteY5264" fmla="*/ 4803946 h 6858000"/>
            <a:gd name="connsiteX5265" fmla="*/ 9684310 w 12192000"/>
            <a:gd name="connsiteY5265" fmla="*/ 4803946 h 6858000"/>
            <a:gd name="connsiteX5266" fmla="*/ 9649485 w 12192000"/>
            <a:gd name="connsiteY5266" fmla="*/ 4769127 h 6858000"/>
            <a:gd name="connsiteX5267" fmla="*/ 9684310 w 12192000"/>
            <a:gd name="connsiteY5267" fmla="*/ 4734308 h 6858000"/>
            <a:gd name="connsiteX5268" fmla="*/ 9719123 w 12192000"/>
            <a:gd name="connsiteY5268" fmla="*/ 4769127 h 6858000"/>
            <a:gd name="connsiteX5269" fmla="*/ 9684310 w 12192000"/>
            <a:gd name="connsiteY5269" fmla="*/ 4803946 h 6858000"/>
            <a:gd name="connsiteX5270" fmla="*/ 10363450 w 12192000"/>
            <a:gd name="connsiteY5270" fmla="*/ 4803946 h 6858000"/>
            <a:gd name="connsiteX5271" fmla="*/ 10328625 w 12192000"/>
            <a:gd name="connsiteY5271" fmla="*/ 4769127 h 6858000"/>
            <a:gd name="connsiteX5272" fmla="*/ 10363450 w 12192000"/>
            <a:gd name="connsiteY5272" fmla="*/ 4734308 h 6858000"/>
            <a:gd name="connsiteX5273" fmla="*/ 10398263 w 12192000"/>
            <a:gd name="connsiteY5273" fmla="*/ 4769127 h 6858000"/>
            <a:gd name="connsiteX5274" fmla="*/ 10363450 w 12192000"/>
            <a:gd name="connsiteY5274" fmla="*/ 4803946 h 6858000"/>
            <a:gd name="connsiteX5275" fmla="*/ 2213769 w 12192000"/>
            <a:gd name="connsiteY5275" fmla="*/ 4719086 h 6858000"/>
            <a:gd name="connsiteX5276" fmla="*/ 2178950 w 12192000"/>
            <a:gd name="connsiteY5276" fmla="*/ 4684267 h 6858000"/>
            <a:gd name="connsiteX5277" fmla="*/ 2213769 w 12192000"/>
            <a:gd name="connsiteY5277" fmla="*/ 4649448 h 6858000"/>
            <a:gd name="connsiteX5278" fmla="*/ 2248588 w 12192000"/>
            <a:gd name="connsiteY5278" fmla="*/ 4684267 h 6858000"/>
            <a:gd name="connsiteX5279" fmla="*/ 2213769 w 12192000"/>
            <a:gd name="connsiteY5279" fmla="*/ 4719086 h 6858000"/>
            <a:gd name="connsiteX5280" fmla="*/ 2298661 w 12192000"/>
            <a:gd name="connsiteY5280" fmla="*/ 4719086 h 6858000"/>
            <a:gd name="connsiteX5281" fmla="*/ 2263842 w 12192000"/>
            <a:gd name="connsiteY5281" fmla="*/ 4684267 h 6858000"/>
            <a:gd name="connsiteX5282" fmla="*/ 2298661 w 12192000"/>
            <a:gd name="connsiteY5282" fmla="*/ 4649448 h 6858000"/>
            <a:gd name="connsiteX5283" fmla="*/ 2333480 w 12192000"/>
            <a:gd name="connsiteY5283" fmla="*/ 4684267 h 6858000"/>
            <a:gd name="connsiteX5284" fmla="*/ 2298661 w 12192000"/>
            <a:gd name="connsiteY5284" fmla="*/ 4719086 h 6858000"/>
            <a:gd name="connsiteX5285" fmla="*/ 2383553 w 12192000"/>
            <a:gd name="connsiteY5285" fmla="*/ 4719086 h 6858000"/>
            <a:gd name="connsiteX5286" fmla="*/ 2348734 w 12192000"/>
            <a:gd name="connsiteY5286" fmla="*/ 4684267 h 6858000"/>
            <a:gd name="connsiteX5287" fmla="*/ 2383553 w 12192000"/>
            <a:gd name="connsiteY5287" fmla="*/ 4649448 h 6858000"/>
            <a:gd name="connsiteX5288" fmla="*/ 2418372 w 12192000"/>
            <a:gd name="connsiteY5288" fmla="*/ 4684267 h 6858000"/>
            <a:gd name="connsiteX5289" fmla="*/ 2383553 w 12192000"/>
            <a:gd name="connsiteY5289" fmla="*/ 4719086 h 6858000"/>
            <a:gd name="connsiteX5290" fmla="*/ 2468446 w 12192000"/>
            <a:gd name="connsiteY5290" fmla="*/ 4719086 h 6858000"/>
            <a:gd name="connsiteX5291" fmla="*/ 2433627 w 12192000"/>
            <a:gd name="connsiteY5291" fmla="*/ 4684267 h 6858000"/>
            <a:gd name="connsiteX5292" fmla="*/ 2468446 w 12192000"/>
            <a:gd name="connsiteY5292" fmla="*/ 4649448 h 6858000"/>
            <a:gd name="connsiteX5293" fmla="*/ 2503264 w 12192000"/>
            <a:gd name="connsiteY5293" fmla="*/ 4684267 h 6858000"/>
            <a:gd name="connsiteX5294" fmla="*/ 2468446 w 12192000"/>
            <a:gd name="connsiteY5294" fmla="*/ 4719086 h 6858000"/>
            <a:gd name="connsiteX5295" fmla="*/ 2553339 w 12192000"/>
            <a:gd name="connsiteY5295" fmla="*/ 4719086 h 6858000"/>
            <a:gd name="connsiteX5296" fmla="*/ 2518520 w 12192000"/>
            <a:gd name="connsiteY5296" fmla="*/ 4684267 h 6858000"/>
            <a:gd name="connsiteX5297" fmla="*/ 2553339 w 12192000"/>
            <a:gd name="connsiteY5297" fmla="*/ 4649448 h 6858000"/>
            <a:gd name="connsiteX5298" fmla="*/ 2588158 w 12192000"/>
            <a:gd name="connsiteY5298" fmla="*/ 4684267 h 6858000"/>
            <a:gd name="connsiteX5299" fmla="*/ 2553339 w 12192000"/>
            <a:gd name="connsiteY5299" fmla="*/ 4719086 h 6858000"/>
            <a:gd name="connsiteX5300" fmla="*/ 2638231 w 12192000"/>
            <a:gd name="connsiteY5300" fmla="*/ 4719086 h 6858000"/>
            <a:gd name="connsiteX5301" fmla="*/ 2603412 w 12192000"/>
            <a:gd name="connsiteY5301" fmla="*/ 4684267 h 6858000"/>
            <a:gd name="connsiteX5302" fmla="*/ 2638231 w 12192000"/>
            <a:gd name="connsiteY5302" fmla="*/ 4649448 h 6858000"/>
            <a:gd name="connsiteX5303" fmla="*/ 2673050 w 12192000"/>
            <a:gd name="connsiteY5303" fmla="*/ 4684267 h 6858000"/>
            <a:gd name="connsiteX5304" fmla="*/ 2638231 w 12192000"/>
            <a:gd name="connsiteY5304" fmla="*/ 4719086 h 6858000"/>
            <a:gd name="connsiteX5305" fmla="*/ 2723123 w 12192000"/>
            <a:gd name="connsiteY5305" fmla="*/ 4719086 h 6858000"/>
            <a:gd name="connsiteX5306" fmla="*/ 2688304 w 12192000"/>
            <a:gd name="connsiteY5306" fmla="*/ 4684267 h 6858000"/>
            <a:gd name="connsiteX5307" fmla="*/ 2723123 w 12192000"/>
            <a:gd name="connsiteY5307" fmla="*/ 4649448 h 6858000"/>
            <a:gd name="connsiteX5308" fmla="*/ 2757942 w 12192000"/>
            <a:gd name="connsiteY5308" fmla="*/ 4684267 h 6858000"/>
            <a:gd name="connsiteX5309" fmla="*/ 2723123 w 12192000"/>
            <a:gd name="connsiteY5309" fmla="*/ 4719086 h 6858000"/>
            <a:gd name="connsiteX5310" fmla="*/ 2808016 w 12192000"/>
            <a:gd name="connsiteY5310" fmla="*/ 4719086 h 6858000"/>
            <a:gd name="connsiteX5311" fmla="*/ 2773197 w 12192000"/>
            <a:gd name="connsiteY5311" fmla="*/ 4684267 h 6858000"/>
            <a:gd name="connsiteX5312" fmla="*/ 2808016 w 12192000"/>
            <a:gd name="connsiteY5312" fmla="*/ 4649448 h 6858000"/>
            <a:gd name="connsiteX5313" fmla="*/ 2842834 w 12192000"/>
            <a:gd name="connsiteY5313" fmla="*/ 4684267 h 6858000"/>
            <a:gd name="connsiteX5314" fmla="*/ 2808016 w 12192000"/>
            <a:gd name="connsiteY5314" fmla="*/ 4719086 h 6858000"/>
            <a:gd name="connsiteX5315" fmla="*/ 2892908 w 12192000"/>
            <a:gd name="connsiteY5315" fmla="*/ 4719086 h 6858000"/>
            <a:gd name="connsiteX5316" fmla="*/ 2858089 w 12192000"/>
            <a:gd name="connsiteY5316" fmla="*/ 4684267 h 6858000"/>
            <a:gd name="connsiteX5317" fmla="*/ 2892908 w 12192000"/>
            <a:gd name="connsiteY5317" fmla="*/ 4649448 h 6858000"/>
            <a:gd name="connsiteX5318" fmla="*/ 2927727 w 12192000"/>
            <a:gd name="connsiteY5318" fmla="*/ 4684267 h 6858000"/>
            <a:gd name="connsiteX5319" fmla="*/ 2892908 w 12192000"/>
            <a:gd name="connsiteY5319" fmla="*/ 4719086 h 6858000"/>
            <a:gd name="connsiteX5320" fmla="*/ 2977801 w 12192000"/>
            <a:gd name="connsiteY5320" fmla="*/ 4719086 h 6858000"/>
            <a:gd name="connsiteX5321" fmla="*/ 2942982 w 12192000"/>
            <a:gd name="connsiteY5321" fmla="*/ 4684267 h 6858000"/>
            <a:gd name="connsiteX5322" fmla="*/ 2977801 w 12192000"/>
            <a:gd name="connsiteY5322" fmla="*/ 4649448 h 6858000"/>
            <a:gd name="connsiteX5323" fmla="*/ 3012620 w 12192000"/>
            <a:gd name="connsiteY5323" fmla="*/ 4684267 h 6858000"/>
            <a:gd name="connsiteX5324" fmla="*/ 2977801 w 12192000"/>
            <a:gd name="connsiteY5324" fmla="*/ 4719086 h 6858000"/>
            <a:gd name="connsiteX5325" fmla="*/ 3062693 w 12192000"/>
            <a:gd name="connsiteY5325" fmla="*/ 4719086 h 6858000"/>
            <a:gd name="connsiteX5326" fmla="*/ 3027874 w 12192000"/>
            <a:gd name="connsiteY5326" fmla="*/ 4684267 h 6858000"/>
            <a:gd name="connsiteX5327" fmla="*/ 3062693 w 12192000"/>
            <a:gd name="connsiteY5327" fmla="*/ 4649448 h 6858000"/>
            <a:gd name="connsiteX5328" fmla="*/ 3097512 w 12192000"/>
            <a:gd name="connsiteY5328" fmla="*/ 4684267 h 6858000"/>
            <a:gd name="connsiteX5329" fmla="*/ 3062693 w 12192000"/>
            <a:gd name="connsiteY5329" fmla="*/ 4719086 h 6858000"/>
            <a:gd name="connsiteX5330" fmla="*/ 3147586 w 12192000"/>
            <a:gd name="connsiteY5330" fmla="*/ 4719086 h 6858000"/>
            <a:gd name="connsiteX5331" fmla="*/ 3112767 w 12192000"/>
            <a:gd name="connsiteY5331" fmla="*/ 4684267 h 6858000"/>
            <a:gd name="connsiteX5332" fmla="*/ 3147586 w 12192000"/>
            <a:gd name="connsiteY5332" fmla="*/ 4649448 h 6858000"/>
            <a:gd name="connsiteX5333" fmla="*/ 3182404 w 12192000"/>
            <a:gd name="connsiteY5333" fmla="*/ 4684267 h 6858000"/>
            <a:gd name="connsiteX5334" fmla="*/ 3147586 w 12192000"/>
            <a:gd name="connsiteY5334" fmla="*/ 4719086 h 6858000"/>
            <a:gd name="connsiteX5335" fmla="*/ 3232478 w 12192000"/>
            <a:gd name="connsiteY5335" fmla="*/ 4719086 h 6858000"/>
            <a:gd name="connsiteX5336" fmla="*/ 3197659 w 12192000"/>
            <a:gd name="connsiteY5336" fmla="*/ 4684267 h 6858000"/>
            <a:gd name="connsiteX5337" fmla="*/ 3232478 w 12192000"/>
            <a:gd name="connsiteY5337" fmla="*/ 4649448 h 6858000"/>
            <a:gd name="connsiteX5338" fmla="*/ 3267297 w 12192000"/>
            <a:gd name="connsiteY5338" fmla="*/ 4684267 h 6858000"/>
            <a:gd name="connsiteX5339" fmla="*/ 3232478 w 12192000"/>
            <a:gd name="connsiteY5339" fmla="*/ 4719086 h 6858000"/>
            <a:gd name="connsiteX5340" fmla="*/ 3317371 w 12192000"/>
            <a:gd name="connsiteY5340" fmla="*/ 4719086 h 6858000"/>
            <a:gd name="connsiteX5341" fmla="*/ 3282552 w 12192000"/>
            <a:gd name="connsiteY5341" fmla="*/ 4684267 h 6858000"/>
            <a:gd name="connsiteX5342" fmla="*/ 3317371 w 12192000"/>
            <a:gd name="connsiteY5342" fmla="*/ 4649448 h 6858000"/>
            <a:gd name="connsiteX5343" fmla="*/ 3352190 w 12192000"/>
            <a:gd name="connsiteY5343" fmla="*/ 4684267 h 6858000"/>
            <a:gd name="connsiteX5344" fmla="*/ 3317371 w 12192000"/>
            <a:gd name="connsiteY5344" fmla="*/ 4719086 h 6858000"/>
            <a:gd name="connsiteX5345" fmla="*/ 3741833 w 12192000"/>
            <a:gd name="connsiteY5345" fmla="*/ 4719086 h 6858000"/>
            <a:gd name="connsiteX5346" fmla="*/ 3707014 w 12192000"/>
            <a:gd name="connsiteY5346" fmla="*/ 4684267 h 6858000"/>
            <a:gd name="connsiteX5347" fmla="*/ 3741833 w 12192000"/>
            <a:gd name="connsiteY5347" fmla="*/ 4649448 h 6858000"/>
            <a:gd name="connsiteX5348" fmla="*/ 3776652 w 12192000"/>
            <a:gd name="connsiteY5348" fmla="*/ 4684267 h 6858000"/>
            <a:gd name="connsiteX5349" fmla="*/ 3741833 w 12192000"/>
            <a:gd name="connsiteY5349" fmla="*/ 4719086 h 6858000"/>
            <a:gd name="connsiteX5350" fmla="*/ 3826726 w 12192000"/>
            <a:gd name="connsiteY5350" fmla="*/ 4719086 h 6858000"/>
            <a:gd name="connsiteX5351" fmla="*/ 3791907 w 12192000"/>
            <a:gd name="connsiteY5351" fmla="*/ 4684267 h 6858000"/>
            <a:gd name="connsiteX5352" fmla="*/ 3826726 w 12192000"/>
            <a:gd name="connsiteY5352" fmla="*/ 4649448 h 6858000"/>
            <a:gd name="connsiteX5353" fmla="*/ 3861544 w 12192000"/>
            <a:gd name="connsiteY5353" fmla="*/ 4684267 h 6858000"/>
            <a:gd name="connsiteX5354" fmla="*/ 3826726 w 12192000"/>
            <a:gd name="connsiteY5354" fmla="*/ 4719086 h 6858000"/>
            <a:gd name="connsiteX5355" fmla="*/ 3911618 w 12192000"/>
            <a:gd name="connsiteY5355" fmla="*/ 4719086 h 6858000"/>
            <a:gd name="connsiteX5356" fmla="*/ 3876799 w 12192000"/>
            <a:gd name="connsiteY5356" fmla="*/ 4684267 h 6858000"/>
            <a:gd name="connsiteX5357" fmla="*/ 3911618 w 12192000"/>
            <a:gd name="connsiteY5357" fmla="*/ 4649448 h 6858000"/>
            <a:gd name="connsiteX5358" fmla="*/ 3946437 w 12192000"/>
            <a:gd name="connsiteY5358" fmla="*/ 4684267 h 6858000"/>
            <a:gd name="connsiteX5359" fmla="*/ 3911618 w 12192000"/>
            <a:gd name="connsiteY5359" fmla="*/ 4719086 h 6858000"/>
            <a:gd name="connsiteX5360" fmla="*/ 3996511 w 12192000"/>
            <a:gd name="connsiteY5360" fmla="*/ 4719086 h 6858000"/>
            <a:gd name="connsiteX5361" fmla="*/ 3961692 w 12192000"/>
            <a:gd name="connsiteY5361" fmla="*/ 4684267 h 6858000"/>
            <a:gd name="connsiteX5362" fmla="*/ 3996511 w 12192000"/>
            <a:gd name="connsiteY5362" fmla="*/ 4649448 h 6858000"/>
            <a:gd name="connsiteX5363" fmla="*/ 4031330 w 12192000"/>
            <a:gd name="connsiteY5363" fmla="*/ 4684267 h 6858000"/>
            <a:gd name="connsiteX5364" fmla="*/ 3996511 w 12192000"/>
            <a:gd name="connsiteY5364" fmla="*/ 4719086 h 6858000"/>
            <a:gd name="connsiteX5365" fmla="*/ 4081403 w 12192000"/>
            <a:gd name="connsiteY5365" fmla="*/ 4719086 h 6858000"/>
            <a:gd name="connsiteX5366" fmla="*/ 4046584 w 12192000"/>
            <a:gd name="connsiteY5366" fmla="*/ 4684267 h 6858000"/>
            <a:gd name="connsiteX5367" fmla="*/ 4081403 w 12192000"/>
            <a:gd name="connsiteY5367" fmla="*/ 4649448 h 6858000"/>
            <a:gd name="connsiteX5368" fmla="*/ 4116222 w 12192000"/>
            <a:gd name="connsiteY5368" fmla="*/ 4684267 h 6858000"/>
            <a:gd name="connsiteX5369" fmla="*/ 4081403 w 12192000"/>
            <a:gd name="connsiteY5369" fmla="*/ 4719086 h 6858000"/>
            <a:gd name="connsiteX5370" fmla="*/ 6033934 w 12192000"/>
            <a:gd name="connsiteY5370" fmla="*/ 4719086 h 6858000"/>
            <a:gd name="connsiteX5371" fmla="*/ 5999108 w 12192000"/>
            <a:gd name="connsiteY5371" fmla="*/ 4684267 h 6858000"/>
            <a:gd name="connsiteX5372" fmla="*/ 6033934 w 12192000"/>
            <a:gd name="connsiteY5372" fmla="*/ 4649448 h 6858000"/>
            <a:gd name="connsiteX5373" fmla="*/ 6068746 w 12192000"/>
            <a:gd name="connsiteY5373" fmla="*/ 4684267 h 6858000"/>
            <a:gd name="connsiteX5374" fmla="*/ 6033934 w 12192000"/>
            <a:gd name="connsiteY5374" fmla="*/ 4719086 h 6858000"/>
            <a:gd name="connsiteX5375" fmla="*/ 6203718 w 12192000"/>
            <a:gd name="connsiteY5375" fmla="*/ 4719086 h 6858000"/>
            <a:gd name="connsiteX5376" fmla="*/ 6168893 w 12192000"/>
            <a:gd name="connsiteY5376" fmla="*/ 4684267 h 6858000"/>
            <a:gd name="connsiteX5377" fmla="*/ 6203718 w 12192000"/>
            <a:gd name="connsiteY5377" fmla="*/ 4649448 h 6858000"/>
            <a:gd name="connsiteX5378" fmla="*/ 6238530 w 12192000"/>
            <a:gd name="connsiteY5378" fmla="*/ 4684267 h 6858000"/>
            <a:gd name="connsiteX5379" fmla="*/ 6203718 w 12192000"/>
            <a:gd name="connsiteY5379" fmla="*/ 4719086 h 6858000"/>
            <a:gd name="connsiteX5380" fmla="*/ 6288611 w 12192000"/>
            <a:gd name="connsiteY5380" fmla="*/ 4719086 h 6858000"/>
            <a:gd name="connsiteX5381" fmla="*/ 6253786 w 12192000"/>
            <a:gd name="connsiteY5381" fmla="*/ 4684267 h 6858000"/>
            <a:gd name="connsiteX5382" fmla="*/ 6288611 w 12192000"/>
            <a:gd name="connsiteY5382" fmla="*/ 4649448 h 6858000"/>
            <a:gd name="connsiteX5383" fmla="*/ 6323424 w 12192000"/>
            <a:gd name="connsiteY5383" fmla="*/ 4684267 h 6858000"/>
            <a:gd name="connsiteX5384" fmla="*/ 6288611 w 12192000"/>
            <a:gd name="connsiteY5384" fmla="*/ 4719086 h 6858000"/>
            <a:gd name="connsiteX5385" fmla="*/ 6543288 w 12192000"/>
            <a:gd name="connsiteY5385" fmla="*/ 4719086 h 6858000"/>
            <a:gd name="connsiteX5386" fmla="*/ 6508463 w 12192000"/>
            <a:gd name="connsiteY5386" fmla="*/ 4684267 h 6858000"/>
            <a:gd name="connsiteX5387" fmla="*/ 6543288 w 12192000"/>
            <a:gd name="connsiteY5387" fmla="*/ 4649448 h 6858000"/>
            <a:gd name="connsiteX5388" fmla="*/ 6578100 w 12192000"/>
            <a:gd name="connsiteY5388" fmla="*/ 4684267 h 6858000"/>
            <a:gd name="connsiteX5389" fmla="*/ 6543288 w 12192000"/>
            <a:gd name="connsiteY5389" fmla="*/ 4719086 h 6858000"/>
            <a:gd name="connsiteX5390" fmla="*/ 6628181 w 12192000"/>
            <a:gd name="connsiteY5390" fmla="*/ 4719086 h 6858000"/>
            <a:gd name="connsiteX5391" fmla="*/ 6593356 w 12192000"/>
            <a:gd name="connsiteY5391" fmla="*/ 4684267 h 6858000"/>
            <a:gd name="connsiteX5392" fmla="*/ 6628181 w 12192000"/>
            <a:gd name="connsiteY5392" fmla="*/ 4649448 h 6858000"/>
            <a:gd name="connsiteX5393" fmla="*/ 6662994 w 12192000"/>
            <a:gd name="connsiteY5393" fmla="*/ 4684267 h 6858000"/>
            <a:gd name="connsiteX5394" fmla="*/ 6628181 w 12192000"/>
            <a:gd name="connsiteY5394" fmla="*/ 4719086 h 6858000"/>
            <a:gd name="connsiteX5395" fmla="*/ 6713074 w 12192000"/>
            <a:gd name="connsiteY5395" fmla="*/ 4719086 h 6858000"/>
            <a:gd name="connsiteX5396" fmla="*/ 6678248 w 12192000"/>
            <a:gd name="connsiteY5396" fmla="*/ 4684267 h 6858000"/>
            <a:gd name="connsiteX5397" fmla="*/ 6713074 w 12192000"/>
            <a:gd name="connsiteY5397" fmla="*/ 4649448 h 6858000"/>
            <a:gd name="connsiteX5398" fmla="*/ 6747886 w 12192000"/>
            <a:gd name="connsiteY5398" fmla="*/ 4684267 h 6858000"/>
            <a:gd name="connsiteX5399" fmla="*/ 6713074 w 12192000"/>
            <a:gd name="connsiteY5399" fmla="*/ 4719086 h 6858000"/>
            <a:gd name="connsiteX5400" fmla="*/ 6797966 w 12192000"/>
            <a:gd name="connsiteY5400" fmla="*/ 4719086 h 6858000"/>
            <a:gd name="connsiteX5401" fmla="*/ 6763140 w 12192000"/>
            <a:gd name="connsiteY5401" fmla="*/ 4684267 h 6858000"/>
            <a:gd name="connsiteX5402" fmla="*/ 6797966 w 12192000"/>
            <a:gd name="connsiteY5402" fmla="*/ 4649448 h 6858000"/>
            <a:gd name="connsiteX5403" fmla="*/ 6832778 w 12192000"/>
            <a:gd name="connsiteY5403" fmla="*/ 4684267 h 6858000"/>
            <a:gd name="connsiteX5404" fmla="*/ 6797966 w 12192000"/>
            <a:gd name="connsiteY5404" fmla="*/ 4719086 h 6858000"/>
            <a:gd name="connsiteX5405" fmla="*/ 6967750 w 12192000"/>
            <a:gd name="connsiteY5405" fmla="*/ 4719086 h 6858000"/>
            <a:gd name="connsiteX5406" fmla="*/ 6932925 w 12192000"/>
            <a:gd name="connsiteY5406" fmla="*/ 4684267 h 6858000"/>
            <a:gd name="connsiteX5407" fmla="*/ 6967750 w 12192000"/>
            <a:gd name="connsiteY5407" fmla="*/ 4649448 h 6858000"/>
            <a:gd name="connsiteX5408" fmla="*/ 7002563 w 12192000"/>
            <a:gd name="connsiteY5408" fmla="*/ 4684267 h 6858000"/>
            <a:gd name="connsiteX5409" fmla="*/ 6967750 w 12192000"/>
            <a:gd name="connsiteY5409" fmla="*/ 4719086 h 6858000"/>
            <a:gd name="connsiteX5410" fmla="*/ 7052644 w 12192000"/>
            <a:gd name="connsiteY5410" fmla="*/ 4719086 h 6858000"/>
            <a:gd name="connsiteX5411" fmla="*/ 7017818 w 12192000"/>
            <a:gd name="connsiteY5411" fmla="*/ 4684267 h 6858000"/>
            <a:gd name="connsiteX5412" fmla="*/ 7052644 w 12192000"/>
            <a:gd name="connsiteY5412" fmla="*/ 4649448 h 6858000"/>
            <a:gd name="connsiteX5413" fmla="*/ 7087456 w 12192000"/>
            <a:gd name="connsiteY5413" fmla="*/ 4684267 h 6858000"/>
            <a:gd name="connsiteX5414" fmla="*/ 7052644 w 12192000"/>
            <a:gd name="connsiteY5414" fmla="*/ 4719086 h 6858000"/>
            <a:gd name="connsiteX5415" fmla="*/ 7137536 w 12192000"/>
            <a:gd name="connsiteY5415" fmla="*/ 4719086 h 6858000"/>
            <a:gd name="connsiteX5416" fmla="*/ 7102710 w 12192000"/>
            <a:gd name="connsiteY5416" fmla="*/ 4684267 h 6858000"/>
            <a:gd name="connsiteX5417" fmla="*/ 7137536 w 12192000"/>
            <a:gd name="connsiteY5417" fmla="*/ 4649448 h 6858000"/>
            <a:gd name="connsiteX5418" fmla="*/ 7172348 w 12192000"/>
            <a:gd name="connsiteY5418" fmla="*/ 4684267 h 6858000"/>
            <a:gd name="connsiteX5419" fmla="*/ 7137536 w 12192000"/>
            <a:gd name="connsiteY5419" fmla="*/ 4719086 h 6858000"/>
            <a:gd name="connsiteX5420" fmla="*/ 7222428 w 12192000"/>
            <a:gd name="connsiteY5420" fmla="*/ 4719086 h 6858000"/>
            <a:gd name="connsiteX5421" fmla="*/ 7187603 w 12192000"/>
            <a:gd name="connsiteY5421" fmla="*/ 4684267 h 6858000"/>
            <a:gd name="connsiteX5422" fmla="*/ 7222428 w 12192000"/>
            <a:gd name="connsiteY5422" fmla="*/ 4649448 h 6858000"/>
            <a:gd name="connsiteX5423" fmla="*/ 7257240 w 12192000"/>
            <a:gd name="connsiteY5423" fmla="*/ 4684267 h 6858000"/>
            <a:gd name="connsiteX5424" fmla="*/ 7222428 w 12192000"/>
            <a:gd name="connsiteY5424" fmla="*/ 4719086 h 6858000"/>
            <a:gd name="connsiteX5425" fmla="*/ 7307320 w 12192000"/>
            <a:gd name="connsiteY5425" fmla="*/ 4719086 h 6858000"/>
            <a:gd name="connsiteX5426" fmla="*/ 7272495 w 12192000"/>
            <a:gd name="connsiteY5426" fmla="*/ 4684267 h 6858000"/>
            <a:gd name="connsiteX5427" fmla="*/ 7307320 w 12192000"/>
            <a:gd name="connsiteY5427" fmla="*/ 4649448 h 6858000"/>
            <a:gd name="connsiteX5428" fmla="*/ 7342133 w 12192000"/>
            <a:gd name="connsiteY5428" fmla="*/ 4684267 h 6858000"/>
            <a:gd name="connsiteX5429" fmla="*/ 7307320 w 12192000"/>
            <a:gd name="connsiteY5429" fmla="*/ 4719086 h 6858000"/>
            <a:gd name="connsiteX5430" fmla="*/ 7392214 w 12192000"/>
            <a:gd name="connsiteY5430" fmla="*/ 4719086 h 6858000"/>
            <a:gd name="connsiteX5431" fmla="*/ 7357388 w 12192000"/>
            <a:gd name="connsiteY5431" fmla="*/ 4684267 h 6858000"/>
            <a:gd name="connsiteX5432" fmla="*/ 7392214 w 12192000"/>
            <a:gd name="connsiteY5432" fmla="*/ 4649448 h 6858000"/>
            <a:gd name="connsiteX5433" fmla="*/ 7427026 w 12192000"/>
            <a:gd name="connsiteY5433" fmla="*/ 4684267 h 6858000"/>
            <a:gd name="connsiteX5434" fmla="*/ 7392214 w 12192000"/>
            <a:gd name="connsiteY5434" fmla="*/ 4719086 h 6858000"/>
            <a:gd name="connsiteX5435" fmla="*/ 7477106 w 12192000"/>
            <a:gd name="connsiteY5435" fmla="*/ 4719086 h 6858000"/>
            <a:gd name="connsiteX5436" fmla="*/ 7442280 w 12192000"/>
            <a:gd name="connsiteY5436" fmla="*/ 4684267 h 6858000"/>
            <a:gd name="connsiteX5437" fmla="*/ 7477106 w 12192000"/>
            <a:gd name="connsiteY5437" fmla="*/ 4649448 h 6858000"/>
            <a:gd name="connsiteX5438" fmla="*/ 7511918 w 12192000"/>
            <a:gd name="connsiteY5438" fmla="*/ 4684267 h 6858000"/>
            <a:gd name="connsiteX5439" fmla="*/ 7477106 w 12192000"/>
            <a:gd name="connsiteY5439" fmla="*/ 4719086 h 6858000"/>
            <a:gd name="connsiteX5440" fmla="*/ 7561998 w 12192000"/>
            <a:gd name="connsiteY5440" fmla="*/ 4719086 h 6858000"/>
            <a:gd name="connsiteX5441" fmla="*/ 7527173 w 12192000"/>
            <a:gd name="connsiteY5441" fmla="*/ 4684267 h 6858000"/>
            <a:gd name="connsiteX5442" fmla="*/ 7561998 w 12192000"/>
            <a:gd name="connsiteY5442" fmla="*/ 4649448 h 6858000"/>
            <a:gd name="connsiteX5443" fmla="*/ 7596810 w 12192000"/>
            <a:gd name="connsiteY5443" fmla="*/ 4684267 h 6858000"/>
            <a:gd name="connsiteX5444" fmla="*/ 7561998 w 12192000"/>
            <a:gd name="connsiteY5444" fmla="*/ 4719086 h 6858000"/>
            <a:gd name="connsiteX5445" fmla="*/ 7646890 w 12192000"/>
            <a:gd name="connsiteY5445" fmla="*/ 4719086 h 6858000"/>
            <a:gd name="connsiteX5446" fmla="*/ 7612065 w 12192000"/>
            <a:gd name="connsiteY5446" fmla="*/ 4684267 h 6858000"/>
            <a:gd name="connsiteX5447" fmla="*/ 7646890 w 12192000"/>
            <a:gd name="connsiteY5447" fmla="*/ 4649448 h 6858000"/>
            <a:gd name="connsiteX5448" fmla="*/ 7681703 w 12192000"/>
            <a:gd name="connsiteY5448" fmla="*/ 4684267 h 6858000"/>
            <a:gd name="connsiteX5449" fmla="*/ 7646890 w 12192000"/>
            <a:gd name="connsiteY5449" fmla="*/ 4719086 h 6858000"/>
            <a:gd name="connsiteX5450" fmla="*/ 7731784 w 12192000"/>
            <a:gd name="connsiteY5450" fmla="*/ 4719086 h 6858000"/>
            <a:gd name="connsiteX5451" fmla="*/ 7696958 w 12192000"/>
            <a:gd name="connsiteY5451" fmla="*/ 4684267 h 6858000"/>
            <a:gd name="connsiteX5452" fmla="*/ 7731784 w 12192000"/>
            <a:gd name="connsiteY5452" fmla="*/ 4649448 h 6858000"/>
            <a:gd name="connsiteX5453" fmla="*/ 7766596 w 12192000"/>
            <a:gd name="connsiteY5453" fmla="*/ 4684267 h 6858000"/>
            <a:gd name="connsiteX5454" fmla="*/ 7731784 w 12192000"/>
            <a:gd name="connsiteY5454" fmla="*/ 4719086 h 6858000"/>
            <a:gd name="connsiteX5455" fmla="*/ 7816676 w 12192000"/>
            <a:gd name="connsiteY5455" fmla="*/ 4719086 h 6858000"/>
            <a:gd name="connsiteX5456" fmla="*/ 7781850 w 12192000"/>
            <a:gd name="connsiteY5456" fmla="*/ 4684267 h 6858000"/>
            <a:gd name="connsiteX5457" fmla="*/ 7816676 w 12192000"/>
            <a:gd name="connsiteY5457" fmla="*/ 4649448 h 6858000"/>
            <a:gd name="connsiteX5458" fmla="*/ 7851488 w 12192000"/>
            <a:gd name="connsiteY5458" fmla="*/ 4684267 h 6858000"/>
            <a:gd name="connsiteX5459" fmla="*/ 7816676 w 12192000"/>
            <a:gd name="connsiteY5459" fmla="*/ 4719086 h 6858000"/>
            <a:gd name="connsiteX5460" fmla="*/ 7901568 w 12192000"/>
            <a:gd name="connsiteY5460" fmla="*/ 4719086 h 6858000"/>
            <a:gd name="connsiteX5461" fmla="*/ 7866743 w 12192000"/>
            <a:gd name="connsiteY5461" fmla="*/ 4684267 h 6858000"/>
            <a:gd name="connsiteX5462" fmla="*/ 7901568 w 12192000"/>
            <a:gd name="connsiteY5462" fmla="*/ 4649448 h 6858000"/>
            <a:gd name="connsiteX5463" fmla="*/ 7936380 w 12192000"/>
            <a:gd name="connsiteY5463" fmla="*/ 4684267 h 6858000"/>
            <a:gd name="connsiteX5464" fmla="*/ 7901568 w 12192000"/>
            <a:gd name="connsiteY5464" fmla="*/ 4719086 h 6858000"/>
            <a:gd name="connsiteX5465" fmla="*/ 7986460 w 12192000"/>
            <a:gd name="connsiteY5465" fmla="*/ 4719086 h 6858000"/>
            <a:gd name="connsiteX5466" fmla="*/ 7951635 w 12192000"/>
            <a:gd name="connsiteY5466" fmla="*/ 4684267 h 6858000"/>
            <a:gd name="connsiteX5467" fmla="*/ 7986460 w 12192000"/>
            <a:gd name="connsiteY5467" fmla="*/ 4649448 h 6858000"/>
            <a:gd name="connsiteX5468" fmla="*/ 8021273 w 12192000"/>
            <a:gd name="connsiteY5468" fmla="*/ 4684267 h 6858000"/>
            <a:gd name="connsiteX5469" fmla="*/ 7986460 w 12192000"/>
            <a:gd name="connsiteY5469" fmla="*/ 4719086 h 6858000"/>
            <a:gd name="connsiteX5470" fmla="*/ 8071353 w 12192000"/>
            <a:gd name="connsiteY5470" fmla="*/ 4719086 h 6858000"/>
            <a:gd name="connsiteX5471" fmla="*/ 8036527 w 12192000"/>
            <a:gd name="connsiteY5471" fmla="*/ 4684267 h 6858000"/>
            <a:gd name="connsiteX5472" fmla="*/ 8071353 w 12192000"/>
            <a:gd name="connsiteY5472" fmla="*/ 4649448 h 6858000"/>
            <a:gd name="connsiteX5473" fmla="*/ 8106165 w 12192000"/>
            <a:gd name="connsiteY5473" fmla="*/ 4684267 h 6858000"/>
            <a:gd name="connsiteX5474" fmla="*/ 8071353 w 12192000"/>
            <a:gd name="connsiteY5474" fmla="*/ 4719086 h 6858000"/>
            <a:gd name="connsiteX5475" fmla="*/ 8156246 w 12192000"/>
            <a:gd name="connsiteY5475" fmla="*/ 4719086 h 6858000"/>
            <a:gd name="connsiteX5476" fmla="*/ 8121420 w 12192000"/>
            <a:gd name="connsiteY5476" fmla="*/ 4684267 h 6858000"/>
            <a:gd name="connsiteX5477" fmla="*/ 8156246 w 12192000"/>
            <a:gd name="connsiteY5477" fmla="*/ 4649448 h 6858000"/>
            <a:gd name="connsiteX5478" fmla="*/ 8191058 w 12192000"/>
            <a:gd name="connsiteY5478" fmla="*/ 4684267 h 6858000"/>
            <a:gd name="connsiteX5479" fmla="*/ 8156246 w 12192000"/>
            <a:gd name="connsiteY5479" fmla="*/ 4719086 h 6858000"/>
            <a:gd name="connsiteX5480" fmla="*/ 8241138 w 12192000"/>
            <a:gd name="connsiteY5480" fmla="*/ 4719086 h 6858000"/>
            <a:gd name="connsiteX5481" fmla="*/ 8206313 w 12192000"/>
            <a:gd name="connsiteY5481" fmla="*/ 4684267 h 6858000"/>
            <a:gd name="connsiteX5482" fmla="*/ 8241138 w 12192000"/>
            <a:gd name="connsiteY5482" fmla="*/ 4649448 h 6858000"/>
            <a:gd name="connsiteX5483" fmla="*/ 8275950 w 12192000"/>
            <a:gd name="connsiteY5483" fmla="*/ 4684267 h 6858000"/>
            <a:gd name="connsiteX5484" fmla="*/ 8241138 w 12192000"/>
            <a:gd name="connsiteY5484" fmla="*/ 4719086 h 6858000"/>
            <a:gd name="connsiteX5485" fmla="*/ 8326030 w 12192000"/>
            <a:gd name="connsiteY5485" fmla="*/ 4719086 h 6858000"/>
            <a:gd name="connsiteX5486" fmla="*/ 8291205 w 12192000"/>
            <a:gd name="connsiteY5486" fmla="*/ 4684267 h 6858000"/>
            <a:gd name="connsiteX5487" fmla="*/ 8326030 w 12192000"/>
            <a:gd name="connsiteY5487" fmla="*/ 4649448 h 6858000"/>
            <a:gd name="connsiteX5488" fmla="*/ 8360843 w 12192000"/>
            <a:gd name="connsiteY5488" fmla="*/ 4684267 h 6858000"/>
            <a:gd name="connsiteX5489" fmla="*/ 8326030 w 12192000"/>
            <a:gd name="connsiteY5489" fmla="*/ 4719086 h 6858000"/>
            <a:gd name="connsiteX5490" fmla="*/ 8410923 w 12192000"/>
            <a:gd name="connsiteY5490" fmla="*/ 4719086 h 6858000"/>
            <a:gd name="connsiteX5491" fmla="*/ 8376097 w 12192000"/>
            <a:gd name="connsiteY5491" fmla="*/ 4684267 h 6858000"/>
            <a:gd name="connsiteX5492" fmla="*/ 8410923 w 12192000"/>
            <a:gd name="connsiteY5492" fmla="*/ 4649448 h 6858000"/>
            <a:gd name="connsiteX5493" fmla="*/ 8445735 w 12192000"/>
            <a:gd name="connsiteY5493" fmla="*/ 4684267 h 6858000"/>
            <a:gd name="connsiteX5494" fmla="*/ 8410923 w 12192000"/>
            <a:gd name="connsiteY5494" fmla="*/ 4719086 h 6858000"/>
            <a:gd name="connsiteX5495" fmla="*/ 8495816 w 12192000"/>
            <a:gd name="connsiteY5495" fmla="*/ 4719086 h 6858000"/>
            <a:gd name="connsiteX5496" fmla="*/ 8460990 w 12192000"/>
            <a:gd name="connsiteY5496" fmla="*/ 4684267 h 6858000"/>
            <a:gd name="connsiteX5497" fmla="*/ 8495816 w 12192000"/>
            <a:gd name="connsiteY5497" fmla="*/ 4649448 h 6858000"/>
            <a:gd name="connsiteX5498" fmla="*/ 8530628 w 12192000"/>
            <a:gd name="connsiteY5498" fmla="*/ 4684267 h 6858000"/>
            <a:gd name="connsiteX5499" fmla="*/ 8495816 w 12192000"/>
            <a:gd name="connsiteY5499" fmla="*/ 4719086 h 6858000"/>
            <a:gd name="connsiteX5500" fmla="*/ 8580708 w 12192000"/>
            <a:gd name="connsiteY5500" fmla="*/ 4719086 h 6858000"/>
            <a:gd name="connsiteX5501" fmla="*/ 8545883 w 12192000"/>
            <a:gd name="connsiteY5501" fmla="*/ 4684267 h 6858000"/>
            <a:gd name="connsiteX5502" fmla="*/ 8580708 w 12192000"/>
            <a:gd name="connsiteY5502" fmla="*/ 4649448 h 6858000"/>
            <a:gd name="connsiteX5503" fmla="*/ 8615520 w 12192000"/>
            <a:gd name="connsiteY5503" fmla="*/ 4684267 h 6858000"/>
            <a:gd name="connsiteX5504" fmla="*/ 8580708 w 12192000"/>
            <a:gd name="connsiteY5504" fmla="*/ 4719086 h 6858000"/>
            <a:gd name="connsiteX5505" fmla="*/ 8665600 w 12192000"/>
            <a:gd name="connsiteY5505" fmla="*/ 4719086 h 6858000"/>
            <a:gd name="connsiteX5506" fmla="*/ 8630775 w 12192000"/>
            <a:gd name="connsiteY5506" fmla="*/ 4684267 h 6858000"/>
            <a:gd name="connsiteX5507" fmla="*/ 8665600 w 12192000"/>
            <a:gd name="connsiteY5507" fmla="*/ 4649448 h 6858000"/>
            <a:gd name="connsiteX5508" fmla="*/ 8700413 w 12192000"/>
            <a:gd name="connsiteY5508" fmla="*/ 4684267 h 6858000"/>
            <a:gd name="connsiteX5509" fmla="*/ 8665600 w 12192000"/>
            <a:gd name="connsiteY5509" fmla="*/ 4719086 h 6858000"/>
            <a:gd name="connsiteX5510" fmla="*/ 8835386 w 12192000"/>
            <a:gd name="connsiteY5510" fmla="*/ 4719086 h 6858000"/>
            <a:gd name="connsiteX5511" fmla="*/ 8800560 w 12192000"/>
            <a:gd name="connsiteY5511" fmla="*/ 4684267 h 6858000"/>
            <a:gd name="connsiteX5512" fmla="*/ 8835386 w 12192000"/>
            <a:gd name="connsiteY5512" fmla="*/ 4649448 h 6858000"/>
            <a:gd name="connsiteX5513" fmla="*/ 8870198 w 12192000"/>
            <a:gd name="connsiteY5513" fmla="*/ 4684267 h 6858000"/>
            <a:gd name="connsiteX5514" fmla="*/ 8835386 w 12192000"/>
            <a:gd name="connsiteY5514" fmla="*/ 4719086 h 6858000"/>
            <a:gd name="connsiteX5515" fmla="*/ 8920278 w 12192000"/>
            <a:gd name="connsiteY5515" fmla="*/ 4719086 h 6858000"/>
            <a:gd name="connsiteX5516" fmla="*/ 8885453 w 12192000"/>
            <a:gd name="connsiteY5516" fmla="*/ 4684267 h 6858000"/>
            <a:gd name="connsiteX5517" fmla="*/ 8920278 w 12192000"/>
            <a:gd name="connsiteY5517" fmla="*/ 4649448 h 6858000"/>
            <a:gd name="connsiteX5518" fmla="*/ 8955090 w 12192000"/>
            <a:gd name="connsiteY5518" fmla="*/ 4684267 h 6858000"/>
            <a:gd name="connsiteX5519" fmla="*/ 8920278 w 12192000"/>
            <a:gd name="connsiteY5519" fmla="*/ 4719086 h 6858000"/>
            <a:gd name="connsiteX5520" fmla="*/ 9005170 w 12192000"/>
            <a:gd name="connsiteY5520" fmla="*/ 4719086 h 6858000"/>
            <a:gd name="connsiteX5521" fmla="*/ 8970345 w 12192000"/>
            <a:gd name="connsiteY5521" fmla="*/ 4684267 h 6858000"/>
            <a:gd name="connsiteX5522" fmla="*/ 9005170 w 12192000"/>
            <a:gd name="connsiteY5522" fmla="*/ 4649448 h 6858000"/>
            <a:gd name="connsiteX5523" fmla="*/ 9039983 w 12192000"/>
            <a:gd name="connsiteY5523" fmla="*/ 4684267 h 6858000"/>
            <a:gd name="connsiteX5524" fmla="*/ 9005170 w 12192000"/>
            <a:gd name="connsiteY5524" fmla="*/ 4719086 h 6858000"/>
            <a:gd name="connsiteX5525" fmla="*/ 9090063 w 12192000"/>
            <a:gd name="connsiteY5525" fmla="*/ 4719086 h 6858000"/>
            <a:gd name="connsiteX5526" fmla="*/ 9055237 w 12192000"/>
            <a:gd name="connsiteY5526" fmla="*/ 4684267 h 6858000"/>
            <a:gd name="connsiteX5527" fmla="*/ 9090063 w 12192000"/>
            <a:gd name="connsiteY5527" fmla="*/ 4649448 h 6858000"/>
            <a:gd name="connsiteX5528" fmla="*/ 9124875 w 12192000"/>
            <a:gd name="connsiteY5528" fmla="*/ 4684267 h 6858000"/>
            <a:gd name="connsiteX5529" fmla="*/ 9090063 w 12192000"/>
            <a:gd name="connsiteY5529" fmla="*/ 4719086 h 6858000"/>
            <a:gd name="connsiteX5530" fmla="*/ 9174956 w 12192000"/>
            <a:gd name="connsiteY5530" fmla="*/ 4719086 h 6858000"/>
            <a:gd name="connsiteX5531" fmla="*/ 9140130 w 12192000"/>
            <a:gd name="connsiteY5531" fmla="*/ 4684267 h 6858000"/>
            <a:gd name="connsiteX5532" fmla="*/ 9174956 w 12192000"/>
            <a:gd name="connsiteY5532" fmla="*/ 4649448 h 6858000"/>
            <a:gd name="connsiteX5533" fmla="*/ 9209768 w 12192000"/>
            <a:gd name="connsiteY5533" fmla="*/ 4684267 h 6858000"/>
            <a:gd name="connsiteX5534" fmla="*/ 9174956 w 12192000"/>
            <a:gd name="connsiteY5534" fmla="*/ 4719086 h 6858000"/>
            <a:gd name="connsiteX5535" fmla="*/ 9259848 w 12192000"/>
            <a:gd name="connsiteY5535" fmla="*/ 4719086 h 6858000"/>
            <a:gd name="connsiteX5536" fmla="*/ 9225023 w 12192000"/>
            <a:gd name="connsiteY5536" fmla="*/ 4684267 h 6858000"/>
            <a:gd name="connsiteX5537" fmla="*/ 9259848 w 12192000"/>
            <a:gd name="connsiteY5537" fmla="*/ 4649448 h 6858000"/>
            <a:gd name="connsiteX5538" fmla="*/ 9294660 w 12192000"/>
            <a:gd name="connsiteY5538" fmla="*/ 4684267 h 6858000"/>
            <a:gd name="connsiteX5539" fmla="*/ 9259848 w 12192000"/>
            <a:gd name="connsiteY5539" fmla="*/ 4719086 h 6858000"/>
            <a:gd name="connsiteX5540" fmla="*/ 9344740 w 12192000"/>
            <a:gd name="connsiteY5540" fmla="*/ 4719086 h 6858000"/>
            <a:gd name="connsiteX5541" fmla="*/ 9309915 w 12192000"/>
            <a:gd name="connsiteY5541" fmla="*/ 4684267 h 6858000"/>
            <a:gd name="connsiteX5542" fmla="*/ 9344740 w 12192000"/>
            <a:gd name="connsiteY5542" fmla="*/ 4649448 h 6858000"/>
            <a:gd name="connsiteX5543" fmla="*/ 9379553 w 12192000"/>
            <a:gd name="connsiteY5543" fmla="*/ 4684267 h 6858000"/>
            <a:gd name="connsiteX5544" fmla="*/ 9344740 w 12192000"/>
            <a:gd name="connsiteY5544" fmla="*/ 4719086 h 6858000"/>
            <a:gd name="connsiteX5545" fmla="*/ 9429633 w 12192000"/>
            <a:gd name="connsiteY5545" fmla="*/ 4719086 h 6858000"/>
            <a:gd name="connsiteX5546" fmla="*/ 9394807 w 12192000"/>
            <a:gd name="connsiteY5546" fmla="*/ 4684267 h 6858000"/>
            <a:gd name="connsiteX5547" fmla="*/ 9429633 w 12192000"/>
            <a:gd name="connsiteY5547" fmla="*/ 4649448 h 6858000"/>
            <a:gd name="connsiteX5548" fmla="*/ 9464445 w 12192000"/>
            <a:gd name="connsiteY5548" fmla="*/ 4684267 h 6858000"/>
            <a:gd name="connsiteX5549" fmla="*/ 9429633 w 12192000"/>
            <a:gd name="connsiteY5549" fmla="*/ 4719086 h 6858000"/>
            <a:gd name="connsiteX5550" fmla="*/ 9514525 w 12192000"/>
            <a:gd name="connsiteY5550" fmla="*/ 4719086 h 6858000"/>
            <a:gd name="connsiteX5551" fmla="*/ 9479699 w 12192000"/>
            <a:gd name="connsiteY5551" fmla="*/ 4684267 h 6858000"/>
            <a:gd name="connsiteX5552" fmla="*/ 9514525 w 12192000"/>
            <a:gd name="connsiteY5552" fmla="*/ 4649448 h 6858000"/>
            <a:gd name="connsiteX5553" fmla="*/ 9549337 w 12192000"/>
            <a:gd name="connsiteY5553" fmla="*/ 4684267 h 6858000"/>
            <a:gd name="connsiteX5554" fmla="*/ 9514525 w 12192000"/>
            <a:gd name="connsiteY5554" fmla="*/ 4719086 h 6858000"/>
            <a:gd name="connsiteX5555" fmla="*/ 9599418 w 12192000"/>
            <a:gd name="connsiteY5555" fmla="*/ 4719086 h 6858000"/>
            <a:gd name="connsiteX5556" fmla="*/ 9564593 w 12192000"/>
            <a:gd name="connsiteY5556" fmla="*/ 4684267 h 6858000"/>
            <a:gd name="connsiteX5557" fmla="*/ 9599418 w 12192000"/>
            <a:gd name="connsiteY5557" fmla="*/ 4649448 h 6858000"/>
            <a:gd name="connsiteX5558" fmla="*/ 9634230 w 12192000"/>
            <a:gd name="connsiteY5558" fmla="*/ 4684267 h 6858000"/>
            <a:gd name="connsiteX5559" fmla="*/ 9599418 w 12192000"/>
            <a:gd name="connsiteY5559" fmla="*/ 4719086 h 6858000"/>
            <a:gd name="connsiteX5560" fmla="*/ 9684310 w 12192000"/>
            <a:gd name="connsiteY5560" fmla="*/ 4719086 h 6858000"/>
            <a:gd name="connsiteX5561" fmla="*/ 9649485 w 12192000"/>
            <a:gd name="connsiteY5561" fmla="*/ 4684267 h 6858000"/>
            <a:gd name="connsiteX5562" fmla="*/ 9684310 w 12192000"/>
            <a:gd name="connsiteY5562" fmla="*/ 4649448 h 6858000"/>
            <a:gd name="connsiteX5563" fmla="*/ 9719123 w 12192000"/>
            <a:gd name="connsiteY5563" fmla="*/ 4684267 h 6858000"/>
            <a:gd name="connsiteX5564" fmla="*/ 9684310 w 12192000"/>
            <a:gd name="connsiteY5564" fmla="*/ 4719086 h 6858000"/>
            <a:gd name="connsiteX5565" fmla="*/ 9769203 w 12192000"/>
            <a:gd name="connsiteY5565" fmla="*/ 4719086 h 6858000"/>
            <a:gd name="connsiteX5566" fmla="*/ 9734377 w 12192000"/>
            <a:gd name="connsiteY5566" fmla="*/ 4684267 h 6858000"/>
            <a:gd name="connsiteX5567" fmla="*/ 9769203 w 12192000"/>
            <a:gd name="connsiteY5567" fmla="*/ 4649448 h 6858000"/>
            <a:gd name="connsiteX5568" fmla="*/ 9804015 w 12192000"/>
            <a:gd name="connsiteY5568" fmla="*/ 4684267 h 6858000"/>
            <a:gd name="connsiteX5569" fmla="*/ 9769203 w 12192000"/>
            <a:gd name="connsiteY5569" fmla="*/ 4719086 h 6858000"/>
            <a:gd name="connsiteX5570" fmla="*/ 9854095 w 12192000"/>
            <a:gd name="connsiteY5570" fmla="*/ 4719086 h 6858000"/>
            <a:gd name="connsiteX5571" fmla="*/ 9819269 w 12192000"/>
            <a:gd name="connsiteY5571" fmla="*/ 4684267 h 6858000"/>
            <a:gd name="connsiteX5572" fmla="*/ 9854095 w 12192000"/>
            <a:gd name="connsiteY5572" fmla="*/ 4649448 h 6858000"/>
            <a:gd name="connsiteX5573" fmla="*/ 9888907 w 12192000"/>
            <a:gd name="connsiteY5573" fmla="*/ 4684267 h 6858000"/>
            <a:gd name="connsiteX5574" fmla="*/ 9854095 w 12192000"/>
            <a:gd name="connsiteY5574" fmla="*/ 4719086 h 6858000"/>
            <a:gd name="connsiteX5575" fmla="*/ 9938988 w 12192000"/>
            <a:gd name="connsiteY5575" fmla="*/ 4719086 h 6858000"/>
            <a:gd name="connsiteX5576" fmla="*/ 9904163 w 12192000"/>
            <a:gd name="connsiteY5576" fmla="*/ 4684267 h 6858000"/>
            <a:gd name="connsiteX5577" fmla="*/ 9938988 w 12192000"/>
            <a:gd name="connsiteY5577" fmla="*/ 4649448 h 6858000"/>
            <a:gd name="connsiteX5578" fmla="*/ 9973800 w 12192000"/>
            <a:gd name="connsiteY5578" fmla="*/ 4684267 h 6858000"/>
            <a:gd name="connsiteX5579" fmla="*/ 9938988 w 12192000"/>
            <a:gd name="connsiteY5579" fmla="*/ 4719086 h 6858000"/>
            <a:gd name="connsiteX5580" fmla="*/ 10363450 w 12192000"/>
            <a:gd name="connsiteY5580" fmla="*/ 4719086 h 6858000"/>
            <a:gd name="connsiteX5581" fmla="*/ 10328625 w 12192000"/>
            <a:gd name="connsiteY5581" fmla="*/ 4684267 h 6858000"/>
            <a:gd name="connsiteX5582" fmla="*/ 10363450 w 12192000"/>
            <a:gd name="connsiteY5582" fmla="*/ 4649448 h 6858000"/>
            <a:gd name="connsiteX5583" fmla="*/ 10398263 w 12192000"/>
            <a:gd name="connsiteY5583" fmla="*/ 4684267 h 6858000"/>
            <a:gd name="connsiteX5584" fmla="*/ 10363450 w 12192000"/>
            <a:gd name="connsiteY5584" fmla="*/ 4719086 h 6858000"/>
            <a:gd name="connsiteX5585" fmla="*/ 2213769 w 12192000"/>
            <a:gd name="connsiteY5585" fmla="*/ 4634226 h 6858000"/>
            <a:gd name="connsiteX5586" fmla="*/ 2178950 w 12192000"/>
            <a:gd name="connsiteY5586" fmla="*/ 4599407 h 6858000"/>
            <a:gd name="connsiteX5587" fmla="*/ 2213769 w 12192000"/>
            <a:gd name="connsiteY5587" fmla="*/ 4564589 h 6858000"/>
            <a:gd name="connsiteX5588" fmla="*/ 2248588 w 12192000"/>
            <a:gd name="connsiteY5588" fmla="*/ 4599407 h 6858000"/>
            <a:gd name="connsiteX5589" fmla="*/ 2213769 w 12192000"/>
            <a:gd name="connsiteY5589" fmla="*/ 4634226 h 6858000"/>
            <a:gd name="connsiteX5590" fmla="*/ 2298661 w 12192000"/>
            <a:gd name="connsiteY5590" fmla="*/ 4634226 h 6858000"/>
            <a:gd name="connsiteX5591" fmla="*/ 2263842 w 12192000"/>
            <a:gd name="connsiteY5591" fmla="*/ 4599407 h 6858000"/>
            <a:gd name="connsiteX5592" fmla="*/ 2298661 w 12192000"/>
            <a:gd name="connsiteY5592" fmla="*/ 4564589 h 6858000"/>
            <a:gd name="connsiteX5593" fmla="*/ 2333480 w 12192000"/>
            <a:gd name="connsiteY5593" fmla="*/ 4599407 h 6858000"/>
            <a:gd name="connsiteX5594" fmla="*/ 2298661 w 12192000"/>
            <a:gd name="connsiteY5594" fmla="*/ 4634226 h 6858000"/>
            <a:gd name="connsiteX5595" fmla="*/ 2383553 w 12192000"/>
            <a:gd name="connsiteY5595" fmla="*/ 4634226 h 6858000"/>
            <a:gd name="connsiteX5596" fmla="*/ 2348734 w 12192000"/>
            <a:gd name="connsiteY5596" fmla="*/ 4599407 h 6858000"/>
            <a:gd name="connsiteX5597" fmla="*/ 2383553 w 12192000"/>
            <a:gd name="connsiteY5597" fmla="*/ 4564589 h 6858000"/>
            <a:gd name="connsiteX5598" fmla="*/ 2418372 w 12192000"/>
            <a:gd name="connsiteY5598" fmla="*/ 4599407 h 6858000"/>
            <a:gd name="connsiteX5599" fmla="*/ 2383553 w 12192000"/>
            <a:gd name="connsiteY5599" fmla="*/ 4634226 h 6858000"/>
            <a:gd name="connsiteX5600" fmla="*/ 2468446 w 12192000"/>
            <a:gd name="connsiteY5600" fmla="*/ 4634226 h 6858000"/>
            <a:gd name="connsiteX5601" fmla="*/ 2433627 w 12192000"/>
            <a:gd name="connsiteY5601" fmla="*/ 4599407 h 6858000"/>
            <a:gd name="connsiteX5602" fmla="*/ 2468446 w 12192000"/>
            <a:gd name="connsiteY5602" fmla="*/ 4564589 h 6858000"/>
            <a:gd name="connsiteX5603" fmla="*/ 2503264 w 12192000"/>
            <a:gd name="connsiteY5603" fmla="*/ 4599407 h 6858000"/>
            <a:gd name="connsiteX5604" fmla="*/ 2468446 w 12192000"/>
            <a:gd name="connsiteY5604" fmla="*/ 4634226 h 6858000"/>
            <a:gd name="connsiteX5605" fmla="*/ 2553339 w 12192000"/>
            <a:gd name="connsiteY5605" fmla="*/ 4634226 h 6858000"/>
            <a:gd name="connsiteX5606" fmla="*/ 2518520 w 12192000"/>
            <a:gd name="connsiteY5606" fmla="*/ 4599407 h 6858000"/>
            <a:gd name="connsiteX5607" fmla="*/ 2553339 w 12192000"/>
            <a:gd name="connsiteY5607" fmla="*/ 4564589 h 6858000"/>
            <a:gd name="connsiteX5608" fmla="*/ 2588158 w 12192000"/>
            <a:gd name="connsiteY5608" fmla="*/ 4599407 h 6858000"/>
            <a:gd name="connsiteX5609" fmla="*/ 2553339 w 12192000"/>
            <a:gd name="connsiteY5609" fmla="*/ 4634226 h 6858000"/>
            <a:gd name="connsiteX5610" fmla="*/ 2638231 w 12192000"/>
            <a:gd name="connsiteY5610" fmla="*/ 4634226 h 6858000"/>
            <a:gd name="connsiteX5611" fmla="*/ 2603412 w 12192000"/>
            <a:gd name="connsiteY5611" fmla="*/ 4599407 h 6858000"/>
            <a:gd name="connsiteX5612" fmla="*/ 2638231 w 12192000"/>
            <a:gd name="connsiteY5612" fmla="*/ 4564589 h 6858000"/>
            <a:gd name="connsiteX5613" fmla="*/ 2673050 w 12192000"/>
            <a:gd name="connsiteY5613" fmla="*/ 4599407 h 6858000"/>
            <a:gd name="connsiteX5614" fmla="*/ 2638231 w 12192000"/>
            <a:gd name="connsiteY5614" fmla="*/ 4634226 h 6858000"/>
            <a:gd name="connsiteX5615" fmla="*/ 2723123 w 12192000"/>
            <a:gd name="connsiteY5615" fmla="*/ 4634226 h 6858000"/>
            <a:gd name="connsiteX5616" fmla="*/ 2688304 w 12192000"/>
            <a:gd name="connsiteY5616" fmla="*/ 4599407 h 6858000"/>
            <a:gd name="connsiteX5617" fmla="*/ 2723123 w 12192000"/>
            <a:gd name="connsiteY5617" fmla="*/ 4564589 h 6858000"/>
            <a:gd name="connsiteX5618" fmla="*/ 2757942 w 12192000"/>
            <a:gd name="connsiteY5618" fmla="*/ 4599407 h 6858000"/>
            <a:gd name="connsiteX5619" fmla="*/ 2723123 w 12192000"/>
            <a:gd name="connsiteY5619" fmla="*/ 4634226 h 6858000"/>
            <a:gd name="connsiteX5620" fmla="*/ 2808016 w 12192000"/>
            <a:gd name="connsiteY5620" fmla="*/ 4634226 h 6858000"/>
            <a:gd name="connsiteX5621" fmla="*/ 2773197 w 12192000"/>
            <a:gd name="connsiteY5621" fmla="*/ 4599407 h 6858000"/>
            <a:gd name="connsiteX5622" fmla="*/ 2808016 w 12192000"/>
            <a:gd name="connsiteY5622" fmla="*/ 4564589 h 6858000"/>
            <a:gd name="connsiteX5623" fmla="*/ 2842834 w 12192000"/>
            <a:gd name="connsiteY5623" fmla="*/ 4599407 h 6858000"/>
            <a:gd name="connsiteX5624" fmla="*/ 2808016 w 12192000"/>
            <a:gd name="connsiteY5624" fmla="*/ 4634226 h 6858000"/>
            <a:gd name="connsiteX5625" fmla="*/ 2892908 w 12192000"/>
            <a:gd name="connsiteY5625" fmla="*/ 4634226 h 6858000"/>
            <a:gd name="connsiteX5626" fmla="*/ 2858089 w 12192000"/>
            <a:gd name="connsiteY5626" fmla="*/ 4599407 h 6858000"/>
            <a:gd name="connsiteX5627" fmla="*/ 2892908 w 12192000"/>
            <a:gd name="connsiteY5627" fmla="*/ 4564589 h 6858000"/>
            <a:gd name="connsiteX5628" fmla="*/ 2927727 w 12192000"/>
            <a:gd name="connsiteY5628" fmla="*/ 4599407 h 6858000"/>
            <a:gd name="connsiteX5629" fmla="*/ 2892908 w 12192000"/>
            <a:gd name="connsiteY5629" fmla="*/ 4634226 h 6858000"/>
            <a:gd name="connsiteX5630" fmla="*/ 2977801 w 12192000"/>
            <a:gd name="connsiteY5630" fmla="*/ 4634226 h 6858000"/>
            <a:gd name="connsiteX5631" fmla="*/ 2942982 w 12192000"/>
            <a:gd name="connsiteY5631" fmla="*/ 4599407 h 6858000"/>
            <a:gd name="connsiteX5632" fmla="*/ 2977801 w 12192000"/>
            <a:gd name="connsiteY5632" fmla="*/ 4564589 h 6858000"/>
            <a:gd name="connsiteX5633" fmla="*/ 3012620 w 12192000"/>
            <a:gd name="connsiteY5633" fmla="*/ 4599407 h 6858000"/>
            <a:gd name="connsiteX5634" fmla="*/ 2977801 w 12192000"/>
            <a:gd name="connsiteY5634" fmla="*/ 4634226 h 6858000"/>
            <a:gd name="connsiteX5635" fmla="*/ 3147586 w 12192000"/>
            <a:gd name="connsiteY5635" fmla="*/ 4634226 h 6858000"/>
            <a:gd name="connsiteX5636" fmla="*/ 3112767 w 12192000"/>
            <a:gd name="connsiteY5636" fmla="*/ 4599407 h 6858000"/>
            <a:gd name="connsiteX5637" fmla="*/ 3147586 w 12192000"/>
            <a:gd name="connsiteY5637" fmla="*/ 4564589 h 6858000"/>
            <a:gd name="connsiteX5638" fmla="*/ 3182404 w 12192000"/>
            <a:gd name="connsiteY5638" fmla="*/ 4599407 h 6858000"/>
            <a:gd name="connsiteX5639" fmla="*/ 3147586 w 12192000"/>
            <a:gd name="connsiteY5639" fmla="*/ 4634226 h 6858000"/>
            <a:gd name="connsiteX5640" fmla="*/ 3317371 w 12192000"/>
            <a:gd name="connsiteY5640" fmla="*/ 4634226 h 6858000"/>
            <a:gd name="connsiteX5641" fmla="*/ 3282552 w 12192000"/>
            <a:gd name="connsiteY5641" fmla="*/ 4599407 h 6858000"/>
            <a:gd name="connsiteX5642" fmla="*/ 3317371 w 12192000"/>
            <a:gd name="connsiteY5642" fmla="*/ 4564589 h 6858000"/>
            <a:gd name="connsiteX5643" fmla="*/ 3352190 w 12192000"/>
            <a:gd name="connsiteY5643" fmla="*/ 4599407 h 6858000"/>
            <a:gd name="connsiteX5644" fmla="*/ 3317371 w 12192000"/>
            <a:gd name="connsiteY5644" fmla="*/ 4634226 h 6858000"/>
            <a:gd name="connsiteX5645" fmla="*/ 3402263 w 12192000"/>
            <a:gd name="connsiteY5645" fmla="*/ 4634226 h 6858000"/>
            <a:gd name="connsiteX5646" fmla="*/ 3367444 w 12192000"/>
            <a:gd name="connsiteY5646" fmla="*/ 4599407 h 6858000"/>
            <a:gd name="connsiteX5647" fmla="*/ 3402263 w 12192000"/>
            <a:gd name="connsiteY5647" fmla="*/ 4564589 h 6858000"/>
            <a:gd name="connsiteX5648" fmla="*/ 3437082 w 12192000"/>
            <a:gd name="connsiteY5648" fmla="*/ 4599407 h 6858000"/>
            <a:gd name="connsiteX5649" fmla="*/ 3402263 w 12192000"/>
            <a:gd name="connsiteY5649" fmla="*/ 4634226 h 6858000"/>
            <a:gd name="connsiteX5650" fmla="*/ 3487156 w 12192000"/>
            <a:gd name="connsiteY5650" fmla="*/ 4634226 h 6858000"/>
            <a:gd name="connsiteX5651" fmla="*/ 3452337 w 12192000"/>
            <a:gd name="connsiteY5651" fmla="*/ 4599407 h 6858000"/>
            <a:gd name="connsiteX5652" fmla="*/ 3487156 w 12192000"/>
            <a:gd name="connsiteY5652" fmla="*/ 4564589 h 6858000"/>
            <a:gd name="connsiteX5653" fmla="*/ 3521974 w 12192000"/>
            <a:gd name="connsiteY5653" fmla="*/ 4599407 h 6858000"/>
            <a:gd name="connsiteX5654" fmla="*/ 3487156 w 12192000"/>
            <a:gd name="connsiteY5654" fmla="*/ 4634226 h 6858000"/>
            <a:gd name="connsiteX5655" fmla="*/ 3741833 w 12192000"/>
            <a:gd name="connsiteY5655" fmla="*/ 4634226 h 6858000"/>
            <a:gd name="connsiteX5656" fmla="*/ 3707014 w 12192000"/>
            <a:gd name="connsiteY5656" fmla="*/ 4599407 h 6858000"/>
            <a:gd name="connsiteX5657" fmla="*/ 3741833 w 12192000"/>
            <a:gd name="connsiteY5657" fmla="*/ 4564589 h 6858000"/>
            <a:gd name="connsiteX5658" fmla="*/ 3776652 w 12192000"/>
            <a:gd name="connsiteY5658" fmla="*/ 4599407 h 6858000"/>
            <a:gd name="connsiteX5659" fmla="*/ 3741833 w 12192000"/>
            <a:gd name="connsiteY5659" fmla="*/ 4634226 h 6858000"/>
            <a:gd name="connsiteX5660" fmla="*/ 3826726 w 12192000"/>
            <a:gd name="connsiteY5660" fmla="*/ 4634226 h 6858000"/>
            <a:gd name="connsiteX5661" fmla="*/ 3791907 w 12192000"/>
            <a:gd name="connsiteY5661" fmla="*/ 4599407 h 6858000"/>
            <a:gd name="connsiteX5662" fmla="*/ 3826726 w 12192000"/>
            <a:gd name="connsiteY5662" fmla="*/ 4564589 h 6858000"/>
            <a:gd name="connsiteX5663" fmla="*/ 3861544 w 12192000"/>
            <a:gd name="connsiteY5663" fmla="*/ 4599407 h 6858000"/>
            <a:gd name="connsiteX5664" fmla="*/ 3826726 w 12192000"/>
            <a:gd name="connsiteY5664" fmla="*/ 4634226 h 6858000"/>
            <a:gd name="connsiteX5665" fmla="*/ 3911618 w 12192000"/>
            <a:gd name="connsiteY5665" fmla="*/ 4634226 h 6858000"/>
            <a:gd name="connsiteX5666" fmla="*/ 3876799 w 12192000"/>
            <a:gd name="connsiteY5666" fmla="*/ 4599407 h 6858000"/>
            <a:gd name="connsiteX5667" fmla="*/ 3911618 w 12192000"/>
            <a:gd name="connsiteY5667" fmla="*/ 4564589 h 6858000"/>
            <a:gd name="connsiteX5668" fmla="*/ 3946437 w 12192000"/>
            <a:gd name="connsiteY5668" fmla="*/ 4599407 h 6858000"/>
            <a:gd name="connsiteX5669" fmla="*/ 3911618 w 12192000"/>
            <a:gd name="connsiteY5669" fmla="*/ 4634226 h 6858000"/>
            <a:gd name="connsiteX5670" fmla="*/ 3996511 w 12192000"/>
            <a:gd name="connsiteY5670" fmla="*/ 4634226 h 6858000"/>
            <a:gd name="connsiteX5671" fmla="*/ 3961692 w 12192000"/>
            <a:gd name="connsiteY5671" fmla="*/ 4599407 h 6858000"/>
            <a:gd name="connsiteX5672" fmla="*/ 3996511 w 12192000"/>
            <a:gd name="connsiteY5672" fmla="*/ 4564589 h 6858000"/>
            <a:gd name="connsiteX5673" fmla="*/ 4031330 w 12192000"/>
            <a:gd name="connsiteY5673" fmla="*/ 4599407 h 6858000"/>
            <a:gd name="connsiteX5674" fmla="*/ 3996511 w 12192000"/>
            <a:gd name="connsiteY5674" fmla="*/ 4634226 h 6858000"/>
            <a:gd name="connsiteX5675" fmla="*/ 4081403 w 12192000"/>
            <a:gd name="connsiteY5675" fmla="*/ 4634226 h 6858000"/>
            <a:gd name="connsiteX5676" fmla="*/ 4046584 w 12192000"/>
            <a:gd name="connsiteY5676" fmla="*/ 4599407 h 6858000"/>
            <a:gd name="connsiteX5677" fmla="*/ 4081403 w 12192000"/>
            <a:gd name="connsiteY5677" fmla="*/ 4564589 h 6858000"/>
            <a:gd name="connsiteX5678" fmla="*/ 4116222 w 12192000"/>
            <a:gd name="connsiteY5678" fmla="*/ 4599407 h 6858000"/>
            <a:gd name="connsiteX5679" fmla="*/ 4081403 w 12192000"/>
            <a:gd name="connsiteY5679" fmla="*/ 4634226 h 6858000"/>
            <a:gd name="connsiteX5680" fmla="*/ 5694360 w 12192000"/>
            <a:gd name="connsiteY5680" fmla="*/ 4634226 h 6858000"/>
            <a:gd name="connsiteX5681" fmla="*/ 5659541 w 12192000"/>
            <a:gd name="connsiteY5681" fmla="*/ 4599407 h 6858000"/>
            <a:gd name="connsiteX5682" fmla="*/ 5694360 w 12192000"/>
            <a:gd name="connsiteY5682" fmla="*/ 4564589 h 6858000"/>
            <a:gd name="connsiteX5683" fmla="*/ 5729179 w 12192000"/>
            <a:gd name="connsiteY5683" fmla="*/ 4599407 h 6858000"/>
            <a:gd name="connsiteX5684" fmla="*/ 5694360 w 12192000"/>
            <a:gd name="connsiteY5684" fmla="*/ 4634226 h 6858000"/>
            <a:gd name="connsiteX5685" fmla="*/ 6203718 w 12192000"/>
            <a:gd name="connsiteY5685" fmla="*/ 4634226 h 6858000"/>
            <a:gd name="connsiteX5686" fmla="*/ 6168893 w 12192000"/>
            <a:gd name="connsiteY5686" fmla="*/ 4599407 h 6858000"/>
            <a:gd name="connsiteX5687" fmla="*/ 6203718 w 12192000"/>
            <a:gd name="connsiteY5687" fmla="*/ 4564589 h 6858000"/>
            <a:gd name="connsiteX5688" fmla="*/ 6238530 w 12192000"/>
            <a:gd name="connsiteY5688" fmla="*/ 4599407 h 6858000"/>
            <a:gd name="connsiteX5689" fmla="*/ 6203718 w 12192000"/>
            <a:gd name="connsiteY5689" fmla="*/ 4634226 h 6858000"/>
            <a:gd name="connsiteX5690" fmla="*/ 6458396 w 12192000"/>
            <a:gd name="connsiteY5690" fmla="*/ 4634226 h 6858000"/>
            <a:gd name="connsiteX5691" fmla="*/ 6423570 w 12192000"/>
            <a:gd name="connsiteY5691" fmla="*/ 4599407 h 6858000"/>
            <a:gd name="connsiteX5692" fmla="*/ 6458396 w 12192000"/>
            <a:gd name="connsiteY5692" fmla="*/ 4564589 h 6858000"/>
            <a:gd name="connsiteX5693" fmla="*/ 6493208 w 12192000"/>
            <a:gd name="connsiteY5693" fmla="*/ 4599407 h 6858000"/>
            <a:gd name="connsiteX5694" fmla="*/ 6458396 w 12192000"/>
            <a:gd name="connsiteY5694" fmla="*/ 4634226 h 6858000"/>
            <a:gd name="connsiteX5695" fmla="*/ 6543288 w 12192000"/>
            <a:gd name="connsiteY5695" fmla="*/ 4634226 h 6858000"/>
            <a:gd name="connsiteX5696" fmla="*/ 6508463 w 12192000"/>
            <a:gd name="connsiteY5696" fmla="*/ 4599407 h 6858000"/>
            <a:gd name="connsiteX5697" fmla="*/ 6543288 w 12192000"/>
            <a:gd name="connsiteY5697" fmla="*/ 4564589 h 6858000"/>
            <a:gd name="connsiteX5698" fmla="*/ 6578100 w 12192000"/>
            <a:gd name="connsiteY5698" fmla="*/ 4599407 h 6858000"/>
            <a:gd name="connsiteX5699" fmla="*/ 6543288 w 12192000"/>
            <a:gd name="connsiteY5699" fmla="*/ 4634226 h 6858000"/>
            <a:gd name="connsiteX5700" fmla="*/ 6628181 w 12192000"/>
            <a:gd name="connsiteY5700" fmla="*/ 4634226 h 6858000"/>
            <a:gd name="connsiteX5701" fmla="*/ 6593356 w 12192000"/>
            <a:gd name="connsiteY5701" fmla="*/ 4599407 h 6858000"/>
            <a:gd name="connsiteX5702" fmla="*/ 6628181 w 12192000"/>
            <a:gd name="connsiteY5702" fmla="*/ 4564589 h 6858000"/>
            <a:gd name="connsiteX5703" fmla="*/ 6662994 w 12192000"/>
            <a:gd name="connsiteY5703" fmla="*/ 4599407 h 6858000"/>
            <a:gd name="connsiteX5704" fmla="*/ 6628181 w 12192000"/>
            <a:gd name="connsiteY5704" fmla="*/ 4634226 h 6858000"/>
            <a:gd name="connsiteX5705" fmla="*/ 6713074 w 12192000"/>
            <a:gd name="connsiteY5705" fmla="*/ 4634226 h 6858000"/>
            <a:gd name="connsiteX5706" fmla="*/ 6678248 w 12192000"/>
            <a:gd name="connsiteY5706" fmla="*/ 4599407 h 6858000"/>
            <a:gd name="connsiteX5707" fmla="*/ 6713074 w 12192000"/>
            <a:gd name="connsiteY5707" fmla="*/ 4564589 h 6858000"/>
            <a:gd name="connsiteX5708" fmla="*/ 6747886 w 12192000"/>
            <a:gd name="connsiteY5708" fmla="*/ 4599407 h 6858000"/>
            <a:gd name="connsiteX5709" fmla="*/ 6713074 w 12192000"/>
            <a:gd name="connsiteY5709" fmla="*/ 4634226 h 6858000"/>
            <a:gd name="connsiteX5710" fmla="*/ 6797966 w 12192000"/>
            <a:gd name="connsiteY5710" fmla="*/ 4634226 h 6858000"/>
            <a:gd name="connsiteX5711" fmla="*/ 6763140 w 12192000"/>
            <a:gd name="connsiteY5711" fmla="*/ 4599407 h 6858000"/>
            <a:gd name="connsiteX5712" fmla="*/ 6797966 w 12192000"/>
            <a:gd name="connsiteY5712" fmla="*/ 4564589 h 6858000"/>
            <a:gd name="connsiteX5713" fmla="*/ 6832778 w 12192000"/>
            <a:gd name="connsiteY5713" fmla="*/ 4599407 h 6858000"/>
            <a:gd name="connsiteX5714" fmla="*/ 6797966 w 12192000"/>
            <a:gd name="connsiteY5714" fmla="*/ 4634226 h 6858000"/>
            <a:gd name="connsiteX5715" fmla="*/ 6882858 w 12192000"/>
            <a:gd name="connsiteY5715" fmla="*/ 4634226 h 6858000"/>
            <a:gd name="connsiteX5716" fmla="*/ 6848033 w 12192000"/>
            <a:gd name="connsiteY5716" fmla="*/ 4599407 h 6858000"/>
            <a:gd name="connsiteX5717" fmla="*/ 6882858 w 12192000"/>
            <a:gd name="connsiteY5717" fmla="*/ 4564589 h 6858000"/>
            <a:gd name="connsiteX5718" fmla="*/ 6917670 w 12192000"/>
            <a:gd name="connsiteY5718" fmla="*/ 4599407 h 6858000"/>
            <a:gd name="connsiteX5719" fmla="*/ 6882858 w 12192000"/>
            <a:gd name="connsiteY5719" fmla="*/ 4634226 h 6858000"/>
            <a:gd name="connsiteX5720" fmla="*/ 6967750 w 12192000"/>
            <a:gd name="connsiteY5720" fmla="*/ 4634226 h 6858000"/>
            <a:gd name="connsiteX5721" fmla="*/ 6932925 w 12192000"/>
            <a:gd name="connsiteY5721" fmla="*/ 4599407 h 6858000"/>
            <a:gd name="connsiteX5722" fmla="*/ 6967750 w 12192000"/>
            <a:gd name="connsiteY5722" fmla="*/ 4564589 h 6858000"/>
            <a:gd name="connsiteX5723" fmla="*/ 7002563 w 12192000"/>
            <a:gd name="connsiteY5723" fmla="*/ 4599407 h 6858000"/>
            <a:gd name="connsiteX5724" fmla="*/ 6967750 w 12192000"/>
            <a:gd name="connsiteY5724" fmla="*/ 4634226 h 6858000"/>
            <a:gd name="connsiteX5725" fmla="*/ 7052644 w 12192000"/>
            <a:gd name="connsiteY5725" fmla="*/ 4634226 h 6858000"/>
            <a:gd name="connsiteX5726" fmla="*/ 7017818 w 12192000"/>
            <a:gd name="connsiteY5726" fmla="*/ 4599407 h 6858000"/>
            <a:gd name="connsiteX5727" fmla="*/ 7052644 w 12192000"/>
            <a:gd name="connsiteY5727" fmla="*/ 4564589 h 6858000"/>
            <a:gd name="connsiteX5728" fmla="*/ 7087456 w 12192000"/>
            <a:gd name="connsiteY5728" fmla="*/ 4599407 h 6858000"/>
            <a:gd name="connsiteX5729" fmla="*/ 7052644 w 12192000"/>
            <a:gd name="connsiteY5729" fmla="*/ 4634226 h 6858000"/>
            <a:gd name="connsiteX5730" fmla="*/ 7137536 w 12192000"/>
            <a:gd name="connsiteY5730" fmla="*/ 4634226 h 6858000"/>
            <a:gd name="connsiteX5731" fmla="*/ 7102710 w 12192000"/>
            <a:gd name="connsiteY5731" fmla="*/ 4599407 h 6858000"/>
            <a:gd name="connsiteX5732" fmla="*/ 7137536 w 12192000"/>
            <a:gd name="connsiteY5732" fmla="*/ 4564589 h 6858000"/>
            <a:gd name="connsiteX5733" fmla="*/ 7172348 w 12192000"/>
            <a:gd name="connsiteY5733" fmla="*/ 4599407 h 6858000"/>
            <a:gd name="connsiteX5734" fmla="*/ 7137536 w 12192000"/>
            <a:gd name="connsiteY5734" fmla="*/ 4634226 h 6858000"/>
            <a:gd name="connsiteX5735" fmla="*/ 7222428 w 12192000"/>
            <a:gd name="connsiteY5735" fmla="*/ 4634226 h 6858000"/>
            <a:gd name="connsiteX5736" fmla="*/ 7187603 w 12192000"/>
            <a:gd name="connsiteY5736" fmla="*/ 4599407 h 6858000"/>
            <a:gd name="connsiteX5737" fmla="*/ 7222428 w 12192000"/>
            <a:gd name="connsiteY5737" fmla="*/ 4564589 h 6858000"/>
            <a:gd name="connsiteX5738" fmla="*/ 7257240 w 12192000"/>
            <a:gd name="connsiteY5738" fmla="*/ 4599407 h 6858000"/>
            <a:gd name="connsiteX5739" fmla="*/ 7222428 w 12192000"/>
            <a:gd name="connsiteY5739" fmla="*/ 4634226 h 6858000"/>
            <a:gd name="connsiteX5740" fmla="*/ 7307320 w 12192000"/>
            <a:gd name="connsiteY5740" fmla="*/ 4634226 h 6858000"/>
            <a:gd name="connsiteX5741" fmla="*/ 7272495 w 12192000"/>
            <a:gd name="connsiteY5741" fmla="*/ 4599407 h 6858000"/>
            <a:gd name="connsiteX5742" fmla="*/ 7307320 w 12192000"/>
            <a:gd name="connsiteY5742" fmla="*/ 4564589 h 6858000"/>
            <a:gd name="connsiteX5743" fmla="*/ 7342133 w 12192000"/>
            <a:gd name="connsiteY5743" fmla="*/ 4599407 h 6858000"/>
            <a:gd name="connsiteX5744" fmla="*/ 7307320 w 12192000"/>
            <a:gd name="connsiteY5744" fmla="*/ 4634226 h 6858000"/>
            <a:gd name="connsiteX5745" fmla="*/ 7392214 w 12192000"/>
            <a:gd name="connsiteY5745" fmla="*/ 4634226 h 6858000"/>
            <a:gd name="connsiteX5746" fmla="*/ 7357388 w 12192000"/>
            <a:gd name="connsiteY5746" fmla="*/ 4599407 h 6858000"/>
            <a:gd name="connsiteX5747" fmla="*/ 7392214 w 12192000"/>
            <a:gd name="connsiteY5747" fmla="*/ 4564589 h 6858000"/>
            <a:gd name="connsiteX5748" fmla="*/ 7427026 w 12192000"/>
            <a:gd name="connsiteY5748" fmla="*/ 4599407 h 6858000"/>
            <a:gd name="connsiteX5749" fmla="*/ 7392214 w 12192000"/>
            <a:gd name="connsiteY5749" fmla="*/ 4634226 h 6858000"/>
            <a:gd name="connsiteX5750" fmla="*/ 7477106 w 12192000"/>
            <a:gd name="connsiteY5750" fmla="*/ 4634226 h 6858000"/>
            <a:gd name="connsiteX5751" fmla="*/ 7442280 w 12192000"/>
            <a:gd name="connsiteY5751" fmla="*/ 4599407 h 6858000"/>
            <a:gd name="connsiteX5752" fmla="*/ 7477106 w 12192000"/>
            <a:gd name="connsiteY5752" fmla="*/ 4564589 h 6858000"/>
            <a:gd name="connsiteX5753" fmla="*/ 7511918 w 12192000"/>
            <a:gd name="connsiteY5753" fmla="*/ 4599407 h 6858000"/>
            <a:gd name="connsiteX5754" fmla="*/ 7477106 w 12192000"/>
            <a:gd name="connsiteY5754" fmla="*/ 4634226 h 6858000"/>
            <a:gd name="connsiteX5755" fmla="*/ 7561998 w 12192000"/>
            <a:gd name="connsiteY5755" fmla="*/ 4634226 h 6858000"/>
            <a:gd name="connsiteX5756" fmla="*/ 7527173 w 12192000"/>
            <a:gd name="connsiteY5756" fmla="*/ 4599407 h 6858000"/>
            <a:gd name="connsiteX5757" fmla="*/ 7561998 w 12192000"/>
            <a:gd name="connsiteY5757" fmla="*/ 4564589 h 6858000"/>
            <a:gd name="connsiteX5758" fmla="*/ 7596810 w 12192000"/>
            <a:gd name="connsiteY5758" fmla="*/ 4599407 h 6858000"/>
            <a:gd name="connsiteX5759" fmla="*/ 7561998 w 12192000"/>
            <a:gd name="connsiteY5759" fmla="*/ 4634226 h 6858000"/>
            <a:gd name="connsiteX5760" fmla="*/ 7646890 w 12192000"/>
            <a:gd name="connsiteY5760" fmla="*/ 4634226 h 6858000"/>
            <a:gd name="connsiteX5761" fmla="*/ 7612065 w 12192000"/>
            <a:gd name="connsiteY5761" fmla="*/ 4599407 h 6858000"/>
            <a:gd name="connsiteX5762" fmla="*/ 7646890 w 12192000"/>
            <a:gd name="connsiteY5762" fmla="*/ 4564589 h 6858000"/>
            <a:gd name="connsiteX5763" fmla="*/ 7681703 w 12192000"/>
            <a:gd name="connsiteY5763" fmla="*/ 4599407 h 6858000"/>
            <a:gd name="connsiteX5764" fmla="*/ 7646890 w 12192000"/>
            <a:gd name="connsiteY5764" fmla="*/ 4634226 h 6858000"/>
            <a:gd name="connsiteX5765" fmla="*/ 7731784 w 12192000"/>
            <a:gd name="connsiteY5765" fmla="*/ 4634226 h 6858000"/>
            <a:gd name="connsiteX5766" fmla="*/ 7696958 w 12192000"/>
            <a:gd name="connsiteY5766" fmla="*/ 4599407 h 6858000"/>
            <a:gd name="connsiteX5767" fmla="*/ 7731784 w 12192000"/>
            <a:gd name="connsiteY5767" fmla="*/ 4564589 h 6858000"/>
            <a:gd name="connsiteX5768" fmla="*/ 7766596 w 12192000"/>
            <a:gd name="connsiteY5768" fmla="*/ 4599407 h 6858000"/>
            <a:gd name="connsiteX5769" fmla="*/ 7731784 w 12192000"/>
            <a:gd name="connsiteY5769" fmla="*/ 4634226 h 6858000"/>
            <a:gd name="connsiteX5770" fmla="*/ 7816676 w 12192000"/>
            <a:gd name="connsiteY5770" fmla="*/ 4634226 h 6858000"/>
            <a:gd name="connsiteX5771" fmla="*/ 7781850 w 12192000"/>
            <a:gd name="connsiteY5771" fmla="*/ 4599407 h 6858000"/>
            <a:gd name="connsiteX5772" fmla="*/ 7816676 w 12192000"/>
            <a:gd name="connsiteY5772" fmla="*/ 4564589 h 6858000"/>
            <a:gd name="connsiteX5773" fmla="*/ 7851488 w 12192000"/>
            <a:gd name="connsiteY5773" fmla="*/ 4599407 h 6858000"/>
            <a:gd name="connsiteX5774" fmla="*/ 7816676 w 12192000"/>
            <a:gd name="connsiteY5774" fmla="*/ 4634226 h 6858000"/>
            <a:gd name="connsiteX5775" fmla="*/ 7901568 w 12192000"/>
            <a:gd name="connsiteY5775" fmla="*/ 4634226 h 6858000"/>
            <a:gd name="connsiteX5776" fmla="*/ 7866743 w 12192000"/>
            <a:gd name="connsiteY5776" fmla="*/ 4599407 h 6858000"/>
            <a:gd name="connsiteX5777" fmla="*/ 7901568 w 12192000"/>
            <a:gd name="connsiteY5777" fmla="*/ 4564589 h 6858000"/>
            <a:gd name="connsiteX5778" fmla="*/ 7936380 w 12192000"/>
            <a:gd name="connsiteY5778" fmla="*/ 4599407 h 6858000"/>
            <a:gd name="connsiteX5779" fmla="*/ 7901568 w 12192000"/>
            <a:gd name="connsiteY5779" fmla="*/ 4634226 h 6858000"/>
            <a:gd name="connsiteX5780" fmla="*/ 7986460 w 12192000"/>
            <a:gd name="connsiteY5780" fmla="*/ 4634226 h 6858000"/>
            <a:gd name="connsiteX5781" fmla="*/ 7951635 w 12192000"/>
            <a:gd name="connsiteY5781" fmla="*/ 4599407 h 6858000"/>
            <a:gd name="connsiteX5782" fmla="*/ 7986460 w 12192000"/>
            <a:gd name="connsiteY5782" fmla="*/ 4564589 h 6858000"/>
            <a:gd name="connsiteX5783" fmla="*/ 8021273 w 12192000"/>
            <a:gd name="connsiteY5783" fmla="*/ 4599407 h 6858000"/>
            <a:gd name="connsiteX5784" fmla="*/ 7986460 w 12192000"/>
            <a:gd name="connsiteY5784" fmla="*/ 4634226 h 6858000"/>
            <a:gd name="connsiteX5785" fmla="*/ 8071353 w 12192000"/>
            <a:gd name="connsiteY5785" fmla="*/ 4634226 h 6858000"/>
            <a:gd name="connsiteX5786" fmla="*/ 8036527 w 12192000"/>
            <a:gd name="connsiteY5786" fmla="*/ 4599407 h 6858000"/>
            <a:gd name="connsiteX5787" fmla="*/ 8071353 w 12192000"/>
            <a:gd name="connsiteY5787" fmla="*/ 4564589 h 6858000"/>
            <a:gd name="connsiteX5788" fmla="*/ 8106165 w 12192000"/>
            <a:gd name="connsiteY5788" fmla="*/ 4599407 h 6858000"/>
            <a:gd name="connsiteX5789" fmla="*/ 8071353 w 12192000"/>
            <a:gd name="connsiteY5789" fmla="*/ 4634226 h 6858000"/>
            <a:gd name="connsiteX5790" fmla="*/ 8156246 w 12192000"/>
            <a:gd name="connsiteY5790" fmla="*/ 4634226 h 6858000"/>
            <a:gd name="connsiteX5791" fmla="*/ 8121420 w 12192000"/>
            <a:gd name="connsiteY5791" fmla="*/ 4599407 h 6858000"/>
            <a:gd name="connsiteX5792" fmla="*/ 8156246 w 12192000"/>
            <a:gd name="connsiteY5792" fmla="*/ 4564589 h 6858000"/>
            <a:gd name="connsiteX5793" fmla="*/ 8191058 w 12192000"/>
            <a:gd name="connsiteY5793" fmla="*/ 4599407 h 6858000"/>
            <a:gd name="connsiteX5794" fmla="*/ 8156246 w 12192000"/>
            <a:gd name="connsiteY5794" fmla="*/ 4634226 h 6858000"/>
            <a:gd name="connsiteX5795" fmla="*/ 8241138 w 12192000"/>
            <a:gd name="connsiteY5795" fmla="*/ 4634226 h 6858000"/>
            <a:gd name="connsiteX5796" fmla="*/ 8206313 w 12192000"/>
            <a:gd name="connsiteY5796" fmla="*/ 4599407 h 6858000"/>
            <a:gd name="connsiteX5797" fmla="*/ 8241138 w 12192000"/>
            <a:gd name="connsiteY5797" fmla="*/ 4564589 h 6858000"/>
            <a:gd name="connsiteX5798" fmla="*/ 8275950 w 12192000"/>
            <a:gd name="connsiteY5798" fmla="*/ 4599407 h 6858000"/>
            <a:gd name="connsiteX5799" fmla="*/ 8241138 w 12192000"/>
            <a:gd name="connsiteY5799" fmla="*/ 4634226 h 6858000"/>
            <a:gd name="connsiteX5800" fmla="*/ 8326030 w 12192000"/>
            <a:gd name="connsiteY5800" fmla="*/ 4634226 h 6858000"/>
            <a:gd name="connsiteX5801" fmla="*/ 8291205 w 12192000"/>
            <a:gd name="connsiteY5801" fmla="*/ 4599407 h 6858000"/>
            <a:gd name="connsiteX5802" fmla="*/ 8326030 w 12192000"/>
            <a:gd name="connsiteY5802" fmla="*/ 4564589 h 6858000"/>
            <a:gd name="connsiteX5803" fmla="*/ 8360843 w 12192000"/>
            <a:gd name="connsiteY5803" fmla="*/ 4599407 h 6858000"/>
            <a:gd name="connsiteX5804" fmla="*/ 8326030 w 12192000"/>
            <a:gd name="connsiteY5804" fmla="*/ 4634226 h 6858000"/>
            <a:gd name="connsiteX5805" fmla="*/ 8410923 w 12192000"/>
            <a:gd name="connsiteY5805" fmla="*/ 4634226 h 6858000"/>
            <a:gd name="connsiteX5806" fmla="*/ 8376097 w 12192000"/>
            <a:gd name="connsiteY5806" fmla="*/ 4599407 h 6858000"/>
            <a:gd name="connsiteX5807" fmla="*/ 8410923 w 12192000"/>
            <a:gd name="connsiteY5807" fmla="*/ 4564589 h 6858000"/>
            <a:gd name="connsiteX5808" fmla="*/ 8445735 w 12192000"/>
            <a:gd name="connsiteY5808" fmla="*/ 4599407 h 6858000"/>
            <a:gd name="connsiteX5809" fmla="*/ 8410923 w 12192000"/>
            <a:gd name="connsiteY5809" fmla="*/ 4634226 h 6858000"/>
            <a:gd name="connsiteX5810" fmla="*/ 8495816 w 12192000"/>
            <a:gd name="connsiteY5810" fmla="*/ 4634226 h 6858000"/>
            <a:gd name="connsiteX5811" fmla="*/ 8460990 w 12192000"/>
            <a:gd name="connsiteY5811" fmla="*/ 4599407 h 6858000"/>
            <a:gd name="connsiteX5812" fmla="*/ 8495816 w 12192000"/>
            <a:gd name="connsiteY5812" fmla="*/ 4564589 h 6858000"/>
            <a:gd name="connsiteX5813" fmla="*/ 8530628 w 12192000"/>
            <a:gd name="connsiteY5813" fmla="*/ 4599407 h 6858000"/>
            <a:gd name="connsiteX5814" fmla="*/ 8495816 w 12192000"/>
            <a:gd name="connsiteY5814" fmla="*/ 4634226 h 6858000"/>
            <a:gd name="connsiteX5815" fmla="*/ 8580708 w 12192000"/>
            <a:gd name="connsiteY5815" fmla="*/ 4634226 h 6858000"/>
            <a:gd name="connsiteX5816" fmla="*/ 8545883 w 12192000"/>
            <a:gd name="connsiteY5816" fmla="*/ 4599407 h 6858000"/>
            <a:gd name="connsiteX5817" fmla="*/ 8580708 w 12192000"/>
            <a:gd name="connsiteY5817" fmla="*/ 4564589 h 6858000"/>
            <a:gd name="connsiteX5818" fmla="*/ 8615520 w 12192000"/>
            <a:gd name="connsiteY5818" fmla="*/ 4599407 h 6858000"/>
            <a:gd name="connsiteX5819" fmla="*/ 8580708 w 12192000"/>
            <a:gd name="connsiteY5819" fmla="*/ 4634226 h 6858000"/>
            <a:gd name="connsiteX5820" fmla="*/ 8665600 w 12192000"/>
            <a:gd name="connsiteY5820" fmla="*/ 4634226 h 6858000"/>
            <a:gd name="connsiteX5821" fmla="*/ 8630775 w 12192000"/>
            <a:gd name="connsiteY5821" fmla="*/ 4599407 h 6858000"/>
            <a:gd name="connsiteX5822" fmla="*/ 8665600 w 12192000"/>
            <a:gd name="connsiteY5822" fmla="*/ 4564589 h 6858000"/>
            <a:gd name="connsiteX5823" fmla="*/ 8700413 w 12192000"/>
            <a:gd name="connsiteY5823" fmla="*/ 4599407 h 6858000"/>
            <a:gd name="connsiteX5824" fmla="*/ 8665600 w 12192000"/>
            <a:gd name="connsiteY5824" fmla="*/ 4634226 h 6858000"/>
            <a:gd name="connsiteX5825" fmla="*/ 8750493 w 12192000"/>
            <a:gd name="connsiteY5825" fmla="*/ 4634226 h 6858000"/>
            <a:gd name="connsiteX5826" fmla="*/ 8715667 w 12192000"/>
            <a:gd name="connsiteY5826" fmla="*/ 4599407 h 6858000"/>
            <a:gd name="connsiteX5827" fmla="*/ 8750493 w 12192000"/>
            <a:gd name="connsiteY5827" fmla="*/ 4564589 h 6858000"/>
            <a:gd name="connsiteX5828" fmla="*/ 8785305 w 12192000"/>
            <a:gd name="connsiteY5828" fmla="*/ 4599407 h 6858000"/>
            <a:gd name="connsiteX5829" fmla="*/ 8750493 w 12192000"/>
            <a:gd name="connsiteY5829" fmla="*/ 4634226 h 6858000"/>
            <a:gd name="connsiteX5830" fmla="*/ 8835386 w 12192000"/>
            <a:gd name="connsiteY5830" fmla="*/ 4634226 h 6858000"/>
            <a:gd name="connsiteX5831" fmla="*/ 8800560 w 12192000"/>
            <a:gd name="connsiteY5831" fmla="*/ 4599407 h 6858000"/>
            <a:gd name="connsiteX5832" fmla="*/ 8835386 w 12192000"/>
            <a:gd name="connsiteY5832" fmla="*/ 4564589 h 6858000"/>
            <a:gd name="connsiteX5833" fmla="*/ 8870198 w 12192000"/>
            <a:gd name="connsiteY5833" fmla="*/ 4599407 h 6858000"/>
            <a:gd name="connsiteX5834" fmla="*/ 8835386 w 12192000"/>
            <a:gd name="connsiteY5834" fmla="*/ 4634226 h 6858000"/>
            <a:gd name="connsiteX5835" fmla="*/ 9005170 w 12192000"/>
            <a:gd name="connsiteY5835" fmla="*/ 4634226 h 6858000"/>
            <a:gd name="connsiteX5836" fmla="*/ 8970345 w 12192000"/>
            <a:gd name="connsiteY5836" fmla="*/ 4599407 h 6858000"/>
            <a:gd name="connsiteX5837" fmla="*/ 9005170 w 12192000"/>
            <a:gd name="connsiteY5837" fmla="*/ 4564589 h 6858000"/>
            <a:gd name="connsiteX5838" fmla="*/ 9039983 w 12192000"/>
            <a:gd name="connsiteY5838" fmla="*/ 4599407 h 6858000"/>
            <a:gd name="connsiteX5839" fmla="*/ 9005170 w 12192000"/>
            <a:gd name="connsiteY5839" fmla="*/ 4634226 h 6858000"/>
            <a:gd name="connsiteX5840" fmla="*/ 9090063 w 12192000"/>
            <a:gd name="connsiteY5840" fmla="*/ 4634226 h 6858000"/>
            <a:gd name="connsiteX5841" fmla="*/ 9055237 w 12192000"/>
            <a:gd name="connsiteY5841" fmla="*/ 4599407 h 6858000"/>
            <a:gd name="connsiteX5842" fmla="*/ 9090063 w 12192000"/>
            <a:gd name="connsiteY5842" fmla="*/ 4564589 h 6858000"/>
            <a:gd name="connsiteX5843" fmla="*/ 9124875 w 12192000"/>
            <a:gd name="connsiteY5843" fmla="*/ 4599407 h 6858000"/>
            <a:gd name="connsiteX5844" fmla="*/ 9090063 w 12192000"/>
            <a:gd name="connsiteY5844" fmla="*/ 4634226 h 6858000"/>
            <a:gd name="connsiteX5845" fmla="*/ 9174956 w 12192000"/>
            <a:gd name="connsiteY5845" fmla="*/ 4634226 h 6858000"/>
            <a:gd name="connsiteX5846" fmla="*/ 9140130 w 12192000"/>
            <a:gd name="connsiteY5846" fmla="*/ 4599407 h 6858000"/>
            <a:gd name="connsiteX5847" fmla="*/ 9174956 w 12192000"/>
            <a:gd name="connsiteY5847" fmla="*/ 4564589 h 6858000"/>
            <a:gd name="connsiteX5848" fmla="*/ 9209768 w 12192000"/>
            <a:gd name="connsiteY5848" fmla="*/ 4599407 h 6858000"/>
            <a:gd name="connsiteX5849" fmla="*/ 9174956 w 12192000"/>
            <a:gd name="connsiteY5849" fmla="*/ 4634226 h 6858000"/>
            <a:gd name="connsiteX5850" fmla="*/ 9259848 w 12192000"/>
            <a:gd name="connsiteY5850" fmla="*/ 4634226 h 6858000"/>
            <a:gd name="connsiteX5851" fmla="*/ 9225023 w 12192000"/>
            <a:gd name="connsiteY5851" fmla="*/ 4599407 h 6858000"/>
            <a:gd name="connsiteX5852" fmla="*/ 9259848 w 12192000"/>
            <a:gd name="connsiteY5852" fmla="*/ 4564589 h 6858000"/>
            <a:gd name="connsiteX5853" fmla="*/ 9294660 w 12192000"/>
            <a:gd name="connsiteY5853" fmla="*/ 4599407 h 6858000"/>
            <a:gd name="connsiteX5854" fmla="*/ 9259848 w 12192000"/>
            <a:gd name="connsiteY5854" fmla="*/ 4634226 h 6858000"/>
            <a:gd name="connsiteX5855" fmla="*/ 9344740 w 12192000"/>
            <a:gd name="connsiteY5855" fmla="*/ 4634226 h 6858000"/>
            <a:gd name="connsiteX5856" fmla="*/ 9309915 w 12192000"/>
            <a:gd name="connsiteY5856" fmla="*/ 4599407 h 6858000"/>
            <a:gd name="connsiteX5857" fmla="*/ 9344740 w 12192000"/>
            <a:gd name="connsiteY5857" fmla="*/ 4564589 h 6858000"/>
            <a:gd name="connsiteX5858" fmla="*/ 9379553 w 12192000"/>
            <a:gd name="connsiteY5858" fmla="*/ 4599407 h 6858000"/>
            <a:gd name="connsiteX5859" fmla="*/ 9344740 w 12192000"/>
            <a:gd name="connsiteY5859" fmla="*/ 4634226 h 6858000"/>
            <a:gd name="connsiteX5860" fmla="*/ 9429633 w 12192000"/>
            <a:gd name="connsiteY5860" fmla="*/ 4634226 h 6858000"/>
            <a:gd name="connsiteX5861" fmla="*/ 9394807 w 12192000"/>
            <a:gd name="connsiteY5861" fmla="*/ 4599407 h 6858000"/>
            <a:gd name="connsiteX5862" fmla="*/ 9429633 w 12192000"/>
            <a:gd name="connsiteY5862" fmla="*/ 4564589 h 6858000"/>
            <a:gd name="connsiteX5863" fmla="*/ 9464445 w 12192000"/>
            <a:gd name="connsiteY5863" fmla="*/ 4599407 h 6858000"/>
            <a:gd name="connsiteX5864" fmla="*/ 9429633 w 12192000"/>
            <a:gd name="connsiteY5864" fmla="*/ 4634226 h 6858000"/>
            <a:gd name="connsiteX5865" fmla="*/ 9514525 w 12192000"/>
            <a:gd name="connsiteY5865" fmla="*/ 4634226 h 6858000"/>
            <a:gd name="connsiteX5866" fmla="*/ 9479699 w 12192000"/>
            <a:gd name="connsiteY5866" fmla="*/ 4599407 h 6858000"/>
            <a:gd name="connsiteX5867" fmla="*/ 9514525 w 12192000"/>
            <a:gd name="connsiteY5867" fmla="*/ 4564589 h 6858000"/>
            <a:gd name="connsiteX5868" fmla="*/ 9549337 w 12192000"/>
            <a:gd name="connsiteY5868" fmla="*/ 4599407 h 6858000"/>
            <a:gd name="connsiteX5869" fmla="*/ 9514525 w 12192000"/>
            <a:gd name="connsiteY5869" fmla="*/ 4634226 h 6858000"/>
            <a:gd name="connsiteX5870" fmla="*/ 9599418 w 12192000"/>
            <a:gd name="connsiteY5870" fmla="*/ 4634226 h 6858000"/>
            <a:gd name="connsiteX5871" fmla="*/ 9564593 w 12192000"/>
            <a:gd name="connsiteY5871" fmla="*/ 4599407 h 6858000"/>
            <a:gd name="connsiteX5872" fmla="*/ 9599418 w 12192000"/>
            <a:gd name="connsiteY5872" fmla="*/ 4564589 h 6858000"/>
            <a:gd name="connsiteX5873" fmla="*/ 9634230 w 12192000"/>
            <a:gd name="connsiteY5873" fmla="*/ 4599407 h 6858000"/>
            <a:gd name="connsiteX5874" fmla="*/ 9599418 w 12192000"/>
            <a:gd name="connsiteY5874" fmla="*/ 4634226 h 6858000"/>
            <a:gd name="connsiteX5875" fmla="*/ 9684310 w 12192000"/>
            <a:gd name="connsiteY5875" fmla="*/ 4634226 h 6858000"/>
            <a:gd name="connsiteX5876" fmla="*/ 9649485 w 12192000"/>
            <a:gd name="connsiteY5876" fmla="*/ 4599407 h 6858000"/>
            <a:gd name="connsiteX5877" fmla="*/ 9684310 w 12192000"/>
            <a:gd name="connsiteY5877" fmla="*/ 4564589 h 6858000"/>
            <a:gd name="connsiteX5878" fmla="*/ 9719123 w 12192000"/>
            <a:gd name="connsiteY5878" fmla="*/ 4599407 h 6858000"/>
            <a:gd name="connsiteX5879" fmla="*/ 9684310 w 12192000"/>
            <a:gd name="connsiteY5879" fmla="*/ 4634226 h 6858000"/>
            <a:gd name="connsiteX5880" fmla="*/ 9769203 w 12192000"/>
            <a:gd name="connsiteY5880" fmla="*/ 4634226 h 6858000"/>
            <a:gd name="connsiteX5881" fmla="*/ 9734377 w 12192000"/>
            <a:gd name="connsiteY5881" fmla="*/ 4599407 h 6858000"/>
            <a:gd name="connsiteX5882" fmla="*/ 9769203 w 12192000"/>
            <a:gd name="connsiteY5882" fmla="*/ 4564589 h 6858000"/>
            <a:gd name="connsiteX5883" fmla="*/ 9804015 w 12192000"/>
            <a:gd name="connsiteY5883" fmla="*/ 4599407 h 6858000"/>
            <a:gd name="connsiteX5884" fmla="*/ 9769203 w 12192000"/>
            <a:gd name="connsiteY5884" fmla="*/ 4634226 h 6858000"/>
            <a:gd name="connsiteX5885" fmla="*/ 9854095 w 12192000"/>
            <a:gd name="connsiteY5885" fmla="*/ 4634226 h 6858000"/>
            <a:gd name="connsiteX5886" fmla="*/ 9819269 w 12192000"/>
            <a:gd name="connsiteY5886" fmla="*/ 4599407 h 6858000"/>
            <a:gd name="connsiteX5887" fmla="*/ 9854095 w 12192000"/>
            <a:gd name="connsiteY5887" fmla="*/ 4564589 h 6858000"/>
            <a:gd name="connsiteX5888" fmla="*/ 9888907 w 12192000"/>
            <a:gd name="connsiteY5888" fmla="*/ 4599407 h 6858000"/>
            <a:gd name="connsiteX5889" fmla="*/ 9854095 w 12192000"/>
            <a:gd name="connsiteY5889" fmla="*/ 4634226 h 6858000"/>
            <a:gd name="connsiteX5890" fmla="*/ 10023880 w 12192000"/>
            <a:gd name="connsiteY5890" fmla="*/ 4634226 h 6858000"/>
            <a:gd name="connsiteX5891" fmla="*/ 9989055 w 12192000"/>
            <a:gd name="connsiteY5891" fmla="*/ 4599407 h 6858000"/>
            <a:gd name="connsiteX5892" fmla="*/ 10023880 w 12192000"/>
            <a:gd name="connsiteY5892" fmla="*/ 4564589 h 6858000"/>
            <a:gd name="connsiteX5893" fmla="*/ 10058693 w 12192000"/>
            <a:gd name="connsiteY5893" fmla="*/ 4599407 h 6858000"/>
            <a:gd name="connsiteX5894" fmla="*/ 10023880 w 12192000"/>
            <a:gd name="connsiteY5894" fmla="*/ 4634226 h 6858000"/>
            <a:gd name="connsiteX5895" fmla="*/ 2298661 w 12192000"/>
            <a:gd name="connsiteY5895" fmla="*/ 4549365 h 6858000"/>
            <a:gd name="connsiteX5896" fmla="*/ 2263842 w 12192000"/>
            <a:gd name="connsiteY5896" fmla="*/ 4514547 h 6858000"/>
            <a:gd name="connsiteX5897" fmla="*/ 2298661 w 12192000"/>
            <a:gd name="connsiteY5897" fmla="*/ 4479728 h 6858000"/>
            <a:gd name="connsiteX5898" fmla="*/ 2333480 w 12192000"/>
            <a:gd name="connsiteY5898" fmla="*/ 4514547 h 6858000"/>
            <a:gd name="connsiteX5899" fmla="*/ 2298661 w 12192000"/>
            <a:gd name="connsiteY5899" fmla="*/ 4549365 h 6858000"/>
            <a:gd name="connsiteX5900" fmla="*/ 2383553 w 12192000"/>
            <a:gd name="connsiteY5900" fmla="*/ 4549365 h 6858000"/>
            <a:gd name="connsiteX5901" fmla="*/ 2348734 w 12192000"/>
            <a:gd name="connsiteY5901" fmla="*/ 4514547 h 6858000"/>
            <a:gd name="connsiteX5902" fmla="*/ 2383553 w 12192000"/>
            <a:gd name="connsiteY5902" fmla="*/ 4479728 h 6858000"/>
            <a:gd name="connsiteX5903" fmla="*/ 2418372 w 12192000"/>
            <a:gd name="connsiteY5903" fmla="*/ 4514547 h 6858000"/>
            <a:gd name="connsiteX5904" fmla="*/ 2383553 w 12192000"/>
            <a:gd name="connsiteY5904" fmla="*/ 4549365 h 6858000"/>
            <a:gd name="connsiteX5905" fmla="*/ 2468446 w 12192000"/>
            <a:gd name="connsiteY5905" fmla="*/ 4549365 h 6858000"/>
            <a:gd name="connsiteX5906" fmla="*/ 2433627 w 12192000"/>
            <a:gd name="connsiteY5906" fmla="*/ 4514547 h 6858000"/>
            <a:gd name="connsiteX5907" fmla="*/ 2468446 w 12192000"/>
            <a:gd name="connsiteY5907" fmla="*/ 4479728 h 6858000"/>
            <a:gd name="connsiteX5908" fmla="*/ 2503264 w 12192000"/>
            <a:gd name="connsiteY5908" fmla="*/ 4514547 h 6858000"/>
            <a:gd name="connsiteX5909" fmla="*/ 2468446 w 12192000"/>
            <a:gd name="connsiteY5909" fmla="*/ 4549365 h 6858000"/>
            <a:gd name="connsiteX5910" fmla="*/ 2553339 w 12192000"/>
            <a:gd name="connsiteY5910" fmla="*/ 4549365 h 6858000"/>
            <a:gd name="connsiteX5911" fmla="*/ 2518520 w 12192000"/>
            <a:gd name="connsiteY5911" fmla="*/ 4514547 h 6858000"/>
            <a:gd name="connsiteX5912" fmla="*/ 2553339 w 12192000"/>
            <a:gd name="connsiteY5912" fmla="*/ 4479728 h 6858000"/>
            <a:gd name="connsiteX5913" fmla="*/ 2588158 w 12192000"/>
            <a:gd name="connsiteY5913" fmla="*/ 4514547 h 6858000"/>
            <a:gd name="connsiteX5914" fmla="*/ 2553339 w 12192000"/>
            <a:gd name="connsiteY5914" fmla="*/ 4549365 h 6858000"/>
            <a:gd name="connsiteX5915" fmla="*/ 2638231 w 12192000"/>
            <a:gd name="connsiteY5915" fmla="*/ 4549365 h 6858000"/>
            <a:gd name="connsiteX5916" fmla="*/ 2603412 w 12192000"/>
            <a:gd name="connsiteY5916" fmla="*/ 4514547 h 6858000"/>
            <a:gd name="connsiteX5917" fmla="*/ 2638231 w 12192000"/>
            <a:gd name="connsiteY5917" fmla="*/ 4479728 h 6858000"/>
            <a:gd name="connsiteX5918" fmla="*/ 2673050 w 12192000"/>
            <a:gd name="connsiteY5918" fmla="*/ 4514547 h 6858000"/>
            <a:gd name="connsiteX5919" fmla="*/ 2638231 w 12192000"/>
            <a:gd name="connsiteY5919" fmla="*/ 4549365 h 6858000"/>
            <a:gd name="connsiteX5920" fmla="*/ 2723123 w 12192000"/>
            <a:gd name="connsiteY5920" fmla="*/ 4549365 h 6858000"/>
            <a:gd name="connsiteX5921" fmla="*/ 2688304 w 12192000"/>
            <a:gd name="connsiteY5921" fmla="*/ 4514547 h 6858000"/>
            <a:gd name="connsiteX5922" fmla="*/ 2723123 w 12192000"/>
            <a:gd name="connsiteY5922" fmla="*/ 4479728 h 6858000"/>
            <a:gd name="connsiteX5923" fmla="*/ 2757942 w 12192000"/>
            <a:gd name="connsiteY5923" fmla="*/ 4514547 h 6858000"/>
            <a:gd name="connsiteX5924" fmla="*/ 2723123 w 12192000"/>
            <a:gd name="connsiteY5924" fmla="*/ 4549365 h 6858000"/>
            <a:gd name="connsiteX5925" fmla="*/ 2808016 w 12192000"/>
            <a:gd name="connsiteY5925" fmla="*/ 4549365 h 6858000"/>
            <a:gd name="connsiteX5926" fmla="*/ 2773197 w 12192000"/>
            <a:gd name="connsiteY5926" fmla="*/ 4514547 h 6858000"/>
            <a:gd name="connsiteX5927" fmla="*/ 2808016 w 12192000"/>
            <a:gd name="connsiteY5927" fmla="*/ 4479728 h 6858000"/>
            <a:gd name="connsiteX5928" fmla="*/ 2842834 w 12192000"/>
            <a:gd name="connsiteY5928" fmla="*/ 4514547 h 6858000"/>
            <a:gd name="connsiteX5929" fmla="*/ 2808016 w 12192000"/>
            <a:gd name="connsiteY5929" fmla="*/ 4549365 h 6858000"/>
            <a:gd name="connsiteX5930" fmla="*/ 2892908 w 12192000"/>
            <a:gd name="connsiteY5930" fmla="*/ 4549365 h 6858000"/>
            <a:gd name="connsiteX5931" fmla="*/ 2858089 w 12192000"/>
            <a:gd name="connsiteY5931" fmla="*/ 4514547 h 6858000"/>
            <a:gd name="connsiteX5932" fmla="*/ 2892908 w 12192000"/>
            <a:gd name="connsiteY5932" fmla="*/ 4479728 h 6858000"/>
            <a:gd name="connsiteX5933" fmla="*/ 2927727 w 12192000"/>
            <a:gd name="connsiteY5933" fmla="*/ 4514547 h 6858000"/>
            <a:gd name="connsiteX5934" fmla="*/ 2892908 w 12192000"/>
            <a:gd name="connsiteY5934" fmla="*/ 4549365 h 6858000"/>
            <a:gd name="connsiteX5935" fmla="*/ 2977801 w 12192000"/>
            <a:gd name="connsiteY5935" fmla="*/ 4549365 h 6858000"/>
            <a:gd name="connsiteX5936" fmla="*/ 2942982 w 12192000"/>
            <a:gd name="connsiteY5936" fmla="*/ 4514547 h 6858000"/>
            <a:gd name="connsiteX5937" fmla="*/ 2977801 w 12192000"/>
            <a:gd name="connsiteY5937" fmla="*/ 4479728 h 6858000"/>
            <a:gd name="connsiteX5938" fmla="*/ 3012620 w 12192000"/>
            <a:gd name="connsiteY5938" fmla="*/ 4514547 h 6858000"/>
            <a:gd name="connsiteX5939" fmla="*/ 2977801 w 12192000"/>
            <a:gd name="connsiteY5939" fmla="*/ 4549365 h 6858000"/>
            <a:gd name="connsiteX5940" fmla="*/ 3147586 w 12192000"/>
            <a:gd name="connsiteY5940" fmla="*/ 4549365 h 6858000"/>
            <a:gd name="connsiteX5941" fmla="*/ 3112767 w 12192000"/>
            <a:gd name="connsiteY5941" fmla="*/ 4514547 h 6858000"/>
            <a:gd name="connsiteX5942" fmla="*/ 3147586 w 12192000"/>
            <a:gd name="connsiteY5942" fmla="*/ 4479728 h 6858000"/>
            <a:gd name="connsiteX5943" fmla="*/ 3182404 w 12192000"/>
            <a:gd name="connsiteY5943" fmla="*/ 4514547 h 6858000"/>
            <a:gd name="connsiteX5944" fmla="*/ 3147586 w 12192000"/>
            <a:gd name="connsiteY5944" fmla="*/ 4549365 h 6858000"/>
            <a:gd name="connsiteX5945" fmla="*/ 3232478 w 12192000"/>
            <a:gd name="connsiteY5945" fmla="*/ 4549365 h 6858000"/>
            <a:gd name="connsiteX5946" fmla="*/ 3197659 w 12192000"/>
            <a:gd name="connsiteY5946" fmla="*/ 4514547 h 6858000"/>
            <a:gd name="connsiteX5947" fmla="*/ 3232478 w 12192000"/>
            <a:gd name="connsiteY5947" fmla="*/ 4479728 h 6858000"/>
            <a:gd name="connsiteX5948" fmla="*/ 3267297 w 12192000"/>
            <a:gd name="connsiteY5948" fmla="*/ 4514547 h 6858000"/>
            <a:gd name="connsiteX5949" fmla="*/ 3232478 w 12192000"/>
            <a:gd name="connsiteY5949" fmla="*/ 4549365 h 6858000"/>
            <a:gd name="connsiteX5950" fmla="*/ 3317371 w 12192000"/>
            <a:gd name="connsiteY5950" fmla="*/ 4549365 h 6858000"/>
            <a:gd name="connsiteX5951" fmla="*/ 3282552 w 12192000"/>
            <a:gd name="connsiteY5951" fmla="*/ 4514547 h 6858000"/>
            <a:gd name="connsiteX5952" fmla="*/ 3317371 w 12192000"/>
            <a:gd name="connsiteY5952" fmla="*/ 4479728 h 6858000"/>
            <a:gd name="connsiteX5953" fmla="*/ 3352190 w 12192000"/>
            <a:gd name="connsiteY5953" fmla="*/ 4514547 h 6858000"/>
            <a:gd name="connsiteX5954" fmla="*/ 3317371 w 12192000"/>
            <a:gd name="connsiteY5954" fmla="*/ 4549365 h 6858000"/>
            <a:gd name="connsiteX5955" fmla="*/ 3402263 w 12192000"/>
            <a:gd name="connsiteY5955" fmla="*/ 4549365 h 6858000"/>
            <a:gd name="connsiteX5956" fmla="*/ 3367444 w 12192000"/>
            <a:gd name="connsiteY5956" fmla="*/ 4514547 h 6858000"/>
            <a:gd name="connsiteX5957" fmla="*/ 3402263 w 12192000"/>
            <a:gd name="connsiteY5957" fmla="*/ 4479728 h 6858000"/>
            <a:gd name="connsiteX5958" fmla="*/ 3437082 w 12192000"/>
            <a:gd name="connsiteY5958" fmla="*/ 4514547 h 6858000"/>
            <a:gd name="connsiteX5959" fmla="*/ 3402263 w 12192000"/>
            <a:gd name="connsiteY5959" fmla="*/ 4549365 h 6858000"/>
            <a:gd name="connsiteX5960" fmla="*/ 3487156 w 12192000"/>
            <a:gd name="connsiteY5960" fmla="*/ 4549365 h 6858000"/>
            <a:gd name="connsiteX5961" fmla="*/ 3452337 w 12192000"/>
            <a:gd name="connsiteY5961" fmla="*/ 4514547 h 6858000"/>
            <a:gd name="connsiteX5962" fmla="*/ 3487156 w 12192000"/>
            <a:gd name="connsiteY5962" fmla="*/ 4479728 h 6858000"/>
            <a:gd name="connsiteX5963" fmla="*/ 3521974 w 12192000"/>
            <a:gd name="connsiteY5963" fmla="*/ 4514547 h 6858000"/>
            <a:gd name="connsiteX5964" fmla="*/ 3487156 w 12192000"/>
            <a:gd name="connsiteY5964" fmla="*/ 4549365 h 6858000"/>
            <a:gd name="connsiteX5965" fmla="*/ 3656941 w 12192000"/>
            <a:gd name="connsiteY5965" fmla="*/ 4549365 h 6858000"/>
            <a:gd name="connsiteX5966" fmla="*/ 3622122 w 12192000"/>
            <a:gd name="connsiteY5966" fmla="*/ 4514547 h 6858000"/>
            <a:gd name="connsiteX5967" fmla="*/ 3656941 w 12192000"/>
            <a:gd name="connsiteY5967" fmla="*/ 4479728 h 6858000"/>
            <a:gd name="connsiteX5968" fmla="*/ 3691760 w 12192000"/>
            <a:gd name="connsiteY5968" fmla="*/ 4514547 h 6858000"/>
            <a:gd name="connsiteX5969" fmla="*/ 3656941 w 12192000"/>
            <a:gd name="connsiteY5969" fmla="*/ 4549365 h 6858000"/>
            <a:gd name="connsiteX5970" fmla="*/ 3741833 w 12192000"/>
            <a:gd name="connsiteY5970" fmla="*/ 4549365 h 6858000"/>
            <a:gd name="connsiteX5971" fmla="*/ 3707014 w 12192000"/>
            <a:gd name="connsiteY5971" fmla="*/ 4514547 h 6858000"/>
            <a:gd name="connsiteX5972" fmla="*/ 3741833 w 12192000"/>
            <a:gd name="connsiteY5972" fmla="*/ 4479728 h 6858000"/>
            <a:gd name="connsiteX5973" fmla="*/ 3776652 w 12192000"/>
            <a:gd name="connsiteY5973" fmla="*/ 4514547 h 6858000"/>
            <a:gd name="connsiteX5974" fmla="*/ 3741833 w 12192000"/>
            <a:gd name="connsiteY5974" fmla="*/ 4549365 h 6858000"/>
            <a:gd name="connsiteX5975" fmla="*/ 3826726 w 12192000"/>
            <a:gd name="connsiteY5975" fmla="*/ 4549365 h 6858000"/>
            <a:gd name="connsiteX5976" fmla="*/ 3791907 w 12192000"/>
            <a:gd name="connsiteY5976" fmla="*/ 4514547 h 6858000"/>
            <a:gd name="connsiteX5977" fmla="*/ 3826726 w 12192000"/>
            <a:gd name="connsiteY5977" fmla="*/ 4479728 h 6858000"/>
            <a:gd name="connsiteX5978" fmla="*/ 3861544 w 12192000"/>
            <a:gd name="connsiteY5978" fmla="*/ 4514547 h 6858000"/>
            <a:gd name="connsiteX5979" fmla="*/ 3826726 w 12192000"/>
            <a:gd name="connsiteY5979" fmla="*/ 4549365 h 6858000"/>
            <a:gd name="connsiteX5980" fmla="*/ 3911618 w 12192000"/>
            <a:gd name="connsiteY5980" fmla="*/ 4549365 h 6858000"/>
            <a:gd name="connsiteX5981" fmla="*/ 3876799 w 12192000"/>
            <a:gd name="connsiteY5981" fmla="*/ 4514547 h 6858000"/>
            <a:gd name="connsiteX5982" fmla="*/ 3911618 w 12192000"/>
            <a:gd name="connsiteY5982" fmla="*/ 4479728 h 6858000"/>
            <a:gd name="connsiteX5983" fmla="*/ 3946437 w 12192000"/>
            <a:gd name="connsiteY5983" fmla="*/ 4514547 h 6858000"/>
            <a:gd name="connsiteX5984" fmla="*/ 3911618 w 12192000"/>
            <a:gd name="connsiteY5984" fmla="*/ 4549365 h 6858000"/>
            <a:gd name="connsiteX5985" fmla="*/ 3996511 w 12192000"/>
            <a:gd name="connsiteY5985" fmla="*/ 4549365 h 6858000"/>
            <a:gd name="connsiteX5986" fmla="*/ 3961692 w 12192000"/>
            <a:gd name="connsiteY5986" fmla="*/ 4514547 h 6858000"/>
            <a:gd name="connsiteX5987" fmla="*/ 3996511 w 12192000"/>
            <a:gd name="connsiteY5987" fmla="*/ 4479728 h 6858000"/>
            <a:gd name="connsiteX5988" fmla="*/ 4031330 w 12192000"/>
            <a:gd name="connsiteY5988" fmla="*/ 4514547 h 6858000"/>
            <a:gd name="connsiteX5989" fmla="*/ 3996511 w 12192000"/>
            <a:gd name="connsiteY5989" fmla="*/ 4549365 h 6858000"/>
            <a:gd name="connsiteX5990" fmla="*/ 4081403 w 12192000"/>
            <a:gd name="connsiteY5990" fmla="*/ 4549365 h 6858000"/>
            <a:gd name="connsiteX5991" fmla="*/ 4046584 w 12192000"/>
            <a:gd name="connsiteY5991" fmla="*/ 4514547 h 6858000"/>
            <a:gd name="connsiteX5992" fmla="*/ 4081403 w 12192000"/>
            <a:gd name="connsiteY5992" fmla="*/ 4479728 h 6858000"/>
            <a:gd name="connsiteX5993" fmla="*/ 4116222 w 12192000"/>
            <a:gd name="connsiteY5993" fmla="*/ 4514547 h 6858000"/>
            <a:gd name="connsiteX5994" fmla="*/ 4081403 w 12192000"/>
            <a:gd name="connsiteY5994" fmla="*/ 4549365 h 6858000"/>
            <a:gd name="connsiteX5995" fmla="*/ 4166296 w 12192000"/>
            <a:gd name="connsiteY5995" fmla="*/ 4549365 h 6858000"/>
            <a:gd name="connsiteX5996" fmla="*/ 4131477 w 12192000"/>
            <a:gd name="connsiteY5996" fmla="*/ 4514547 h 6858000"/>
            <a:gd name="connsiteX5997" fmla="*/ 4166296 w 12192000"/>
            <a:gd name="connsiteY5997" fmla="*/ 4479728 h 6858000"/>
            <a:gd name="connsiteX5998" fmla="*/ 4201114 w 12192000"/>
            <a:gd name="connsiteY5998" fmla="*/ 4514547 h 6858000"/>
            <a:gd name="connsiteX5999" fmla="*/ 4166296 w 12192000"/>
            <a:gd name="connsiteY5999" fmla="*/ 4549365 h 6858000"/>
            <a:gd name="connsiteX6000" fmla="*/ 5779252 w 12192000"/>
            <a:gd name="connsiteY6000" fmla="*/ 4549365 h 6858000"/>
            <a:gd name="connsiteX6001" fmla="*/ 5744433 w 12192000"/>
            <a:gd name="connsiteY6001" fmla="*/ 4514547 h 6858000"/>
            <a:gd name="connsiteX6002" fmla="*/ 5779252 w 12192000"/>
            <a:gd name="connsiteY6002" fmla="*/ 4479728 h 6858000"/>
            <a:gd name="connsiteX6003" fmla="*/ 5814071 w 12192000"/>
            <a:gd name="connsiteY6003" fmla="*/ 4514547 h 6858000"/>
            <a:gd name="connsiteX6004" fmla="*/ 5779252 w 12192000"/>
            <a:gd name="connsiteY6004" fmla="*/ 4549365 h 6858000"/>
            <a:gd name="connsiteX6005" fmla="*/ 6118826 w 12192000"/>
            <a:gd name="connsiteY6005" fmla="*/ 4549365 h 6858000"/>
            <a:gd name="connsiteX6006" fmla="*/ 6084000 w 12192000"/>
            <a:gd name="connsiteY6006" fmla="*/ 4514547 h 6858000"/>
            <a:gd name="connsiteX6007" fmla="*/ 6118826 w 12192000"/>
            <a:gd name="connsiteY6007" fmla="*/ 4479728 h 6858000"/>
            <a:gd name="connsiteX6008" fmla="*/ 6153638 w 12192000"/>
            <a:gd name="connsiteY6008" fmla="*/ 4514547 h 6858000"/>
            <a:gd name="connsiteX6009" fmla="*/ 6118826 w 12192000"/>
            <a:gd name="connsiteY6009" fmla="*/ 4549365 h 6858000"/>
            <a:gd name="connsiteX6010" fmla="*/ 6458396 w 12192000"/>
            <a:gd name="connsiteY6010" fmla="*/ 4549365 h 6858000"/>
            <a:gd name="connsiteX6011" fmla="*/ 6423570 w 12192000"/>
            <a:gd name="connsiteY6011" fmla="*/ 4514547 h 6858000"/>
            <a:gd name="connsiteX6012" fmla="*/ 6458396 w 12192000"/>
            <a:gd name="connsiteY6012" fmla="*/ 4479728 h 6858000"/>
            <a:gd name="connsiteX6013" fmla="*/ 6493208 w 12192000"/>
            <a:gd name="connsiteY6013" fmla="*/ 4514547 h 6858000"/>
            <a:gd name="connsiteX6014" fmla="*/ 6458396 w 12192000"/>
            <a:gd name="connsiteY6014" fmla="*/ 4549365 h 6858000"/>
            <a:gd name="connsiteX6015" fmla="*/ 6543288 w 12192000"/>
            <a:gd name="connsiteY6015" fmla="*/ 4549365 h 6858000"/>
            <a:gd name="connsiteX6016" fmla="*/ 6508463 w 12192000"/>
            <a:gd name="connsiteY6016" fmla="*/ 4514547 h 6858000"/>
            <a:gd name="connsiteX6017" fmla="*/ 6543288 w 12192000"/>
            <a:gd name="connsiteY6017" fmla="*/ 4479728 h 6858000"/>
            <a:gd name="connsiteX6018" fmla="*/ 6578100 w 12192000"/>
            <a:gd name="connsiteY6018" fmla="*/ 4514547 h 6858000"/>
            <a:gd name="connsiteX6019" fmla="*/ 6543288 w 12192000"/>
            <a:gd name="connsiteY6019" fmla="*/ 4549365 h 6858000"/>
            <a:gd name="connsiteX6020" fmla="*/ 6628181 w 12192000"/>
            <a:gd name="connsiteY6020" fmla="*/ 4549365 h 6858000"/>
            <a:gd name="connsiteX6021" fmla="*/ 6593356 w 12192000"/>
            <a:gd name="connsiteY6021" fmla="*/ 4514547 h 6858000"/>
            <a:gd name="connsiteX6022" fmla="*/ 6628181 w 12192000"/>
            <a:gd name="connsiteY6022" fmla="*/ 4479728 h 6858000"/>
            <a:gd name="connsiteX6023" fmla="*/ 6662994 w 12192000"/>
            <a:gd name="connsiteY6023" fmla="*/ 4514547 h 6858000"/>
            <a:gd name="connsiteX6024" fmla="*/ 6628181 w 12192000"/>
            <a:gd name="connsiteY6024" fmla="*/ 4549365 h 6858000"/>
            <a:gd name="connsiteX6025" fmla="*/ 6713074 w 12192000"/>
            <a:gd name="connsiteY6025" fmla="*/ 4549365 h 6858000"/>
            <a:gd name="connsiteX6026" fmla="*/ 6678248 w 12192000"/>
            <a:gd name="connsiteY6026" fmla="*/ 4514547 h 6858000"/>
            <a:gd name="connsiteX6027" fmla="*/ 6713074 w 12192000"/>
            <a:gd name="connsiteY6027" fmla="*/ 4479728 h 6858000"/>
            <a:gd name="connsiteX6028" fmla="*/ 6747886 w 12192000"/>
            <a:gd name="connsiteY6028" fmla="*/ 4514547 h 6858000"/>
            <a:gd name="connsiteX6029" fmla="*/ 6713074 w 12192000"/>
            <a:gd name="connsiteY6029" fmla="*/ 4549365 h 6858000"/>
            <a:gd name="connsiteX6030" fmla="*/ 6797966 w 12192000"/>
            <a:gd name="connsiteY6030" fmla="*/ 4549365 h 6858000"/>
            <a:gd name="connsiteX6031" fmla="*/ 6763140 w 12192000"/>
            <a:gd name="connsiteY6031" fmla="*/ 4514547 h 6858000"/>
            <a:gd name="connsiteX6032" fmla="*/ 6797966 w 12192000"/>
            <a:gd name="connsiteY6032" fmla="*/ 4479728 h 6858000"/>
            <a:gd name="connsiteX6033" fmla="*/ 6832778 w 12192000"/>
            <a:gd name="connsiteY6033" fmla="*/ 4514547 h 6858000"/>
            <a:gd name="connsiteX6034" fmla="*/ 6797966 w 12192000"/>
            <a:gd name="connsiteY6034" fmla="*/ 4549365 h 6858000"/>
            <a:gd name="connsiteX6035" fmla="*/ 6882858 w 12192000"/>
            <a:gd name="connsiteY6035" fmla="*/ 4549365 h 6858000"/>
            <a:gd name="connsiteX6036" fmla="*/ 6848033 w 12192000"/>
            <a:gd name="connsiteY6036" fmla="*/ 4514547 h 6858000"/>
            <a:gd name="connsiteX6037" fmla="*/ 6882858 w 12192000"/>
            <a:gd name="connsiteY6037" fmla="*/ 4479728 h 6858000"/>
            <a:gd name="connsiteX6038" fmla="*/ 6917670 w 12192000"/>
            <a:gd name="connsiteY6038" fmla="*/ 4514547 h 6858000"/>
            <a:gd name="connsiteX6039" fmla="*/ 6882858 w 12192000"/>
            <a:gd name="connsiteY6039" fmla="*/ 4549365 h 6858000"/>
            <a:gd name="connsiteX6040" fmla="*/ 6967750 w 12192000"/>
            <a:gd name="connsiteY6040" fmla="*/ 4549365 h 6858000"/>
            <a:gd name="connsiteX6041" fmla="*/ 6932925 w 12192000"/>
            <a:gd name="connsiteY6041" fmla="*/ 4514547 h 6858000"/>
            <a:gd name="connsiteX6042" fmla="*/ 6967750 w 12192000"/>
            <a:gd name="connsiteY6042" fmla="*/ 4479728 h 6858000"/>
            <a:gd name="connsiteX6043" fmla="*/ 7002563 w 12192000"/>
            <a:gd name="connsiteY6043" fmla="*/ 4514547 h 6858000"/>
            <a:gd name="connsiteX6044" fmla="*/ 6967750 w 12192000"/>
            <a:gd name="connsiteY6044" fmla="*/ 4549365 h 6858000"/>
            <a:gd name="connsiteX6045" fmla="*/ 7052644 w 12192000"/>
            <a:gd name="connsiteY6045" fmla="*/ 4549365 h 6858000"/>
            <a:gd name="connsiteX6046" fmla="*/ 7017818 w 12192000"/>
            <a:gd name="connsiteY6046" fmla="*/ 4514547 h 6858000"/>
            <a:gd name="connsiteX6047" fmla="*/ 7052644 w 12192000"/>
            <a:gd name="connsiteY6047" fmla="*/ 4479728 h 6858000"/>
            <a:gd name="connsiteX6048" fmla="*/ 7087456 w 12192000"/>
            <a:gd name="connsiteY6048" fmla="*/ 4514547 h 6858000"/>
            <a:gd name="connsiteX6049" fmla="*/ 7052644 w 12192000"/>
            <a:gd name="connsiteY6049" fmla="*/ 4549365 h 6858000"/>
            <a:gd name="connsiteX6050" fmla="*/ 7137536 w 12192000"/>
            <a:gd name="connsiteY6050" fmla="*/ 4549365 h 6858000"/>
            <a:gd name="connsiteX6051" fmla="*/ 7102710 w 12192000"/>
            <a:gd name="connsiteY6051" fmla="*/ 4514547 h 6858000"/>
            <a:gd name="connsiteX6052" fmla="*/ 7137536 w 12192000"/>
            <a:gd name="connsiteY6052" fmla="*/ 4479728 h 6858000"/>
            <a:gd name="connsiteX6053" fmla="*/ 7172348 w 12192000"/>
            <a:gd name="connsiteY6053" fmla="*/ 4514547 h 6858000"/>
            <a:gd name="connsiteX6054" fmla="*/ 7137536 w 12192000"/>
            <a:gd name="connsiteY6054" fmla="*/ 4549365 h 6858000"/>
            <a:gd name="connsiteX6055" fmla="*/ 7222428 w 12192000"/>
            <a:gd name="connsiteY6055" fmla="*/ 4549365 h 6858000"/>
            <a:gd name="connsiteX6056" fmla="*/ 7187603 w 12192000"/>
            <a:gd name="connsiteY6056" fmla="*/ 4514547 h 6858000"/>
            <a:gd name="connsiteX6057" fmla="*/ 7222428 w 12192000"/>
            <a:gd name="connsiteY6057" fmla="*/ 4479728 h 6858000"/>
            <a:gd name="connsiteX6058" fmla="*/ 7257240 w 12192000"/>
            <a:gd name="connsiteY6058" fmla="*/ 4514547 h 6858000"/>
            <a:gd name="connsiteX6059" fmla="*/ 7222428 w 12192000"/>
            <a:gd name="connsiteY6059" fmla="*/ 4549365 h 6858000"/>
            <a:gd name="connsiteX6060" fmla="*/ 7307320 w 12192000"/>
            <a:gd name="connsiteY6060" fmla="*/ 4549365 h 6858000"/>
            <a:gd name="connsiteX6061" fmla="*/ 7272495 w 12192000"/>
            <a:gd name="connsiteY6061" fmla="*/ 4514547 h 6858000"/>
            <a:gd name="connsiteX6062" fmla="*/ 7307320 w 12192000"/>
            <a:gd name="connsiteY6062" fmla="*/ 4479728 h 6858000"/>
            <a:gd name="connsiteX6063" fmla="*/ 7342133 w 12192000"/>
            <a:gd name="connsiteY6063" fmla="*/ 4514547 h 6858000"/>
            <a:gd name="connsiteX6064" fmla="*/ 7307320 w 12192000"/>
            <a:gd name="connsiteY6064" fmla="*/ 4549365 h 6858000"/>
            <a:gd name="connsiteX6065" fmla="*/ 7392214 w 12192000"/>
            <a:gd name="connsiteY6065" fmla="*/ 4549365 h 6858000"/>
            <a:gd name="connsiteX6066" fmla="*/ 7357388 w 12192000"/>
            <a:gd name="connsiteY6066" fmla="*/ 4514547 h 6858000"/>
            <a:gd name="connsiteX6067" fmla="*/ 7392214 w 12192000"/>
            <a:gd name="connsiteY6067" fmla="*/ 4479728 h 6858000"/>
            <a:gd name="connsiteX6068" fmla="*/ 7427026 w 12192000"/>
            <a:gd name="connsiteY6068" fmla="*/ 4514547 h 6858000"/>
            <a:gd name="connsiteX6069" fmla="*/ 7392214 w 12192000"/>
            <a:gd name="connsiteY6069" fmla="*/ 4549365 h 6858000"/>
            <a:gd name="connsiteX6070" fmla="*/ 7477106 w 12192000"/>
            <a:gd name="connsiteY6070" fmla="*/ 4549365 h 6858000"/>
            <a:gd name="connsiteX6071" fmla="*/ 7442280 w 12192000"/>
            <a:gd name="connsiteY6071" fmla="*/ 4514547 h 6858000"/>
            <a:gd name="connsiteX6072" fmla="*/ 7477106 w 12192000"/>
            <a:gd name="connsiteY6072" fmla="*/ 4479728 h 6858000"/>
            <a:gd name="connsiteX6073" fmla="*/ 7511918 w 12192000"/>
            <a:gd name="connsiteY6073" fmla="*/ 4514547 h 6858000"/>
            <a:gd name="connsiteX6074" fmla="*/ 7477106 w 12192000"/>
            <a:gd name="connsiteY6074" fmla="*/ 4549365 h 6858000"/>
            <a:gd name="connsiteX6075" fmla="*/ 7561998 w 12192000"/>
            <a:gd name="connsiteY6075" fmla="*/ 4549365 h 6858000"/>
            <a:gd name="connsiteX6076" fmla="*/ 7527173 w 12192000"/>
            <a:gd name="connsiteY6076" fmla="*/ 4514547 h 6858000"/>
            <a:gd name="connsiteX6077" fmla="*/ 7561998 w 12192000"/>
            <a:gd name="connsiteY6077" fmla="*/ 4479728 h 6858000"/>
            <a:gd name="connsiteX6078" fmla="*/ 7596810 w 12192000"/>
            <a:gd name="connsiteY6078" fmla="*/ 4514547 h 6858000"/>
            <a:gd name="connsiteX6079" fmla="*/ 7561998 w 12192000"/>
            <a:gd name="connsiteY6079" fmla="*/ 4549365 h 6858000"/>
            <a:gd name="connsiteX6080" fmla="*/ 7646890 w 12192000"/>
            <a:gd name="connsiteY6080" fmla="*/ 4549365 h 6858000"/>
            <a:gd name="connsiteX6081" fmla="*/ 7612065 w 12192000"/>
            <a:gd name="connsiteY6081" fmla="*/ 4514547 h 6858000"/>
            <a:gd name="connsiteX6082" fmla="*/ 7646890 w 12192000"/>
            <a:gd name="connsiteY6082" fmla="*/ 4479728 h 6858000"/>
            <a:gd name="connsiteX6083" fmla="*/ 7681703 w 12192000"/>
            <a:gd name="connsiteY6083" fmla="*/ 4514547 h 6858000"/>
            <a:gd name="connsiteX6084" fmla="*/ 7646890 w 12192000"/>
            <a:gd name="connsiteY6084" fmla="*/ 4549365 h 6858000"/>
            <a:gd name="connsiteX6085" fmla="*/ 7731784 w 12192000"/>
            <a:gd name="connsiteY6085" fmla="*/ 4549365 h 6858000"/>
            <a:gd name="connsiteX6086" fmla="*/ 7696958 w 12192000"/>
            <a:gd name="connsiteY6086" fmla="*/ 4514547 h 6858000"/>
            <a:gd name="connsiteX6087" fmla="*/ 7731784 w 12192000"/>
            <a:gd name="connsiteY6087" fmla="*/ 4479728 h 6858000"/>
            <a:gd name="connsiteX6088" fmla="*/ 7766596 w 12192000"/>
            <a:gd name="connsiteY6088" fmla="*/ 4514547 h 6858000"/>
            <a:gd name="connsiteX6089" fmla="*/ 7731784 w 12192000"/>
            <a:gd name="connsiteY6089" fmla="*/ 4549365 h 6858000"/>
            <a:gd name="connsiteX6090" fmla="*/ 7816676 w 12192000"/>
            <a:gd name="connsiteY6090" fmla="*/ 4549365 h 6858000"/>
            <a:gd name="connsiteX6091" fmla="*/ 7781850 w 12192000"/>
            <a:gd name="connsiteY6091" fmla="*/ 4514547 h 6858000"/>
            <a:gd name="connsiteX6092" fmla="*/ 7816676 w 12192000"/>
            <a:gd name="connsiteY6092" fmla="*/ 4479728 h 6858000"/>
            <a:gd name="connsiteX6093" fmla="*/ 7851488 w 12192000"/>
            <a:gd name="connsiteY6093" fmla="*/ 4514547 h 6858000"/>
            <a:gd name="connsiteX6094" fmla="*/ 7816676 w 12192000"/>
            <a:gd name="connsiteY6094" fmla="*/ 4549365 h 6858000"/>
            <a:gd name="connsiteX6095" fmla="*/ 7901568 w 12192000"/>
            <a:gd name="connsiteY6095" fmla="*/ 4549365 h 6858000"/>
            <a:gd name="connsiteX6096" fmla="*/ 7866743 w 12192000"/>
            <a:gd name="connsiteY6096" fmla="*/ 4514547 h 6858000"/>
            <a:gd name="connsiteX6097" fmla="*/ 7901568 w 12192000"/>
            <a:gd name="connsiteY6097" fmla="*/ 4479728 h 6858000"/>
            <a:gd name="connsiteX6098" fmla="*/ 7936380 w 12192000"/>
            <a:gd name="connsiteY6098" fmla="*/ 4514547 h 6858000"/>
            <a:gd name="connsiteX6099" fmla="*/ 7901568 w 12192000"/>
            <a:gd name="connsiteY6099" fmla="*/ 4549365 h 6858000"/>
            <a:gd name="connsiteX6100" fmla="*/ 7986460 w 12192000"/>
            <a:gd name="connsiteY6100" fmla="*/ 4549365 h 6858000"/>
            <a:gd name="connsiteX6101" fmla="*/ 7951635 w 12192000"/>
            <a:gd name="connsiteY6101" fmla="*/ 4514547 h 6858000"/>
            <a:gd name="connsiteX6102" fmla="*/ 7986460 w 12192000"/>
            <a:gd name="connsiteY6102" fmla="*/ 4479728 h 6858000"/>
            <a:gd name="connsiteX6103" fmla="*/ 8021273 w 12192000"/>
            <a:gd name="connsiteY6103" fmla="*/ 4514547 h 6858000"/>
            <a:gd name="connsiteX6104" fmla="*/ 7986460 w 12192000"/>
            <a:gd name="connsiteY6104" fmla="*/ 4549365 h 6858000"/>
            <a:gd name="connsiteX6105" fmla="*/ 8071353 w 12192000"/>
            <a:gd name="connsiteY6105" fmla="*/ 4549365 h 6858000"/>
            <a:gd name="connsiteX6106" fmla="*/ 8036527 w 12192000"/>
            <a:gd name="connsiteY6106" fmla="*/ 4514547 h 6858000"/>
            <a:gd name="connsiteX6107" fmla="*/ 8071353 w 12192000"/>
            <a:gd name="connsiteY6107" fmla="*/ 4479728 h 6858000"/>
            <a:gd name="connsiteX6108" fmla="*/ 8106165 w 12192000"/>
            <a:gd name="connsiteY6108" fmla="*/ 4514547 h 6858000"/>
            <a:gd name="connsiteX6109" fmla="*/ 8071353 w 12192000"/>
            <a:gd name="connsiteY6109" fmla="*/ 4549365 h 6858000"/>
            <a:gd name="connsiteX6110" fmla="*/ 8156246 w 12192000"/>
            <a:gd name="connsiteY6110" fmla="*/ 4549365 h 6858000"/>
            <a:gd name="connsiteX6111" fmla="*/ 8121420 w 12192000"/>
            <a:gd name="connsiteY6111" fmla="*/ 4514547 h 6858000"/>
            <a:gd name="connsiteX6112" fmla="*/ 8156246 w 12192000"/>
            <a:gd name="connsiteY6112" fmla="*/ 4479728 h 6858000"/>
            <a:gd name="connsiteX6113" fmla="*/ 8191058 w 12192000"/>
            <a:gd name="connsiteY6113" fmla="*/ 4514547 h 6858000"/>
            <a:gd name="connsiteX6114" fmla="*/ 8156246 w 12192000"/>
            <a:gd name="connsiteY6114" fmla="*/ 4549365 h 6858000"/>
            <a:gd name="connsiteX6115" fmla="*/ 8241138 w 12192000"/>
            <a:gd name="connsiteY6115" fmla="*/ 4549365 h 6858000"/>
            <a:gd name="connsiteX6116" fmla="*/ 8206313 w 12192000"/>
            <a:gd name="connsiteY6116" fmla="*/ 4514547 h 6858000"/>
            <a:gd name="connsiteX6117" fmla="*/ 8241138 w 12192000"/>
            <a:gd name="connsiteY6117" fmla="*/ 4479728 h 6858000"/>
            <a:gd name="connsiteX6118" fmla="*/ 8275950 w 12192000"/>
            <a:gd name="connsiteY6118" fmla="*/ 4514547 h 6858000"/>
            <a:gd name="connsiteX6119" fmla="*/ 8241138 w 12192000"/>
            <a:gd name="connsiteY6119" fmla="*/ 4549365 h 6858000"/>
            <a:gd name="connsiteX6120" fmla="*/ 8326030 w 12192000"/>
            <a:gd name="connsiteY6120" fmla="*/ 4549365 h 6858000"/>
            <a:gd name="connsiteX6121" fmla="*/ 8291205 w 12192000"/>
            <a:gd name="connsiteY6121" fmla="*/ 4514547 h 6858000"/>
            <a:gd name="connsiteX6122" fmla="*/ 8326030 w 12192000"/>
            <a:gd name="connsiteY6122" fmla="*/ 4479728 h 6858000"/>
            <a:gd name="connsiteX6123" fmla="*/ 8360843 w 12192000"/>
            <a:gd name="connsiteY6123" fmla="*/ 4514547 h 6858000"/>
            <a:gd name="connsiteX6124" fmla="*/ 8326030 w 12192000"/>
            <a:gd name="connsiteY6124" fmla="*/ 4549365 h 6858000"/>
            <a:gd name="connsiteX6125" fmla="*/ 8410923 w 12192000"/>
            <a:gd name="connsiteY6125" fmla="*/ 4549365 h 6858000"/>
            <a:gd name="connsiteX6126" fmla="*/ 8376097 w 12192000"/>
            <a:gd name="connsiteY6126" fmla="*/ 4514547 h 6858000"/>
            <a:gd name="connsiteX6127" fmla="*/ 8410923 w 12192000"/>
            <a:gd name="connsiteY6127" fmla="*/ 4479728 h 6858000"/>
            <a:gd name="connsiteX6128" fmla="*/ 8445735 w 12192000"/>
            <a:gd name="connsiteY6128" fmla="*/ 4514547 h 6858000"/>
            <a:gd name="connsiteX6129" fmla="*/ 8410923 w 12192000"/>
            <a:gd name="connsiteY6129" fmla="*/ 4549365 h 6858000"/>
            <a:gd name="connsiteX6130" fmla="*/ 8495816 w 12192000"/>
            <a:gd name="connsiteY6130" fmla="*/ 4549365 h 6858000"/>
            <a:gd name="connsiteX6131" fmla="*/ 8460990 w 12192000"/>
            <a:gd name="connsiteY6131" fmla="*/ 4514547 h 6858000"/>
            <a:gd name="connsiteX6132" fmla="*/ 8495816 w 12192000"/>
            <a:gd name="connsiteY6132" fmla="*/ 4479728 h 6858000"/>
            <a:gd name="connsiteX6133" fmla="*/ 8530628 w 12192000"/>
            <a:gd name="connsiteY6133" fmla="*/ 4514547 h 6858000"/>
            <a:gd name="connsiteX6134" fmla="*/ 8495816 w 12192000"/>
            <a:gd name="connsiteY6134" fmla="*/ 4549365 h 6858000"/>
            <a:gd name="connsiteX6135" fmla="*/ 8580708 w 12192000"/>
            <a:gd name="connsiteY6135" fmla="*/ 4549365 h 6858000"/>
            <a:gd name="connsiteX6136" fmla="*/ 8545883 w 12192000"/>
            <a:gd name="connsiteY6136" fmla="*/ 4514547 h 6858000"/>
            <a:gd name="connsiteX6137" fmla="*/ 8580708 w 12192000"/>
            <a:gd name="connsiteY6137" fmla="*/ 4479728 h 6858000"/>
            <a:gd name="connsiteX6138" fmla="*/ 8615520 w 12192000"/>
            <a:gd name="connsiteY6138" fmla="*/ 4514547 h 6858000"/>
            <a:gd name="connsiteX6139" fmla="*/ 8580708 w 12192000"/>
            <a:gd name="connsiteY6139" fmla="*/ 4549365 h 6858000"/>
            <a:gd name="connsiteX6140" fmla="*/ 8665600 w 12192000"/>
            <a:gd name="connsiteY6140" fmla="*/ 4549365 h 6858000"/>
            <a:gd name="connsiteX6141" fmla="*/ 8630775 w 12192000"/>
            <a:gd name="connsiteY6141" fmla="*/ 4514547 h 6858000"/>
            <a:gd name="connsiteX6142" fmla="*/ 8665600 w 12192000"/>
            <a:gd name="connsiteY6142" fmla="*/ 4479728 h 6858000"/>
            <a:gd name="connsiteX6143" fmla="*/ 8700413 w 12192000"/>
            <a:gd name="connsiteY6143" fmla="*/ 4514547 h 6858000"/>
            <a:gd name="connsiteX6144" fmla="*/ 8665600 w 12192000"/>
            <a:gd name="connsiteY6144" fmla="*/ 4549365 h 6858000"/>
            <a:gd name="connsiteX6145" fmla="*/ 8750493 w 12192000"/>
            <a:gd name="connsiteY6145" fmla="*/ 4549365 h 6858000"/>
            <a:gd name="connsiteX6146" fmla="*/ 8715667 w 12192000"/>
            <a:gd name="connsiteY6146" fmla="*/ 4514547 h 6858000"/>
            <a:gd name="connsiteX6147" fmla="*/ 8750493 w 12192000"/>
            <a:gd name="connsiteY6147" fmla="*/ 4479728 h 6858000"/>
            <a:gd name="connsiteX6148" fmla="*/ 8785305 w 12192000"/>
            <a:gd name="connsiteY6148" fmla="*/ 4514547 h 6858000"/>
            <a:gd name="connsiteX6149" fmla="*/ 8750493 w 12192000"/>
            <a:gd name="connsiteY6149" fmla="*/ 4549365 h 6858000"/>
            <a:gd name="connsiteX6150" fmla="*/ 9005170 w 12192000"/>
            <a:gd name="connsiteY6150" fmla="*/ 4549365 h 6858000"/>
            <a:gd name="connsiteX6151" fmla="*/ 8970345 w 12192000"/>
            <a:gd name="connsiteY6151" fmla="*/ 4514547 h 6858000"/>
            <a:gd name="connsiteX6152" fmla="*/ 9005170 w 12192000"/>
            <a:gd name="connsiteY6152" fmla="*/ 4479728 h 6858000"/>
            <a:gd name="connsiteX6153" fmla="*/ 9039983 w 12192000"/>
            <a:gd name="connsiteY6153" fmla="*/ 4514547 h 6858000"/>
            <a:gd name="connsiteX6154" fmla="*/ 9005170 w 12192000"/>
            <a:gd name="connsiteY6154" fmla="*/ 4549365 h 6858000"/>
            <a:gd name="connsiteX6155" fmla="*/ 9090063 w 12192000"/>
            <a:gd name="connsiteY6155" fmla="*/ 4549365 h 6858000"/>
            <a:gd name="connsiteX6156" fmla="*/ 9055237 w 12192000"/>
            <a:gd name="connsiteY6156" fmla="*/ 4514547 h 6858000"/>
            <a:gd name="connsiteX6157" fmla="*/ 9090063 w 12192000"/>
            <a:gd name="connsiteY6157" fmla="*/ 4479728 h 6858000"/>
            <a:gd name="connsiteX6158" fmla="*/ 9124875 w 12192000"/>
            <a:gd name="connsiteY6158" fmla="*/ 4514547 h 6858000"/>
            <a:gd name="connsiteX6159" fmla="*/ 9090063 w 12192000"/>
            <a:gd name="connsiteY6159" fmla="*/ 4549365 h 6858000"/>
            <a:gd name="connsiteX6160" fmla="*/ 9174956 w 12192000"/>
            <a:gd name="connsiteY6160" fmla="*/ 4549365 h 6858000"/>
            <a:gd name="connsiteX6161" fmla="*/ 9140130 w 12192000"/>
            <a:gd name="connsiteY6161" fmla="*/ 4514547 h 6858000"/>
            <a:gd name="connsiteX6162" fmla="*/ 9174956 w 12192000"/>
            <a:gd name="connsiteY6162" fmla="*/ 4479728 h 6858000"/>
            <a:gd name="connsiteX6163" fmla="*/ 9209768 w 12192000"/>
            <a:gd name="connsiteY6163" fmla="*/ 4514547 h 6858000"/>
            <a:gd name="connsiteX6164" fmla="*/ 9174956 w 12192000"/>
            <a:gd name="connsiteY6164" fmla="*/ 4549365 h 6858000"/>
            <a:gd name="connsiteX6165" fmla="*/ 9259848 w 12192000"/>
            <a:gd name="connsiteY6165" fmla="*/ 4549365 h 6858000"/>
            <a:gd name="connsiteX6166" fmla="*/ 9225023 w 12192000"/>
            <a:gd name="connsiteY6166" fmla="*/ 4514547 h 6858000"/>
            <a:gd name="connsiteX6167" fmla="*/ 9259848 w 12192000"/>
            <a:gd name="connsiteY6167" fmla="*/ 4479728 h 6858000"/>
            <a:gd name="connsiteX6168" fmla="*/ 9294660 w 12192000"/>
            <a:gd name="connsiteY6168" fmla="*/ 4514547 h 6858000"/>
            <a:gd name="connsiteX6169" fmla="*/ 9259848 w 12192000"/>
            <a:gd name="connsiteY6169" fmla="*/ 4549365 h 6858000"/>
            <a:gd name="connsiteX6170" fmla="*/ 9344740 w 12192000"/>
            <a:gd name="connsiteY6170" fmla="*/ 4549365 h 6858000"/>
            <a:gd name="connsiteX6171" fmla="*/ 9309915 w 12192000"/>
            <a:gd name="connsiteY6171" fmla="*/ 4514547 h 6858000"/>
            <a:gd name="connsiteX6172" fmla="*/ 9344740 w 12192000"/>
            <a:gd name="connsiteY6172" fmla="*/ 4479728 h 6858000"/>
            <a:gd name="connsiteX6173" fmla="*/ 9379553 w 12192000"/>
            <a:gd name="connsiteY6173" fmla="*/ 4514547 h 6858000"/>
            <a:gd name="connsiteX6174" fmla="*/ 9344740 w 12192000"/>
            <a:gd name="connsiteY6174" fmla="*/ 4549365 h 6858000"/>
            <a:gd name="connsiteX6175" fmla="*/ 9429633 w 12192000"/>
            <a:gd name="connsiteY6175" fmla="*/ 4549365 h 6858000"/>
            <a:gd name="connsiteX6176" fmla="*/ 9394807 w 12192000"/>
            <a:gd name="connsiteY6176" fmla="*/ 4514547 h 6858000"/>
            <a:gd name="connsiteX6177" fmla="*/ 9429633 w 12192000"/>
            <a:gd name="connsiteY6177" fmla="*/ 4479728 h 6858000"/>
            <a:gd name="connsiteX6178" fmla="*/ 9464445 w 12192000"/>
            <a:gd name="connsiteY6178" fmla="*/ 4514547 h 6858000"/>
            <a:gd name="connsiteX6179" fmla="*/ 9429633 w 12192000"/>
            <a:gd name="connsiteY6179" fmla="*/ 4549365 h 6858000"/>
            <a:gd name="connsiteX6180" fmla="*/ 9514525 w 12192000"/>
            <a:gd name="connsiteY6180" fmla="*/ 4549365 h 6858000"/>
            <a:gd name="connsiteX6181" fmla="*/ 9479699 w 12192000"/>
            <a:gd name="connsiteY6181" fmla="*/ 4514547 h 6858000"/>
            <a:gd name="connsiteX6182" fmla="*/ 9514525 w 12192000"/>
            <a:gd name="connsiteY6182" fmla="*/ 4479728 h 6858000"/>
            <a:gd name="connsiteX6183" fmla="*/ 9549337 w 12192000"/>
            <a:gd name="connsiteY6183" fmla="*/ 4514547 h 6858000"/>
            <a:gd name="connsiteX6184" fmla="*/ 9514525 w 12192000"/>
            <a:gd name="connsiteY6184" fmla="*/ 4549365 h 6858000"/>
            <a:gd name="connsiteX6185" fmla="*/ 9599418 w 12192000"/>
            <a:gd name="connsiteY6185" fmla="*/ 4549365 h 6858000"/>
            <a:gd name="connsiteX6186" fmla="*/ 9564593 w 12192000"/>
            <a:gd name="connsiteY6186" fmla="*/ 4514547 h 6858000"/>
            <a:gd name="connsiteX6187" fmla="*/ 9599418 w 12192000"/>
            <a:gd name="connsiteY6187" fmla="*/ 4479728 h 6858000"/>
            <a:gd name="connsiteX6188" fmla="*/ 9634230 w 12192000"/>
            <a:gd name="connsiteY6188" fmla="*/ 4514547 h 6858000"/>
            <a:gd name="connsiteX6189" fmla="*/ 9599418 w 12192000"/>
            <a:gd name="connsiteY6189" fmla="*/ 4549365 h 6858000"/>
            <a:gd name="connsiteX6190" fmla="*/ 9684310 w 12192000"/>
            <a:gd name="connsiteY6190" fmla="*/ 4549365 h 6858000"/>
            <a:gd name="connsiteX6191" fmla="*/ 9649485 w 12192000"/>
            <a:gd name="connsiteY6191" fmla="*/ 4514547 h 6858000"/>
            <a:gd name="connsiteX6192" fmla="*/ 9684310 w 12192000"/>
            <a:gd name="connsiteY6192" fmla="*/ 4479728 h 6858000"/>
            <a:gd name="connsiteX6193" fmla="*/ 9719123 w 12192000"/>
            <a:gd name="connsiteY6193" fmla="*/ 4514547 h 6858000"/>
            <a:gd name="connsiteX6194" fmla="*/ 9684310 w 12192000"/>
            <a:gd name="connsiteY6194" fmla="*/ 4549365 h 6858000"/>
            <a:gd name="connsiteX6195" fmla="*/ 9769203 w 12192000"/>
            <a:gd name="connsiteY6195" fmla="*/ 4549365 h 6858000"/>
            <a:gd name="connsiteX6196" fmla="*/ 9734377 w 12192000"/>
            <a:gd name="connsiteY6196" fmla="*/ 4514547 h 6858000"/>
            <a:gd name="connsiteX6197" fmla="*/ 9769203 w 12192000"/>
            <a:gd name="connsiteY6197" fmla="*/ 4479728 h 6858000"/>
            <a:gd name="connsiteX6198" fmla="*/ 9804015 w 12192000"/>
            <a:gd name="connsiteY6198" fmla="*/ 4514547 h 6858000"/>
            <a:gd name="connsiteX6199" fmla="*/ 9769203 w 12192000"/>
            <a:gd name="connsiteY6199" fmla="*/ 4549365 h 6858000"/>
            <a:gd name="connsiteX6200" fmla="*/ 9854095 w 12192000"/>
            <a:gd name="connsiteY6200" fmla="*/ 4549365 h 6858000"/>
            <a:gd name="connsiteX6201" fmla="*/ 9819269 w 12192000"/>
            <a:gd name="connsiteY6201" fmla="*/ 4514547 h 6858000"/>
            <a:gd name="connsiteX6202" fmla="*/ 9854095 w 12192000"/>
            <a:gd name="connsiteY6202" fmla="*/ 4479728 h 6858000"/>
            <a:gd name="connsiteX6203" fmla="*/ 9888907 w 12192000"/>
            <a:gd name="connsiteY6203" fmla="*/ 4514547 h 6858000"/>
            <a:gd name="connsiteX6204" fmla="*/ 9854095 w 12192000"/>
            <a:gd name="connsiteY6204" fmla="*/ 4549365 h 6858000"/>
            <a:gd name="connsiteX6205" fmla="*/ 9938988 w 12192000"/>
            <a:gd name="connsiteY6205" fmla="*/ 4549365 h 6858000"/>
            <a:gd name="connsiteX6206" fmla="*/ 9904163 w 12192000"/>
            <a:gd name="connsiteY6206" fmla="*/ 4514547 h 6858000"/>
            <a:gd name="connsiteX6207" fmla="*/ 9938988 w 12192000"/>
            <a:gd name="connsiteY6207" fmla="*/ 4479728 h 6858000"/>
            <a:gd name="connsiteX6208" fmla="*/ 9973800 w 12192000"/>
            <a:gd name="connsiteY6208" fmla="*/ 4514547 h 6858000"/>
            <a:gd name="connsiteX6209" fmla="*/ 9938988 w 12192000"/>
            <a:gd name="connsiteY6209" fmla="*/ 4549365 h 6858000"/>
            <a:gd name="connsiteX6210" fmla="*/ 10023880 w 12192000"/>
            <a:gd name="connsiteY6210" fmla="*/ 4549365 h 6858000"/>
            <a:gd name="connsiteX6211" fmla="*/ 9989055 w 12192000"/>
            <a:gd name="connsiteY6211" fmla="*/ 4514547 h 6858000"/>
            <a:gd name="connsiteX6212" fmla="*/ 10023880 w 12192000"/>
            <a:gd name="connsiteY6212" fmla="*/ 4479728 h 6858000"/>
            <a:gd name="connsiteX6213" fmla="*/ 10058693 w 12192000"/>
            <a:gd name="connsiteY6213" fmla="*/ 4514547 h 6858000"/>
            <a:gd name="connsiteX6214" fmla="*/ 10023880 w 12192000"/>
            <a:gd name="connsiteY6214" fmla="*/ 4549365 h 6858000"/>
            <a:gd name="connsiteX6215" fmla="*/ 10363450 w 12192000"/>
            <a:gd name="connsiteY6215" fmla="*/ 4549365 h 6858000"/>
            <a:gd name="connsiteX6216" fmla="*/ 10328625 w 12192000"/>
            <a:gd name="connsiteY6216" fmla="*/ 4514547 h 6858000"/>
            <a:gd name="connsiteX6217" fmla="*/ 10363450 w 12192000"/>
            <a:gd name="connsiteY6217" fmla="*/ 4479728 h 6858000"/>
            <a:gd name="connsiteX6218" fmla="*/ 10398263 w 12192000"/>
            <a:gd name="connsiteY6218" fmla="*/ 4514547 h 6858000"/>
            <a:gd name="connsiteX6219" fmla="*/ 10363450 w 12192000"/>
            <a:gd name="connsiteY6219" fmla="*/ 4549365 h 6858000"/>
            <a:gd name="connsiteX6220" fmla="*/ 2298661 w 12192000"/>
            <a:gd name="connsiteY6220" fmla="*/ 4464506 h 6858000"/>
            <a:gd name="connsiteX6221" fmla="*/ 2263842 w 12192000"/>
            <a:gd name="connsiteY6221" fmla="*/ 4429687 h 6858000"/>
            <a:gd name="connsiteX6222" fmla="*/ 2298661 w 12192000"/>
            <a:gd name="connsiteY6222" fmla="*/ 4394868 h 6858000"/>
            <a:gd name="connsiteX6223" fmla="*/ 2333480 w 12192000"/>
            <a:gd name="connsiteY6223" fmla="*/ 4429687 h 6858000"/>
            <a:gd name="connsiteX6224" fmla="*/ 2298661 w 12192000"/>
            <a:gd name="connsiteY6224" fmla="*/ 4464506 h 6858000"/>
            <a:gd name="connsiteX6225" fmla="*/ 2383553 w 12192000"/>
            <a:gd name="connsiteY6225" fmla="*/ 4464506 h 6858000"/>
            <a:gd name="connsiteX6226" fmla="*/ 2348734 w 12192000"/>
            <a:gd name="connsiteY6226" fmla="*/ 4429687 h 6858000"/>
            <a:gd name="connsiteX6227" fmla="*/ 2383553 w 12192000"/>
            <a:gd name="connsiteY6227" fmla="*/ 4394868 h 6858000"/>
            <a:gd name="connsiteX6228" fmla="*/ 2418372 w 12192000"/>
            <a:gd name="connsiteY6228" fmla="*/ 4429687 h 6858000"/>
            <a:gd name="connsiteX6229" fmla="*/ 2383553 w 12192000"/>
            <a:gd name="connsiteY6229" fmla="*/ 4464506 h 6858000"/>
            <a:gd name="connsiteX6230" fmla="*/ 2468446 w 12192000"/>
            <a:gd name="connsiteY6230" fmla="*/ 4464506 h 6858000"/>
            <a:gd name="connsiteX6231" fmla="*/ 2433627 w 12192000"/>
            <a:gd name="connsiteY6231" fmla="*/ 4429687 h 6858000"/>
            <a:gd name="connsiteX6232" fmla="*/ 2468446 w 12192000"/>
            <a:gd name="connsiteY6232" fmla="*/ 4394868 h 6858000"/>
            <a:gd name="connsiteX6233" fmla="*/ 2503264 w 12192000"/>
            <a:gd name="connsiteY6233" fmla="*/ 4429687 h 6858000"/>
            <a:gd name="connsiteX6234" fmla="*/ 2468446 w 12192000"/>
            <a:gd name="connsiteY6234" fmla="*/ 4464506 h 6858000"/>
            <a:gd name="connsiteX6235" fmla="*/ 2553339 w 12192000"/>
            <a:gd name="connsiteY6235" fmla="*/ 4464506 h 6858000"/>
            <a:gd name="connsiteX6236" fmla="*/ 2518520 w 12192000"/>
            <a:gd name="connsiteY6236" fmla="*/ 4429687 h 6858000"/>
            <a:gd name="connsiteX6237" fmla="*/ 2553339 w 12192000"/>
            <a:gd name="connsiteY6237" fmla="*/ 4394868 h 6858000"/>
            <a:gd name="connsiteX6238" fmla="*/ 2588158 w 12192000"/>
            <a:gd name="connsiteY6238" fmla="*/ 4429687 h 6858000"/>
            <a:gd name="connsiteX6239" fmla="*/ 2553339 w 12192000"/>
            <a:gd name="connsiteY6239" fmla="*/ 4464506 h 6858000"/>
            <a:gd name="connsiteX6240" fmla="*/ 2638231 w 12192000"/>
            <a:gd name="connsiteY6240" fmla="*/ 4464506 h 6858000"/>
            <a:gd name="connsiteX6241" fmla="*/ 2603412 w 12192000"/>
            <a:gd name="connsiteY6241" fmla="*/ 4429687 h 6858000"/>
            <a:gd name="connsiteX6242" fmla="*/ 2638231 w 12192000"/>
            <a:gd name="connsiteY6242" fmla="*/ 4394868 h 6858000"/>
            <a:gd name="connsiteX6243" fmla="*/ 2673050 w 12192000"/>
            <a:gd name="connsiteY6243" fmla="*/ 4429687 h 6858000"/>
            <a:gd name="connsiteX6244" fmla="*/ 2638231 w 12192000"/>
            <a:gd name="connsiteY6244" fmla="*/ 4464506 h 6858000"/>
            <a:gd name="connsiteX6245" fmla="*/ 2723123 w 12192000"/>
            <a:gd name="connsiteY6245" fmla="*/ 4464506 h 6858000"/>
            <a:gd name="connsiteX6246" fmla="*/ 2688304 w 12192000"/>
            <a:gd name="connsiteY6246" fmla="*/ 4429687 h 6858000"/>
            <a:gd name="connsiteX6247" fmla="*/ 2723123 w 12192000"/>
            <a:gd name="connsiteY6247" fmla="*/ 4394868 h 6858000"/>
            <a:gd name="connsiteX6248" fmla="*/ 2757942 w 12192000"/>
            <a:gd name="connsiteY6248" fmla="*/ 4429687 h 6858000"/>
            <a:gd name="connsiteX6249" fmla="*/ 2723123 w 12192000"/>
            <a:gd name="connsiteY6249" fmla="*/ 4464506 h 6858000"/>
            <a:gd name="connsiteX6250" fmla="*/ 2808016 w 12192000"/>
            <a:gd name="connsiteY6250" fmla="*/ 4464506 h 6858000"/>
            <a:gd name="connsiteX6251" fmla="*/ 2773197 w 12192000"/>
            <a:gd name="connsiteY6251" fmla="*/ 4429687 h 6858000"/>
            <a:gd name="connsiteX6252" fmla="*/ 2808016 w 12192000"/>
            <a:gd name="connsiteY6252" fmla="*/ 4394868 h 6858000"/>
            <a:gd name="connsiteX6253" fmla="*/ 2842834 w 12192000"/>
            <a:gd name="connsiteY6253" fmla="*/ 4429687 h 6858000"/>
            <a:gd name="connsiteX6254" fmla="*/ 2808016 w 12192000"/>
            <a:gd name="connsiteY6254" fmla="*/ 4464506 h 6858000"/>
            <a:gd name="connsiteX6255" fmla="*/ 2892908 w 12192000"/>
            <a:gd name="connsiteY6255" fmla="*/ 4464506 h 6858000"/>
            <a:gd name="connsiteX6256" fmla="*/ 2858089 w 12192000"/>
            <a:gd name="connsiteY6256" fmla="*/ 4429687 h 6858000"/>
            <a:gd name="connsiteX6257" fmla="*/ 2892908 w 12192000"/>
            <a:gd name="connsiteY6257" fmla="*/ 4394868 h 6858000"/>
            <a:gd name="connsiteX6258" fmla="*/ 2927727 w 12192000"/>
            <a:gd name="connsiteY6258" fmla="*/ 4429687 h 6858000"/>
            <a:gd name="connsiteX6259" fmla="*/ 2892908 w 12192000"/>
            <a:gd name="connsiteY6259" fmla="*/ 4464506 h 6858000"/>
            <a:gd name="connsiteX6260" fmla="*/ 2977801 w 12192000"/>
            <a:gd name="connsiteY6260" fmla="*/ 4464506 h 6858000"/>
            <a:gd name="connsiteX6261" fmla="*/ 2942982 w 12192000"/>
            <a:gd name="connsiteY6261" fmla="*/ 4429687 h 6858000"/>
            <a:gd name="connsiteX6262" fmla="*/ 2977801 w 12192000"/>
            <a:gd name="connsiteY6262" fmla="*/ 4394868 h 6858000"/>
            <a:gd name="connsiteX6263" fmla="*/ 3012620 w 12192000"/>
            <a:gd name="connsiteY6263" fmla="*/ 4429687 h 6858000"/>
            <a:gd name="connsiteX6264" fmla="*/ 2977801 w 12192000"/>
            <a:gd name="connsiteY6264" fmla="*/ 4464506 h 6858000"/>
            <a:gd name="connsiteX6265" fmla="*/ 3147586 w 12192000"/>
            <a:gd name="connsiteY6265" fmla="*/ 4464506 h 6858000"/>
            <a:gd name="connsiteX6266" fmla="*/ 3112767 w 12192000"/>
            <a:gd name="connsiteY6266" fmla="*/ 4429687 h 6858000"/>
            <a:gd name="connsiteX6267" fmla="*/ 3147586 w 12192000"/>
            <a:gd name="connsiteY6267" fmla="*/ 4394868 h 6858000"/>
            <a:gd name="connsiteX6268" fmla="*/ 3182404 w 12192000"/>
            <a:gd name="connsiteY6268" fmla="*/ 4429687 h 6858000"/>
            <a:gd name="connsiteX6269" fmla="*/ 3147586 w 12192000"/>
            <a:gd name="connsiteY6269" fmla="*/ 4464506 h 6858000"/>
            <a:gd name="connsiteX6270" fmla="*/ 3402263 w 12192000"/>
            <a:gd name="connsiteY6270" fmla="*/ 4464506 h 6858000"/>
            <a:gd name="connsiteX6271" fmla="*/ 3367444 w 12192000"/>
            <a:gd name="connsiteY6271" fmla="*/ 4429687 h 6858000"/>
            <a:gd name="connsiteX6272" fmla="*/ 3402263 w 12192000"/>
            <a:gd name="connsiteY6272" fmla="*/ 4394868 h 6858000"/>
            <a:gd name="connsiteX6273" fmla="*/ 3437082 w 12192000"/>
            <a:gd name="connsiteY6273" fmla="*/ 4429687 h 6858000"/>
            <a:gd name="connsiteX6274" fmla="*/ 3402263 w 12192000"/>
            <a:gd name="connsiteY6274" fmla="*/ 4464506 h 6858000"/>
            <a:gd name="connsiteX6275" fmla="*/ 3487156 w 12192000"/>
            <a:gd name="connsiteY6275" fmla="*/ 4464506 h 6858000"/>
            <a:gd name="connsiteX6276" fmla="*/ 3452337 w 12192000"/>
            <a:gd name="connsiteY6276" fmla="*/ 4429687 h 6858000"/>
            <a:gd name="connsiteX6277" fmla="*/ 3487156 w 12192000"/>
            <a:gd name="connsiteY6277" fmla="*/ 4394868 h 6858000"/>
            <a:gd name="connsiteX6278" fmla="*/ 3521974 w 12192000"/>
            <a:gd name="connsiteY6278" fmla="*/ 4429687 h 6858000"/>
            <a:gd name="connsiteX6279" fmla="*/ 3487156 w 12192000"/>
            <a:gd name="connsiteY6279" fmla="*/ 4464506 h 6858000"/>
            <a:gd name="connsiteX6280" fmla="*/ 3656941 w 12192000"/>
            <a:gd name="connsiteY6280" fmla="*/ 4464506 h 6858000"/>
            <a:gd name="connsiteX6281" fmla="*/ 3622122 w 12192000"/>
            <a:gd name="connsiteY6281" fmla="*/ 4429687 h 6858000"/>
            <a:gd name="connsiteX6282" fmla="*/ 3656941 w 12192000"/>
            <a:gd name="connsiteY6282" fmla="*/ 4394868 h 6858000"/>
            <a:gd name="connsiteX6283" fmla="*/ 3691760 w 12192000"/>
            <a:gd name="connsiteY6283" fmla="*/ 4429687 h 6858000"/>
            <a:gd name="connsiteX6284" fmla="*/ 3656941 w 12192000"/>
            <a:gd name="connsiteY6284" fmla="*/ 4464506 h 6858000"/>
            <a:gd name="connsiteX6285" fmla="*/ 3741833 w 12192000"/>
            <a:gd name="connsiteY6285" fmla="*/ 4464506 h 6858000"/>
            <a:gd name="connsiteX6286" fmla="*/ 3707014 w 12192000"/>
            <a:gd name="connsiteY6286" fmla="*/ 4429687 h 6858000"/>
            <a:gd name="connsiteX6287" fmla="*/ 3741833 w 12192000"/>
            <a:gd name="connsiteY6287" fmla="*/ 4394868 h 6858000"/>
            <a:gd name="connsiteX6288" fmla="*/ 3776652 w 12192000"/>
            <a:gd name="connsiteY6288" fmla="*/ 4429687 h 6858000"/>
            <a:gd name="connsiteX6289" fmla="*/ 3741833 w 12192000"/>
            <a:gd name="connsiteY6289" fmla="*/ 4464506 h 6858000"/>
            <a:gd name="connsiteX6290" fmla="*/ 3826726 w 12192000"/>
            <a:gd name="connsiteY6290" fmla="*/ 4464506 h 6858000"/>
            <a:gd name="connsiteX6291" fmla="*/ 3791907 w 12192000"/>
            <a:gd name="connsiteY6291" fmla="*/ 4429687 h 6858000"/>
            <a:gd name="connsiteX6292" fmla="*/ 3826726 w 12192000"/>
            <a:gd name="connsiteY6292" fmla="*/ 4394868 h 6858000"/>
            <a:gd name="connsiteX6293" fmla="*/ 3861544 w 12192000"/>
            <a:gd name="connsiteY6293" fmla="*/ 4429687 h 6858000"/>
            <a:gd name="connsiteX6294" fmla="*/ 3826726 w 12192000"/>
            <a:gd name="connsiteY6294" fmla="*/ 4464506 h 6858000"/>
            <a:gd name="connsiteX6295" fmla="*/ 3911618 w 12192000"/>
            <a:gd name="connsiteY6295" fmla="*/ 4464506 h 6858000"/>
            <a:gd name="connsiteX6296" fmla="*/ 3876799 w 12192000"/>
            <a:gd name="connsiteY6296" fmla="*/ 4429687 h 6858000"/>
            <a:gd name="connsiteX6297" fmla="*/ 3911618 w 12192000"/>
            <a:gd name="connsiteY6297" fmla="*/ 4394868 h 6858000"/>
            <a:gd name="connsiteX6298" fmla="*/ 3946437 w 12192000"/>
            <a:gd name="connsiteY6298" fmla="*/ 4429687 h 6858000"/>
            <a:gd name="connsiteX6299" fmla="*/ 3911618 w 12192000"/>
            <a:gd name="connsiteY6299" fmla="*/ 4464506 h 6858000"/>
            <a:gd name="connsiteX6300" fmla="*/ 3996511 w 12192000"/>
            <a:gd name="connsiteY6300" fmla="*/ 4464506 h 6858000"/>
            <a:gd name="connsiteX6301" fmla="*/ 3961692 w 12192000"/>
            <a:gd name="connsiteY6301" fmla="*/ 4429687 h 6858000"/>
            <a:gd name="connsiteX6302" fmla="*/ 3996511 w 12192000"/>
            <a:gd name="connsiteY6302" fmla="*/ 4394868 h 6858000"/>
            <a:gd name="connsiteX6303" fmla="*/ 4031330 w 12192000"/>
            <a:gd name="connsiteY6303" fmla="*/ 4429687 h 6858000"/>
            <a:gd name="connsiteX6304" fmla="*/ 3996511 w 12192000"/>
            <a:gd name="connsiteY6304" fmla="*/ 4464506 h 6858000"/>
            <a:gd name="connsiteX6305" fmla="*/ 4081403 w 12192000"/>
            <a:gd name="connsiteY6305" fmla="*/ 4464506 h 6858000"/>
            <a:gd name="connsiteX6306" fmla="*/ 4046584 w 12192000"/>
            <a:gd name="connsiteY6306" fmla="*/ 4429687 h 6858000"/>
            <a:gd name="connsiteX6307" fmla="*/ 4081403 w 12192000"/>
            <a:gd name="connsiteY6307" fmla="*/ 4394868 h 6858000"/>
            <a:gd name="connsiteX6308" fmla="*/ 4116222 w 12192000"/>
            <a:gd name="connsiteY6308" fmla="*/ 4429687 h 6858000"/>
            <a:gd name="connsiteX6309" fmla="*/ 4081403 w 12192000"/>
            <a:gd name="connsiteY6309" fmla="*/ 4464506 h 6858000"/>
            <a:gd name="connsiteX6310" fmla="*/ 4166296 w 12192000"/>
            <a:gd name="connsiteY6310" fmla="*/ 4464506 h 6858000"/>
            <a:gd name="connsiteX6311" fmla="*/ 4131477 w 12192000"/>
            <a:gd name="connsiteY6311" fmla="*/ 4429687 h 6858000"/>
            <a:gd name="connsiteX6312" fmla="*/ 4166296 w 12192000"/>
            <a:gd name="connsiteY6312" fmla="*/ 4394868 h 6858000"/>
            <a:gd name="connsiteX6313" fmla="*/ 4201114 w 12192000"/>
            <a:gd name="connsiteY6313" fmla="*/ 4429687 h 6858000"/>
            <a:gd name="connsiteX6314" fmla="*/ 4166296 w 12192000"/>
            <a:gd name="connsiteY6314" fmla="*/ 4464506 h 6858000"/>
            <a:gd name="connsiteX6315" fmla="*/ 4251188 w 12192000"/>
            <a:gd name="connsiteY6315" fmla="*/ 4464506 h 6858000"/>
            <a:gd name="connsiteX6316" fmla="*/ 4216369 w 12192000"/>
            <a:gd name="connsiteY6316" fmla="*/ 4429687 h 6858000"/>
            <a:gd name="connsiteX6317" fmla="*/ 4251188 w 12192000"/>
            <a:gd name="connsiteY6317" fmla="*/ 4394868 h 6858000"/>
            <a:gd name="connsiteX6318" fmla="*/ 4286007 w 12192000"/>
            <a:gd name="connsiteY6318" fmla="*/ 4429687 h 6858000"/>
            <a:gd name="connsiteX6319" fmla="*/ 4251188 w 12192000"/>
            <a:gd name="connsiteY6319" fmla="*/ 4464506 h 6858000"/>
            <a:gd name="connsiteX6320" fmla="*/ 5609468 w 12192000"/>
            <a:gd name="connsiteY6320" fmla="*/ 4464506 h 6858000"/>
            <a:gd name="connsiteX6321" fmla="*/ 5574649 w 12192000"/>
            <a:gd name="connsiteY6321" fmla="*/ 4429687 h 6858000"/>
            <a:gd name="connsiteX6322" fmla="*/ 5609468 w 12192000"/>
            <a:gd name="connsiteY6322" fmla="*/ 4394868 h 6858000"/>
            <a:gd name="connsiteX6323" fmla="*/ 5644287 w 12192000"/>
            <a:gd name="connsiteY6323" fmla="*/ 4429687 h 6858000"/>
            <a:gd name="connsiteX6324" fmla="*/ 5609468 w 12192000"/>
            <a:gd name="connsiteY6324" fmla="*/ 4464506 h 6858000"/>
            <a:gd name="connsiteX6325" fmla="*/ 5779252 w 12192000"/>
            <a:gd name="connsiteY6325" fmla="*/ 4464506 h 6858000"/>
            <a:gd name="connsiteX6326" fmla="*/ 5744433 w 12192000"/>
            <a:gd name="connsiteY6326" fmla="*/ 4429687 h 6858000"/>
            <a:gd name="connsiteX6327" fmla="*/ 5779252 w 12192000"/>
            <a:gd name="connsiteY6327" fmla="*/ 4394868 h 6858000"/>
            <a:gd name="connsiteX6328" fmla="*/ 5814071 w 12192000"/>
            <a:gd name="connsiteY6328" fmla="*/ 4429687 h 6858000"/>
            <a:gd name="connsiteX6329" fmla="*/ 5779252 w 12192000"/>
            <a:gd name="connsiteY6329" fmla="*/ 4464506 h 6858000"/>
            <a:gd name="connsiteX6330" fmla="*/ 6118826 w 12192000"/>
            <a:gd name="connsiteY6330" fmla="*/ 4464506 h 6858000"/>
            <a:gd name="connsiteX6331" fmla="*/ 6084000 w 12192000"/>
            <a:gd name="connsiteY6331" fmla="*/ 4429687 h 6858000"/>
            <a:gd name="connsiteX6332" fmla="*/ 6118826 w 12192000"/>
            <a:gd name="connsiteY6332" fmla="*/ 4394868 h 6858000"/>
            <a:gd name="connsiteX6333" fmla="*/ 6153638 w 12192000"/>
            <a:gd name="connsiteY6333" fmla="*/ 4429687 h 6858000"/>
            <a:gd name="connsiteX6334" fmla="*/ 6118826 w 12192000"/>
            <a:gd name="connsiteY6334" fmla="*/ 4464506 h 6858000"/>
            <a:gd name="connsiteX6335" fmla="*/ 6203718 w 12192000"/>
            <a:gd name="connsiteY6335" fmla="*/ 4464506 h 6858000"/>
            <a:gd name="connsiteX6336" fmla="*/ 6168893 w 12192000"/>
            <a:gd name="connsiteY6336" fmla="*/ 4429687 h 6858000"/>
            <a:gd name="connsiteX6337" fmla="*/ 6203718 w 12192000"/>
            <a:gd name="connsiteY6337" fmla="*/ 4394868 h 6858000"/>
            <a:gd name="connsiteX6338" fmla="*/ 6238530 w 12192000"/>
            <a:gd name="connsiteY6338" fmla="*/ 4429687 h 6858000"/>
            <a:gd name="connsiteX6339" fmla="*/ 6203718 w 12192000"/>
            <a:gd name="connsiteY6339" fmla="*/ 4464506 h 6858000"/>
            <a:gd name="connsiteX6340" fmla="*/ 6288611 w 12192000"/>
            <a:gd name="connsiteY6340" fmla="*/ 4464506 h 6858000"/>
            <a:gd name="connsiteX6341" fmla="*/ 6253786 w 12192000"/>
            <a:gd name="connsiteY6341" fmla="*/ 4429687 h 6858000"/>
            <a:gd name="connsiteX6342" fmla="*/ 6288611 w 12192000"/>
            <a:gd name="connsiteY6342" fmla="*/ 4394868 h 6858000"/>
            <a:gd name="connsiteX6343" fmla="*/ 6323424 w 12192000"/>
            <a:gd name="connsiteY6343" fmla="*/ 4429687 h 6858000"/>
            <a:gd name="connsiteX6344" fmla="*/ 6288611 w 12192000"/>
            <a:gd name="connsiteY6344" fmla="*/ 4464506 h 6858000"/>
            <a:gd name="connsiteX6345" fmla="*/ 6373504 w 12192000"/>
            <a:gd name="connsiteY6345" fmla="*/ 4464506 h 6858000"/>
            <a:gd name="connsiteX6346" fmla="*/ 6338678 w 12192000"/>
            <a:gd name="connsiteY6346" fmla="*/ 4429687 h 6858000"/>
            <a:gd name="connsiteX6347" fmla="*/ 6373504 w 12192000"/>
            <a:gd name="connsiteY6347" fmla="*/ 4394868 h 6858000"/>
            <a:gd name="connsiteX6348" fmla="*/ 6408316 w 12192000"/>
            <a:gd name="connsiteY6348" fmla="*/ 4429687 h 6858000"/>
            <a:gd name="connsiteX6349" fmla="*/ 6373504 w 12192000"/>
            <a:gd name="connsiteY6349" fmla="*/ 4464506 h 6858000"/>
            <a:gd name="connsiteX6350" fmla="*/ 6458396 w 12192000"/>
            <a:gd name="connsiteY6350" fmla="*/ 4464506 h 6858000"/>
            <a:gd name="connsiteX6351" fmla="*/ 6423570 w 12192000"/>
            <a:gd name="connsiteY6351" fmla="*/ 4429687 h 6858000"/>
            <a:gd name="connsiteX6352" fmla="*/ 6458396 w 12192000"/>
            <a:gd name="connsiteY6352" fmla="*/ 4394868 h 6858000"/>
            <a:gd name="connsiteX6353" fmla="*/ 6493208 w 12192000"/>
            <a:gd name="connsiteY6353" fmla="*/ 4429687 h 6858000"/>
            <a:gd name="connsiteX6354" fmla="*/ 6458396 w 12192000"/>
            <a:gd name="connsiteY6354" fmla="*/ 4464506 h 6858000"/>
            <a:gd name="connsiteX6355" fmla="*/ 6543288 w 12192000"/>
            <a:gd name="connsiteY6355" fmla="*/ 4464506 h 6858000"/>
            <a:gd name="connsiteX6356" fmla="*/ 6508463 w 12192000"/>
            <a:gd name="connsiteY6356" fmla="*/ 4429687 h 6858000"/>
            <a:gd name="connsiteX6357" fmla="*/ 6543288 w 12192000"/>
            <a:gd name="connsiteY6357" fmla="*/ 4394868 h 6858000"/>
            <a:gd name="connsiteX6358" fmla="*/ 6578100 w 12192000"/>
            <a:gd name="connsiteY6358" fmla="*/ 4429687 h 6858000"/>
            <a:gd name="connsiteX6359" fmla="*/ 6543288 w 12192000"/>
            <a:gd name="connsiteY6359" fmla="*/ 4464506 h 6858000"/>
            <a:gd name="connsiteX6360" fmla="*/ 6628181 w 12192000"/>
            <a:gd name="connsiteY6360" fmla="*/ 4464506 h 6858000"/>
            <a:gd name="connsiteX6361" fmla="*/ 6593356 w 12192000"/>
            <a:gd name="connsiteY6361" fmla="*/ 4429687 h 6858000"/>
            <a:gd name="connsiteX6362" fmla="*/ 6628181 w 12192000"/>
            <a:gd name="connsiteY6362" fmla="*/ 4394868 h 6858000"/>
            <a:gd name="connsiteX6363" fmla="*/ 6662994 w 12192000"/>
            <a:gd name="connsiteY6363" fmla="*/ 4429687 h 6858000"/>
            <a:gd name="connsiteX6364" fmla="*/ 6628181 w 12192000"/>
            <a:gd name="connsiteY6364" fmla="*/ 4464506 h 6858000"/>
            <a:gd name="connsiteX6365" fmla="*/ 6713074 w 12192000"/>
            <a:gd name="connsiteY6365" fmla="*/ 4464506 h 6858000"/>
            <a:gd name="connsiteX6366" fmla="*/ 6678248 w 12192000"/>
            <a:gd name="connsiteY6366" fmla="*/ 4429687 h 6858000"/>
            <a:gd name="connsiteX6367" fmla="*/ 6713074 w 12192000"/>
            <a:gd name="connsiteY6367" fmla="*/ 4394868 h 6858000"/>
            <a:gd name="connsiteX6368" fmla="*/ 6747886 w 12192000"/>
            <a:gd name="connsiteY6368" fmla="*/ 4429687 h 6858000"/>
            <a:gd name="connsiteX6369" fmla="*/ 6713074 w 12192000"/>
            <a:gd name="connsiteY6369" fmla="*/ 4464506 h 6858000"/>
            <a:gd name="connsiteX6370" fmla="*/ 6797966 w 12192000"/>
            <a:gd name="connsiteY6370" fmla="*/ 4464506 h 6858000"/>
            <a:gd name="connsiteX6371" fmla="*/ 6763140 w 12192000"/>
            <a:gd name="connsiteY6371" fmla="*/ 4429687 h 6858000"/>
            <a:gd name="connsiteX6372" fmla="*/ 6797966 w 12192000"/>
            <a:gd name="connsiteY6372" fmla="*/ 4394868 h 6858000"/>
            <a:gd name="connsiteX6373" fmla="*/ 6832778 w 12192000"/>
            <a:gd name="connsiteY6373" fmla="*/ 4429687 h 6858000"/>
            <a:gd name="connsiteX6374" fmla="*/ 6797966 w 12192000"/>
            <a:gd name="connsiteY6374" fmla="*/ 4464506 h 6858000"/>
            <a:gd name="connsiteX6375" fmla="*/ 6882858 w 12192000"/>
            <a:gd name="connsiteY6375" fmla="*/ 4464506 h 6858000"/>
            <a:gd name="connsiteX6376" fmla="*/ 6848033 w 12192000"/>
            <a:gd name="connsiteY6376" fmla="*/ 4429687 h 6858000"/>
            <a:gd name="connsiteX6377" fmla="*/ 6882858 w 12192000"/>
            <a:gd name="connsiteY6377" fmla="*/ 4394868 h 6858000"/>
            <a:gd name="connsiteX6378" fmla="*/ 6917670 w 12192000"/>
            <a:gd name="connsiteY6378" fmla="*/ 4429687 h 6858000"/>
            <a:gd name="connsiteX6379" fmla="*/ 6882858 w 12192000"/>
            <a:gd name="connsiteY6379" fmla="*/ 4464506 h 6858000"/>
            <a:gd name="connsiteX6380" fmla="*/ 6967750 w 12192000"/>
            <a:gd name="connsiteY6380" fmla="*/ 4464506 h 6858000"/>
            <a:gd name="connsiteX6381" fmla="*/ 6932925 w 12192000"/>
            <a:gd name="connsiteY6381" fmla="*/ 4429687 h 6858000"/>
            <a:gd name="connsiteX6382" fmla="*/ 6967750 w 12192000"/>
            <a:gd name="connsiteY6382" fmla="*/ 4394868 h 6858000"/>
            <a:gd name="connsiteX6383" fmla="*/ 7002563 w 12192000"/>
            <a:gd name="connsiteY6383" fmla="*/ 4429687 h 6858000"/>
            <a:gd name="connsiteX6384" fmla="*/ 6967750 w 12192000"/>
            <a:gd name="connsiteY6384" fmla="*/ 4464506 h 6858000"/>
            <a:gd name="connsiteX6385" fmla="*/ 7052644 w 12192000"/>
            <a:gd name="connsiteY6385" fmla="*/ 4464506 h 6858000"/>
            <a:gd name="connsiteX6386" fmla="*/ 7017818 w 12192000"/>
            <a:gd name="connsiteY6386" fmla="*/ 4429687 h 6858000"/>
            <a:gd name="connsiteX6387" fmla="*/ 7052644 w 12192000"/>
            <a:gd name="connsiteY6387" fmla="*/ 4394868 h 6858000"/>
            <a:gd name="connsiteX6388" fmla="*/ 7087456 w 12192000"/>
            <a:gd name="connsiteY6388" fmla="*/ 4429687 h 6858000"/>
            <a:gd name="connsiteX6389" fmla="*/ 7052644 w 12192000"/>
            <a:gd name="connsiteY6389" fmla="*/ 4464506 h 6858000"/>
            <a:gd name="connsiteX6390" fmla="*/ 7137536 w 12192000"/>
            <a:gd name="connsiteY6390" fmla="*/ 4464506 h 6858000"/>
            <a:gd name="connsiteX6391" fmla="*/ 7102710 w 12192000"/>
            <a:gd name="connsiteY6391" fmla="*/ 4429687 h 6858000"/>
            <a:gd name="connsiteX6392" fmla="*/ 7137536 w 12192000"/>
            <a:gd name="connsiteY6392" fmla="*/ 4394868 h 6858000"/>
            <a:gd name="connsiteX6393" fmla="*/ 7172348 w 12192000"/>
            <a:gd name="connsiteY6393" fmla="*/ 4429687 h 6858000"/>
            <a:gd name="connsiteX6394" fmla="*/ 7137536 w 12192000"/>
            <a:gd name="connsiteY6394" fmla="*/ 4464506 h 6858000"/>
            <a:gd name="connsiteX6395" fmla="*/ 7222428 w 12192000"/>
            <a:gd name="connsiteY6395" fmla="*/ 4464506 h 6858000"/>
            <a:gd name="connsiteX6396" fmla="*/ 7187603 w 12192000"/>
            <a:gd name="connsiteY6396" fmla="*/ 4429687 h 6858000"/>
            <a:gd name="connsiteX6397" fmla="*/ 7222428 w 12192000"/>
            <a:gd name="connsiteY6397" fmla="*/ 4394868 h 6858000"/>
            <a:gd name="connsiteX6398" fmla="*/ 7257240 w 12192000"/>
            <a:gd name="connsiteY6398" fmla="*/ 4429687 h 6858000"/>
            <a:gd name="connsiteX6399" fmla="*/ 7222428 w 12192000"/>
            <a:gd name="connsiteY6399" fmla="*/ 4464506 h 6858000"/>
            <a:gd name="connsiteX6400" fmla="*/ 7307320 w 12192000"/>
            <a:gd name="connsiteY6400" fmla="*/ 4464506 h 6858000"/>
            <a:gd name="connsiteX6401" fmla="*/ 7272495 w 12192000"/>
            <a:gd name="connsiteY6401" fmla="*/ 4429687 h 6858000"/>
            <a:gd name="connsiteX6402" fmla="*/ 7307320 w 12192000"/>
            <a:gd name="connsiteY6402" fmla="*/ 4394868 h 6858000"/>
            <a:gd name="connsiteX6403" fmla="*/ 7342133 w 12192000"/>
            <a:gd name="connsiteY6403" fmla="*/ 4429687 h 6858000"/>
            <a:gd name="connsiteX6404" fmla="*/ 7307320 w 12192000"/>
            <a:gd name="connsiteY6404" fmla="*/ 4464506 h 6858000"/>
            <a:gd name="connsiteX6405" fmla="*/ 7392214 w 12192000"/>
            <a:gd name="connsiteY6405" fmla="*/ 4464506 h 6858000"/>
            <a:gd name="connsiteX6406" fmla="*/ 7357388 w 12192000"/>
            <a:gd name="connsiteY6406" fmla="*/ 4429687 h 6858000"/>
            <a:gd name="connsiteX6407" fmla="*/ 7392214 w 12192000"/>
            <a:gd name="connsiteY6407" fmla="*/ 4394868 h 6858000"/>
            <a:gd name="connsiteX6408" fmla="*/ 7427026 w 12192000"/>
            <a:gd name="connsiteY6408" fmla="*/ 4429687 h 6858000"/>
            <a:gd name="connsiteX6409" fmla="*/ 7392214 w 12192000"/>
            <a:gd name="connsiteY6409" fmla="*/ 4464506 h 6858000"/>
            <a:gd name="connsiteX6410" fmla="*/ 7477106 w 12192000"/>
            <a:gd name="connsiteY6410" fmla="*/ 4464506 h 6858000"/>
            <a:gd name="connsiteX6411" fmla="*/ 7442280 w 12192000"/>
            <a:gd name="connsiteY6411" fmla="*/ 4429687 h 6858000"/>
            <a:gd name="connsiteX6412" fmla="*/ 7477106 w 12192000"/>
            <a:gd name="connsiteY6412" fmla="*/ 4394868 h 6858000"/>
            <a:gd name="connsiteX6413" fmla="*/ 7511918 w 12192000"/>
            <a:gd name="connsiteY6413" fmla="*/ 4429687 h 6858000"/>
            <a:gd name="connsiteX6414" fmla="*/ 7477106 w 12192000"/>
            <a:gd name="connsiteY6414" fmla="*/ 4464506 h 6858000"/>
            <a:gd name="connsiteX6415" fmla="*/ 7561998 w 12192000"/>
            <a:gd name="connsiteY6415" fmla="*/ 4464506 h 6858000"/>
            <a:gd name="connsiteX6416" fmla="*/ 7527173 w 12192000"/>
            <a:gd name="connsiteY6416" fmla="*/ 4429687 h 6858000"/>
            <a:gd name="connsiteX6417" fmla="*/ 7561998 w 12192000"/>
            <a:gd name="connsiteY6417" fmla="*/ 4394868 h 6858000"/>
            <a:gd name="connsiteX6418" fmla="*/ 7596810 w 12192000"/>
            <a:gd name="connsiteY6418" fmla="*/ 4429687 h 6858000"/>
            <a:gd name="connsiteX6419" fmla="*/ 7561998 w 12192000"/>
            <a:gd name="connsiteY6419" fmla="*/ 4464506 h 6858000"/>
            <a:gd name="connsiteX6420" fmla="*/ 7646890 w 12192000"/>
            <a:gd name="connsiteY6420" fmla="*/ 4464506 h 6858000"/>
            <a:gd name="connsiteX6421" fmla="*/ 7612065 w 12192000"/>
            <a:gd name="connsiteY6421" fmla="*/ 4429687 h 6858000"/>
            <a:gd name="connsiteX6422" fmla="*/ 7646890 w 12192000"/>
            <a:gd name="connsiteY6422" fmla="*/ 4394868 h 6858000"/>
            <a:gd name="connsiteX6423" fmla="*/ 7681703 w 12192000"/>
            <a:gd name="connsiteY6423" fmla="*/ 4429687 h 6858000"/>
            <a:gd name="connsiteX6424" fmla="*/ 7646890 w 12192000"/>
            <a:gd name="connsiteY6424" fmla="*/ 4464506 h 6858000"/>
            <a:gd name="connsiteX6425" fmla="*/ 7731784 w 12192000"/>
            <a:gd name="connsiteY6425" fmla="*/ 4464506 h 6858000"/>
            <a:gd name="connsiteX6426" fmla="*/ 7696958 w 12192000"/>
            <a:gd name="connsiteY6426" fmla="*/ 4429687 h 6858000"/>
            <a:gd name="connsiteX6427" fmla="*/ 7731784 w 12192000"/>
            <a:gd name="connsiteY6427" fmla="*/ 4394868 h 6858000"/>
            <a:gd name="connsiteX6428" fmla="*/ 7766596 w 12192000"/>
            <a:gd name="connsiteY6428" fmla="*/ 4429687 h 6858000"/>
            <a:gd name="connsiteX6429" fmla="*/ 7731784 w 12192000"/>
            <a:gd name="connsiteY6429" fmla="*/ 4464506 h 6858000"/>
            <a:gd name="connsiteX6430" fmla="*/ 7816676 w 12192000"/>
            <a:gd name="connsiteY6430" fmla="*/ 4464506 h 6858000"/>
            <a:gd name="connsiteX6431" fmla="*/ 7781850 w 12192000"/>
            <a:gd name="connsiteY6431" fmla="*/ 4429687 h 6858000"/>
            <a:gd name="connsiteX6432" fmla="*/ 7816676 w 12192000"/>
            <a:gd name="connsiteY6432" fmla="*/ 4394868 h 6858000"/>
            <a:gd name="connsiteX6433" fmla="*/ 7851488 w 12192000"/>
            <a:gd name="connsiteY6433" fmla="*/ 4429687 h 6858000"/>
            <a:gd name="connsiteX6434" fmla="*/ 7816676 w 12192000"/>
            <a:gd name="connsiteY6434" fmla="*/ 4464506 h 6858000"/>
            <a:gd name="connsiteX6435" fmla="*/ 7901568 w 12192000"/>
            <a:gd name="connsiteY6435" fmla="*/ 4464506 h 6858000"/>
            <a:gd name="connsiteX6436" fmla="*/ 7866743 w 12192000"/>
            <a:gd name="connsiteY6436" fmla="*/ 4429687 h 6858000"/>
            <a:gd name="connsiteX6437" fmla="*/ 7901568 w 12192000"/>
            <a:gd name="connsiteY6437" fmla="*/ 4394868 h 6858000"/>
            <a:gd name="connsiteX6438" fmla="*/ 7936380 w 12192000"/>
            <a:gd name="connsiteY6438" fmla="*/ 4429687 h 6858000"/>
            <a:gd name="connsiteX6439" fmla="*/ 7901568 w 12192000"/>
            <a:gd name="connsiteY6439" fmla="*/ 4464506 h 6858000"/>
            <a:gd name="connsiteX6440" fmla="*/ 7986460 w 12192000"/>
            <a:gd name="connsiteY6440" fmla="*/ 4464506 h 6858000"/>
            <a:gd name="connsiteX6441" fmla="*/ 7951635 w 12192000"/>
            <a:gd name="connsiteY6441" fmla="*/ 4429687 h 6858000"/>
            <a:gd name="connsiteX6442" fmla="*/ 7986460 w 12192000"/>
            <a:gd name="connsiteY6442" fmla="*/ 4394868 h 6858000"/>
            <a:gd name="connsiteX6443" fmla="*/ 8021273 w 12192000"/>
            <a:gd name="connsiteY6443" fmla="*/ 4429687 h 6858000"/>
            <a:gd name="connsiteX6444" fmla="*/ 7986460 w 12192000"/>
            <a:gd name="connsiteY6444" fmla="*/ 4464506 h 6858000"/>
            <a:gd name="connsiteX6445" fmla="*/ 8071353 w 12192000"/>
            <a:gd name="connsiteY6445" fmla="*/ 4464506 h 6858000"/>
            <a:gd name="connsiteX6446" fmla="*/ 8036527 w 12192000"/>
            <a:gd name="connsiteY6446" fmla="*/ 4429687 h 6858000"/>
            <a:gd name="connsiteX6447" fmla="*/ 8071353 w 12192000"/>
            <a:gd name="connsiteY6447" fmla="*/ 4394868 h 6858000"/>
            <a:gd name="connsiteX6448" fmla="*/ 8106165 w 12192000"/>
            <a:gd name="connsiteY6448" fmla="*/ 4429687 h 6858000"/>
            <a:gd name="connsiteX6449" fmla="*/ 8071353 w 12192000"/>
            <a:gd name="connsiteY6449" fmla="*/ 4464506 h 6858000"/>
            <a:gd name="connsiteX6450" fmla="*/ 8156246 w 12192000"/>
            <a:gd name="connsiteY6450" fmla="*/ 4464506 h 6858000"/>
            <a:gd name="connsiteX6451" fmla="*/ 8121420 w 12192000"/>
            <a:gd name="connsiteY6451" fmla="*/ 4429687 h 6858000"/>
            <a:gd name="connsiteX6452" fmla="*/ 8156246 w 12192000"/>
            <a:gd name="connsiteY6452" fmla="*/ 4394868 h 6858000"/>
            <a:gd name="connsiteX6453" fmla="*/ 8191058 w 12192000"/>
            <a:gd name="connsiteY6453" fmla="*/ 4429687 h 6858000"/>
            <a:gd name="connsiteX6454" fmla="*/ 8156246 w 12192000"/>
            <a:gd name="connsiteY6454" fmla="*/ 4464506 h 6858000"/>
            <a:gd name="connsiteX6455" fmla="*/ 8241138 w 12192000"/>
            <a:gd name="connsiteY6455" fmla="*/ 4464506 h 6858000"/>
            <a:gd name="connsiteX6456" fmla="*/ 8206313 w 12192000"/>
            <a:gd name="connsiteY6456" fmla="*/ 4429687 h 6858000"/>
            <a:gd name="connsiteX6457" fmla="*/ 8241138 w 12192000"/>
            <a:gd name="connsiteY6457" fmla="*/ 4394868 h 6858000"/>
            <a:gd name="connsiteX6458" fmla="*/ 8275950 w 12192000"/>
            <a:gd name="connsiteY6458" fmla="*/ 4429687 h 6858000"/>
            <a:gd name="connsiteX6459" fmla="*/ 8241138 w 12192000"/>
            <a:gd name="connsiteY6459" fmla="*/ 4464506 h 6858000"/>
            <a:gd name="connsiteX6460" fmla="*/ 8326030 w 12192000"/>
            <a:gd name="connsiteY6460" fmla="*/ 4464506 h 6858000"/>
            <a:gd name="connsiteX6461" fmla="*/ 8291205 w 12192000"/>
            <a:gd name="connsiteY6461" fmla="*/ 4429687 h 6858000"/>
            <a:gd name="connsiteX6462" fmla="*/ 8326030 w 12192000"/>
            <a:gd name="connsiteY6462" fmla="*/ 4394868 h 6858000"/>
            <a:gd name="connsiteX6463" fmla="*/ 8360843 w 12192000"/>
            <a:gd name="connsiteY6463" fmla="*/ 4429687 h 6858000"/>
            <a:gd name="connsiteX6464" fmla="*/ 8326030 w 12192000"/>
            <a:gd name="connsiteY6464" fmla="*/ 4464506 h 6858000"/>
            <a:gd name="connsiteX6465" fmla="*/ 8410923 w 12192000"/>
            <a:gd name="connsiteY6465" fmla="*/ 4464506 h 6858000"/>
            <a:gd name="connsiteX6466" fmla="*/ 8376097 w 12192000"/>
            <a:gd name="connsiteY6466" fmla="*/ 4429687 h 6858000"/>
            <a:gd name="connsiteX6467" fmla="*/ 8410923 w 12192000"/>
            <a:gd name="connsiteY6467" fmla="*/ 4394868 h 6858000"/>
            <a:gd name="connsiteX6468" fmla="*/ 8445735 w 12192000"/>
            <a:gd name="connsiteY6468" fmla="*/ 4429687 h 6858000"/>
            <a:gd name="connsiteX6469" fmla="*/ 8410923 w 12192000"/>
            <a:gd name="connsiteY6469" fmla="*/ 4464506 h 6858000"/>
            <a:gd name="connsiteX6470" fmla="*/ 8495816 w 12192000"/>
            <a:gd name="connsiteY6470" fmla="*/ 4464506 h 6858000"/>
            <a:gd name="connsiteX6471" fmla="*/ 8460990 w 12192000"/>
            <a:gd name="connsiteY6471" fmla="*/ 4429687 h 6858000"/>
            <a:gd name="connsiteX6472" fmla="*/ 8495816 w 12192000"/>
            <a:gd name="connsiteY6472" fmla="*/ 4394868 h 6858000"/>
            <a:gd name="connsiteX6473" fmla="*/ 8530628 w 12192000"/>
            <a:gd name="connsiteY6473" fmla="*/ 4429687 h 6858000"/>
            <a:gd name="connsiteX6474" fmla="*/ 8495816 w 12192000"/>
            <a:gd name="connsiteY6474" fmla="*/ 4464506 h 6858000"/>
            <a:gd name="connsiteX6475" fmla="*/ 8580708 w 12192000"/>
            <a:gd name="connsiteY6475" fmla="*/ 4464506 h 6858000"/>
            <a:gd name="connsiteX6476" fmla="*/ 8545883 w 12192000"/>
            <a:gd name="connsiteY6476" fmla="*/ 4429687 h 6858000"/>
            <a:gd name="connsiteX6477" fmla="*/ 8580708 w 12192000"/>
            <a:gd name="connsiteY6477" fmla="*/ 4394868 h 6858000"/>
            <a:gd name="connsiteX6478" fmla="*/ 8615520 w 12192000"/>
            <a:gd name="connsiteY6478" fmla="*/ 4429687 h 6858000"/>
            <a:gd name="connsiteX6479" fmla="*/ 8580708 w 12192000"/>
            <a:gd name="connsiteY6479" fmla="*/ 4464506 h 6858000"/>
            <a:gd name="connsiteX6480" fmla="*/ 8665600 w 12192000"/>
            <a:gd name="connsiteY6480" fmla="*/ 4464506 h 6858000"/>
            <a:gd name="connsiteX6481" fmla="*/ 8630775 w 12192000"/>
            <a:gd name="connsiteY6481" fmla="*/ 4429687 h 6858000"/>
            <a:gd name="connsiteX6482" fmla="*/ 8665600 w 12192000"/>
            <a:gd name="connsiteY6482" fmla="*/ 4394868 h 6858000"/>
            <a:gd name="connsiteX6483" fmla="*/ 8700413 w 12192000"/>
            <a:gd name="connsiteY6483" fmla="*/ 4429687 h 6858000"/>
            <a:gd name="connsiteX6484" fmla="*/ 8665600 w 12192000"/>
            <a:gd name="connsiteY6484" fmla="*/ 4464506 h 6858000"/>
            <a:gd name="connsiteX6485" fmla="*/ 8835386 w 12192000"/>
            <a:gd name="connsiteY6485" fmla="*/ 4464506 h 6858000"/>
            <a:gd name="connsiteX6486" fmla="*/ 8800560 w 12192000"/>
            <a:gd name="connsiteY6486" fmla="*/ 4429687 h 6858000"/>
            <a:gd name="connsiteX6487" fmla="*/ 8835386 w 12192000"/>
            <a:gd name="connsiteY6487" fmla="*/ 4394868 h 6858000"/>
            <a:gd name="connsiteX6488" fmla="*/ 8870198 w 12192000"/>
            <a:gd name="connsiteY6488" fmla="*/ 4429687 h 6858000"/>
            <a:gd name="connsiteX6489" fmla="*/ 8835386 w 12192000"/>
            <a:gd name="connsiteY6489" fmla="*/ 4464506 h 6858000"/>
            <a:gd name="connsiteX6490" fmla="*/ 8920278 w 12192000"/>
            <a:gd name="connsiteY6490" fmla="*/ 4464506 h 6858000"/>
            <a:gd name="connsiteX6491" fmla="*/ 8885453 w 12192000"/>
            <a:gd name="connsiteY6491" fmla="*/ 4429687 h 6858000"/>
            <a:gd name="connsiteX6492" fmla="*/ 8920278 w 12192000"/>
            <a:gd name="connsiteY6492" fmla="*/ 4394868 h 6858000"/>
            <a:gd name="connsiteX6493" fmla="*/ 8955090 w 12192000"/>
            <a:gd name="connsiteY6493" fmla="*/ 4429687 h 6858000"/>
            <a:gd name="connsiteX6494" fmla="*/ 8920278 w 12192000"/>
            <a:gd name="connsiteY6494" fmla="*/ 4464506 h 6858000"/>
            <a:gd name="connsiteX6495" fmla="*/ 9005170 w 12192000"/>
            <a:gd name="connsiteY6495" fmla="*/ 4464506 h 6858000"/>
            <a:gd name="connsiteX6496" fmla="*/ 8970345 w 12192000"/>
            <a:gd name="connsiteY6496" fmla="*/ 4429687 h 6858000"/>
            <a:gd name="connsiteX6497" fmla="*/ 9005170 w 12192000"/>
            <a:gd name="connsiteY6497" fmla="*/ 4394868 h 6858000"/>
            <a:gd name="connsiteX6498" fmla="*/ 9039983 w 12192000"/>
            <a:gd name="connsiteY6498" fmla="*/ 4429687 h 6858000"/>
            <a:gd name="connsiteX6499" fmla="*/ 9005170 w 12192000"/>
            <a:gd name="connsiteY6499" fmla="*/ 4464506 h 6858000"/>
            <a:gd name="connsiteX6500" fmla="*/ 9090063 w 12192000"/>
            <a:gd name="connsiteY6500" fmla="*/ 4464506 h 6858000"/>
            <a:gd name="connsiteX6501" fmla="*/ 9055237 w 12192000"/>
            <a:gd name="connsiteY6501" fmla="*/ 4429687 h 6858000"/>
            <a:gd name="connsiteX6502" fmla="*/ 9090063 w 12192000"/>
            <a:gd name="connsiteY6502" fmla="*/ 4394868 h 6858000"/>
            <a:gd name="connsiteX6503" fmla="*/ 9124875 w 12192000"/>
            <a:gd name="connsiteY6503" fmla="*/ 4429687 h 6858000"/>
            <a:gd name="connsiteX6504" fmla="*/ 9090063 w 12192000"/>
            <a:gd name="connsiteY6504" fmla="*/ 4464506 h 6858000"/>
            <a:gd name="connsiteX6505" fmla="*/ 9174956 w 12192000"/>
            <a:gd name="connsiteY6505" fmla="*/ 4464506 h 6858000"/>
            <a:gd name="connsiteX6506" fmla="*/ 9140130 w 12192000"/>
            <a:gd name="connsiteY6506" fmla="*/ 4429687 h 6858000"/>
            <a:gd name="connsiteX6507" fmla="*/ 9174956 w 12192000"/>
            <a:gd name="connsiteY6507" fmla="*/ 4394868 h 6858000"/>
            <a:gd name="connsiteX6508" fmla="*/ 9209768 w 12192000"/>
            <a:gd name="connsiteY6508" fmla="*/ 4429687 h 6858000"/>
            <a:gd name="connsiteX6509" fmla="*/ 9174956 w 12192000"/>
            <a:gd name="connsiteY6509" fmla="*/ 4464506 h 6858000"/>
            <a:gd name="connsiteX6510" fmla="*/ 9259848 w 12192000"/>
            <a:gd name="connsiteY6510" fmla="*/ 4464506 h 6858000"/>
            <a:gd name="connsiteX6511" fmla="*/ 9225023 w 12192000"/>
            <a:gd name="connsiteY6511" fmla="*/ 4429687 h 6858000"/>
            <a:gd name="connsiteX6512" fmla="*/ 9259848 w 12192000"/>
            <a:gd name="connsiteY6512" fmla="*/ 4394868 h 6858000"/>
            <a:gd name="connsiteX6513" fmla="*/ 9294660 w 12192000"/>
            <a:gd name="connsiteY6513" fmla="*/ 4429687 h 6858000"/>
            <a:gd name="connsiteX6514" fmla="*/ 9259848 w 12192000"/>
            <a:gd name="connsiteY6514" fmla="*/ 4464506 h 6858000"/>
            <a:gd name="connsiteX6515" fmla="*/ 9344740 w 12192000"/>
            <a:gd name="connsiteY6515" fmla="*/ 4464506 h 6858000"/>
            <a:gd name="connsiteX6516" fmla="*/ 9309915 w 12192000"/>
            <a:gd name="connsiteY6516" fmla="*/ 4429687 h 6858000"/>
            <a:gd name="connsiteX6517" fmla="*/ 9344740 w 12192000"/>
            <a:gd name="connsiteY6517" fmla="*/ 4394868 h 6858000"/>
            <a:gd name="connsiteX6518" fmla="*/ 9379553 w 12192000"/>
            <a:gd name="connsiteY6518" fmla="*/ 4429687 h 6858000"/>
            <a:gd name="connsiteX6519" fmla="*/ 9344740 w 12192000"/>
            <a:gd name="connsiteY6519" fmla="*/ 4464506 h 6858000"/>
            <a:gd name="connsiteX6520" fmla="*/ 9429633 w 12192000"/>
            <a:gd name="connsiteY6520" fmla="*/ 4464506 h 6858000"/>
            <a:gd name="connsiteX6521" fmla="*/ 9394807 w 12192000"/>
            <a:gd name="connsiteY6521" fmla="*/ 4429687 h 6858000"/>
            <a:gd name="connsiteX6522" fmla="*/ 9429633 w 12192000"/>
            <a:gd name="connsiteY6522" fmla="*/ 4394868 h 6858000"/>
            <a:gd name="connsiteX6523" fmla="*/ 9464445 w 12192000"/>
            <a:gd name="connsiteY6523" fmla="*/ 4429687 h 6858000"/>
            <a:gd name="connsiteX6524" fmla="*/ 9429633 w 12192000"/>
            <a:gd name="connsiteY6524" fmla="*/ 4464506 h 6858000"/>
            <a:gd name="connsiteX6525" fmla="*/ 9514525 w 12192000"/>
            <a:gd name="connsiteY6525" fmla="*/ 4464506 h 6858000"/>
            <a:gd name="connsiteX6526" fmla="*/ 9479699 w 12192000"/>
            <a:gd name="connsiteY6526" fmla="*/ 4429687 h 6858000"/>
            <a:gd name="connsiteX6527" fmla="*/ 9514525 w 12192000"/>
            <a:gd name="connsiteY6527" fmla="*/ 4394868 h 6858000"/>
            <a:gd name="connsiteX6528" fmla="*/ 9549337 w 12192000"/>
            <a:gd name="connsiteY6528" fmla="*/ 4429687 h 6858000"/>
            <a:gd name="connsiteX6529" fmla="*/ 9514525 w 12192000"/>
            <a:gd name="connsiteY6529" fmla="*/ 4464506 h 6858000"/>
            <a:gd name="connsiteX6530" fmla="*/ 9599418 w 12192000"/>
            <a:gd name="connsiteY6530" fmla="*/ 4464506 h 6858000"/>
            <a:gd name="connsiteX6531" fmla="*/ 9564593 w 12192000"/>
            <a:gd name="connsiteY6531" fmla="*/ 4429687 h 6858000"/>
            <a:gd name="connsiteX6532" fmla="*/ 9599418 w 12192000"/>
            <a:gd name="connsiteY6532" fmla="*/ 4394868 h 6858000"/>
            <a:gd name="connsiteX6533" fmla="*/ 9634230 w 12192000"/>
            <a:gd name="connsiteY6533" fmla="*/ 4429687 h 6858000"/>
            <a:gd name="connsiteX6534" fmla="*/ 9599418 w 12192000"/>
            <a:gd name="connsiteY6534" fmla="*/ 4464506 h 6858000"/>
            <a:gd name="connsiteX6535" fmla="*/ 9684310 w 12192000"/>
            <a:gd name="connsiteY6535" fmla="*/ 4464506 h 6858000"/>
            <a:gd name="connsiteX6536" fmla="*/ 9649485 w 12192000"/>
            <a:gd name="connsiteY6536" fmla="*/ 4429687 h 6858000"/>
            <a:gd name="connsiteX6537" fmla="*/ 9684310 w 12192000"/>
            <a:gd name="connsiteY6537" fmla="*/ 4394868 h 6858000"/>
            <a:gd name="connsiteX6538" fmla="*/ 9719123 w 12192000"/>
            <a:gd name="connsiteY6538" fmla="*/ 4429687 h 6858000"/>
            <a:gd name="connsiteX6539" fmla="*/ 9684310 w 12192000"/>
            <a:gd name="connsiteY6539" fmla="*/ 4464506 h 6858000"/>
            <a:gd name="connsiteX6540" fmla="*/ 9769203 w 12192000"/>
            <a:gd name="connsiteY6540" fmla="*/ 4464506 h 6858000"/>
            <a:gd name="connsiteX6541" fmla="*/ 9734377 w 12192000"/>
            <a:gd name="connsiteY6541" fmla="*/ 4429687 h 6858000"/>
            <a:gd name="connsiteX6542" fmla="*/ 9769203 w 12192000"/>
            <a:gd name="connsiteY6542" fmla="*/ 4394868 h 6858000"/>
            <a:gd name="connsiteX6543" fmla="*/ 9804015 w 12192000"/>
            <a:gd name="connsiteY6543" fmla="*/ 4429687 h 6858000"/>
            <a:gd name="connsiteX6544" fmla="*/ 9769203 w 12192000"/>
            <a:gd name="connsiteY6544" fmla="*/ 4464506 h 6858000"/>
            <a:gd name="connsiteX6545" fmla="*/ 9854095 w 12192000"/>
            <a:gd name="connsiteY6545" fmla="*/ 4464506 h 6858000"/>
            <a:gd name="connsiteX6546" fmla="*/ 9819269 w 12192000"/>
            <a:gd name="connsiteY6546" fmla="*/ 4429687 h 6858000"/>
            <a:gd name="connsiteX6547" fmla="*/ 9854095 w 12192000"/>
            <a:gd name="connsiteY6547" fmla="*/ 4394868 h 6858000"/>
            <a:gd name="connsiteX6548" fmla="*/ 9888907 w 12192000"/>
            <a:gd name="connsiteY6548" fmla="*/ 4429687 h 6858000"/>
            <a:gd name="connsiteX6549" fmla="*/ 9854095 w 12192000"/>
            <a:gd name="connsiteY6549" fmla="*/ 4464506 h 6858000"/>
            <a:gd name="connsiteX6550" fmla="*/ 10023880 w 12192000"/>
            <a:gd name="connsiteY6550" fmla="*/ 4464506 h 6858000"/>
            <a:gd name="connsiteX6551" fmla="*/ 9989055 w 12192000"/>
            <a:gd name="connsiteY6551" fmla="*/ 4429687 h 6858000"/>
            <a:gd name="connsiteX6552" fmla="*/ 10023880 w 12192000"/>
            <a:gd name="connsiteY6552" fmla="*/ 4394868 h 6858000"/>
            <a:gd name="connsiteX6553" fmla="*/ 10058693 w 12192000"/>
            <a:gd name="connsiteY6553" fmla="*/ 4429687 h 6858000"/>
            <a:gd name="connsiteX6554" fmla="*/ 10023880 w 12192000"/>
            <a:gd name="connsiteY6554" fmla="*/ 4464506 h 6858000"/>
            <a:gd name="connsiteX6555" fmla="*/ 2298661 w 12192000"/>
            <a:gd name="connsiteY6555" fmla="*/ 4379646 h 6858000"/>
            <a:gd name="connsiteX6556" fmla="*/ 2263842 w 12192000"/>
            <a:gd name="connsiteY6556" fmla="*/ 4344827 h 6858000"/>
            <a:gd name="connsiteX6557" fmla="*/ 2298661 w 12192000"/>
            <a:gd name="connsiteY6557" fmla="*/ 4310008 h 6858000"/>
            <a:gd name="connsiteX6558" fmla="*/ 2333480 w 12192000"/>
            <a:gd name="connsiteY6558" fmla="*/ 4344827 h 6858000"/>
            <a:gd name="connsiteX6559" fmla="*/ 2298661 w 12192000"/>
            <a:gd name="connsiteY6559" fmla="*/ 4379646 h 6858000"/>
            <a:gd name="connsiteX6560" fmla="*/ 2383553 w 12192000"/>
            <a:gd name="connsiteY6560" fmla="*/ 4379646 h 6858000"/>
            <a:gd name="connsiteX6561" fmla="*/ 2348734 w 12192000"/>
            <a:gd name="connsiteY6561" fmla="*/ 4344827 h 6858000"/>
            <a:gd name="connsiteX6562" fmla="*/ 2383553 w 12192000"/>
            <a:gd name="connsiteY6562" fmla="*/ 4310008 h 6858000"/>
            <a:gd name="connsiteX6563" fmla="*/ 2418372 w 12192000"/>
            <a:gd name="connsiteY6563" fmla="*/ 4344827 h 6858000"/>
            <a:gd name="connsiteX6564" fmla="*/ 2383553 w 12192000"/>
            <a:gd name="connsiteY6564" fmla="*/ 4379646 h 6858000"/>
            <a:gd name="connsiteX6565" fmla="*/ 2468446 w 12192000"/>
            <a:gd name="connsiteY6565" fmla="*/ 4379646 h 6858000"/>
            <a:gd name="connsiteX6566" fmla="*/ 2433627 w 12192000"/>
            <a:gd name="connsiteY6566" fmla="*/ 4344827 h 6858000"/>
            <a:gd name="connsiteX6567" fmla="*/ 2468446 w 12192000"/>
            <a:gd name="connsiteY6567" fmla="*/ 4310008 h 6858000"/>
            <a:gd name="connsiteX6568" fmla="*/ 2503264 w 12192000"/>
            <a:gd name="connsiteY6568" fmla="*/ 4344827 h 6858000"/>
            <a:gd name="connsiteX6569" fmla="*/ 2468446 w 12192000"/>
            <a:gd name="connsiteY6569" fmla="*/ 4379646 h 6858000"/>
            <a:gd name="connsiteX6570" fmla="*/ 2553339 w 12192000"/>
            <a:gd name="connsiteY6570" fmla="*/ 4379646 h 6858000"/>
            <a:gd name="connsiteX6571" fmla="*/ 2518520 w 12192000"/>
            <a:gd name="connsiteY6571" fmla="*/ 4344827 h 6858000"/>
            <a:gd name="connsiteX6572" fmla="*/ 2553339 w 12192000"/>
            <a:gd name="connsiteY6572" fmla="*/ 4310008 h 6858000"/>
            <a:gd name="connsiteX6573" fmla="*/ 2588158 w 12192000"/>
            <a:gd name="connsiteY6573" fmla="*/ 4344827 h 6858000"/>
            <a:gd name="connsiteX6574" fmla="*/ 2553339 w 12192000"/>
            <a:gd name="connsiteY6574" fmla="*/ 4379646 h 6858000"/>
            <a:gd name="connsiteX6575" fmla="*/ 2638231 w 12192000"/>
            <a:gd name="connsiteY6575" fmla="*/ 4379646 h 6858000"/>
            <a:gd name="connsiteX6576" fmla="*/ 2603412 w 12192000"/>
            <a:gd name="connsiteY6576" fmla="*/ 4344827 h 6858000"/>
            <a:gd name="connsiteX6577" fmla="*/ 2638231 w 12192000"/>
            <a:gd name="connsiteY6577" fmla="*/ 4310008 h 6858000"/>
            <a:gd name="connsiteX6578" fmla="*/ 2673050 w 12192000"/>
            <a:gd name="connsiteY6578" fmla="*/ 4344827 h 6858000"/>
            <a:gd name="connsiteX6579" fmla="*/ 2638231 w 12192000"/>
            <a:gd name="connsiteY6579" fmla="*/ 4379646 h 6858000"/>
            <a:gd name="connsiteX6580" fmla="*/ 2723123 w 12192000"/>
            <a:gd name="connsiteY6580" fmla="*/ 4379646 h 6858000"/>
            <a:gd name="connsiteX6581" fmla="*/ 2688304 w 12192000"/>
            <a:gd name="connsiteY6581" fmla="*/ 4344827 h 6858000"/>
            <a:gd name="connsiteX6582" fmla="*/ 2723123 w 12192000"/>
            <a:gd name="connsiteY6582" fmla="*/ 4310008 h 6858000"/>
            <a:gd name="connsiteX6583" fmla="*/ 2757942 w 12192000"/>
            <a:gd name="connsiteY6583" fmla="*/ 4344827 h 6858000"/>
            <a:gd name="connsiteX6584" fmla="*/ 2723123 w 12192000"/>
            <a:gd name="connsiteY6584" fmla="*/ 4379646 h 6858000"/>
            <a:gd name="connsiteX6585" fmla="*/ 2808016 w 12192000"/>
            <a:gd name="connsiteY6585" fmla="*/ 4379646 h 6858000"/>
            <a:gd name="connsiteX6586" fmla="*/ 2773197 w 12192000"/>
            <a:gd name="connsiteY6586" fmla="*/ 4344827 h 6858000"/>
            <a:gd name="connsiteX6587" fmla="*/ 2808016 w 12192000"/>
            <a:gd name="connsiteY6587" fmla="*/ 4310008 h 6858000"/>
            <a:gd name="connsiteX6588" fmla="*/ 2842834 w 12192000"/>
            <a:gd name="connsiteY6588" fmla="*/ 4344827 h 6858000"/>
            <a:gd name="connsiteX6589" fmla="*/ 2808016 w 12192000"/>
            <a:gd name="connsiteY6589" fmla="*/ 4379646 h 6858000"/>
            <a:gd name="connsiteX6590" fmla="*/ 2892908 w 12192000"/>
            <a:gd name="connsiteY6590" fmla="*/ 4379646 h 6858000"/>
            <a:gd name="connsiteX6591" fmla="*/ 2858089 w 12192000"/>
            <a:gd name="connsiteY6591" fmla="*/ 4344827 h 6858000"/>
            <a:gd name="connsiteX6592" fmla="*/ 2892908 w 12192000"/>
            <a:gd name="connsiteY6592" fmla="*/ 4310008 h 6858000"/>
            <a:gd name="connsiteX6593" fmla="*/ 2927727 w 12192000"/>
            <a:gd name="connsiteY6593" fmla="*/ 4344827 h 6858000"/>
            <a:gd name="connsiteX6594" fmla="*/ 2892908 w 12192000"/>
            <a:gd name="connsiteY6594" fmla="*/ 4379646 h 6858000"/>
            <a:gd name="connsiteX6595" fmla="*/ 2977801 w 12192000"/>
            <a:gd name="connsiteY6595" fmla="*/ 4379646 h 6858000"/>
            <a:gd name="connsiteX6596" fmla="*/ 2942982 w 12192000"/>
            <a:gd name="connsiteY6596" fmla="*/ 4344827 h 6858000"/>
            <a:gd name="connsiteX6597" fmla="*/ 2977801 w 12192000"/>
            <a:gd name="connsiteY6597" fmla="*/ 4310008 h 6858000"/>
            <a:gd name="connsiteX6598" fmla="*/ 3012620 w 12192000"/>
            <a:gd name="connsiteY6598" fmla="*/ 4344827 h 6858000"/>
            <a:gd name="connsiteX6599" fmla="*/ 2977801 w 12192000"/>
            <a:gd name="connsiteY6599" fmla="*/ 4379646 h 6858000"/>
            <a:gd name="connsiteX6600" fmla="*/ 3062693 w 12192000"/>
            <a:gd name="connsiteY6600" fmla="*/ 4379646 h 6858000"/>
            <a:gd name="connsiteX6601" fmla="*/ 3027874 w 12192000"/>
            <a:gd name="connsiteY6601" fmla="*/ 4344827 h 6858000"/>
            <a:gd name="connsiteX6602" fmla="*/ 3062693 w 12192000"/>
            <a:gd name="connsiteY6602" fmla="*/ 4310008 h 6858000"/>
            <a:gd name="connsiteX6603" fmla="*/ 3097512 w 12192000"/>
            <a:gd name="connsiteY6603" fmla="*/ 4344827 h 6858000"/>
            <a:gd name="connsiteX6604" fmla="*/ 3062693 w 12192000"/>
            <a:gd name="connsiteY6604" fmla="*/ 4379646 h 6858000"/>
            <a:gd name="connsiteX6605" fmla="*/ 3147586 w 12192000"/>
            <a:gd name="connsiteY6605" fmla="*/ 4379646 h 6858000"/>
            <a:gd name="connsiteX6606" fmla="*/ 3112767 w 12192000"/>
            <a:gd name="connsiteY6606" fmla="*/ 4344827 h 6858000"/>
            <a:gd name="connsiteX6607" fmla="*/ 3147586 w 12192000"/>
            <a:gd name="connsiteY6607" fmla="*/ 4310008 h 6858000"/>
            <a:gd name="connsiteX6608" fmla="*/ 3182404 w 12192000"/>
            <a:gd name="connsiteY6608" fmla="*/ 4344827 h 6858000"/>
            <a:gd name="connsiteX6609" fmla="*/ 3147586 w 12192000"/>
            <a:gd name="connsiteY6609" fmla="*/ 4379646 h 6858000"/>
            <a:gd name="connsiteX6610" fmla="*/ 3232478 w 12192000"/>
            <a:gd name="connsiteY6610" fmla="*/ 4379646 h 6858000"/>
            <a:gd name="connsiteX6611" fmla="*/ 3197659 w 12192000"/>
            <a:gd name="connsiteY6611" fmla="*/ 4344827 h 6858000"/>
            <a:gd name="connsiteX6612" fmla="*/ 3232478 w 12192000"/>
            <a:gd name="connsiteY6612" fmla="*/ 4310008 h 6858000"/>
            <a:gd name="connsiteX6613" fmla="*/ 3267297 w 12192000"/>
            <a:gd name="connsiteY6613" fmla="*/ 4344827 h 6858000"/>
            <a:gd name="connsiteX6614" fmla="*/ 3232478 w 12192000"/>
            <a:gd name="connsiteY6614" fmla="*/ 4379646 h 6858000"/>
            <a:gd name="connsiteX6615" fmla="*/ 3317371 w 12192000"/>
            <a:gd name="connsiteY6615" fmla="*/ 4379646 h 6858000"/>
            <a:gd name="connsiteX6616" fmla="*/ 3282552 w 12192000"/>
            <a:gd name="connsiteY6616" fmla="*/ 4344827 h 6858000"/>
            <a:gd name="connsiteX6617" fmla="*/ 3317371 w 12192000"/>
            <a:gd name="connsiteY6617" fmla="*/ 4310008 h 6858000"/>
            <a:gd name="connsiteX6618" fmla="*/ 3352190 w 12192000"/>
            <a:gd name="connsiteY6618" fmla="*/ 4344827 h 6858000"/>
            <a:gd name="connsiteX6619" fmla="*/ 3317371 w 12192000"/>
            <a:gd name="connsiteY6619" fmla="*/ 4379646 h 6858000"/>
            <a:gd name="connsiteX6620" fmla="*/ 3402263 w 12192000"/>
            <a:gd name="connsiteY6620" fmla="*/ 4379646 h 6858000"/>
            <a:gd name="connsiteX6621" fmla="*/ 3367444 w 12192000"/>
            <a:gd name="connsiteY6621" fmla="*/ 4344827 h 6858000"/>
            <a:gd name="connsiteX6622" fmla="*/ 3402263 w 12192000"/>
            <a:gd name="connsiteY6622" fmla="*/ 4310008 h 6858000"/>
            <a:gd name="connsiteX6623" fmla="*/ 3437082 w 12192000"/>
            <a:gd name="connsiteY6623" fmla="*/ 4344827 h 6858000"/>
            <a:gd name="connsiteX6624" fmla="*/ 3402263 w 12192000"/>
            <a:gd name="connsiteY6624" fmla="*/ 4379646 h 6858000"/>
            <a:gd name="connsiteX6625" fmla="*/ 3487156 w 12192000"/>
            <a:gd name="connsiteY6625" fmla="*/ 4379646 h 6858000"/>
            <a:gd name="connsiteX6626" fmla="*/ 3452337 w 12192000"/>
            <a:gd name="connsiteY6626" fmla="*/ 4344827 h 6858000"/>
            <a:gd name="connsiteX6627" fmla="*/ 3487156 w 12192000"/>
            <a:gd name="connsiteY6627" fmla="*/ 4310008 h 6858000"/>
            <a:gd name="connsiteX6628" fmla="*/ 3521974 w 12192000"/>
            <a:gd name="connsiteY6628" fmla="*/ 4344827 h 6858000"/>
            <a:gd name="connsiteX6629" fmla="*/ 3487156 w 12192000"/>
            <a:gd name="connsiteY6629" fmla="*/ 4379646 h 6858000"/>
            <a:gd name="connsiteX6630" fmla="*/ 3572048 w 12192000"/>
            <a:gd name="connsiteY6630" fmla="*/ 4379646 h 6858000"/>
            <a:gd name="connsiteX6631" fmla="*/ 3537229 w 12192000"/>
            <a:gd name="connsiteY6631" fmla="*/ 4344827 h 6858000"/>
            <a:gd name="connsiteX6632" fmla="*/ 3572048 w 12192000"/>
            <a:gd name="connsiteY6632" fmla="*/ 4310008 h 6858000"/>
            <a:gd name="connsiteX6633" fmla="*/ 3606867 w 12192000"/>
            <a:gd name="connsiteY6633" fmla="*/ 4344827 h 6858000"/>
            <a:gd name="connsiteX6634" fmla="*/ 3572048 w 12192000"/>
            <a:gd name="connsiteY6634" fmla="*/ 4379646 h 6858000"/>
            <a:gd name="connsiteX6635" fmla="*/ 3656941 w 12192000"/>
            <a:gd name="connsiteY6635" fmla="*/ 4379646 h 6858000"/>
            <a:gd name="connsiteX6636" fmla="*/ 3622122 w 12192000"/>
            <a:gd name="connsiteY6636" fmla="*/ 4344827 h 6858000"/>
            <a:gd name="connsiteX6637" fmla="*/ 3656941 w 12192000"/>
            <a:gd name="connsiteY6637" fmla="*/ 4310008 h 6858000"/>
            <a:gd name="connsiteX6638" fmla="*/ 3691760 w 12192000"/>
            <a:gd name="connsiteY6638" fmla="*/ 4344827 h 6858000"/>
            <a:gd name="connsiteX6639" fmla="*/ 3656941 w 12192000"/>
            <a:gd name="connsiteY6639" fmla="*/ 4379646 h 6858000"/>
            <a:gd name="connsiteX6640" fmla="*/ 3741833 w 12192000"/>
            <a:gd name="connsiteY6640" fmla="*/ 4379646 h 6858000"/>
            <a:gd name="connsiteX6641" fmla="*/ 3707014 w 12192000"/>
            <a:gd name="connsiteY6641" fmla="*/ 4344827 h 6858000"/>
            <a:gd name="connsiteX6642" fmla="*/ 3741833 w 12192000"/>
            <a:gd name="connsiteY6642" fmla="*/ 4310008 h 6858000"/>
            <a:gd name="connsiteX6643" fmla="*/ 3776652 w 12192000"/>
            <a:gd name="connsiteY6643" fmla="*/ 4344827 h 6858000"/>
            <a:gd name="connsiteX6644" fmla="*/ 3741833 w 12192000"/>
            <a:gd name="connsiteY6644" fmla="*/ 4379646 h 6858000"/>
            <a:gd name="connsiteX6645" fmla="*/ 3826726 w 12192000"/>
            <a:gd name="connsiteY6645" fmla="*/ 4379646 h 6858000"/>
            <a:gd name="connsiteX6646" fmla="*/ 3791907 w 12192000"/>
            <a:gd name="connsiteY6646" fmla="*/ 4344827 h 6858000"/>
            <a:gd name="connsiteX6647" fmla="*/ 3826726 w 12192000"/>
            <a:gd name="connsiteY6647" fmla="*/ 4310008 h 6858000"/>
            <a:gd name="connsiteX6648" fmla="*/ 3861544 w 12192000"/>
            <a:gd name="connsiteY6648" fmla="*/ 4344827 h 6858000"/>
            <a:gd name="connsiteX6649" fmla="*/ 3826726 w 12192000"/>
            <a:gd name="connsiteY6649" fmla="*/ 4379646 h 6858000"/>
            <a:gd name="connsiteX6650" fmla="*/ 3911618 w 12192000"/>
            <a:gd name="connsiteY6650" fmla="*/ 4379646 h 6858000"/>
            <a:gd name="connsiteX6651" fmla="*/ 3876799 w 12192000"/>
            <a:gd name="connsiteY6651" fmla="*/ 4344827 h 6858000"/>
            <a:gd name="connsiteX6652" fmla="*/ 3911618 w 12192000"/>
            <a:gd name="connsiteY6652" fmla="*/ 4310008 h 6858000"/>
            <a:gd name="connsiteX6653" fmla="*/ 3946437 w 12192000"/>
            <a:gd name="connsiteY6653" fmla="*/ 4344827 h 6858000"/>
            <a:gd name="connsiteX6654" fmla="*/ 3911618 w 12192000"/>
            <a:gd name="connsiteY6654" fmla="*/ 4379646 h 6858000"/>
            <a:gd name="connsiteX6655" fmla="*/ 5779252 w 12192000"/>
            <a:gd name="connsiteY6655" fmla="*/ 4379646 h 6858000"/>
            <a:gd name="connsiteX6656" fmla="*/ 5744433 w 12192000"/>
            <a:gd name="connsiteY6656" fmla="*/ 4344827 h 6858000"/>
            <a:gd name="connsiteX6657" fmla="*/ 5779252 w 12192000"/>
            <a:gd name="connsiteY6657" fmla="*/ 4310008 h 6858000"/>
            <a:gd name="connsiteX6658" fmla="*/ 5814071 w 12192000"/>
            <a:gd name="connsiteY6658" fmla="*/ 4344827 h 6858000"/>
            <a:gd name="connsiteX6659" fmla="*/ 5779252 w 12192000"/>
            <a:gd name="connsiteY6659" fmla="*/ 4379646 h 6858000"/>
            <a:gd name="connsiteX6660" fmla="*/ 5864146 w 12192000"/>
            <a:gd name="connsiteY6660" fmla="*/ 4379646 h 6858000"/>
            <a:gd name="connsiteX6661" fmla="*/ 5829327 w 12192000"/>
            <a:gd name="connsiteY6661" fmla="*/ 4344827 h 6858000"/>
            <a:gd name="connsiteX6662" fmla="*/ 5864146 w 12192000"/>
            <a:gd name="connsiteY6662" fmla="*/ 4310008 h 6858000"/>
            <a:gd name="connsiteX6663" fmla="*/ 5898964 w 12192000"/>
            <a:gd name="connsiteY6663" fmla="*/ 4344827 h 6858000"/>
            <a:gd name="connsiteX6664" fmla="*/ 5864146 w 12192000"/>
            <a:gd name="connsiteY6664" fmla="*/ 4379646 h 6858000"/>
            <a:gd name="connsiteX6665" fmla="*/ 6033930 w 12192000"/>
            <a:gd name="connsiteY6665" fmla="*/ 4379646 h 6858000"/>
            <a:gd name="connsiteX6666" fmla="*/ 5999111 w 12192000"/>
            <a:gd name="connsiteY6666" fmla="*/ 4344827 h 6858000"/>
            <a:gd name="connsiteX6667" fmla="*/ 6033930 w 12192000"/>
            <a:gd name="connsiteY6667" fmla="*/ 4310008 h 6858000"/>
            <a:gd name="connsiteX6668" fmla="*/ 6068749 w 12192000"/>
            <a:gd name="connsiteY6668" fmla="*/ 4344827 h 6858000"/>
            <a:gd name="connsiteX6669" fmla="*/ 6033930 w 12192000"/>
            <a:gd name="connsiteY6669" fmla="*/ 4379646 h 6858000"/>
            <a:gd name="connsiteX6670" fmla="*/ 6118826 w 12192000"/>
            <a:gd name="connsiteY6670" fmla="*/ 4379646 h 6858000"/>
            <a:gd name="connsiteX6671" fmla="*/ 6084000 w 12192000"/>
            <a:gd name="connsiteY6671" fmla="*/ 4344827 h 6858000"/>
            <a:gd name="connsiteX6672" fmla="*/ 6118826 w 12192000"/>
            <a:gd name="connsiteY6672" fmla="*/ 4310008 h 6858000"/>
            <a:gd name="connsiteX6673" fmla="*/ 6153638 w 12192000"/>
            <a:gd name="connsiteY6673" fmla="*/ 4344827 h 6858000"/>
            <a:gd name="connsiteX6674" fmla="*/ 6118826 w 12192000"/>
            <a:gd name="connsiteY6674" fmla="*/ 4379646 h 6858000"/>
            <a:gd name="connsiteX6675" fmla="*/ 6203718 w 12192000"/>
            <a:gd name="connsiteY6675" fmla="*/ 4379646 h 6858000"/>
            <a:gd name="connsiteX6676" fmla="*/ 6168893 w 12192000"/>
            <a:gd name="connsiteY6676" fmla="*/ 4344827 h 6858000"/>
            <a:gd name="connsiteX6677" fmla="*/ 6203718 w 12192000"/>
            <a:gd name="connsiteY6677" fmla="*/ 4310008 h 6858000"/>
            <a:gd name="connsiteX6678" fmla="*/ 6238530 w 12192000"/>
            <a:gd name="connsiteY6678" fmla="*/ 4344827 h 6858000"/>
            <a:gd name="connsiteX6679" fmla="*/ 6203718 w 12192000"/>
            <a:gd name="connsiteY6679" fmla="*/ 4379646 h 6858000"/>
            <a:gd name="connsiteX6680" fmla="*/ 6288611 w 12192000"/>
            <a:gd name="connsiteY6680" fmla="*/ 4379646 h 6858000"/>
            <a:gd name="connsiteX6681" fmla="*/ 6253786 w 12192000"/>
            <a:gd name="connsiteY6681" fmla="*/ 4344827 h 6858000"/>
            <a:gd name="connsiteX6682" fmla="*/ 6288611 w 12192000"/>
            <a:gd name="connsiteY6682" fmla="*/ 4310008 h 6858000"/>
            <a:gd name="connsiteX6683" fmla="*/ 6323424 w 12192000"/>
            <a:gd name="connsiteY6683" fmla="*/ 4344827 h 6858000"/>
            <a:gd name="connsiteX6684" fmla="*/ 6288611 w 12192000"/>
            <a:gd name="connsiteY6684" fmla="*/ 4379646 h 6858000"/>
            <a:gd name="connsiteX6685" fmla="*/ 6373504 w 12192000"/>
            <a:gd name="connsiteY6685" fmla="*/ 4379646 h 6858000"/>
            <a:gd name="connsiteX6686" fmla="*/ 6338678 w 12192000"/>
            <a:gd name="connsiteY6686" fmla="*/ 4344827 h 6858000"/>
            <a:gd name="connsiteX6687" fmla="*/ 6373504 w 12192000"/>
            <a:gd name="connsiteY6687" fmla="*/ 4310008 h 6858000"/>
            <a:gd name="connsiteX6688" fmla="*/ 6408316 w 12192000"/>
            <a:gd name="connsiteY6688" fmla="*/ 4344827 h 6858000"/>
            <a:gd name="connsiteX6689" fmla="*/ 6373504 w 12192000"/>
            <a:gd name="connsiteY6689" fmla="*/ 4379646 h 6858000"/>
            <a:gd name="connsiteX6690" fmla="*/ 6458396 w 12192000"/>
            <a:gd name="connsiteY6690" fmla="*/ 4379646 h 6858000"/>
            <a:gd name="connsiteX6691" fmla="*/ 6423570 w 12192000"/>
            <a:gd name="connsiteY6691" fmla="*/ 4344827 h 6858000"/>
            <a:gd name="connsiteX6692" fmla="*/ 6458396 w 12192000"/>
            <a:gd name="connsiteY6692" fmla="*/ 4310008 h 6858000"/>
            <a:gd name="connsiteX6693" fmla="*/ 6493208 w 12192000"/>
            <a:gd name="connsiteY6693" fmla="*/ 4344827 h 6858000"/>
            <a:gd name="connsiteX6694" fmla="*/ 6458396 w 12192000"/>
            <a:gd name="connsiteY6694" fmla="*/ 4379646 h 6858000"/>
            <a:gd name="connsiteX6695" fmla="*/ 6543288 w 12192000"/>
            <a:gd name="connsiteY6695" fmla="*/ 4379646 h 6858000"/>
            <a:gd name="connsiteX6696" fmla="*/ 6508463 w 12192000"/>
            <a:gd name="connsiteY6696" fmla="*/ 4344827 h 6858000"/>
            <a:gd name="connsiteX6697" fmla="*/ 6543288 w 12192000"/>
            <a:gd name="connsiteY6697" fmla="*/ 4310008 h 6858000"/>
            <a:gd name="connsiteX6698" fmla="*/ 6578100 w 12192000"/>
            <a:gd name="connsiteY6698" fmla="*/ 4344827 h 6858000"/>
            <a:gd name="connsiteX6699" fmla="*/ 6543288 w 12192000"/>
            <a:gd name="connsiteY6699" fmla="*/ 4379646 h 6858000"/>
            <a:gd name="connsiteX6700" fmla="*/ 6628181 w 12192000"/>
            <a:gd name="connsiteY6700" fmla="*/ 4379646 h 6858000"/>
            <a:gd name="connsiteX6701" fmla="*/ 6593356 w 12192000"/>
            <a:gd name="connsiteY6701" fmla="*/ 4344827 h 6858000"/>
            <a:gd name="connsiteX6702" fmla="*/ 6628181 w 12192000"/>
            <a:gd name="connsiteY6702" fmla="*/ 4310008 h 6858000"/>
            <a:gd name="connsiteX6703" fmla="*/ 6662994 w 12192000"/>
            <a:gd name="connsiteY6703" fmla="*/ 4344827 h 6858000"/>
            <a:gd name="connsiteX6704" fmla="*/ 6628181 w 12192000"/>
            <a:gd name="connsiteY6704" fmla="*/ 4379646 h 6858000"/>
            <a:gd name="connsiteX6705" fmla="*/ 6713074 w 12192000"/>
            <a:gd name="connsiteY6705" fmla="*/ 4379646 h 6858000"/>
            <a:gd name="connsiteX6706" fmla="*/ 6678248 w 12192000"/>
            <a:gd name="connsiteY6706" fmla="*/ 4344827 h 6858000"/>
            <a:gd name="connsiteX6707" fmla="*/ 6713074 w 12192000"/>
            <a:gd name="connsiteY6707" fmla="*/ 4310008 h 6858000"/>
            <a:gd name="connsiteX6708" fmla="*/ 6747886 w 12192000"/>
            <a:gd name="connsiteY6708" fmla="*/ 4344827 h 6858000"/>
            <a:gd name="connsiteX6709" fmla="*/ 6713074 w 12192000"/>
            <a:gd name="connsiteY6709" fmla="*/ 4379646 h 6858000"/>
            <a:gd name="connsiteX6710" fmla="*/ 6797966 w 12192000"/>
            <a:gd name="connsiteY6710" fmla="*/ 4379646 h 6858000"/>
            <a:gd name="connsiteX6711" fmla="*/ 6763140 w 12192000"/>
            <a:gd name="connsiteY6711" fmla="*/ 4344827 h 6858000"/>
            <a:gd name="connsiteX6712" fmla="*/ 6797966 w 12192000"/>
            <a:gd name="connsiteY6712" fmla="*/ 4310008 h 6858000"/>
            <a:gd name="connsiteX6713" fmla="*/ 6832778 w 12192000"/>
            <a:gd name="connsiteY6713" fmla="*/ 4344827 h 6858000"/>
            <a:gd name="connsiteX6714" fmla="*/ 6797966 w 12192000"/>
            <a:gd name="connsiteY6714" fmla="*/ 4379646 h 6858000"/>
            <a:gd name="connsiteX6715" fmla="*/ 6882858 w 12192000"/>
            <a:gd name="connsiteY6715" fmla="*/ 4379646 h 6858000"/>
            <a:gd name="connsiteX6716" fmla="*/ 6848033 w 12192000"/>
            <a:gd name="connsiteY6716" fmla="*/ 4344827 h 6858000"/>
            <a:gd name="connsiteX6717" fmla="*/ 6882858 w 12192000"/>
            <a:gd name="connsiteY6717" fmla="*/ 4310008 h 6858000"/>
            <a:gd name="connsiteX6718" fmla="*/ 6917670 w 12192000"/>
            <a:gd name="connsiteY6718" fmla="*/ 4344827 h 6858000"/>
            <a:gd name="connsiteX6719" fmla="*/ 6882858 w 12192000"/>
            <a:gd name="connsiteY6719" fmla="*/ 4379646 h 6858000"/>
            <a:gd name="connsiteX6720" fmla="*/ 6967750 w 12192000"/>
            <a:gd name="connsiteY6720" fmla="*/ 4379646 h 6858000"/>
            <a:gd name="connsiteX6721" fmla="*/ 6932925 w 12192000"/>
            <a:gd name="connsiteY6721" fmla="*/ 4344827 h 6858000"/>
            <a:gd name="connsiteX6722" fmla="*/ 6967750 w 12192000"/>
            <a:gd name="connsiteY6722" fmla="*/ 4310008 h 6858000"/>
            <a:gd name="connsiteX6723" fmla="*/ 7002563 w 12192000"/>
            <a:gd name="connsiteY6723" fmla="*/ 4344827 h 6858000"/>
            <a:gd name="connsiteX6724" fmla="*/ 6967750 w 12192000"/>
            <a:gd name="connsiteY6724" fmla="*/ 4379646 h 6858000"/>
            <a:gd name="connsiteX6725" fmla="*/ 7052644 w 12192000"/>
            <a:gd name="connsiteY6725" fmla="*/ 4379646 h 6858000"/>
            <a:gd name="connsiteX6726" fmla="*/ 7017818 w 12192000"/>
            <a:gd name="connsiteY6726" fmla="*/ 4344827 h 6858000"/>
            <a:gd name="connsiteX6727" fmla="*/ 7052644 w 12192000"/>
            <a:gd name="connsiteY6727" fmla="*/ 4310008 h 6858000"/>
            <a:gd name="connsiteX6728" fmla="*/ 7087456 w 12192000"/>
            <a:gd name="connsiteY6728" fmla="*/ 4344827 h 6858000"/>
            <a:gd name="connsiteX6729" fmla="*/ 7052644 w 12192000"/>
            <a:gd name="connsiteY6729" fmla="*/ 4379646 h 6858000"/>
            <a:gd name="connsiteX6730" fmla="*/ 7137536 w 12192000"/>
            <a:gd name="connsiteY6730" fmla="*/ 4379646 h 6858000"/>
            <a:gd name="connsiteX6731" fmla="*/ 7102710 w 12192000"/>
            <a:gd name="connsiteY6731" fmla="*/ 4344827 h 6858000"/>
            <a:gd name="connsiteX6732" fmla="*/ 7137536 w 12192000"/>
            <a:gd name="connsiteY6732" fmla="*/ 4310008 h 6858000"/>
            <a:gd name="connsiteX6733" fmla="*/ 7172348 w 12192000"/>
            <a:gd name="connsiteY6733" fmla="*/ 4344827 h 6858000"/>
            <a:gd name="connsiteX6734" fmla="*/ 7137536 w 12192000"/>
            <a:gd name="connsiteY6734" fmla="*/ 4379646 h 6858000"/>
            <a:gd name="connsiteX6735" fmla="*/ 7222428 w 12192000"/>
            <a:gd name="connsiteY6735" fmla="*/ 4379646 h 6858000"/>
            <a:gd name="connsiteX6736" fmla="*/ 7187603 w 12192000"/>
            <a:gd name="connsiteY6736" fmla="*/ 4344827 h 6858000"/>
            <a:gd name="connsiteX6737" fmla="*/ 7222428 w 12192000"/>
            <a:gd name="connsiteY6737" fmla="*/ 4310008 h 6858000"/>
            <a:gd name="connsiteX6738" fmla="*/ 7257240 w 12192000"/>
            <a:gd name="connsiteY6738" fmla="*/ 4344827 h 6858000"/>
            <a:gd name="connsiteX6739" fmla="*/ 7222428 w 12192000"/>
            <a:gd name="connsiteY6739" fmla="*/ 4379646 h 6858000"/>
            <a:gd name="connsiteX6740" fmla="*/ 7307320 w 12192000"/>
            <a:gd name="connsiteY6740" fmla="*/ 4379646 h 6858000"/>
            <a:gd name="connsiteX6741" fmla="*/ 7272495 w 12192000"/>
            <a:gd name="connsiteY6741" fmla="*/ 4344827 h 6858000"/>
            <a:gd name="connsiteX6742" fmla="*/ 7307320 w 12192000"/>
            <a:gd name="connsiteY6742" fmla="*/ 4310008 h 6858000"/>
            <a:gd name="connsiteX6743" fmla="*/ 7342133 w 12192000"/>
            <a:gd name="connsiteY6743" fmla="*/ 4344827 h 6858000"/>
            <a:gd name="connsiteX6744" fmla="*/ 7307320 w 12192000"/>
            <a:gd name="connsiteY6744" fmla="*/ 4379646 h 6858000"/>
            <a:gd name="connsiteX6745" fmla="*/ 7392214 w 12192000"/>
            <a:gd name="connsiteY6745" fmla="*/ 4379646 h 6858000"/>
            <a:gd name="connsiteX6746" fmla="*/ 7357388 w 12192000"/>
            <a:gd name="connsiteY6746" fmla="*/ 4344827 h 6858000"/>
            <a:gd name="connsiteX6747" fmla="*/ 7392214 w 12192000"/>
            <a:gd name="connsiteY6747" fmla="*/ 4310008 h 6858000"/>
            <a:gd name="connsiteX6748" fmla="*/ 7427026 w 12192000"/>
            <a:gd name="connsiteY6748" fmla="*/ 4344827 h 6858000"/>
            <a:gd name="connsiteX6749" fmla="*/ 7392214 w 12192000"/>
            <a:gd name="connsiteY6749" fmla="*/ 4379646 h 6858000"/>
            <a:gd name="connsiteX6750" fmla="*/ 7477106 w 12192000"/>
            <a:gd name="connsiteY6750" fmla="*/ 4379646 h 6858000"/>
            <a:gd name="connsiteX6751" fmla="*/ 7442280 w 12192000"/>
            <a:gd name="connsiteY6751" fmla="*/ 4344827 h 6858000"/>
            <a:gd name="connsiteX6752" fmla="*/ 7477106 w 12192000"/>
            <a:gd name="connsiteY6752" fmla="*/ 4310008 h 6858000"/>
            <a:gd name="connsiteX6753" fmla="*/ 7511918 w 12192000"/>
            <a:gd name="connsiteY6753" fmla="*/ 4344827 h 6858000"/>
            <a:gd name="connsiteX6754" fmla="*/ 7477106 w 12192000"/>
            <a:gd name="connsiteY6754" fmla="*/ 4379646 h 6858000"/>
            <a:gd name="connsiteX6755" fmla="*/ 7561998 w 12192000"/>
            <a:gd name="connsiteY6755" fmla="*/ 4379646 h 6858000"/>
            <a:gd name="connsiteX6756" fmla="*/ 7527173 w 12192000"/>
            <a:gd name="connsiteY6756" fmla="*/ 4344827 h 6858000"/>
            <a:gd name="connsiteX6757" fmla="*/ 7561998 w 12192000"/>
            <a:gd name="connsiteY6757" fmla="*/ 4310008 h 6858000"/>
            <a:gd name="connsiteX6758" fmla="*/ 7596810 w 12192000"/>
            <a:gd name="connsiteY6758" fmla="*/ 4344827 h 6858000"/>
            <a:gd name="connsiteX6759" fmla="*/ 7561998 w 12192000"/>
            <a:gd name="connsiteY6759" fmla="*/ 4379646 h 6858000"/>
            <a:gd name="connsiteX6760" fmla="*/ 7646890 w 12192000"/>
            <a:gd name="connsiteY6760" fmla="*/ 4379646 h 6858000"/>
            <a:gd name="connsiteX6761" fmla="*/ 7612065 w 12192000"/>
            <a:gd name="connsiteY6761" fmla="*/ 4344827 h 6858000"/>
            <a:gd name="connsiteX6762" fmla="*/ 7646890 w 12192000"/>
            <a:gd name="connsiteY6762" fmla="*/ 4310008 h 6858000"/>
            <a:gd name="connsiteX6763" fmla="*/ 7681703 w 12192000"/>
            <a:gd name="connsiteY6763" fmla="*/ 4344827 h 6858000"/>
            <a:gd name="connsiteX6764" fmla="*/ 7646890 w 12192000"/>
            <a:gd name="connsiteY6764" fmla="*/ 4379646 h 6858000"/>
            <a:gd name="connsiteX6765" fmla="*/ 7731784 w 12192000"/>
            <a:gd name="connsiteY6765" fmla="*/ 4379646 h 6858000"/>
            <a:gd name="connsiteX6766" fmla="*/ 7696958 w 12192000"/>
            <a:gd name="connsiteY6766" fmla="*/ 4344827 h 6858000"/>
            <a:gd name="connsiteX6767" fmla="*/ 7731784 w 12192000"/>
            <a:gd name="connsiteY6767" fmla="*/ 4310008 h 6858000"/>
            <a:gd name="connsiteX6768" fmla="*/ 7766596 w 12192000"/>
            <a:gd name="connsiteY6768" fmla="*/ 4344827 h 6858000"/>
            <a:gd name="connsiteX6769" fmla="*/ 7731784 w 12192000"/>
            <a:gd name="connsiteY6769" fmla="*/ 4379646 h 6858000"/>
            <a:gd name="connsiteX6770" fmla="*/ 7816676 w 12192000"/>
            <a:gd name="connsiteY6770" fmla="*/ 4379646 h 6858000"/>
            <a:gd name="connsiteX6771" fmla="*/ 7781850 w 12192000"/>
            <a:gd name="connsiteY6771" fmla="*/ 4344827 h 6858000"/>
            <a:gd name="connsiteX6772" fmla="*/ 7816676 w 12192000"/>
            <a:gd name="connsiteY6772" fmla="*/ 4310008 h 6858000"/>
            <a:gd name="connsiteX6773" fmla="*/ 7851488 w 12192000"/>
            <a:gd name="connsiteY6773" fmla="*/ 4344827 h 6858000"/>
            <a:gd name="connsiteX6774" fmla="*/ 7816676 w 12192000"/>
            <a:gd name="connsiteY6774" fmla="*/ 4379646 h 6858000"/>
            <a:gd name="connsiteX6775" fmla="*/ 7901568 w 12192000"/>
            <a:gd name="connsiteY6775" fmla="*/ 4379646 h 6858000"/>
            <a:gd name="connsiteX6776" fmla="*/ 7866743 w 12192000"/>
            <a:gd name="connsiteY6776" fmla="*/ 4344827 h 6858000"/>
            <a:gd name="connsiteX6777" fmla="*/ 7901568 w 12192000"/>
            <a:gd name="connsiteY6777" fmla="*/ 4310008 h 6858000"/>
            <a:gd name="connsiteX6778" fmla="*/ 7936380 w 12192000"/>
            <a:gd name="connsiteY6778" fmla="*/ 4344827 h 6858000"/>
            <a:gd name="connsiteX6779" fmla="*/ 7901568 w 12192000"/>
            <a:gd name="connsiteY6779" fmla="*/ 4379646 h 6858000"/>
            <a:gd name="connsiteX6780" fmla="*/ 7986460 w 12192000"/>
            <a:gd name="connsiteY6780" fmla="*/ 4379646 h 6858000"/>
            <a:gd name="connsiteX6781" fmla="*/ 7951635 w 12192000"/>
            <a:gd name="connsiteY6781" fmla="*/ 4344827 h 6858000"/>
            <a:gd name="connsiteX6782" fmla="*/ 7986460 w 12192000"/>
            <a:gd name="connsiteY6782" fmla="*/ 4310008 h 6858000"/>
            <a:gd name="connsiteX6783" fmla="*/ 8021273 w 12192000"/>
            <a:gd name="connsiteY6783" fmla="*/ 4344827 h 6858000"/>
            <a:gd name="connsiteX6784" fmla="*/ 7986460 w 12192000"/>
            <a:gd name="connsiteY6784" fmla="*/ 4379646 h 6858000"/>
            <a:gd name="connsiteX6785" fmla="*/ 8071353 w 12192000"/>
            <a:gd name="connsiteY6785" fmla="*/ 4379646 h 6858000"/>
            <a:gd name="connsiteX6786" fmla="*/ 8036527 w 12192000"/>
            <a:gd name="connsiteY6786" fmla="*/ 4344827 h 6858000"/>
            <a:gd name="connsiteX6787" fmla="*/ 8071353 w 12192000"/>
            <a:gd name="connsiteY6787" fmla="*/ 4310008 h 6858000"/>
            <a:gd name="connsiteX6788" fmla="*/ 8106165 w 12192000"/>
            <a:gd name="connsiteY6788" fmla="*/ 4344827 h 6858000"/>
            <a:gd name="connsiteX6789" fmla="*/ 8071353 w 12192000"/>
            <a:gd name="connsiteY6789" fmla="*/ 4379646 h 6858000"/>
            <a:gd name="connsiteX6790" fmla="*/ 8156246 w 12192000"/>
            <a:gd name="connsiteY6790" fmla="*/ 4379646 h 6858000"/>
            <a:gd name="connsiteX6791" fmla="*/ 8121420 w 12192000"/>
            <a:gd name="connsiteY6791" fmla="*/ 4344827 h 6858000"/>
            <a:gd name="connsiteX6792" fmla="*/ 8156246 w 12192000"/>
            <a:gd name="connsiteY6792" fmla="*/ 4310008 h 6858000"/>
            <a:gd name="connsiteX6793" fmla="*/ 8191058 w 12192000"/>
            <a:gd name="connsiteY6793" fmla="*/ 4344827 h 6858000"/>
            <a:gd name="connsiteX6794" fmla="*/ 8156246 w 12192000"/>
            <a:gd name="connsiteY6794" fmla="*/ 4379646 h 6858000"/>
            <a:gd name="connsiteX6795" fmla="*/ 8241138 w 12192000"/>
            <a:gd name="connsiteY6795" fmla="*/ 4379646 h 6858000"/>
            <a:gd name="connsiteX6796" fmla="*/ 8206313 w 12192000"/>
            <a:gd name="connsiteY6796" fmla="*/ 4344827 h 6858000"/>
            <a:gd name="connsiteX6797" fmla="*/ 8241138 w 12192000"/>
            <a:gd name="connsiteY6797" fmla="*/ 4310008 h 6858000"/>
            <a:gd name="connsiteX6798" fmla="*/ 8275950 w 12192000"/>
            <a:gd name="connsiteY6798" fmla="*/ 4344827 h 6858000"/>
            <a:gd name="connsiteX6799" fmla="*/ 8241138 w 12192000"/>
            <a:gd name="connsiteY6799" fmla="*/ 4379646 h 6858000"/>
            <a:gd name="connsiteX6800" fmla="*/ 8326030 w 12192000"/>
            <a:gd name="connsiteY6800" fmla="*/ 4379646 h 6858000"/>
            <a:gd name="connsiteX6801" fmla="*/ 8291205 w 12192000"/>
            <a:gd name="connsiteY6801" fmla="*/ 4344827 h 6858000"/>
            <a:gd name="connsiteX6802" fmla="*/ 8326030 w 12192000"/>
            <a:gd name="connsiteY6802" fmla="*/ 4310008 h 6858000"/>
            <a:gd name="connsiteX6803" fmla="*/ 8360843 w 12192000"/>
            <a:gd name="connsiteY6803" fmla="*/ 4344827 h 6858000"/>
            <a:gd name="connsiteX6804" fmla="*/ 8326030 w 12192000"/>
            <a:gd name="connsiteY6804" fmla="*/ 4379646 h 6858000"/>
            <a:gd name="connsiteX6805" fmla="*/ 8410923 w 12192000"/>
            <a:gd name="connsiteY6805" fmla="*/ 4379646 h 6858000"/>
            <a:gd name="connsiteX6806" fmla="*/ 8376097 w 12192000"/>
            <a:gd name="connsiteY6806" fmla="*/ 4344827 h 6858000"/>
            <a:gd name="connsiteX6807" fmla="*/ 8410923 w 12192000"/>
            <a:gd name="connsiteY6807" fmla="*/ 4310008 h 6858000"/>
            <a:gd name="connsiteX6808" fmla="*/ 8445735 w 12192000"/>
            <a:gd name="connsiteY6808" fmla="*/ 4344827 h 6858000"/>
            <a:gd name="connsiteX6809" fmla="*/ 8410923 w 12192000"/>
            <a:gd name="connsiteY6809" fmla="*/ 4379646 h 6858000"/>
            <a:gd name="connsiteX6810" fmla="*/ 8495816 w 12192000"/>
            <a:gd name="connsiteY6810" fmla="*/ 4379646 h 6858000"/>
            <a:gd name="connsiteX6811" fmla="*/ 8460990 w 12192000"/>
            <a:gd name="connsiteY6811" fmla="*/ 4344827 h 6858000"/>
            <a:gd name="connsiteX6812" fmla="*/ 8495816 w 12192000"/>
            <a:gd name="connsiteY6812" fmla="*/ 4310008 h 6858000"/>
            <a:gd name="connsiteX6813" fmla="*/ 8530628 w 12192000"/>
            <a:gd name="connsiteY6813" fmla="*/ 4344827 h 6858000"/>
            <a:gd name="connsiteX6814" fmla="*/ 8495816 w 12192000"/>
            <a:gd name="connsiteY6814" fmla="*/ 4379646 h 6858000"/>
            <a:gd name="connsiteX6815" fmla="*/ 8580708 w 12192000"/>
            <a:gd name="connsiteY6815" fmla="*/ 4379646 h 6858000"/>
            <a:gd name="connsiteX6816" fmla="*/ 8545883 w 12192000"/>
            <a:gd name="connsiteY6816" fmla="*/ 4344827 h 6858000"/>
            <a:gd name="connsiteX6817" fmla="*/ 8580708 w 12192000"/>
            <a:gd name="connsiteY6817" fmla="*/ 4310008 h 6858000"/>
            <a:gd name="connsiteX6818" fmla="*/ 8615520 w 12192000"/>
            <a:gd name="connsiteY6818" fmla="*/ 4344827 h 6858000"/>
            <a:gd name="connsiteX6819" fmla="*/ 8580708 w 12192000"/>
            <a:gd name="connsiteY6819" fmla="*/ 4379646 h 6858000"/>
            <a:gd name="connsiteX6820" fmla="*/ 8665600 w 12192000"/>
            <a:gd name="connsiteY6820" fmla="*/ 4379646 h 6858000"/>
            <a:gd name="connsiteX6821" fmla="*/ 8630775 w 12192000"/>
            <a:gd name="connsiteY6821" fmla="*/ 4344827 h 6858000"/>
            <a:gd name="connsiteX6822" fmla="*/ 8665600 w 12192000"/>
            <a:gd name="connsiteY6822" fmla="*/ 4310008 h 6858000"/>
            <a:gd name="connsiteX6823" fmla="*/ 8700413 w 12192000"/>
            <a:gd name="connsiteY6823" fmla="*/ 4344827 h 6858000"/>
            <a:gd name="connsiteX6824" fmla="*/ 8665600 w 12192000"/>
            <a:gd name="connsiteY6824" fmla="*/ 4379646 h 6858000"/>
            <a:gd name="connsiteX6825" fmla="*/ 8750493 w 12192000"/>
            <a:gd name="connsiteY6825" fmla="*/ 4379646 h 6858000"/>
            <a:gd name="connsiteX6826" fmla="*/ 8715667 w 12192000"/>
            <a:gd name="connsiteY6826" fmla="*/ 4344827 h 6858000"/>
            <a:gd name="connsiteX6827" fmla="*/ 8750493 w 12192000"/>
            <a:gd name="connsiteY6827" fmla="*/ 4310008 h 6858000"/>
            <a:gd name="connsiteX6828" fmla="*/ 8785305 w 12192000"/>
            <a:gd name="connsiteY6828" fmla="*/ 4344827 h 6858000"/>
            <a:gd name="connsiteX6829" fmla="*/ 8750493 w 12192000"/>
            <a:gd name="connsiteY6829" fmla="*/ 4379646 h 6858000"/>
            <a:gd name="connsiteX6830" fmla="*/ 8835386 w 12192000"/>
            <a:gd name="connsiteY6830" fmla="*/ 4379646 h 6858000"/>
            <a:gd name="connsiteX6831" fmla="*/ 8800560 w 12192000"/>
            <a:gd name="connsiteY6831" fmla="*/ 4344827 h 6858000"/>
            <a:gd name="connsiteX6832" fmla="*/ 8835386 w 12192000"/>
            <a:gd name="connsiteY6832" fmla="*/ 4310008 h 6858000"/>
            <a:gd name="connsiteX6833" fmla="*/ 8870198 w 12192000"/>
            <a:gd name="connsiteY6833" fmla="*/ 4344827 h 6858000"/>
            <a:gd name="connsiteX6834" fmla="*/ 8835386 w 12192000"/>
            <a:gd name="connsiteY6834" fmla="*/ 4379646 h 6858000"/>
            <a:gd name="connsiteX6835" fmla="*/ 8920278 w 12192000"/>
            <a:gd name="connsiteY6835" fmla="*/ 4379646 h 6858000"/>
            <a:gd name="connsiteX6836" fmla="*/ 8885453 w 12192000"/>
            <a:gd name="connsiteY6836" fmla="*/ 4344827 h 6858000"/>
            <a:gd name="connsiteX6837" fmla="*/ 8920278 w 12192000"/>
            <a:gd name="connsiteY6837" fmla="*/ 4310008 h 6858000"/>
            <a:gd name="connsiteX6838" fmla="*/ 8955090 w 12192000"/>
            <a:gd name="connsiteY6838" fmla="*/ 4344827 h 6858000"/>
            <a:gd name="connsiteX6839" fmla="*/ 8920278 w 12192000"/>
            <a:gd name="connsiteY6839" fmla="*/ 4379646 h 6858000"/>
            <a:gd name="connsiteX6840" fmla="*/ 9005170 w 12192000"/>
            <a:gd name="connsiteY6840" fmla="*/ 4379646 h 6858000"/>
            <a:gd name="connsiteX6841" fmla="*/ 8970345 w 12192000"/>
            <a:gd name="connsiteY6841" fmla="*/ 4344827 h 6858000"/>
            <a:gd name="connsiteX6842" fmla="*/ 9005170 w 12192000"/>
            <a:gd name="connsiteY6842" fmla="*/ 4310008 h 6858000"/>
            <a:gd name="connsiteX6843" fmla="*/ 9039983 w 12192000"/>
            <a:gd name="connsiteY6843" fmla="*/ 4344827 h 6858000"/>
            <a:gd name="connsiteX6844" fmla="*/ 9005170 w 12192000"/>
            <a:gd name="connsiteY6844" fmla="*/ 4379646 h 6858000"/>
            <a:gd name="connsiteX6845" fmla="*/ 9090063 w 12192000"/>
            <a:gd name="connsiteY6845" fmla="*/ 4379646 h 6858000"/>
            <a:gd name="connsiteX6846" fmla="*/ 9055237 w 12192000"/>
            <a:gd name="connsiteY6846" fmla="*/ 4344827 h 6858000"/>
            <a:gd name="connsiteX6847" fmla="*/ 9090063 w 12192000"/>
            <a:gd name="connsiteY6847" fmla="*/ 4310008 h 6858000"/>
            <a:gd name="connsiteX6848" fmla="*/ 9124875 w 12192000"/>
            <a:gd name="connsiteY6848" fmla="*/ 4344827 h 6858000"/>
            <a:gd name="connsiteX6849" fmla="*/ 9090063 w 12192000"/>
            <a:gd name="connsiteY6849" fmla="*/ 4379646 h 6858000"/>
            <a:gd name="connsiteX6850" fmla="*/ 9174956 w 12192000"/>
            <a:gd name="connsiteY6850" fmla="*/ 4379646 h 6858000"/>
            <a:gd name="connsiteX6851" fmla="*/ 9140130 w 12192000"/>
            <a:gd name="connsiteY6851" fmla="*/ 4344827 h 6858000"/>
            <a:gd name="connsiteX6852" fmla="*/ 9174956 w 12192000"/>
            <a:gd name="connsiteY6852" fmla="*/ 4310008 h 6858000"/>
            <a:gd name="connsiteX6853" fmla="*/ 9209768 w 12192000"/>
            <a:gd name="connsiteY6853" fmla="*/ 4344827 h 6858000"/>
            <a:gd name="connsiteX6854" fmla="*/ 9174956 w 12192000"/>
            <a:gd name="connsiteY6854" fmla="*/ 4379646 h 6858000"/>
            <a:gd name="connsiteX6855" fmla="*/ 9259848 w 12192000"/>
            <a:gd name="connsiteY6855" fmla="*/ 4379646 h 6858000"/>
            <a:gd name="connsiteX6856" fmla="*/ 9225023 w 12192000"/>
            <a:gd name="connsiteY6856" fmla="*/ 4344827 h 6858000"/>
            <a:gd name="connsiteX6857" fmla="*/ 9259848 w 12192000"/>
            <a:gd name="connsiteY6857" fmla="*/ 4310008 h 6858000"/>
            <a:gd name="connsiteX6858" fmla="*/ 9294660 w 12192000"/>
            <a:gd name="connsiteY6858" fmla="*/ 4344827 h 6858000"/>
            <a:gd name="connsiteX6859" fmla="*/ 9259848 w 12192000"/>
            <a:gd name="connsiteY6859" fmla="*/ 4379646 h 6858000"/>
            <a:gd name="connsiteX6860" fmla="*/ 9344740 w 12192000"/>
            <a:gd name="connsiteY6860" fmla="*/ 4379646 h 6858000"/>
            <a:gd name="connsiteX6861" fmla="*/ 9309915 w 12192000"/>
            <a:gd name="connsiteY6861" fmla="*/ 4344827 h 6858000"/>
            <a:gd name="connsiteX6862" fmla="*/ 9344740 w 12192000"/>
            <a:gd name="connsiteY6862" fmla="*/ 4310008 h 6858000"/>
            <a:gd name="connsiteX6863" fmla="*/ 9379553 w 12192000"/>
            <a:gd name="connsiteY6863" fmla="*/ 4344827 h 6858000"/>
            <a:gd name="connsiteX6864" fmla="*/ 9344740 w 12192000"/>
            <a:gd name="connsiteY6864" fmla="*/ 4379646 h 6858000"/>
            <a:gd name="connsiteX6865" fmla="*/ 9429633 w 12192000"/>
            <a:gd name="connsiteY6865" fmla="*/ 4379646 h 6858000"/>
            <a:gd name="connsiteX6866" fmla="*/ 9394807 w 12192000"/>
            <a:gd name="connsiteY6866" fmla="*/ 4344827 h 6858000"/>
            <a:gd name="connsiteX6867" fmla="*/ 9429633 w 12192000"/>
            <a:gd name="connsiteY6867" fmla="*/ 4310008 h 6858000"/>
            <a:gd name="connsiteX6868" fmla="*/ 9464445 w 12192000"/>
            <a:gd name="connsiteY6868" fmla="*/ 4344827 h 6858000"/>
            <a:gd name="connsiteX6869" fmla="*/ 9429633 w 12192000"/>
            <a:gd name="connsiteY6869" fmla="*/ 4379646 h 6858000"/>
            <a:gd name="connsiteX6870" fmla="*/ 9514525 w 12192000"/>
            <a:gd name="connsiteY6870" fmla="*/ 4379646 h 6858000"/>
            <a:gd name="connsiteX6871" fmla="*/ 9479699 w 12192000"/>
            <a:gd name="connsiteY6871" fmla="*/ 4344827 h 6858000"/>
            <a:gd name="connsiteX6872" fmla="*/ 9514525 w 12192000"/>
            <a:gd name="connsiteY6872" fmla="*/ 4310008 h 6858000"/>
            <a:gd name="connsiteX6873" fmla="*/ 9549337 w 12192000"/>
            <a:gd name="connsiteY6873" fmla="*/ 4344827 h 6858000"/>
            <a:gd name="connsiteX6874" fmla="*/ 9514525 w 12192000"/>
            <a:gd name="connsiteY6874" fmla="*/ 4379646 h 6858000"/>
            <a:gd name="connsiteX6875" fmla="*/ 9599418 w 12192000"/>
            <a:gd name="connsiteY6875" fmla="*/ 4379646 h 6858000"/>
            <a:gd name="connsiteX6876" fmla="*/ 9564593 w 12192000"/>
            <a:gd name="connsiteY6876" fmla="*/ 4344827 h 6858000"/>
            <a:gd name="connsiteX6877" fmla="*/ 9599418 w 12192000"/>
            <a:gd name="connsiteY6877" fmla="*/ 4310008 h 6858000"/>
            <a:gd name="connsiteX6878" fmla="*/ 9634230 w 12192000"/>
            <a:gd name="connsiteY6878" fmla="*/ 4344827 h 6858000"/>
            <a:gd name="connsiteX6879" fmla="*/ 9599418 w 12192000"/>
            <a:gd name="connsiteY6879" fmla="*/ 4379646 h 6858000"/>
            <a:gd name="connsiteX6880" fmla="*/ 9684310 w 12192000"/>
            <a:gd name="connsiteY6880" fmla="*/ 4379646 h 6858000"/>
            <a:gd name="connsiteX6881" fmla="*/ 9649485 w 12192000"/>
            <a:gd name="connsiteY6881" fmla="*/ 4344827 h 6858000"/>
            <a:gd name="connsiteX6882" fmla="*/ 9684310 w 12192000"/>
            <a:gd name="connsiteY6882" fmla="*/ 4310008 h 6858000"/>
            <a:gd name="connsiteX6883" fmla="*/ 9719123 w 12192000"/>
            <a:gd name="connsiteY6883" fmla="*/ 4344827 h 6858000"/>
            <a:gd name="connsiteX6884" fmla="*/ 9684310 w 12192000"/>
            <a:gd name="connsiteY6884" fmla="*/ 4379646 h 6858000"/>
            <a:gd name="connsiteX6885" fmla="*/ 9769203 w 12192000"/>
            <a:gd name="connsiteY6885" fmla="*/ 4379646 h 6858000"/>
            <a:gd name="connsiteX6886" fmla="*/ 9734377 w 12192000"/>
            <a:gd name="connsiteY6886" fmla="*/ 4344827 h 6858000"/>
            <a:gd name="connsiteX6887" fmla="*/ 9769203 w 12192000"/>
            <a:gd name="connsiteY6887" fmla="*/ 4310008 h 6858000"/>
            <a:gd name="connsiteX6888" fmla="*/ 9804015 w 12192000"/>
            <a:gd name="connsiteY6888" fmla="*/ 4344827 h 6858000"/>
            <a:gd name="connsiteX6889" fmla="*/ 9769203 w 12192000"/>
            <a:gd name="connsiteY6889" fmla="*/ 4379646 h 6858000"/>
            <a:gd name="connsiteX6890" fmla="*/ 9854095 w 12192000"/>
            <a:gd name="connsiteY6890" fmla="*/ 4379646 h 6858000"/>
            <a:gd name="connsiteX6891" fmla="*/ 9819269 w 12192000"/>
            <a:gd name="connsiteY6891" fmla="*/ 4344827 h 6858000"/>
            <a:gd name="connsiteX6892" fmla="*/ 9854095 w 12192000"/>
            <a:gd name="connsiteY6892" fmla="*/ 4310008 h 6858000"/>
            <a:gd name="connsiteX6893" fmla="*/ 9888907 w 12192000"/>
            <a:gd name="connsiteY6893" fmla="*/ 4344827 h 6858000"/>
            <a:gd name="connsiteX6894" fmla="*/ 9854095 w 12192000"/>
            <a:gd name="connsiteY6894" fmla="*/ 4379646 h 6858000"/>
            <a:gd name="connsiteX6895" fmla="*/ 10278558 w 12192000"/>
            <a:gd name="connsiteY6895" fmla="*/ 4379646 h 6858000"/>
            <a:gd name="connsiteX6896" fmla="*/ 10243733 w 12192000"/>
            <a:gd name="connsiteY6896" fmla="*/ 4344827 h 6858000"/>
            <a:gd name="connsiteX6897" fmla="*/ 10278558 w 12192000"/>
            <a:gd name="connsiteY6897" fmla="*/ 4310008 h 6858000"/>
            <a:gd name="connsiteX6898" fmla="*/ 10313370 w 12192000"/>
            <a:gd name="connsiteY6898" fmla="*/ 4344827 h 6858000"/>
            <a:gd name="connsiteX6899" fmla="*/ 10278558 w 12192000"/>
            <a:gd name="connsiteY6899" fmla="*/ 4379646 h 6858000"/>
            <a:gd name="connsiteX6900" fmla="*/ 2213769 w 12192000"/>
            <a:gd name="connsiteY6900" fmla="*/ 4294786 h 6858000"/>
            <a:gd name="connsiteX6901" fmla="*/ 2178950 w 12192000"/>
            <a:gd name="connsiteY6901" fmla="*/ 4259967 h 6858000"/>
            <a:gd name="connsiteX6902" fmla="*/ 2213769 w 12192000"/>
            <a:gd name="connsiteY6902" fmla="*/ 4225149 h 6858000"/>
            <a:gd name="connsiteX6903" fmla="*/ 2248588 w 12192000"/>
            <a:gd name="connsiteY6903" fmla="*/ 4259967 h 6858000"/>
            <a:gd name="connsiteX6904" fmla="*/ 2213769 w 12192000"/>
            <a:gd name="connsiteY6904" fmla="*/ 4294786 h 6858000"/>
            <a:gd name="connsiteX6905" fmla="*/ 2298661 w 12192000"/>
            <a:gd name="connsiteY6905" fmla="*/ 4294786 h 6858000"/>
            <a:gd name="connsiteX6906" fmla="*/ 2263842 w 12192000"/>
            <a:gd name="connsiteY6906" fmla="*/ 4259967 h 6858000"/>
            <a:gd name="connsiteX6907" fmla="*/ 2298661 w 12192000"/>
            <a:gd name="connsiteY6907" fmla="*/ 4225149 h 6858000"/>
            <a:gd name="connsiteX6908" fmla="*/ 2333480 w 12192000"/>
            <a:gd name="connsiteY6908" fmla="*/ 4259967 h 6858000"/>
            <a:gd name="connsiteX6909" fmla="*/ 2298661 w 12192000"/>
            <a:gd name="connsiteY6909" fmla="*/ 4294786 h 6858000"/>
            <a:gd name="connsiteX6910" fmla="*/ 2383553 w 12192000"/>
            <a:gd name="connsiteY6910" fmla="*/ 4294786 h 6858000"/>
            <a:gd name="connsiteX6911" fmla="*/ 2348734 w 12192000"/>
            <a:gd name="connsiteY6911" fmla="*/ 4259967 h 6858000"/>
            <a:gd name="connsiteX6912" fmla="*/ 2383553 w 12192000"/>
            <a:gd name="connsiteY6912" fmla="*/ 4225149 h 6858000"/>
            <a:gd name="connsiteX6913" fmla="*/ 2418372 w 12192000"/>
            <a:gd name="connsiteY6913" fmla="*/ 4259967 h 6858000"/>
            <a:gd name="connsiteX6914" fmla="*/ 2383553 w 12192000"/>
            <a:gd name="connsiteY6914" fmla="*/ 4294786 h 6858000"/>
            <a:gd name="connsiteX6915" fmla="*/ 2468446 w 12192000"/>
            <a:gd name="connsiteY6915" fmla="*/ 4294786 h 6858000"/>
            <a:gd name="connsiteX6916" fmla="*/ 2433627 w 12192000"/>
            <a:gd name="connsiteY6916" fmla="*/ 4259967 h 6858000"/>
            <a:gd name="connsiteX6917" fmla="*/ 2468446 w 12192000"/>
            <a:gd name="connsiteY6917" fmla="*/ 4225149 h 6858000"/>
            <a:gd name="connsiteX6918" fmla="*/ 2503264 w 12192000"/>
            <a:gd name="connsiteY6918" fmla="*/ 4259967 h 6858000"/>
            <a:gd name="connsiteX6919" fmla="*/ 2468446 w 12192000"/>
            <a:gd name="connsiteY6919" fmla="*/ 4294786 h 6858000"/>
            <a:gd name="connsiteX6920" fmla="*/ 2553339 w 12192000"/>
            <a:gd name="connsiteY6920" fmla="*/ 4294786 h 6858000"/>
            <a:gd name="connsiteX6921" fmla="*/ 2518520 w 12192000"/>
            <a:gd name="connsiteY6921" fmla="*/ 4259967 h 6858000"/>
            <a:gd name="connsiteX6922" fmla="*/ 2553339 w 12192000"/>
            <a:gd name="connsiteY6922" fmla="*/ 4225149 h 6858000"/>
            <a:gd name="connsiteX6923" fmla="*/ 2588158 w 12192000"/>
            <a:gd name="connsiteY6923" fmla="*/ 4259967 h 6858000"/>
            <a:gd name="connsiteX6924" fmla="*/ 2553339 w 12192000"/>
            <a:gd name="connsiteY6924" fmla="*/ 4294786 h 6858000"/>
            <a:gd name="connsiteX6925" fmla="*/ 2638231 w 12192000"/>
            <a:gd name="connsiteY6925" fmla="*/ 4294786 h 6858000"/>
            <a:gd name="connsiteX6926" fmla="*/ 2603412 w 12192000"/>
            <a:gd name="connsiteY6926" fmla="*/ 4259967 h 6858000"/>
            <a:gd name="connsiteX6927" fmla="*/ 2638231 w 12192000"/>
            <a:gd name="connsiteY6927" fmla="*/ 4225149 h 6858000"/>
            <a:gd name="connsiteX6928" fmla="*/ 2673050 w 12192000"/>
            <a:gd name="connsiteY6928" fmla="*/ 4259967 h 6858000"/>
            <a:gd name="connsiteX6929" fmla="*/ 2638231 w 12192000"/>
            <a:gd name="connsiteY6929" fmla="*/ 4294786 h 6858000"/>
            <a:gd name="connsiteX6930" fmla="*/ 2723123 w 12192000"/>
            <a:gd name="connsiteY6930" fmla="*/ 4294786 h 6858000"/>
            <a:gd name="connsiteX6931" fmla="*/ 2688304 w 12192000"/>
            <a:gd name="connsiteY6931" fmla="*/ 4259967 h 6858000"/>
            <a:gd name="connsiteX6932" fmla="*/ 2723123 w 12192000"/>
            <a:gd name="connsiteY6932" fmla="*/ 4225149 h 6858000"/>
            <a:gd name="connsiteX6933" fmla="*/ 2757942 w 12192000"/>
            <a:gd name="connsiteY6933" fmla="*/ 4259967 h 6858000"/>
            <a:gd name="connsiteX6934" fmla="*/ 2723123 w 12192000"/>
            <a:gd name="connsiteY6934" fmla="*/ 4294786 h 6858000"/>
            <a:gd name="connsiteX6935" fmla="*/ 2808016 w 12192000"/>
            <a:gd name="connsiteY6935" fmla="*/ 4294786 h 6858000"/>
            <a:gd name="connsiteX6936" fmla="*/ 2773197 w 12192000"/>
            <a:gd name="connsiteY6936" fmla="*/ 4259967 h 6858000"/>
            <a:gd name="connsiteX6937" fmla="*/ 2808016 w 12192000"/>
            <a:gd name="connsiteY6937" fmla="*/ 4225149 h 6858000"/>
            <a:gd name="connsiteX6938" fmla="*/ 2842834 w 12192000"/>
            <a:gd name="connsiteY6938" fmla="*/ 4259967 h 6858000"/>
            <a:gd name="connsiteX6939" fmla="*/ 2808016 w 12192000"/>
            <a:gd name="connsiteY6939" fmla="*/ 4294786 h 6858000"/>
            <a:gd name="connsiteX6940" fmla="*/ 2892908 w 12192000"/>
            <a:gd name="connsiteY6940" fmla="*/ 4294786 h 6858000"/>
            <a:gd name="connsiteX6941" fmla="*/ 2858089 w 12192000"/>
            <a:gd name="connsiteY6941" fmla="*/ 4259967 h 6858000"/>
            <a:gd name="connsiteX6942" fmla="*/ 2892908 w 12192000"/>
            <a:gd name="connsiteY6942" fmla="*/ 4225149 h 6858000"/>
            <a:gd name="connsiteX6943" fmla="*/ 2927727 w 12192000"/>
            <a:gd name="connsiteY6943" fmla="*/ 4259967 h 6858000"/>
            <a:gd name="connsiteX6944" fmla="*/ 2892908 w 12192000"/>
            <a:gd name="connsiteY6944" fmla="*/ 4294786 h 6858000"/>
            <a:gd name="connsiteX6945" fmla="*/ 2977801 w 12192000"/>
            <a:gd name="connsiteY6945" fmla="*/ 4294786 h 6858000"/>
            <a:gd name="connsiteX6946" fmla="*/ 2942982 w 12192000"/>
            <a:gd name="connsiteY6946" fmla="*/ 4259967 h 6858000"/>
            <a:gd name="connsiteX6947" fmla="*/ 2977801 w 12192000"/>
            <a:gd name="connsiteY6947" fmla="*/ 4225149 h 6858000"/>
            <a:gd name="connsiteX6948" fmla="*/ 3012620 w 12192000"/>
            <a:gd name="connsiteY6948" fmla="*/ 4259967 h 6858000"/>
            <a:gd name="connsiteX6949" fmla="*/ 2977801 w 12192000"/>
            <a:gd name="connsiteY6949" fmla="*/ 4294786 h 6858000"/>
            <a:gd name="connsiteX6950" fmla="*/ 3062693 w 12192000"/>
            <a:gd name="connsiteY6950" fmla="*/ 4294786 h 6858000"/>
            <a:gd name="connsiteX6951" fmla="*/ 3027874 w 12192000"/>
            <a:gd name="connsiteY6951" fmla="*/ 4259967 h 6858000"/>
            <a:gd name="connsiteX6952" fmla="*/ 3062693 w 12192000"/>
            <a:gd name="connsiteY6952" fmla="*/ 4225149 h 6858000"/>
            <a:gd name="connsiteX6953" fmla="*/ 3097512 w 12192000"/>
            <a:gd name="connsiteY6953" fmla="*/ 4259967 h 6858000"/>
            <a:gd name="connsiteX6954" fmla="*/ 3062693 w 12192000"/>
            <a:gd name="connsiteY6954" fmla="*/ 4294786 h 6858000"/>
            <a:gd name="connsiteX6955" fmla="*/ 3147586 w 12192000"/>
            <a:gd name="connsiteY6955" fmla="*/ 4294786 h 6858000"/>
            <a:gd name="connsiteX6956" fmla="*/ 3112767 w 12192000"/>
            <a:gd name="connsiteY6956" fmla="*/ 4259967 h 6858000"/>
            <a:gd name="connsiteX6957" fmla="*/ 3147586 w 12192000"/>
            <a:gd name="connsiteY6957" fmla="*/ 4225149 h 6858000"/>
            <a:gd name="connsiteX6958" fmla="*/ 3182404 w 12192000"/>
            <a:gd name="connsiteY6958" fmla="*/ 4259967 h 6858000"/>
            <a:gd name="connsiteX6959" fmla="*/ 3147586 w 12192000"/>
            <a:gd name="connsiteY6959" fmla="*/ 4294786 h 6858000"/>
            <a:gd name="connsiteX6960" fmla="*/ 3402263 w 12192000"/>
            <a:gd name="connsiteY6960" fmla="*/ 4294786 h 6858000"/>
            <a:gd name="connsiteX6961" fmla="*/ 3367444 w 12192000"/>
            <a:gd name="connsiteY6961" fmla="*/ 4259967 h 6858000"/>
            <a:gd name="connsiteX6962" fmla="*/ 3402263 w 12192000"/>
            <a:gd name="connsiteY6962" fmla="*/ 4225149 h 6858000"/>
            <a:gd name="connsiteX6963" fmla="*/ 3437082 w 12192000"/>
            <a:gd name="connsiteY6963" fmla="*/ 4259967 h 6858000"/>
            <a:gd name="connsiteX6964" fmla="*/ 3402263 w 12192000"/>
            <a:gd name="connsiteY6964" fmla="*/ 4294786 h 6858000"/>
            <a:gd name="connsiteX6965" fmla="*/ 3487156 w 12192000"/>
            <a:gd name="connsiteY6965" fmla="*/ 4294786 h 6858000"/>
            <a:gd name="connsiteX6966" fmla="*/ 3452337 w 12192000"/>
            <a:gd name="connsiteY6966" fmla="*/ 4259967 h 6858000"/>
            <a:gd name="connsiteX6967" fmla="*/ 3487156 w 12192000"/>
            <a:gd name="connsiteY6967" fmla="*/ 4225149 h 6858000"/>
            <a:gd name="connsiteX6968" fmla="*/ 3521974 w 12192000"/>
            <a:gd name="connsiteY6968" fmla="*/ 4259967 h 6858000"/>
            <a:gd name="connsiteX6969" fmla="*/ 3487156 w 12192000"/>
            <a:gd name="connsiteY6969" fmla="*/ 4294786 h 6858000"/>
            <a:gd name="connsiteX6970" fmla="*/ 3572048 w 12192000"/>
            <a:gd name="connsiteY6970" fmla="*/ 4294786 h 6858000"/>
            <a:gd name="connsiteX6971" fmla="*/ 3537229 w 12192000"/>
            <a:gd name="connsiteY6971" fmla="*/ 4259967 h 6858000"/>
            <a:gd name="connsiteX6972" fmla="*/ 3572048 w 12192000"/>
            <a:gd name="connsiteY6972" fmla="*/ 4225149 h 6858000"/>
            <a:gd name="connsiteX6973" fmla="*/ 3606867 w 12192000"/>
            <a:gd name="connsiteY6973" fmla="*/ 4259967 h 6858000"/>
            <a:gd name="connsiteX6974" fmla="*/ 3572048 w 12192000"/>
            <a:gd name="connsiteY6974" fmla="*/ 4294786 h 6858000"/>
            <a:gd name="connsiteX6975" fmla="*/ 3656941 w 12192000"/>
            <a:gd name="connsiteY6975" fmla="*/ 4294786 h 6858000"/>
            <a:gd name="connsiteX6976" fmla="*/ 3622122 w 12192000"/>
            <a:gd name="connsiteY6976" fmla="*/ 4259967 h 6858000"/>
            <a:gd name="connsiteX6977" fmla="*/ 3656941 w 12192000"/>
            <a:gd name="connsiteY6977" fmla="*/ 4225149 h 6858000"/>
            <a:gd name="connsiteX6978" fmla="*/ 3691760 w 12192000"/>
            <a:gd name="connsiteY6978" fmla="*/ 4259967 h 6858000"/>
            <a:gd name="connsiteX6979" fmla="*/ 3656941 w 12192000"/>
            <a:gd name="connsiteY6979" fmla="*/ 4294786 h 6858000"/>
            <a:gd name="connsiteX6980" fmla="*/ 3741833 w 12192000"/>
            <a:gd name="connsiteY6980" fmla="*/ 4294786 h 6858000"/>
            <a:gd name="connsiteX6981" fmla="*/ 3707014 w 12192000"/>
            <a:gd name="connsiteY6981" fmla="*/ 4259967 h 6858000"/>
            <a:gd name="connsiteX6982" fmla="*/ 3741833 w 12192000"/>
            <a:gd name="connsiteY6982" fmla="*/ 4225149 h 6858000"/>
            <a:gd name="connsiteX6983" fmla="*/ 3776652 w 12192000"/>
            <a:gd name="connsiteY6983" fmla="*/ 4259967 h 6858000"/>
            <a:gd name="connsiteX6984" fmla="*/ 3741833 w 12192000"/>
            <a:gd name="connsiteY6984" fmla="*/ 4294786 h 6858000"/>
            <a:gd name="connsiteX6985" fmla="*/ 3911618 w 12192000"/>
            <a:gd name="connsiteY6985" fmla="*/ 4294786 h 6858000"/>
            <a:gd name="connsiteX6986" fmla="*/ 3876799 w 12192000"/>
            <a:gd name="connsiteY6986" fmla="*/ 4259967 h 6858000"/>
            <a:gd name="connsiteX6987" fmla="*/ 3911618 w 12192000"/>
            <a:gd name="connsiteY6987" fmla="*/ 4225149 h 6858000"/>
            <a:gd name="connsiteX6988" fmla="*/ 3946437 w 12192000"/>
            <a:gd name="connsiteY6988" fmla="*/ 4259967 h 6858000"/>
            <a:gd name="connsiteX6989" fmla="*/ 3911618 w 12192000"/>
            <a:gd name="connsiteY6989" fmla="*/ 4294786 h 6858000"/>
            <a:gd name="connsiteX6990" fmla="*/ 4166296 w 12192000"/>
            <a:gd name="connsiteY6990" fmla="*/ 4294786 h 6858000"/>
            <a:gd name="connsiteX6991" fmla="*/ 4131477 w 12192000"/>
            <a:gd name="connsiteY6991" fmla="*/ 4259967 h 6858000"/>
            <a:gd name="connsiteX6992" fmla="*/ 4166296 w 12192000"/>
            <a:gd name="connsiteY6992" fmla="*/ 4225149 h 6858000"/>
            <a:gd name="connsiteX6993" fmla="*/ 4201114 w 12192000"/>
            <a:gd name="connsiteY6993" fmla="*/ 4259967 h 6858000"/>
            <a:gd name="connsiteX6994" fmla="*/ 4166296 w 12192000"/>
            <a:gd name="connsiteY6994" fmla="*/ 4294786 h 6858000"/>
            <a:gd name="connsiteX6995" fmla="*/ 4251188 w 12192000"/>
            <a:gd name="connsiteY6995" fmla="*/ 4294786 h 6858000"/>
            <a:gd name="connsiteX6996" fmla="*/ 4216369 w 12192000"/>
            <a:gd name="connsiteY6996" fmla="*/ 4259967 h 6858000"/>
            <a:gd name="connsiteX6997" fmla="*/ 4251188 w 12192000"/>
            <a:gd name="connsiteY6997" fmla="*/ 4225149 h 6858000"/>
            <a:gd name="connsiteX6998" fmla="*/ 4286007 w 12192000"/>
            <a:gd name="connsiteY6998" fmla="*/ 4259967 h 6858000"/>
            <a:gd name="connsiteX6999" fmla="*/ 4251188 w 12192000"/>
            <a:gd name="connsiteY6999" fmla="*/ 4294786 h 6858000"/>
            <a:gd name="connsiteX7000" fmla="*/ 5949038 w 12192000"/>
            <a:gd name="connsiteY7000" fmla="*/ 4294786 h 6858000"/>
            <a:gd name="connsiteX7001" fmla="*/ 5914219 w 12192000"/>
            <a:gd name="connsiteY7001" fmla="*/ 4259967 h 6858000"/>
            <a:gd name="connsiteX7002" fmla="*/ 5949038 w 12192000"/>
            <a:gd name="connsiteY7002" fmla="*/ 4225149 h 6858000"/>
            <a:gd name="connsiteX7003" fmla="*/ 5983857 w 12192000"/>
            <a:gd name="connsiteY7003" fmla="*/ 4259967 h 6858000"/>
            <a:gd name="connsiteX7004" fmla="*/ 5949038 w 12192000"/>
            <a:gd name="connsiteY7004" fmla="*/ 4294786 h 6858000"/>
            <a:gd name="connsiteX7005" fmla="*/ 6033930 w 12192000"/>
            <a:gd name="connsiteY7005" fmla="*/ 4294786 h 6858000"/>
            <a:gd name="connsiteX7006" fmla="*/ 5999111 w 12192000"/>
            <a:gd name="connsiteY7006" fmla="*/ 4259967 h 6858000"/>
            <a:gd name="connsiteX7007" fmla="*/ 6033930 w 12192000"/>
            <a:gd name="connsiteY7007" fmla="*/ 4225149 h 6858000"/>
            <a:gd name="connsiteX7008" fmla="*/ 6068749 w 12192000"/>
            <a:gd name="connsiteY7008" fmla="*/ 4259967 h 6858000"/>
            <a:gd name="connsiteX7009" fmla="*/ 6033930 w 12192000"/>
            <a:gd name="connsiteY7009" fmla="*/ 4294786 h 6858000"/>
            <a:gd name="connsiteX7010" fmla="*/ 6118826 w 12192000"/>
            <a:gd name="connsiteY7010" fmla="*/ 4294786 h 6858000"/>
            <a:gd name="connsiteX7011" fmla="*/ 6084000 w 12192000"/>
            <a:gd name="connsiteY7011" fmla="*/ 4259967 h 6858000"/>
            <a:gd name="connsiteX7012" fmla="*/ 6118826 w 12192000"/>
            <a:gd name="connsiteY7012" fmla="*/ 4225149 h 6858000"/>
            <a:gd name="connsiteX7013" fmla="*/ 6153638 w 12192000"/>
            <a:gd name="connsiteY7013" fmla="*/ 4259967 h 6858000"/>
            <a:gd name="connsiteX7014" fmla="*/ 6118826 w 12192000"/>
            <a:gd name="connsiteY7014" fmla="*/ 4294786 h 6858000"/>
            <a:gd name="connsiteX7015" fmla="*/ 6203718 w 12192000"/>
            <a:gd name="connsiteY7015" fmla="*/ 4294786 h 6858000"/>
            <a:gd name="connsiteX7016" fmla="*/ 6168893 w 12192000"/>
            <a:gd name="connsiteY7016" fmla="*/ 4259967 h 6858000"/>
            <a:gd name="connsiteX7017" fmla="*/ 6203718 w 12192000"/>
            <a:gd name="connsiteY7017" fmla="*/ 4225149 h 6858000"/>
            <a:gd name="connsiteX7018" fmla="*/ 6238530 w 12192000"/>
            <a:gd name="connsiteY7018" fmla="*/ 4259967 h 6858000"/>
            <a:gd name="connsiteX7019" fmla="*/ 6203718 w 12192000"/>
            <a:gd name="connsiteY7019" fmla="*/ 4294786 h 6858000"/>
            <a:gd name="connsiteX7020" fmla="*/ 6288611 w 12192000"/>
            <a:gd name="connsiteY7020" fmla="*/ 4294786 h 6858000"/>
            <a:gd name="connsiteX7021" fmla="*/ 6253786 w 12192000"/>
            <a:gd name="connsiteY7021" fmla="*/ 4259967 h 6858000"/>
            <a:gd name="connsiteX7022" fmla="*/ 6288611 w 12192000"/>
            <a:gd name="connsiteY7022" fmla="*/ 4225149 h 6858000"/>
            <a:gd name="connsiteX7023" fmla="*/ 6323424 w 12192000"/>
            <a:gd name="connsiteY7023" fmla="*/ 4259967 h 6858000"/>
            <a:gd name="connsiteX7024" fmla="*/ 6288611 w 12192000"/>
            <a:gd name="connsiteY7024" fmla="*/ 4294786 h 6858000"/>
            <a:gd name="connsiteX7025" fmla="*/ 6373504 w 12192000"/>
            <a:gd name="connsiteY7025" fmla="*/ 4294786 h 6858000"/>
            <a:gd name="connsiteX7026" fmla="*/ 6338678 w 12192000"/>
            <a:gd name="connsiteY7026" fmla="*/ 4259967 h 6858000"/>
            <a:gd name="connsiteX7027" fmla="*/ 6373504 w 12192000"/>
            <a:gd name="connsiteY7027" fmla="*/ 4225149 h 6858000"/>
            <a:gd name="connsiteX7028" fmla="*/ 6408316 w 12192000"/>
            <a:gd name="connsiteY7028" fmla="*/ 4259967 h 6858000"/>
            <a:gd name="connsiteX7029" fmla="*/ 6373504 w 12192000"/>
            <a:gd name="connsiteY7029" fmla="*/ 4294786 h 6858000"/>
            <a:gd name="connsiteX7030" fmla="*/ 6458396 w 12192000"/>
            <a:gd name="connsiteY7030" fmla="*/ 4294786 h 6858000"/>
            <a:gd name="connsiteX7031" fmla="*/ 6423570 w 12192000"/>
            <a:gd name="connsiteY7031" fmla="*/ 4259967 h 6858000"/>
            <a:gd name="connsiteX7032" fmla="*/ 6458396 w 12192000"/>
            <a:gd name="connsiteY7032" fmla="*/ 4225149 h 6858000"/>
            <a:gd name="connsiteX7033" fmla="*/ 6493208 w 12192000"/>
            <a:gd name="connsiteY7033" fmla="*/ 4259967 h 6858000"/>
            <a:gd name="connsiteX7034" fmla="*/ 6458396 w 12192000"/>
            <a:gd name="connsiteY7034" fmla="*/ 4294786 h 6858000"/>
            <a:gd name="connsiteX7035" fmla="*/ 6543288 w 12192000"/>
            <a:gd name="connsiteY7035" fmla="*/ 4294786 h 6858000"/>
            <a:gd name="connsiteX7036" fmla="*/ 6508463 w 12192000"/>
            <a:gd name="connsiteY7036" fmla="*/ 4259967 h 6858000"/>
            <a:gd name="connsiteX7037" fmla="*/ 6543288 w 12192000"/>
            <a:gd name="connsiteY7037" fmla="*/ 4225149 h 6858000"/>
            <a:gd name="connsiteX7038" fmla="*/ 6578100 w 12192000"/>
            <a:gd name="connsiteY7038" fmla="*/ 4259967 h 6858000"/>
            <a:gd name="connsiteX7039" fmla="*/ 6543288 w 12192000"/>
            <a:gd name="connsiteY7039" fmla="*/ 4294786 h 6858000"/>
            <a:gd name="connsiteX7040" fmla="*/ 6628181 w 12192000"/>
            <a:gd name="connsiteY7040" fmla="*/ 4294786 h 6858000"/>
            <a:gd name="connsiteX7041" fmla="*/ 6593356 w 12192000"/>
            <a:gd name="connsiteY7041" fmla="*/ 4259967 h 6858000"/>
            <a:gd name="connsiteX7042" fmla="*/ 6628181 w 12192000"/>
            <a:gd name="connsiteY7042" fmla="*/ 4225149 h 6858000"/>
            <a:gd name="connsiteX7043" fmla="*/ 6662994 w 12192000"/>
            <a:gd name="connsiteY7043" fmla="*/ 4259967 h 6858000"/>
            <a:gd name="connsiteX7044" fmla="*/ 6628181 w 12192000"/>
            <a:gd name="connsiteY7044" fmla="*/ 4294786 h 6858000"/>
            <a:gd name="connsiteX7045" fmla="*/ 6713074 w 12192000"/>
            <a:gd name="connsiteY7045" fmla="*/ 4294786 h 6858000"/>
            <a:gd name="connsiteX7046" fmla="*/ 6678248 w 12192000"/>
            <a:gd name="connsiteY7046" fmla="*/ 4259967 h 6858000"/>
            <a:gd name="connsiteX7047" fmla="*/ 6713074 w 12192000"/>
            <a:gd name="connsiteY7047" fmla="*/ 4225149 h 6858000"/>
            <a:gd name="connsiteX7048" fmla="*/ 6747886 w 12192000"/>
            <a:gd name="connsiteY7048" fmla="*/ 4259967 h 6858000"/>
            <a:gd name="connsiteX7049" fmla="*/ 6713074 w 12192000"/>
            <a:gd name="connsiteY7049" fmla="*/ 4294786 h 6858000"/>
            <a:gd name="connsiteX7050" fmla="*/ 6797966 w 12192000"/>
            <a:gd name="connsiteY7050" fmla="*/ 4294786 h 6858000"/>
            <a:gd name="connsiteX7051" fmla="*/ 6763140 w 12192000"/>
            <a:gd name="connsiteY7051" fmla="*/ 4259967 h 6858000"/>
            <a:gd name="connsiteX7052" fmla="*/ 6797966 w 12192000"/>
            <a:gd name="connsiteY7052" fmla="*/ 4225149 h 6858000"/>
            <a:gd name="connsiteX7053" fmla="*/ 6832778 w 12192000"/>
            <a:gd name="connsiteY7053" fmla="*/ 4259967 h 6858000"/>
            <a:gd name="connsiteX7054" fmla="*/ 6797966 w 12192000"/>
            <a:gd name="connsiteY7054" fmla="*/ 4294786 h 6858000"/>
            <a:gd name="connsiteX7055" fmla="*/ 6882858 w 12192000"/>
            <a:gd name="connsiteY7055" fmla="*/ 4294786 h 6858000"/>
            <a:gd name="connsiteX7056" fmla="*/ 6848033 w 12192000"/>
            <a:gd name="connsiteY7056" fmla="*/ 4259967 h 6858000"/>
            <a:gd name="connsiteX7057" fmla="*/ 6882858 w 12192000"/>
            <a:gd name="connsiteY7057" fmla="*/ 4225149 h 6858000"/>
            <a:gd name="connsiteX7058" fmla="*/ 6917670 w 12192000"/>
            <a:gd name="connsiteY7058" fmla="*/ 4259967 h 6858000"/>
            <a:gd name="connsiteX7059" fmla="*/ 6882858 w 12192000"/>
            <a:gd name="connsiteY7059" fmla="*/ 4294786 h 6858000"/>
            <a:gd name="connsiteX7060" fmla="*/ 6967750 w 12192000"/>
            <a:gd name="connsiteY7060" fmla="*/ 4294786 h 6858000"/>
            <a:gd name="connsiteX7061" fmla="*/ 6932925 w 12192000"/>
            <a:gd name="connsiteY7061" fmla="*/ 4259967 h 6858000"/>
            <a:gd name="connsiteX7062" fmla="*/ 6967750 w 12192000"/>
            <a:gd name="connsiteY7062" fmla="*/ 4225149 h 6858000"/>
            <a:gd name="connsiteX7063" fmla="*/ 7002563 w 12192000"/>
            <a:gd name="connsiteY7063" fmla="*/ 4259967 h 6858000"/>
            <a:gd name="connsiteX7064" fmla="*/ 6967750 w 12192000"/>
            <a:gd name="connsiteY7064" fmla="*/ 4294786 h 6858000"/>
            <a:gd name="connsiteX7065" fmla="*/ 7052644 w 12192000"/>
            <a:gd name="connsiteY7065" fmla="*/ 4294786 h 6858000"/>
            <a:gd name="connsiteX7066" fmla="*/ 7017818 w 12192000"/>
            <a:gd name="connsiteY7066" fmla="*/ 4259967 h 6858000"/>
            <a:gd name="connsiteX7067" fmla="*/ 7052644 w 12192000"/>
            <a:gd name="connsiteY7067" fmla="*/ 4225149 h 6858000"/>
            <a:gd name="connsiteX7068" fmla="*/ 7087456 w 12192000"/>
            <a:gd name="connsiteY7068" fmla="*/ 4259967 h 6858000"/>
            <a:gd name="connsiteX7069" fmla="*/ 7052644 w 12192000"/>
            <a:gd name="connsiteY7069" fmla="*/ 4294786 h 6858000"/>
            <a:gd name="connsiteX7070" fmla="*/ 7137536 w 12192000"/>
            <a:gd name="connsiteY7070" fmla="*/ 4294786 h 6858000"/>
            <a:gd name="connsiteX7071" fmla="*/ 7102710 w 12192000"/>
            <a:gd name="connsiteY7071" fmla="*/ 4259967 h 6858000"/>
            <a:gd name="connsiteX7072" fmla="*/ 7137536 w 12192000"/>
            <a:gd name="connsiteY7072" fmla="*/ 4225149 h 6858000"/>
            <a:gd name="connsiteX7073" fmla="*/ 7172348 w 12192000"/>
            <a:gd name="connsiteY7073" fmla="*/ 4259967 h 6858000"/>
            <a:gd name="connsiteX7074" fmla="*/ 7137536 w 12192000"/>
            <a:gd name="connsiteY7074" fmla="*/ 4294786 h 6858000"/>
            <a:gd name="connsiteX7075" fmla="*/ 7222428 w 12192000"/>
            <a:gd name="connsiteY7075" fmla="*/ 4294786 h 6858000"/>
            <a:gd name="connsiteX7076" fmla="*/ 7187603 w 12192000"/>
            <a:gd name="connsiteY7076" fmla="*/ 4259967 h 6858000"/>
            <a:gd name="connsiteX7077" fmla="*/ 7222428 w 12192000"/>
            <a:gd name="connsiteY7077" fmla="*/ 4225149 h 6858000"/>
            <a:gd name="connsiteX7078" fmla="*/ 7257240 w 12192000"/>
            <a:gd name="connsiteY7078" fmla="*/ 4259967 h 6858000"/>
            <a:gd name="connsiteX7079" fmla="*/ 7222428 w 12192000"/>
            <a:gd name="connsiteY7079" fmla="*/ 4294786 h 6858000"/>
            <a:gd name="connsiteX7080" fmla="*/ 7307320 w 12192000"/>
            <a:gd name="connsiteY7080" fmla="*/ 4294786 h 6858000"/>
            <a:gd name="connsiteX7081" fmla="*/ 7272495 w 12192000"/>
            <a:gd name="connsiteY7081" fmla="*/ 4259967 h 6858000"/>
            <a:gd name="connsiteX7082" fmla="*/ 7307320 w 12192000"/>
            <a:gd name="connsiteY7082" fmla="*/ 4225149 h 6858000"/>
            <a:gd name="connsiteX7083" fmla="*/ 7342133 w 12192000"/>
            <a:gd name="connsiteY7083" fmla="*/ 4259967 h 6858000"/>
            <a:gd name="connsiteX7084" fmla="*/ 7307320 w 12192000"/>
            <a:gd name="connsiteY7084" fmla="*/ 4294786 h 6858000"/>
            <a:gd name="connsiteX7085" fmla="*/ 7392214 w 12192000"/>
            <a:gd name="connsiteY7085" fmla="*/ 4294786 h 6858000"/>
            <a:gd name="connsiteX7086" fmla="*/ 7357388 w 12192000"/>
            <a:gd name="connsiteY7086" fmla="*/ 4259967 h 6858000"/>
            <a:gd name="connsiteX7087" fmla="*/ 7392214 w 12192000"/>
            <a:gd name="connsiteY7087" fmla="*/ 4225149 h 6858000"/>
            <a:gd name="connsiteX7088" fmla="*/ 7427026 w 12192000"/>
            <a:gd name="connsiteY7088" fmla="*/ 4259967 h 6858000"/>
            <a:gd name="connsiteX7089" fmla="*/ 7392214 w 12192000"/>
            <a:gd name="connsiteY7089" fmla="*/ 4294786 h 6858000"/>
            <a:gd name="connsiteX7090" fmla="*/ 7477106 w 12192000"/>
            <a:gd name="connsiteY7090" fmla="*/ 4294786 h 6858000"/>
            <a:gd name="connsiteX7091" fmla="*/ 7442280 w 12192000"/>
            <a:gd name="connsiteY7091" fmla="*/ 4259967 h 6858000"/>
            <a:gd name="connsiteX7092" fmla="*/ 7477106 w 12192000"/>
            <a:gd name="connsiteY7092" fmla="*/ 4225149 h 6858000"/>
            <a:gd name="connsiteX7093" fmla="*/ 7511918 w 12192000"/>
            <a:gd name="connsiteY7093" fmla="*/ 4259967 h 6858000"/>
            <a:gd name="connsiteX7094" fmla="*/ 7477106 w 12192000"/>
            <a:gd name="connsiteY7094" fmla="*/ 4294786 h 6858000"/>
            <a:gd name="connsiteX7095" fmla="*/ 7561998 w 12192000"/>
            <a:gd name="connsiteY7095" fmla="*/ 4294786 h 6858000"/>
            <a:gd name="connsiteX7096" fmla="*/ 7527173 w 12192000"/>
            <a:gd name="connsiteY7096" fmla="*/ 4259967 h 6858000"/>
            <a:gd name="connsiteX7097" fmla="*/ 7561998 w 12192000"/>
            <a:gd name="connsiteY7097" fmla="*/ 4225149 h 6858000"/>
            <a:gd name="connsiteX7098" fmla="*/ 7596810 w 12192000"/>
            <a:gd name="connsiteY7098" fmla="*/ 4259967 h 6858000"/>
            <a:gd name="connsiteX7099" fmla="*/ 7561998 w 12192000"/>
            <a:gd name="connsiteY7099" fmla="*/ 4294786 h 6858000"/>
            <a:gd name="connsiteX7100" fmla="*/ 7646890 w 12192000"/>
            <a:gd name="connsiteY7100" fmla="*/ 4294786 h 6858000"/>
            <a:gd name="connsiteX7101" fmla="*/ 7612065 w 12192000"/>
            <a:gd name="connsiteY7101" fmla="*/ 4259967 h 6858000"/>
            <a:gd name="connsiteX7102" fmla="*/ 7646890 w 12192000"/>
            <a:gd name="connsiteY7102" fmla="*/ 4225149 h 6858000"/>
            <a:gd name="connsiteX7103" fmla="*/ 7681703 w 12192000"/>
            <a:gd name="connsiteY7103" fmla="*/ 4259967 h 6858000"/>
            <a:gd name="connsiteX7104" fmla="*/ 7646890 w 12192000"/>
            <a:gd name="connsiteY7104" fmla="*/ 4294786 h 6858000"/>
            <a:gd name="connsiteX7105" fmla="*/ 7731784 w 12192000"/>
            <a:gd name="connsiteY7105" fmla="*/ 4294786 h 6858000"/>
            <a:gd name="connsiteX7106" fmla="*/ 7696958 w 12192000"/>
            <a:gd name="connsiteY7106" fmla="*/ 4259967 h 6858000"/>
            <a:gd name="connsiteX7107" fmla="*/ 7731784 w 12192000"/>
            <a:gd name="connsiteY7107" fmla="*/ 4225149 h 6858000"/>
            <a:gd name="connsiteX7108" fmla="*/ 7766596 w 12192000"/>
            <a:gd name="connsiteY7108" fmla="*/ 4259967 h 6858000"/>
            <a:gd name="connsiteX7109" fmla="*/ 7731784 w 12192000"/>
            <a:gd name="connsiteY7109" fmla="*/ 4294786 h 6858000"/>
            <a:gd name="connsiteX7110" fmla="*/ 7816676 w 12192000"/>
            <a:gd name="connsiteY7110" fmla="*/ 4294786 h 6858000"/>
            <a:gd name="connsiteX7111" fmla="*/ 7781850 w 12192000"/>
            <a:gd name="connsiteY7111" fmla="*/ 4259967 h 6858000"/>
            <a:gd name="connsiteX7112" fmla="*/ 7816676 w 12192000"/>
            <a:gd name="connsiteY7112" fmla="*/ 4225149 h 6858000"/>
            <a:gd name="connsiteX7113" fmla="*/ 7851488 w 12192000"/>
            <a:gd name="connsiteY7113" fmla="*/ 4259967 h 6858000"/>
            <a:gd name="connsiteX7114" fmla="*/ 7816676 w 12192000"/>
            <a:gd name="connsiteY7114" fmla="*/ 4294786 h 6858000"/>
            <a:gd name="connsiteX7115" fmla="*/ 7901568 w 12192000"/>
            <a:gd name="connsiteY7115" fmla="*/ 4294786 h 6858000"/>
            <a:gd name="connsiteX7116" fmla="*/ 7866743 w 12192000"/>
            <a:gd name="connsiteY7116" fmla="*/ 4259967 h 6858000"/>
            <a:gd name="connsiteX7117" fmla="*/ 7901568 w 12192000"/>
            <a:gd name="connsiteY7117" fmla="*/ 4225149 h 6858000"/>
            <a:gd name="connsiteX7118" fmla="*/ 7936380 w 12192000"/>
            <a:gd name="connsiteY7118" fmla="*/ 4259967 h 6858000"/>
            <a:gd name="connsiteX7119" fmla="*/ 7901568 w 12192000"/>
            <a:gd name="connsiteY7119" fmla="*/ 4294786 h 6858000"/>
            <a:gd name="connsiteX7120" fmla="*/ 7986460 w 12192000"/>
            <a:gd name="connsiteY7120" fmla="*/ 4294786 h 6858000"/>
            <a:gd name="connsiteX7121" fmla="*/ 7951635 w 12192000"/>
            <a:gd name="connsiteY7121" fmla="*/ 4259967 h 6858000"/>
            <a:gd name="connsiteX7122" fmla="*/ 7986460 w 12192000"/>
            <a:gd name="connsiteY7122" fmla="*/ 4225149 h 6858000"/>
            <a:gd name="connsiteX7123" fmla="*/ 8021273 w 12192000"/>
            <a:gd name="connsiteY7123" fmla="*/ 4259967 h 6858000"/>
            <a:gd name="connsiteX7124" fmla="*/ 7986460 w 12192000"/>
            <a:gd name="connsiteY7124" fmla="*/ 4294786 h 6858000"/>
            <a:gd name="connsiteX7125" fmla="*/ 8071353 w 12192000"/>
            <a:gd name="connsiteY7125" fmla="*/ 4294786 h 6858000"/>
            <a:gd name="connsiteX7126" fmla="*/ 8036527 w 12192000"/>
            <a:gd name="connsiteY7126" fmla="*/ 4259967 h 6858000"/>
            <a:gd name="connsiteX7127" fmla="*/ 8071353 w 12192000"/>
            <a:gd name="connsiteY7127" fmla="*/ 4225149 h 6858000"/>
            <a:gd name="connsiteX7128" fmla="*/ 8106165 w 12192000"/>
            <a:gd name="connsiteY7128" fmla="*/ 4259967 h 6858000"/>
            <a:gd name="connsiteX7129" fmla="*/ 8071353 w 12192000"/>
            <a:gd name="connsiteY7129" fmla="*/ 4294786 h 6858000"/>
            <a:gd name="connsiteX7130" fmla="*/ 8156246 w 12192000"/>
            <a:gd name="connsiteY7130" fmla="*/ 4294786 h 6858000"/>
            <a:gd name="connsiteX7131" fmla="*/ 8121420 w 12192000"/>
            <a:gd name="connsiteY7131" fmla="*/ 4259967 h 6858000"/>
            <a:gd name="connsiteX7132" fmla="*/ 8156246 w 12192000"/>
            <a:gd name="connsiteY7132" fmla="*/ 4225149 h 6858000"/>
            <a:gd name="connsiteX7133" fmla="*/ 8191058 w 12192000"/>
            <a:gd name="connsiteY7133" fmla="*/ 4259967 h 6858000"/>
            <a:gd name="connsiteX7134" fmla="*/ 8156246 w 12192000"/>
            <a:gd name="connsiteY7134" fmla="*/ 4294786 h 6858000"/>
            <a:gd name="connsiteX7135" fmla="*/ 8241138 w 12192000"/>
            <a:gd name="connsiteY7135" fmla="*/ 4294786 h 6858000"/>
            <a:gd name="connsiteX7136" fmla="*/ 8206313 w 12192000"/>
            <a:gd name="connsiteY7136" fmla="*/ 4259967 h 6858000"/>
            <a:gd name="connsiteX7137" fmla="*/ 8241138 w 12192000"/>
            <a:gd name="connsiteY7137" fmla="*/ 4225149 h 6858000"/>
            <a:gd name="connsiteX7138" fmla="*/ 8275950 w 12192000"/>
            <a:gd name="connsiteY7138" fmla="*/ 4259967 h 6858000"/>
            <a:gd name="connsiteX7139" fmla="*/ 8241138 w 12192000"/>
            <a:gd name="connsiteY7139" fmla="*/ 4294786 h 6858000"/>
            <a:gd name="connsiteX7140" fmla="*/ 8326030 w 12192000"/>
            <a:gd name="connsiteY7140" fmla="*/ 4294786 h 6858000"/>
            <a:gd name="connsiteX7141" fmla="*/ 8291205 w 12192000"/>
            <a:gd name="connsiteY7141" fmla="*/ 4259967 h 6858000"/>
            <a:gd name="connsiteX7142" fmla="*/ 8326030 w 12192000"/>
            <a:gd name="connsiteY7142" fmla="*/ 4225149 h 6858000"/>
            <a:gd name="connsiteX7143" fmla="*/ 8360843 w 12192000"/>
            <a:gd name="connsiteY7143" fmla="*/ 4259967 h 6858000"/>
            <a:gd name="connsiteX7144" fmla="*/ 8326030 w 12192000"/>
            <a:gd name="connsiteY7144" fmla="*/ 4294786 h 6858000"/>
            <a:gd name="connsiteX7145" fmla="*/ 8410923 w 12192000"/>
            <a:gd name="connsiteY7145" fmla="*/ 4294786 h 6858000"/>
            <a:gd name="connsiteX7146" fmla="*/ 8376097 w 12192000"/>
            <a:gd name="connsiteY7146" fmla="*/ 4259967 h 6858000"/>
            <a:gd name="connsiteX7147" fmla="*/ 8410923 w 12192000"/>
            <a:gd name="connsiteY7147" fmla="*/ 4225149 h 6858000"/>
            <a:gd name="connsiteX7148" fmla="*/ 8445735 w 12192000"/>
            <a:gd name="connsiteY7148" fmla="*/ 4259967 h 6858000"/>
            <a:gd name="connsiteX7149" fmla="*/ 8410923 w 12192000"/>
            <a:gd name="connsiteY7149" fmla="*/ 4294786 h 6858000"/>
            <a:gd name="connsiteX7150" fmla="*/ 8495816 w 12192000"/>
            <a:gd name="connsiteY7150" fmla="*/ 4294786 h 6858000"/>
            <a:gd name="connsiteX7151" fmla="*/ 8460990 w 12192000"/>
            <a:gd name="connsiteY7151" fmla="*/ 4259967 h 6858000"/>
            <a:gd name="connsiteX7152" fmla="*/ 8495816 w 12192000"/>
            <a:gd name="connsiteY7152" fmla="*/ 4225149 h 6858000"/>
            <a:gd name="connsiteX7153" fmla="*/ 8530628 w 12192000"/>
            <a:gd name="connsiteY7153" fmla="*/ 4259967 h 6858000"/>
            <a:gd name="connsiteX7154" fmla="*/ 8495816 w 12192000"/>
            <a:gd name="connsiteY7154" fmla="*/ 4294786 h 6858000"/>
            <a:gd name="connsiteX7155" fmla="*/ 8580708 w 12192000"/>
            <a:gd name="connsiteY7155" fmla="*/ 4294786 h 6858000"/>
            <a:gd name="connsiteX7156" fmla="*/ 8545883 w 12192000"/>
            <a:gd name="connsiteY7156" fmla="*/ 4259967 h 6858000"/>
            <a:gd name="connsiteX7157" fmla="*/ 8580708 w 12192000"/>
            <a:gd name="connsiteY7157" fmla="*/ 4225149 h 6858000"/>
            <a:gd name="connsiteX7158" fmla="*/ 8615520 w 12192000"/>
            <a:gd name="connsiteY7158" fmla="*/ 4259967 h 6858000"/>
            <a:gd name="connsiteX7159" fmla="*/ 8580708 w 12192000"/>
            <a:gd name="connsiteY7159" fmla="*/ 4294786 h 6858000"/>
            <a:gd name="connsiteX7160" fmla="*/ 8665600 w 12192000"/>
            <a:gd name="connsiteY7160" fmla="*/ 4294786 h 6858000"/>
            <a:gd name="connsiteX7161" fmla="*/ 8630775 w 12192000"/>
            <a:gd name="connsiteY7161" fmla="*/ 4259967 h 6858000"/>
            <a:gd name="connsiteX7162" fmla="*/ 8665600 w 12192000"/>
            <a:gd name="connsiteY7162" fmla="*/ 4225149 h 6858000"/>
            <a:gd name="connsiteX7163" fmla="*/ 8700413 w 12192000"/>
            <a:gd name="connsiteY7163" fmla="*/ 4259967 h 6858000"/>
            <a:gd name="connsiteX7164" fmla="*/ 8665600 w 12192000"/>
            <a:gd name="connsiteY7164" fmla="*/ 4294786 h 6858000"/>
            <a:gd name="connsiteX7165" fmla="*/ 8750493 w 12192000"/>
            <a:gd name="connsiteY7165" fmla="*/ 4294786 h 6858000"/>
            <a:gd name="connsiteX7166" fmla="*/ 8715667 w 12192000"/>
            <a:gd name="connsiteY7166" fmla="*/ 4259967 h 6858000"/>
            <a:gd name="connsiteX7167" fmla="*/ 8750493 w 12192000"/>
            <a:gd name="connsiteY7167" fmla="*/ 4225149 h 6858000"/>
            <a:gd name="connsiteX7168" fmla="*/ 8785305 w 12192000"/>
            <a:gd name="connsiteY7168" fmla="*/ 4259967 h 6858000"/>
            <a:gd name="connsiteX7169" fmla="*/ 8750493 w 12192000"/>
            <a:gd name="connsiteY7169" fmla="*/ 4294786 h 6858000"/>
            <a:gd name="connsiteX7170" fmla="*/ 8835386 w 12192000"/>
            <a:gd name="connsiteY7170" fmla="*/ 4294786 h 6858000"/>
            <a:gd name="connsiteX7171" fmla="*/ 8800560 w 12192000"/>
            <a:gd name="connsiteY7171" fmla="*/ 4259967 h 6858000"/>
            <a:gd name="connsiteX7172" fmla="*/ 8835386 w 12192000"/>
            <a:gd name="connsiteY7172" fmla="*/ 4225149 h 6858000"/>
            <a:gd name="connsiteX7173" fmla="*/ 8870198 w 12192000"/>
            <a:gd name="connsiteY7173" fmla="*/ 4259967 h 6858000"/>
            <a:gd name="connsiteX7174" fmla="*/ 8835386 w 12192000"/>
            <a:gd name="connsiteY7174" fmla="*/ 4294786 h 6858000"/>
            <a:gd name="connsiteX7175" fmla="*/ 8920278 w 12192000"/>
            <a:gd name="connsiteY7175" fmla="*/ 4294786 h 6858000"/>
            <a:gd name="connsiteX7176" fmla="*/ 8885453 w 12192000"/>
            <a:gd name="connsiteY7176" fmla="*/ 4259967 h 6858000"/>
            <a:gd name="connsiteX7177" fmla="*/ 8920278 w 12192000"/>
            <a:gd name="connsiteY7177" fmla="*/ 4225149 h 6858000"/>
            <a:gd name="connsiteX7178" fmla="*/ 8955090 w 12192000"/>
            <a:gd name="connsiteY7178" fmla="*/ 4259967 h 6858000"/>
            <a:gd name="connsiteX7179" fmla="*/ 8920278 w 12192000"/>
            <a:gd name="connsiteY7179" fmla="*/ 4294786 h 6858000"/>
            <a:gd name="connsiteX7180" fmla="*/ 9005170 w 12192000"/>
            <a:gd name="connsiteY7180" fmla="*/ 4294786 h 6858000"/>
            <a:gd name="connsiteX7181" fmla="*/ 8970345 w 12192000"/>
            <a:gd name="connsiteY7181" fmla="*/ 4259967 h 6858000"/>
            <a:gd name="connsiteX7182" fmla="*/ 9005170 w 12192000"/>
            <a:gd name="connsiteY7182" fmla="*/ 4225149 h 6858000"/>
            <a:gd name="connsiteX7183" fmla="*/ 9039983 w 12192000"/>
            <a:gd name="connsiteY7183" fmla="*/ 4259967 h 6858000"/>
            <a:gd name="connsiteX7184" fmla="*/ 9005170 w 12192000"/>
            <a:gd name="connsiteY7184" fmla="*/ 4294786 h 6858000"/>
            <a:gd name="connsiteX7185" fmla="*/ 9090063 w 12192000"/>
            <a:gd name="connsiteY7185" fmla="*/ 4294786 h 6858000"/>
            <a:gd name="connsiteX7186" fmla="*/ 9055237 w 12192000"/>
            <a:gd name="connsiteY7186" fmla="*/ 4259967 h 6858000"/>
            <a:gd name="connsiteX7187" fmla="*/ 9090063 w 12192000"/>
            <a:gd name="connsiteY7187" fmla="*/ 4225149 h 6858000"/>
            <a:gd name="connsiteX7188" fmla="*/ 9124875 w 12192000"/>
            <a:gd name="connsiteY7188" fmla="*/ 4259967 h 6858000"/>
            <a:gd name="connsiteX7189" fmla="*/ 9090063 w 12192000"/>
            <a:gd name="connsiteY7189" fmla="*/ 4294786 h 6858000"/>
            <a:gd name="connsiteX7190" fmla="*/ 9174956 w 12192000"/>
            <a:gd name="connsiteY7190" fmla="*/ 4294786 h 6858000"/>
            <a:gd name="connsiteX7191" fmla="*/ 9140130 w 12192000"/>
            <a:gd name="connsiteY7191" fmla="*/ 4259967 h 6858000"/>
            <a:gd name="connsiteX7192" fmla="*/ 9174956 w 12192000"/>
            <a:gd name="connsiteY7192" fmla="*/ 4225149 h 6858000"/>
            <a:gd name="connsiteX7193" fmla="*/ 9209768 w 12192000"/>
            <a:gd name="connsiteY7193" fmla="*/ 4259967 h 6858000"/>
            <a:gd name="connsiteX7194" fmla="*/ 9174956 w 12192000"/>
            <a:gd name="connsiteY7194" fmla="*/ 4294786 h 6858000"/>
            <a:gd name="connsiteX7195" fmla="*/ 9259848 w 12192000"/>
            <a:gd name="connsiteY7195" fmla="*/ 4294786 h 6858000"/>
            <a:gd name="connsiteX7196" fmla="*/ 9225023 w 12192000"/>
            <a:gd name="connsiteY7196" fmla="*/ 4259967 h 6858000"/>
            <a:gd name="connsiteX7197" fmla="*/ 9259848 w 12192000"/>
            <a:gd name="connsiteY7197" fmla="*/ 4225149 h 6858000"/>
            <a:gd name="connsiteX7198" fmla="*/ 9294660 w 12192000"/>
            <a:gd name="connsiteY7198" fmla="*/ 4259967 h 6858000"/>
            <a:gd name="connsiteX7199" fmla="*/ 9259848 w 12192000"/>
            <a:gd name="connsiteY7199" fmla="*/ 4294786 h 6858000"/>
            <a:gd name="connsiteX7200" fmla="*/ 9344740 w 12192000"/>
            <a:gd name="connsiteY7200" fmla="*/ 4294786 h 6858000"/>
            <a:gd name="connsiteX7201" fmla="*/ 9309915 w 12192000"/>
            <a:gd name="connsiteY7201" fmla="*/ 4259967 h 6858000"/>
            <a:gd name="connsiteX7202" fmla="*/ 9344740 w 12192000"/>
            <a:gd name="connsiteY7202" fmla="*/ 4225149 h 6858000"/>
            <a:gd name="connsiteX7203" fmla="*/ 9379553 w 12192000"/>
            <a:gd name="connsiteY7203" fmla="*/ 4259967 h 6858000"/>
            <a:gd name="connsiteX7204" fmla="*/ 9344740 w 12192000"/>
            <a:gd name="connsiteY7204" fmla="*/ 4294786 h 6858000"/>
            <a:gd name="connsiteX7205" fmla="*/ 9429633 w 12192000"/>
            <a:gd name="connsiteY7205" fmla="*/ 4294786 h 6858000"/>
            <a:gd name="connsiteX7206" fmla="*/ 9394807 w 12192000"/>
            <a:gd name="connsiteY7206" fmla="*/ 4259967 h 6858000"/>
            <a:gd name="connsiteX7207" fmla="*/ 9429633 w 12192000"/>
            <a:gd name="connsiteY7207" fmla="*/ 4225149 h 6858000"/>
            <a:gd name="connsiteX7208" fmla="*/ 9464445 w 12192000"/>
            <a:gd name="connsiteY7208" fmla="*/ 4259967 h 6858000"/>
            <a:gd name="connsiteX7209" fmla="*/ 9429633 w 12192000"/>
            <a:gd name="connsiteY7209" fmla="*/ 4294786 h 6858000"/>
            <a:gd name="connsiteX7210" fmla="*/ 9514525 w 12192000"/>
            <a:gd name="connsiteY7210" fmla="*/ 4294786 h 6858000"/>
            <a:gd name="connsiteX7211" fmla="*/ 9479699 w 12192000"/>
            <a:gd name="connsiteY7211" fmla="*/ 4259967 h 6858000"/>
            <a:gd name="connsiteX7212" fmla="*/ 9514525 w 12192000"/>
            <a:gd name="connsiteY7212" fmla="*/ 4225149 h 6858000"/>
            <a:gd name="connsiteX7213" fmla="*/ 9549337 w 12192000"/>
            <a:gd name="connsiteY7213" fmla="*/ 4259967 h 6858000"/>
            <a:gd name="connsiteX7214" fmla="*/ 9514525 w 12192000"/>
            <a:gd name="connsiteY7214" fmla="*/ 4294786 h 6858000"/>
            <a:gd name="connsiteX7215" fmla="*/ 9599418 w 12192000"/>
            <a:gd name="connsiteY7215" fmla="*/ 4294786 h 6858000"/>
            <a:gd name="connsiteX7216" fmla="*/ 9564593 w 12192000"/>
            <a:gd name="connsiteY7216" fmla="*/ 4259967 h 6858000"/>
            <a:gd name="connsiteX7217" fmla="*/ 9599418 w 12192000"/>
            <a:gd name="connsiteY7217" fmla="*/ 4225149 h 6858000"/>
            <a:gd name="connsiteX7218" fmla="*/ 9634230 w 12192000"/>
            <a:gd name="connsiteY7218" fmla="*/ 4259967 h 6858000"/>
            <a:gd name="connsiteX7219" fmla="*/ 9599418 w 12192000"/>
            <a:gd name="connsiteY7219" fmla="*/ 4294786 h 6858000"/>
            <a:gd name="connsiteX7220" fmla="*/ 9684310 w 12192000"/>
            <a:gd name="connsiteY7220" fmla="*/ 4294786 h 6858000"/>
            <a:gd name="connsiteX7221" fmla="*/ 9649485 w 12192000"/>
            <a:gd name="connsiteY7221" fmla="*/ 4259967 h 6858000"/>
            <a:gd name="connsiteX7222" fmla="*/ 9684310 w 12192000"/>
            <a:gd name="connsiteY7222" fmla="*/ 4225149 h 6858000"/>
            <a:gd name="connsiteX7223" fmla="*/ 9719123 w 12192000"/>
            <a:gd name="connsiteY7223" fmla="*/ 4259967 h 6858000"/>
            <a:gd name="connsiteX7224" fmla="*/ 9684310 w 12192000"/>
            <a:gd name="connsiteY7224" fmla="*/ 4294786 h 6858000"/>
            <a:gd name="connsiteX7225" fmla="*/ 9769203 w 12192000"/>
            <a:gd name="connsiteY7225" fmla="*/ 4294786 h 6858000"/>
            <a:gd name="connsiteX7226" fmla="*/ 9734377 w 12192000"/>
            <a:gd name="connsiteY7226" fmla="*/ 4259967 h 6858000"/>
            <a:gd name="connsiteX7227" fmla="*/ 9769203 w 12192000"/>
            <a:gd name="connsiteY7227" fmla="*/ 4225149 h 6858000"/>
            <a:gd name="connsiteX7228" fmla="*/ 9804015 w 12192000"/>
            <a:gd name="connsiteY7228" fmla="*/ 4259967 h 6858000"/>
            <a:gd name="connsiteX7229" fmla="*/ 9769203 w 12192000"/>
            <a:gd name="connsiteY7229" fmla="*/ 4294786 h 6858000"/>
            <a:gd name="connsiteX7230" fmla="*/ 9854095 w 12192000"/>
            <a:gd name="connsiteY7230" fmla="*/ 4294786 h 6858000"/>
            <a:gd name="connsiteX7231" fmla="*/ 9819269 w 12192000"/>
            <a:gd name="connsiteY7231" fmla="*/ 4259967 h 6858000"/>
            <a:gd name="connsiteX7232" fmla="*/ 9854095 w 12192000"/>
            <a:gd name="connsiteY7232" fmla="*/ 4225149 h 6858000"/>
            <a:gd name="connsiteX7233" fmla="*/ 9888907 w 12192000"/>
            <a:gd name="connsiteY7233" fmla="*/ 4259967 h 6858000"/>
            <a:gd name="connsiteX7234" fmla="*/ 9854095 w 12192000"/>
            <a:gd name="connsiteY7234" fmla="*/ 4294786 h 6858000"/>
            <a:gd name="connsiteX7235" fmla="*/ 10108773 w 12192000"/>
            <a:gd name="connsiteY7235" fmla="*/ 4294786 h 6858000"/>
            <a:gd name="connsiteX7236" fmla="*/ 10073947 w 12192000"/>
            <a:gd name="connsiteY7236" fmla="*/ 4259967 h 6858000"/>
            <a:gd name="connsiteX7237" fmla="*/ 10108773 w 12192000"/>
            <a:gd name="connsiteY7237" fmla="*/ 4225149 h 6858000"/>
            <a:gd name="connsiteX7238" fmla="*/ 10143585 w 12192000"/>
            <a:gd name="connsiteY7238" fmla="*/ 4259967 h 6858000"/>
            <a:gd name="connsiteX7239" fmla="*/ 10108773 w 12192000"/>
            <a:gd name="connsiteY7239" fmla="*/ 4294786 h 6858000"/>
            <a:gd name="connsiteX7240" fmla="*/ 10193665 w 12192000"/>
            <a:gd name="connsiteY7240" fmla="*/ 4294786 h 6858000"/>
            <a:gd name="connsiteX7241" fmla="*/ 10158839 w 12192000"/>
            <a:gd name="connsiteY7241" fmla="*/ 4259967 h 6858000"/>
            <a:gd name="connsiteX7242" fmla="*/ 10193665 w 12192000"/>
            <a:gd name="connsiteY7242" fmla="*/ 4225149 h 6858000"/>
            <a:gd name="connsiteX7243" fmla="*/ 10228477 w 12192000"/>
            <a:gd name="connsiteY7243" fmla="*/ 4259967 h 6858000"/>
            <a:gd name="connsiteX7244" fmla="*/ 10193665 w 12192000"/>
            <a:gd name="connsiteY7244" fmla="*/ 4294786 h 6858000"/>
            <a:gd name="connsiteX7245" fmla="*/ 2213769 w 12192000"/>
            <a:gd name="connsiteY7245" fmla="*/ 4209925 h 6858000"/>
            <a:gd name="connsiteX7246" fmla="*/ 2178950 w 12192000"/>
            <a:gd name="connsiteY7246" fmla="*/ 4175107 h 6858000"/>
            <a:gd name="connsiteX7247" fmla="*/ 2213769 w 12192000"/>
            <a:gd name="connsiteY7247" fmla="*/ 4140288 h 6858000"/>
            <a:gd name="connsiteX7248" fmla="*/ 2248588 w 12192000"/>
            <a:gd name="connsiteY7248" fmla="*/ 4175107 h 6858000"/>
            <a:gd name="connsiteX7249" fmla="*/ 2213769 w 12192000"/>
            <a:gd name="connsiteY7249" fmla="*/ 4209925 h 6858000"/>
            <a:gd name="connsiteX7250" fmla="*/ 2298661 w 12192000"/>
            <a:gd name="connsiteY7250" fmla="*/ 4209925 h 6858000"/>
            <a:gd name="connsiteX7251" fmla="*/ 2263842 w 12192000"/>
            <a:gd name="connsiteY7251" fmla="*/ 4175107 h 6858000"/>
            <a:gd name="connsiteX7252" fmla="*/ 2298661 w 12192000"/>
            <a:gd name="connsiteY7252" fmla="*/ 4140288 h 6858000"/>
            <a:gd name="connsiteX7253" fmla="*/ 2333480 w 12192000"/>
            <a:gd name="connsiteY7253" fmla="*/ 4175107 h 6858000"/>
            <a:gd name="connsiteX7254" fmla="*/ 2298661 w 12192000"/>
            <a:gd name="connsiteY7254" fmla="*/ 4209925 h 6858000"/>
            <a:gd name="connsiteX7255" fmla="*/ 2383553 w 12192000"/>
            <a:gd name="connsiteY7255" fmla="*/ 4209925 h 6858000"/>
            <a:gd name="connsiteX7256" fmla="*/ 2348734 w 12192000"/>
            <a:gd name="connsiteY7256" fmla="*/ 4175107 h 6858000"/>
            <a:gd name="connsiteX7257" fmla="*/ 2383553 w 12192000"/>
            <a:gd name="connsiteY7257" fmla="*/ 4140288 h 6858000"/>
            <a:gd name="connsiteX7258" fmla="*/ 2418372 w 12192000"/>
            <a:gd name="connsiteY7258" fmla="*/ 4175107 h 6858000"/>
            <a:gd name="connsiteX7259" fmla="*/ 2383553 w 12192000"/>
            <a:gd name="connsiteY7259" fmla="*/ 4209925 h 6858000"/>
            <a:gd name="connsiteX7260" fmla="*/ 2468446 w 12192000"/>
            <a:gd name="connsiteY7260" fmla="*/ 4209925 h 6858000"/>
            <a:gd name="connsiteX7261" fmla="*/ 2433627 w 12192000"/>
            <a:gd name="connsiteY7261" fmla="*/ 4175107 h 6858000"/>
            <a:gd name="connsiteX7262" fmla="*/ 2468446 w 12192000"/>
            <a:gd name="connsiteY7262" fmla="*/ 4140288 h 6858000"/>
            <a:gd name="connsiteX7263" fmla="*/ 2503264 w 12192000"/>
            <a:gd name="connsiteY7263" fmla="*/ 4175107 h 6858000"/>
            <a:gd name="connsiteX7264" fmla="*/ 2468446 w 12192000"/>
            <a:gd name="connsiteY7264" fmla="*/ 4209925 h 6858000"/>
            <a:gd name="connsiteX7265" fmla="*/ 2553339 w 12192000"/>
            <a:gd name="connsiteY7265" fmla="*/ 4209925 h 6858000"/>
            <a:gd name="connsiteX7266" fmla="*/ 2518520 w 12192000"/>
            <a:gd name="connsiteY7266" fmla="*/ 4175107 h 6858000"/>
            <a:gd name="connsiteX7267" fmla="*/ 2553339 w 12192000"/>
            <a:gd name="connsiteY7267" fmla="*/ 4140288 h 6858000"/>
            <a:gd name="connsiteX7268" fmla="*/ 2588158 w 12192000"/>
            <a:gd name="connsiteY7268" fmla="*/ 4175107 h 6858000"/>
            <a:gd name="connsiteX7269" fmla="*/ 2553339 w 12192000"/>
            <a:gd name="connsiteY7269" fmla="*/ 4209925 h 6858000"/>
            <a:gd name="connsiteX7270" fmla="*/ 2638231 w 12192000"/>
            <a:gd name="connsiteY7270" fmla="*/ 4209925 h 6858000"/>
            <a:gd name="connsiteX7271" fmla="*/ 2603412 w 12192000"/>
            <a:gd name="connsiteY7271" fmla="*/ 4175107 h 6858000"/>
            <a:gd name="connsiteX7272" fmla="*/ 2638231 w 12192000"/>
            <a:gd name="connsiteY7272" fmla="*/ 4140288 h 6858000"/>
            <a:gd name="connsiteX7273" fmla="*/ 2673050 w 12192000"/>
            <a:gd name="connsiteY7273" fmla="*/ 4175107 h 6858000"/>
            <a:gd name="connsiteX7274" fmla="*/ 2638231 w 12192000"/>
            <a:gd name="connsiteY7274" fmla="*/ 4209925 h 6858000"/>
            <a:gd name="connsiteX7275" fmla="*/ 2723123 w 12192000"/>
            <a:gd name="connsiteY7275" fmla="*/ 4209925 h 6858000"/>
            <a:gd name="connsiteX7276" fmla="*/ 2688304 w 12192000"/>
            <a:gd name="connsiteY7276" fmla="*/ 4175107 h 6858000"/>
            <a:gd name="connsiteX7277" fmla="*/ 2723123 w 12192000"/>
            <a:gd name="connsiteY7277" fmla="*/ 4140288 h 6858000"/>
            <a:gd name="connsiteX7278" fmla="*/ 2757942 w 12192000"/>
            <a:gd name="connsiteY7278" fmla="*/ 4175107 h 6858000"/>
            <a:gd name="connsiteX7279" fmla="*/ 2723123 w 12192000"/>
            <a:gd name="connsiteY7279" fmla="*/ 4209925 h 6858000"/>
            <a:gd name="connsiteX7280" fmla="*/ 2808016 w 12192000"/>
            <a:gd name="connsiteY7280" fmla="*/ 4209925 h 6858000"/>
            <a:gd name="connsiteX7281" fmla="*/ 2773197 w 12192000"/>
            <a:gd name="connsiteY7281" fmla="*/ 4175107 h 6858000"/>
            <a:gd name="connsiteX7282" fmla="*/ 2808016 w 12192000"/>
            <a:gd name="connsiteY7282" fmla="*/ 4140288 h 6858000"/>
            <a:gd name="connsiteX7283" fmla="*/ 2842834 w 12192000"/>
            <a:gd name="connsiteY7283" fmla="*/ 4175107 h 6858000"/>
            <a:gd name="connsiteX7284" fmla="*/ 2808016 w 12192000"/>
            <a:gd name="connsiteY7284" fmla="*/ 4209925 h 6858000"/>
            <a:gd name="connsiteX7285" fmla="*/ 2892908 w 12192000"/>
            <a:gd name="connsiteY7285" fmla="*/ 4209925 h 6858000"/>
            <a:gd name="connsiteX7286" fmla="*/ 2858089 w 12192000"/>
            <a:gd name="connsiteY7286" fmla="*/ 4175107 h 6858000"/>
            <a:gd name="connsiteX7287" fmla="*/ 2892908 w 12192000"/>
            <a:gd name="connsiteY7287" fmla="*/ 4140288 h 6858000"/>
            <a:gd name="connsiteX7288" fmla="*/ 2927727 w 12192000"/>
            <a:gd name="connsiteY7288" fmla="*/ 4175107 h 6858000"/>
            <a:gd name="connsiteX7289" fmla="*/ 2892908 w 12192000"/>
            <a:gd name="connsiteY7289" fmla="*/ 4209925 h 6858000"/>
            <a:gd name="connsiteX7290" fmla="*/ 2977801 w 12192000"/>
            <a:gd name="connsiteY7290" fmla="*/ 4209925 h 6858000"/>
            <a:gd name="connsiteX7291" fmla="*/ 2942982 w 12192000"/>
            <a:gd name="connsiteY7291" fmla="*/ 4175107 h 6858000"/>
            <a:gd name="connsiteX7292" fmla="*/ 2977801 w 12192000"/>
            <a:gd name="connsiteY7292" fmla="*/ 4140288 h 6858000"/>
            <a:gd name="connsiteX7293" fmla="*/ 3012620 w 12192000"/>
            <a:gd name="connsiteY7293" fmla="*/ 4175107 h 6858000"/>
            <a:gd name="connsiteX7294" fmla="*/ 2977801 w 12192000"/>
            <a:gd name="connsiteY7294" fmla="*/ 4209925 h 6858000"/>
            <a:gd name="connsiteX7295" fmla="*/ 3062693 w 12192000"/>
            <a:gd name="connsiteY7295" fmla="*/ 4209925 h 6858000"/>
            <a:gd name="connsiteX7296" fmla="*/ 3027874 w 12192000"/>
            <a:gd name="connsiteY7296" fmla="*/ 4175107 h 6858000"/>
            <a:gd name="connsiteX7297" fmla="*/ 3062693 w 12192000"/>
            <a:gd name="connsiteY7297" fmla="*/ 4140288 h 6858000"/>
            <a:gd name="connsiteX7298" fmla="*/ 3097512 w 12192000"/>
            <a:gd name="connsiteY7298" fmla="*/ 4175107 h 6858000"/>
            <a:gd name="connsiteX7299" fmla="*/ 3062693 w 12192000"/>
            <a:gd name="connsiteY7299" fmla="*/ 4209925 h 6858000"/>
            <a:gd name="connsiteX7300" fmla="*/ 3147586 w 12192000"/>
            <a:gd name="connsiteY7300" fmla="*/ 4209925 h 6858000"/>
            <a:gd name="connsiteX7301" fmla="*/ 3112767 w 12192000"/>
            <a:gd name="connsiteY7301" fmla="*/ 4175107 h 6858000"/>
            <a:gd name="connsiteX7302" fmla="*/ 3147586 w 12192000"/>
            <a:gd name="connsiteY7302" fmla="*/ 4140288 h 6858000"/>
            <a:gd name="connsiteX7303" fmla="*/ 3182404 w 12192000"/>
            <a:gd name="connsiteY7303" fmla="*/ 4175107 h 6858000"/>
            <a:gd name="connsiteX7304" fmla="*/ 3147586 w 12192000"/>
            <a:gd name="connsiteY7304" fmla="*/ 4209925 h 6858000"/>
            <a:gd name="connsiteX7305" fmla="*/ 3232478 w 12192000"/>
            <a:gd name="connsiteY7305" fmla="*/ 4209925 h 6858000"/>
            <a:gd name="connsiteX7306" fmla="*/ 3197659 w 12192000"/>
            <a:gd name="connsiteY7306" fmla="*/ 4175107 h 6858000"/>
            <a:gd name="connsiteX7307" fmla="*/ 3232478 w 12192000"/>
            <a:gd name="connsiteY7307" fmla="*/ 4140288 h 6858000"/>
            <a:gd name="connsiteX7308" fmla="*/ 3267297 w 12192000"/>
            <a:gd name="connsiteY7308" fmla="*/ 4175107 h 6858000"/>
            <a:gd name="connsiteX7309" fmla="*/ 3232478 w 12192000"/>
            <a:gd name="connsiteY7309" fmla="*/ 4209925 h 6858000"/>
            <a:gd name="connsiteX7310" fmla="*/ 3402263 w 12192000"/>
            <a:gd name="connsiteY7310" fmla="*/ 4209925 h 6858000"/>
            <a:gd name="connsiteX7311" fmla="*/ 3367444 w 12192000"/>
            <a:gd name="connsiteY7311" fmla="*/ 4175107 h 6858000"/>
            <a:gd name="connsiteX7312" fmla="*/ 3402263 w 12192000"/>
            <a:gd name="connsiteY7312" fmla="*/ 4140288 h 6858000"/>
            <a:gd name="connsiteX7313" fmla="*/ 3437082 w 12192000"/>
            <a:gd name="connsiteY7313" fmla="*/ 4175107 h 6858000"/>
            <a:gd name="connsiteX7314" fmla="*/ 3402263 w 12192000"/>
            <a:gd name="connsiteY7314" fmla="*/ 4209925 h 6858000"/>
            <a:gd name="connsiteX7315" fmla="*/ 3572048 w 12192000"/>
            <a:gd name="connsiteY7315" fmla="*/ 4209925 h 6858000"/>
            <a:gd name="connsiteX7316" fmla="*/ 3537229 w 12192000"/>
            <a:gd name="connsiteY7316" fmla="*/ 4175107 h 6858000"/>
            <a:gd name="connsiteX7317" fmla="*/ 3572048 w 12192000"/>
            <a:gd name="connsiteY7317" fmla="*/ 4140288 h 6858000"/>
            <a:gd name="connsiteX7318" fmla="*/ 3606867 w 12192000"/>
            <a:gd name="connsiteY7318" fmla="*/ 4175107 h 6858000"/>
            <a:gd name="connsiteX7319" fmla="*/ 3572048 w 12192000"/>
            <a:gd name="connsiteY7319" fmla="*/ 4209925 h 6858000"/>
            <a:gd name="connsiteX7320" fmla="*/ 3656941 w 12192000"/>
            <a:gd name="connsiteY7320" fmla="*/ 4209925 h 6858000"/>
            <a:gd name="connsiteX7321" fmla="*/ 3622122 w 12192000"/>
            <a:gd name="connsiteY7321" fmla="*/ 4175107 h 6858000"/>
            <a:gd name="connsiteX7322" fmla="*/ 3656941 w 12192000"/>
            <a:gd name="connsiteY7322" fmla="*/ 4140288 h 6858000"/>
            <a:gd name="connsiteX7323" fmla="*/ 3691760 w 12192000"/>
            <a:gd name="connsiteY7323" fmla="*/ 4175107 h 6858000"/>
            <a:gd name="connsiteX7324" fmla="*/ 3656941 w 12192000"/>
            <a:gd name="connsiteY7324" fmla="*/ 4209925 h 6858000"/>
            <a:gd name="connsiteX7325" fmla="*/ 3741833 w 12192000"/>
            <a:gd name="connsiteY7325" fmla="*/ 4209925 h 6858000"/>
            <a:gd name="connsiteX7326" fmla="*/ 3707014 w 12192000"/>
            <a:gd name="connsiteY7326" fmla="*/ 4175107 h 6858000"/>
            <a:gd name="connsiteX7327" fmla="*/ 3741833 w 12192000"/>
            <a:gd name="connsiteY7327" fmla="*/ 4140288 h 6858000"/>
            <a:gd name="connsiteX7328" fmla="*/ 3776652 w 12192000"/>
            <a:gd name="connsiteY7328" fmla="*/ 4175107 h 6858000"/>
            <a:gd name="connsiteX7329" fmla="*/ 3741833 w 12192000"/>
            <a:gd name="connsiteY7329" fmla="*/ 4209925 h 6858000"/>
            <a:gd name="connsiteX7330" fmla="*/ 3826726 w 12192000"/>
            <a:gd name="connsiteY7330" fmla="*/ 4209925 h 6858000"/>
            <a:gd name="connsiteX7331" fmla="*/ 3791907 w 12192000"/>
            <a:gd name="connsiteY7331" fmla="*/ 4175107 h 6858000"/>
            <a:gd name="connsiteX7332" fmla="*/ 3826726 w 12192000"/>
            <a:gd name="connsiteY7332" fmla="*/ 4140288 h 6858000"/>
            <a:gd name="connsiteX7333" fmla="*/ 3861544 w 12192000"/>
            <a:gd name="connsiteY7333" fmla="*/ 4175107 h 6858000"/>
            <a:gd name="connsiteX7334" fmla="*/ 3826726 w 12192000"/>
            <a:gd name="connsiteY7334" fmla="*/ 4209925 h 6858000"/>
            <a:gd name="connsiteX7335" fmla="*/ 3911618 w 12192000"/>
            <a:gd name="connsiteY7335" fmla="*/ 4209925 h 6858000"/>
            <a:gd name="connsiteX7336" fmla="*/ 3876799 w 12192000"/>
            <a:gd name="connsiteY7336" fmla="*/ 4175107 h 6858000"/>
            <a:gd name="connsiteX7337" fmla="*/ 3911618 w 12192000"/>
            <a:gd name="connsiteY7337" fmla="*/ 4140288 h 6858000"/>
            <a:gd name="connsiteX7338" fmla="*/ 3946437 w 12192000"/>
            <a:gd name="connsiteY7338" fmla="*/ 4175107 h 6858000"/>
            <a:gd name="connsiteX7339" fmla="*/ 3911618 w 12192000"/>
            <a:gd name="connsiteY7339" fmla="*/ 4209925 h 6858000"/>
            <a:gd name="connsiteX7340" fmla="*/ 4081403 w 12192000"/>
            <a:gd name="connsiteY7340" fmla="*/ 4209925 h 6858000"/>
            <a:gd name="connsiteX7341" fmla="*/ 4046584 w 12192000"/>
            <a:gd name="connsiteY7341" fmla="*/ 4175107 h 6858000"/>
            <a:gd name="connsiteX7342" fmla="*/ 4081403 w 12192000"/>
            <a:gd name="connsiteY7342" fmla="*/ 4140288 h 6858000"/>
            <a:gd name="connsiteX7343" fmla="*/ 4116222 w 12192000"/>
            <a:gd name="connsiteY7343" fmla="*/ 4175107 h 6858000"/>
            <a:gd name="connsiteX7344" fmla="*/ 4081403 w 12192000"/>
            <a:gd name="connsiteY7344" fmla="*/ 4209925 h 6858000"/>
            <a:gd name="connsiteX7345" fmla="*/ 5779252 w 12192000"/>
            <a:gd name="connsiteY7345" fmla="*/ 4209925 h 6858000"/>
            <a:gd name="connsiteX7346" fmla="*/ 5744433 w 12192000"/>
            <a:gd name="connsiteY7346" fmla="*/ 4175107 h 6858000"/>
            <a:gd name="connsiteX7347" fmla="*/ 5779252 w 12192000"/>
            <a:gd name="connsiteY7347" fmla="*/ 4140288 h 6858000"/>
            <a:gd name="connsiteX7348" fmla="*/ 5814071 w 12192000"/>
            <a:gd name="connsiteY7348" fmla="*/ 4175107 h 6858000"/>
            <a:gd name="connsiteX7349" fmla="*/ 5779252 w 12192000"/>
            <a:gd name="connsiteY7349" fmla="*/ 4209925 h 6858000"/>
            <a:gd name="connsiteX7350" fmla="*/ 5864146 w 12192000"/>
            <a:gd name="connsiteY7350" fmla="*/ 4209925 h 6858000"/>
            <a:gd name="connsiteX7351" fmla="*/ 5829327 w 12192000"/>
            <a:gd name="connsiteY7351" fmla="*/ 4175107 h 6858000"/>
            <a:gd name="connsiteX7352" fmla="*/ 5864146 w 12192000"/>
            <a:gd name="connsiteY7352" fmla="*/ 4140288 h 6858000"/>
            <a:gd name="connsiteX7353" fmla="*/ 5898964 w 12192000"/>
            <a:gd name="connsiteY7353" fmla="*/ 4175107 h 6858000"/>
            <a:gd name="connsiteX7354" fmla="*/ 5864146 w 12192000"/>
            <a:gd name="connsiteY7354" fmla="*/ 4209925 h 6858000"/>
            <a:gd name="connsiteX7355" fmla="*/ 5949038 w 12192000"/>
            <a:gd name="connsiteY7355" fmla="*/ 4209925 h 6858000"/>
            <a:gd name="connsiteX7356" fmla="*/ 5914219 w 12192000"/>
            <a:gd name="connsiteY7356" fmla="*/ 4175107 h 6858000"/>
            <a:gd name="connsiteX7357" fmla="*/ 5949038 w 12192000"/>
            <a:gd name="connsiteY7357" fmla="*/ 4140288 h 6858000"/>
            <a:gd name="connsiteX7358" fmla="*/ 5983857 w 12192000"/>
            <a:gd name="connsiteY7358" fmla="*/ 4175107 h 6858000"/>
            <a:gd name="connsiteX7359" fmla="*/ 5949038 w 12192000"/>
            <a:gd name="connsiteY7359" fmla="*/ 4209925 h 6858000"/>
            <a:gd name="connsiteX7360" fmla="*/ 6033930 w 12192000"/>
            <a:gd name="connsiteY7360" fmla="*/ 4209925 h 6858000"/>
            <a:gd name="connsiteX7361" fmla="*/ 5999111 w 12192000"/>
            <a:gd name="connsiteY7361" fmla="*/ 4175107 h 6858000"/>
            <a:gd name="connsiteX7362" fmla="*/ 6033930 w 12192000"/>
            <a:gd name="connsiteY7362" fmla="*/ 4140288 h 6858000"/>
            <a:gd name="connsiteX7363" fmla="*/ 6068749 w 12192000"/>
            <a:gd name="connsiteY7363" fmla="*/ 4175107 h 6858000"/>
            <a:gd name="connsiteX7364" fmla="*/ 6033930 w 12192000"/>
            <a:gd name="connsiteY7364" fmla="*/ 4209925 h 6858000"/>
            <a:gd name="connsiteX7365" fmla="*/ 6118826 w 12192000"/>
            <a:gd name="connsiteY7365" fmla="*/ 4209925 h 6858000"/>
            <a:gd name="connsiteX7366" fmla="*/ 6084000 w 12192000"/>
            <a:gd name="connsiteY7366" fmla="*/ 4175107 h 6858000"/>
            <a:gd name="connsiteX7367" fmla="*/ 6118826 w 12192000"/>
            <a:gd name="connsiteY7367" fmla="*/ 4140288 h 6858000"/>
            <a:gd name="connsiteX7368" fmla="*/ 6153638 w 12192000"/>
            <a:gd name="connsiteY7368" fmla="*/ 4175107 h 6858000"/>
            <a:gd name="connsiteX7369" fmla="*/ 6118826 w 12192000"/>
            <a:gd name="connsiteY7369" fmla="*/ 4209925 h 6858000"/>
            <a:gd name="connsiteX7370" fmla="*/ 6203718 w 12192000"/>
            <a:gd name="connsiteY7370" fmla="*/ 4209925 h 6858000"/>
            <a:gd name="connsiteX7371" fmla="*/ 6168893 w 12192000"/>
            <a:gd name="connsiteY7371" fmla="*/ 4175107 h 6858000"/>
            <a:gd name="connsiteX7372" fmla="*/ 6203718 w 12192000"/>
            <a:gd name="connsiteY7372" fmla="*/ 4140288 h 6858000"/>
            <a:gd name="connsiteX7373" fmla="*/ 6238530 w 12192000"/>
            <a:gd name="connsiteY7373" fmla="*/ 4175107 h 6858000"/>
            <a:gd name="connsiteX7374" fmla="*/ 6203718 w 12192000"/>
            <a:gd name="connsiteY7374" fmla="*/ 4209925 h 6858000"/>
            <a:gd name="connsiteX7375" fmla="*/ 6288611 w 12192000"/>
            <a:gd name="connsiteY7375" fmla="*/ 4209925 h 6858000"/>
            <a:gd name="connsiteX7376" fmla="*/ 6253786 w 12192000"/>
            <a:gd name="connsiteY7376" fmla="*/ 4175107 h 6858000"/>
            <a:gd name="connsiteX7377" fmla="*/ 6288611 w 12192000"/>
            <a:gd name="connsiteY7377" fmla="*/ 4140288 h 6858000"/>
            <a:gd name="connsiteX7378" fmla="*/ 6323424 w 12192000"/>
            <a:gd name="connsiteY7378" fmla="*/ 4175107 h 6858000"/>
            <a:gd name="connsiteX7379" fmla="*/ 6288611 w 12192000"/>
            <a:gd name="connsiteY7379" fmla="*/ 4209925 h 6858000"/>
            <a:gd name="connsiteX7380" fmla="*/ 6373504 w 12192000"/>
            <a:gd name="connsiteY7380" fmla="*/ 4209925 h 6858000"/>
            <a:gd name="connsiteX7381" fmla="*/ 6338678 w 12192000"/>
            <a:gd name="connsiteY7381" fmla="*/ 4175107 h 6858000"/>
            <a:gd name="connsiteX7382" fmla="*/ 6373504 w 12192000"/>
            <a:gd name="connsiteY7382" fmla="*/ 4140288 h 6858000"/>
            <a:gd name="connsiteX7383" fmla="*/ 6408316 w 12192000"/>
            <a:gd name="connsiteY7383" fmla="*/ 4175107 h 6858000"/>
            <a:gd name="connsiteX7384" fmla="*/ 6373504 w 12192000"/>
            <a:gd name="connsiteY7384" fmla="*/ 4209925 h 6858000"/>
            <a:gd name="connsiteX7385" fmla="*/ 6458396 w 12192000"/>
            <a:gd name="connsiteY7385" fmla="*/ 4209925 h 6858000"/>
            <a:gd name="connsiteX7386" fmla="*/ 6423570 w 12192000"/>
            <a:gd name="connsiteY7386" fmla="*/ 4175107 h 6858000"/>
            <a:gd name="connsiteX7387" fmla="*/ 6458396 w 12192000"/>
            <a:gd name="connsiteY7387" fmla="*/ 4140288 h 6858000"/>
            <a:gd name="connsiteX7388" fmla="*/ 6493208 w 12192000"/>
            <a:gd name="connsiteY7388" fmla="*/ 4175107 h 6858000"/>
            <a:gd name="connsiteX7389" fmla="*/ 6458396 w 12192000"/>
            <a:gd name="connsiteY7389" fmla="*/ 4209925 h 6858000"/>
            <a:gd name="connsiteX7390" fmla="*/ 6543288 w 12192000"/>
            <a:gd name="connsiteY7390" fmla="*/ 4209925 h 6858000"/>
            <a:gd name="connsiteX7391" fmla="*/ 6508463 w 12192000"/>
            <a:gd name="connsiteY7391" fmla="*/ 4175107 h 6858000"/>
            <a:gd name="connsiteX7392" fmla="*/ 6543288 w 12192000"/>
            <a:gd name="connsiteY7392" fmla="*/ 4140288 h 6858000"/>
            <a:gd name="connsiteX7393" fmla="*/ 6578100 w 12192000"/>
            <a:gd name="connsiteY7393" fmla="*/ 4175107 h 6858000"/>
            <a:gd name="connsiteX7394" fmla="*/ 6543288 w 12192000"/>
            <a:gd name="connsiteY7394" fmla="*/ 4209925 h 6858000"/>
            <a:gd name="connsiteX7395" fmla="*/ 6628181 w 12192000"/>
            <a:gd name="connsiteY7395" fmla="*/ 4209925 h 6858000"/>
            <a:gd name="connsiteX7396" fmla="*/ 6593356 w 12192000"/>
            <a:gd name="connsiteY7396" fmla="*/ 4175107 h 6858000"/>
            <a:gd name="connsiteX7397" fmla="*/ 6628181 w 12192000"/>
            <a:gd name="connsiteY7397" fmla="*/ 4140288 h 6858000"/>
            <a:gd name="connsiteX7398" fmla="*/ 6662994 w 12192000"/>
            <a:gd name="connsiteY7398" fmla="*/ 4175107 h 6858000"/>
            <a:gd name="connsiteX7399" fmla="*/ 6628181 w 12192000"/>
            <a:gd name="connsiteY7399" fmla="*/ 4209925 h 6858000"/>
            <a:gd name="connsiteX7400" fmla="*/ 6713074 w 12192000"/>
            <a:gd name="connsiteY7400" fmla="*/ 4209925 h 6858000"/>
            <a:gd name="connsiteX7401" fmla="*/ 6678248 w 12192000"/>
            <a:gd name="connsiteY7401" fmla="*/ 4175107 h 6858000"/>
            <a:gd name="connsiteX7402" fmla="*/ 6713074 w 12192000"/>
            <a:gd name="connsiteY7402" fmla="*/ 4140288 h 6858000"/>
            <a:gd name="connsiteX7403" fmla="*/ 6747886 w 12192000"/>
            <a:gd name="connsiteY7403" fmla="*/ 4175107 h 6858000"/>
            <a:gd name="connsiteX7404" fmla="*/ 6713074 w 12192000"/>
            <a:gd name="connsiteY7404" fmla="*/ 4209925 h 6858000"/>
            <a:gd name="connsiteX7405" fmla="*/ 6882858 w 12192000"/>
            <a:gd name="connsiteY7405" fmla="*/ 4209925 h 6858000"/>
            <a:gd name="connsiteX7406" fmla="*/ 6848033 w 12192000"/>
            <a:gd name="connsiteY7406" fmla="*/ 4175107 h 6858000"/>
            <a:gd name="connsiteX7407" fmla="*/ 6882858 w 12192000"/>
            <a:gd name="connsiteY7407" fmla="*/ 4140288 h 6858000"/>
            <a:gd name="connsiteX7408" fmla="*/ 6917670 w 12192000"/>
            <a:gd name="connsiteY7408" fmla="*/ 4175107 h 6858000"/>
            <a:gd name="connsiteX7409" fmla="*/ 6882858 w 12192000"/>
            <a:gd name="connsiteY7409" fmla="*/ 4209925 h 6858000"/>
            <a:gd name="connsiteX7410" fmla="*/ 7052644 w 12192000"/>
            <a:gd name="connsiteY7410" fmla="*/ 4209925 h 6858000"/>
            <a:gd name="connsiteX7411" fmla="*/ 7017818 w 12192000"/>
            <a:gd name="connsiteY7411" fmla="*/ 4175107 h 6858000"/>
            <a:gd name="connsiteX7412" fmla="*/ 7052644 w 12192000"/>
            <a:gd name="connsiteY7412" fmla="*/ 4140288 h 6858000"/>
            <a:gd name="connsiteX7413" fmla="*/ 7087456 w 12192000"/>
            <a:gd name="connsiteY7413" fmla="*/ 4175107 h 6858000"/>
            <a:gd name="connsiteX7414" fmla="*/ 7052644 w 12192000"/>
            <a:gd name="connsiteY7414" fmla="*/ 4209925 h 6858000"/>
            <a:gd name="connsiteX7415" fmla="*/ 7137536 w 12192000"/>
            <a:gd name="connsiteY7415" fmla="*/ 4209925 h 6858000"/>
            <a:gd name="connsiteX7416" fmla="*/ 7102710 w 12192000"/>
            <a:gd name="connsiteY7416" fmla="*/ 4175107 h 6858000"/>
            <a:gd name="connsiteX7417" fmla="*/ 7137536 w 12192000"/>
            <a:gd name="connsiteY7417" fmla="*/ 4140288 h 6858000"/>
            <a:gd name="connsiteX7418" fmla="*/ 7172348 w 12192000"/>
            <a:gd name="connsiteY7418" fmla="*/ 4175107 h 6858000"/>
            <a:gd name="connsiteX7419" fmla="*/ 7137536 w 12192000"/>
            <a:gd name="connsiteY7419" fmla="*/ 4209925 h 6858000"/>
            <a:gd name="connsiteX7420" fmla="*/ 7222428 w 12192000"/>
            <a:gd name="connsiteY7420" fmla="*/ 4209925 h 6858000"/>
            <a:gd name="connsiteX7421" fmla="*/ 7187603 w 12192000"/>
            <a:gd name="connsiteY7421" fmla="*/ 4175107 h 6858000"/>
            <a:gd name="connsiteX7422" fmla="*/ 7222428 w 12192000"/>
            <a:gd name="connsiteY7422" fmla="*/ 4140288 h 6858000"/>
            <a:gd name="connsiteX7423" fmla="*/ 7257240 w 12192000"/>
            <a:gd name="connsiteY7423" fmla="*/ 4175107 h 6858000"/>
            <a:gd name="connsiteX7424" fmla="*/ 7222428 w 12192000"/>
            <a:gd name="connsiteY7424" fmla="*/ 4209925 h 6858000"/>
            <a:gd name="connsiteX7425" fmla="*/ 7477106 w 12192000"/>
            <a:gd name="connsiteY7425" fmla="*/ 4209925 h 6858000"/>
            <a:gd name="connsiteX7426" fmla="*/ 7442280 w 12192000"/>
            <a:gd name="connsiteY7426" fmla="*/ 4175107 h 6858000"/>
            <a:gd name="connsiteX7427" fmla="*/ 7477106 w 12192000"/>
            <a:gd name="connsiteY7427" fmla="*/ 4140288 h 6858000"/>
            <a:gd name="connsiteX7428" fmla="*/ 7511918 w 12192000"/>
            <a:gd name="connsiteY7428" fmla="*/ 4175107 h 6858000"/>
            <a:gd name="connsiteX7429" fmla="*/ 7477106 w 12192000"/>
            <a:gd name="connsiteY7429" fmla="*/ 4209925 h 6858000"/>
            <a:gd name="connsiteX7430" fmla="*/ 7561998 w 12192000"/>
            <a:gd name="connsiteY7430" fmla="*/ 4209925 h 6858000"/>
            <a:gd name="connsiteX7431" fmla="*/ 7527173 w 12192000"/>
            <a:gd name="connsiteY7431" fmla="*/ 4175107 h 6858000"/>
            <a:gd name="connsiteX7432" fmla="*/ 7561998 w 12192000"/>
            <a:gd name="connsiteY7432" fmla="*/ 4140288 h 6858000"/>
            <a:gd name="connsiteX7433" fmla="*/ 7596810 w 12192000"/>
            <a:gd name="connsiteY7433" fmla="*/ 4175107 h 6858000"/>
            <a:gd name="connsiteX7434" fmla="*/ 7561998 w 12192000"/>
            <a:gd name="connsiteY7434" fmla="*/ 4209925 h 6858000"/>
            <a:gd name="connsiteX7435" fmla="*/ 7646890 w 12192000"/>
            <a:gd name="connsiteY7435" fmla="*/ 4209925 h 6858000"/>
            <a:gd name="connsiteX7436" fmla="*/ 7612065 w 12192000"/>
            <a:gd name="connsiteY7436" fmla="*/ 4175107 h 6858000"/>
            <a:gd name="connsiteX7437" fmla="*/ 7646890 w 12192000"/>
            <a:gd name="connsiteY7437" fmla="*/ 4140288 h 6858000"/>
            <a:gd name="connsiteX7438" fmla="*/ 7681703 w 12192000"/>
            <a:gd name="connsiteY7438" fmla="*/ 4175107 h 6858000"/>
            <a:gd name="connsiteX7439" fmla="*/ 7646890 w 12192000"/>
            <a:gd name="connsiteY7439" fmla="*/ 4209925 h 6858000"/>
            <a:gd name="connsiteX7440" fmla="*/ 7731784 w 12192000"/>
            <a:gd name="connsiteY7440" fmla="*/ 4209925 h 6858000"/>
            <a:gd name="connsiteX7441" fmla="*/ 7696958 w 12192000"/>
            <a:gd name="connsiteY7441" fmla="*/ 4175107 h 6858000"/>
            <a:gd name="connsiteX7442" fmla="*/ 7731784 w 12192000"/>
            <a:gd name="connsiteY7442" fmla="*/ 4140288 h 6858000"/>
            <a:gd name="connsiteX7443" fmla="*/ 7766596 w 12192000"/>
            <a:gd name="connsiteY7443" fmla="*/ 4175107 h 6858000"/>
            <a:gd name="connsiteX7444" fmla="*/ 7731784 w 12192000"/>
            <a:gd name="connsiteY7444" fmla="*/ 4209925 h 6858000"/>
            <a:gd name="connsiteX7445" fmla="*/ 7816676 w 12192000"/>
            <a:gd name="connsiteY7445" fmla="*/ 4209925 h 6858000"/>
            <a:gd name="connsiteX7446" fmla="*/ 7781850 w 12192000"/>
            <a:gd name="connsiteY7446" fmla="*/ 4175107 h 6858000"/>
            <a:gd name="connsiteX7447" fmla="*/ 7816676 w 12192000"/>
            <a:gd name="connsiteY7447" fmla="*/ 4140288 h 6858000"/>
            <a:gd name="connsiteX7448" fmla="*/ 7851488 w 12192000"/>
            <a:gd name="connsiteY7448" fmla="*/ 4175107 h 6858000"/>
            <a:gd name="connsiteX7449" fmla="*/ 7816676 w 12192000"/>
            <a:gd name="connsiteY7449" fmla="*/ 4209925 h 6858000"/>
            <a:gd name="connsiteX7450" fmla="*/ 7901568 w 12192000"/>
            <a:gd name="connsiteY7450" fmla="*/ 4209925 h 6858000"/>
            <a:gd name="connsiteX7451" fmla="*/ 7866743 w 12192000"/>
            <a:gd name="connsiteY7451" fmla="*/ 4175107 h 6858000"/>
            <a:gd name="connsiteX7452" fmla="*/ 7901568 w 12192000"/>
            <a:gd name="connsiteY7452" fmla="*/ 4140288 h 6858000"/>
            <a:gd name="connsiteX7453" fmla="*/ 7936380 w 12192000"/>
            <a:gd name="connsiteY7453" fmla="*/ 4175107 h 6858000"/>
            <a:gd name="connsiteX7454" fmla="*/ 7901568 w 12192000"/>
            <a:gd name="connsiteY7454" fmla="*/ 4209925 h 6858000"/>
            <a:gd name="connsiteX7455" fmla="*/ 7986460 w 12192000"/>
            <a:gd name="connsiteY7455" fmla="*/ 4209925 h 6858000"/>
            <a:gd name="connsiteX7456" fmla="*/ 7951635 w 12192000"/>
            <a:gd name="connsiteY7456" fmla="*/ 4175107 h 6858000"/>
            <a:gd name="connsiteX7457" fmla="*/ 7986460 w 12192000"/>
            <a:gd name="connsiteY7457" fmla="*/ 4140288 h 6858000"/>
            <a:gd name="connsiteX7458" fmla="*/ 8021273 w 12192000"/>
            <a:gd name="connsiteY7458" fmla="*/ 4175107 h 6858000"/>
            <a:gd name="connsiteX7459" fmla="*/ 7986460 w 12192000"/>
            <a:gd name="connsiteY7459" fmla="*/ 4209925 h 6858000"/>
            <a:gd name="connsiteX7460" fmla="*/ 8156246 w 12192000"/>
            <a:gd name="connsiteY7460" fmla="*/ 4209925 h 6858000"/>
            <a:gd name="connsiteX7461" fmla="*/ 8121420 w 12192000"/>
            <a:gd name="connsiteY7461" fmla="*/ 4175107 h 6858000"/>
            <a:gd name="connsiteX7462" fmla="*/ 8156246 w 12192000"/>
            <a:gd name="connsiteY7462" fmla="*/ 4140288 h 6858000"/>
            <a:gd name="connsiteX7463" fmla="*/ 8191058 w 12192000"/>
            <a:gd name="connsiteY7463" fmla="*/ 4175107 h 6858000"/>
            <a:gd name="connsiteX7464" fmla="*/ 8156246 w 12192000"/>
            <a:gd name="connsiteY7464" fmla="*/ 4209925 h 6858000"/>
            <a:gd name="connsiteX7465" fmla="*/ 8241138 w 12192000"/>
            <a:gd name="connsiteY7465" fmla="*/ 4209925 h 6858000"/>
            <a:gd name="connsiteX7466" fmla="*/ 8206313 w 12192000"/>
            <a:gd name="connsiteY7466" fmla="*/ 4175107 h 6858000"/>
            <a:gd name="connsiteX7467" fmla="*/ 8241138 w 12192000"/>
            <a:gd name="connsiteY7467" fmla="*/ 4140288 h 6858000"/>
            <a:gd name="connsiteX7468" fmla="*/ 8275950 w 12192000"/>
            <a:gd name="connsiteY7468" fmla="*/ 4175107 h 6858000"/>
            <a:gd name="connsiteX7469" fmla="*/ 8241138 w 12192000"/>
            <a:gd name="connsiteY7469" fmla="*/ 4209925 h 6858000"/>
            <a:gd name="connsiteX7470" fmla="*/ 8326030 w 12192000"/>
            <a:gd name="connsiteY7470" fmla="*/ 4209925 h 6858000"/>
            <a:gd name="connsiteX7471" fmla="*/ 8291205 w 12192000"/>
            <a:gd name="connsiteY7471" fmla="*/ 4175107 h 6858000"/>
            <a:gd name="connsiteX7472" fmla="*/ 8326030 w 12192000"/>
            <a:gd name="connsiteY7472" fmla="*/ 4140288 h 6858000"/>
            <a:gd name="connsiteX7473" fmla="*/ 8360843 w 12192000"/>
            <a:gd name="connsiteY7473" fmla="*/ 4175107 h 6858000"/>
            <a:gd name="connsiteX7474" fmla="*/ 8326030 w 12192000"/>
            <a:gd name="connsiteY7474" fmla="*/ 4209925 h 6858000"/>
            <a:gd name="connsiteX7475" fmla="*/ 8410923 w 12192000"/>
            <a:gd name="connsiteY7475" fmla="*/ 4209925 h 6858000"/>
            <a:gd name="connsiteX7476" fmla="*/ 8376097 w 12192000"/>
            <a:gd name="connsiteY7476" fmla="*/ 4175107 h 6858000"/>
            <a:gd name="connsiteX7477" fmla="*/ 8410923 w 12192000"/>
            <a:gd name="connsiteY7477" fmla="*/ 4140288 h 6858000"/>
            <a:gd name="connsiteX7478" fmla="*/ 8445735 w 12192000"/>
            <a:gd name="connsiteY7478" fmla="*/ 4175107 h 6858000"/>
            <a:gd name="connsiteX7479" fmla="*/ 8410923 w 12192000"/>
            <a:gd name="connsiteY7479" fmla="*/ 4209925 h 6858000"/>
            <a:gd name="connsiteX7480" fmla="*/ 8495816 w 12192000"/>
            <a:gd name="connsiteY7480" fmla="*/ 4209925 h 6858000"/>
            <a:gd name="connsiteX7481" fmla="*/ 8460990 w 12192000"/>
            <a:gd name="connsiteY7481" fmla="*/ 4175107 h 6858000"/>
            <a:gd name="connsiteX7482" fmla="*/ 8495816 w 12192000"/>
            <a:gd name="connsiteY7482" fmla="*/ 4140288 h 6858000"/>
            <a:gd name="connsiteX7483" fmla="*/ 8530628 w 12192000"/>
            <a:gd name="connsiteY7483" fmla="*/ 4175107 h 6858000"/>
            <a:gd name="connsiteX7484" fmla="*/ 8495816 w 12192000"/>
            <a:gd name="connsiteY7484" fmla="*/ 4209925 h 6858000"/>
            <a:gd name="connsiteX7485" fmla="*/ 8580708 w 12192000"/>
            <a:gd name="connsiteY7485" fmla="*/ 4209925 h 6858000"/>
            <a:gd name="connsiteX7486" fmla="*/ 8545883 w 12192000"/>
            <a:gd name="connsiteY7486" fmla="*/ 4175107 h 6858000"/>
            <a:gd name="connsiteX7487" fmla="*/ 8580708 w 12192000"/>
            <a:gd name="connsiteY7487" fmla="*/ 4140288 h 6858000"/>
            <a:gd name="connsiteX7488" fmla="*/ 8615520 w 12192000"/>
            <a:gd name="connsiteY7488" fmla="*/ 4175107 h 6858000"/>
            <a:gd name="connsiteX7489" fmla="*/ 8580708 w 12192000"/>
            <a:gd name="connsiteY7489" fmla="*/ 4209925 h 6858000"/>
            <a:gd name="connsiteX7490" fmla="*/ 8665600 w 12192000"/>
            <a:gd name="connsiteY7490" fmla="*/ 4209925 h 6858000"/>
            <a:gd name="connsiteX7491" fmla="*/ 8630775 w 12192000"/>
            <a:gd name="connsiteY7491" fmla="*/ 4175107 h 6858000"/>
            <a:gd name="connsiteX7492" fmla="*/ 8665600 w 12192000"/>
            <a:gd name="connsiteY7492" fmla="*/ 4140288 h 6858000"/>
            <a:gd name="connsiteX7493" fmla="*/ 8700413 w 12192000"/>
            <a:gd name="connsiteY7493" fmla="*/ 4175107 h 6858000"/>
            <a:gd name="connsiteX7494" fmla="*/ 8665600 w 12192000"/>
            <a:gd name="connsiteY7494" fmla="*/ 4209925 h 6858000"/>
            <a:gd name="connsiteX7495" fmla="*/ 8750493 w 12192000"/>
            <a:gd name="connsiteY7495" fmla="*/ 4209925 h 6858000"/>
            <a:gd name="connsiteX7496" fmla="*/ 8715667 w 12192000"/>
            <a:gd name="connsiteY7496" fmla="*/ 4175107 h 6858000"/>
            <a:gd name="connsiteX7497" fmla="*/ 8750493 w 12192000"/>
            <a:gd name="connsiteY7497" fmla="*/ 4140288 h 6858000"/>
            <a:gd name="connsiteX7498" fmla="*/ 8785305 w 12192000"/>
            <a:gd name="connsiteY7498" fmla="*/ 4175107 h 6858000"/>
            <a:gd name="connsiteX7499" fmla="*/ 8750493 w 12192000"/>
            <a:gd name="connsiteY7499" fmla="*/ 4209925 h 6858000"/>
            <a:gd name="connsiteX7500" fmla="*/ 8835386 w 12192000"/>
            <a:gd name="connsiteY7500" fmla="*/ 4209925 h 6858000"/>
            <a:gd name="connsiteX7501" fmla="*/ 8800560 w 12192000"/>
            <a:gd name="connsiteY7501" fmla="*/ 4175107 h 6858000"/>
            <a:gd name="connsiteX7502" fmla="*/ 8835386 w 12192000"/>
            <a:gd name="connsiteY7502" fmla="*/ 4140288 h 6858000"/>
            <a:gd name="connsiteX7503" fmla="*/ 8870198 w 12192000"/>
            <a:gd name="connsiteY7503" fmla="*/ 4175107 h 6858000"/>
            <a:gd name="connsiteX7504" fmla="*/ 8835386 w 12192000"/>
            <a:gd name="connsiteY7504" fmla="*/ 4209925 h 6858000"/>
            <a:gd name="connsiteX7505" fmla="*/ 8920278 w 12192000"/>
            <a:gd name="connsiteY7505" fmla="*/ 4209925 h 6858000"/>
            <a:gd name="connsiteX7506" fmla="*/ 8885453 w 12192000"/>
            <a:gd name="connsiteY7506" fmla="*/ 4175107 h 6858000"/>
            <a:gd name="connsiteX7507" fmla="*/ 8920278 w 12192000"/>
            <a:gd name="connsiteY7507" fmla="*/ 4140288 h 6858000"/>
            <a:gd name="connsiteX7508" fmla="*/ 8955090 w 12192000"/>
            <a:gd name="connsiteY7508" fmla="*/ 4175107 h 6858000"/>
            <a:gd name="connsiteX7509" fmla="*/ 8920278 w 12192000"/>
            <a:gd name="connsiteY7509" fmla="*/ 4209925 h 6858000"/>
            <a:gd name="connsiteX7510" fmla="*/ 9005170 w 12192000"/>
            <a:gd name="connsiteY7510" fmla="*/ 4209925 h 6858000"/>
            <a:gd name="connsiteX7511" fmla="*/ 8970345 w 12192000"/>
            <a:gd name="connsiteY7511" fmla="*/ 4175107 h 6858000"/>
            <a:gd name="connsiteX7512" fmla="*/ 9005170 w 12192000"/>
            <a:gd name="connsiteY7512" fmla="*/ 4140288 h 6858000"/>
            <a:gd name="connsiteX7513" fmla="*/ 9039983 w 12192000"/>
            <a:gd name="connsiteY7513" fmla="*/ 4175107 h 6858000"/>
            <a:gd name="connsiteX7514" fmla="*/ 9005170 w 12192000"/>
            <a:gd name="connsiteY7514" fmla="*/ 4209925 h 6858000"/>
            <a:gd name="connsiteX7515" fmla="*/ 9090063 w 12192000"/>
            <a:gd name="connsiteY7515" fmla="*/ 4209925 h 6858000"/>
            <a:gd name="connsiteX7516" fmla="*/ 9055237 w 12192000"/>
            <a:gd name="connsiteY7516" fmla="*/ 4175107 h 6858000"/>
            <a:gd name="connsiteX7517" fmla="*/ 9090063 w 12192000"/>
            <a:gd name="connsiteY7517" fmla="*/ 4140288 h 6858000"/>
            <a:gd name="connsiteX7518" fmla="*/ 9124875 w 12192000"/>
            <a:gd name="connsiteY7518" fmla="*/ 4175107 h 6858000"/>
            <a:gd name="connsiteX7519" fmla="*/ 9090063 w 12192000"/>
            <a:gd name="connsiteY7519" fmla="*/ 4209925 h 6858000"/>
            <a:gd name="connsiteX7520" fmla="*/ 9174956 w 12192000"/>
            <a:gd name="connsiteY7520" fmla="*/ 4209925 h 6858000"/>
            <a:gd name="connsiteX7521" fmla="*/ 9140130 w 12192000"/>
            <a:gd name="connsiteY7521" fmla="*/ 4175107 h 6858000"/>
            <a:gd name="connsiteX7522" fmla="*/ 9174956 w 12192000"/>
            <a:gd name="connsiteY7522" fmla="*/ 4140288 h 6858000"/>
            <a:gd name="connsiteX7523" fmla="*/ 9209768 w 12192000"/>
            <a:gd name="connsiteY7523" fmla="*/ 4175107 h 6858000"/>
            <a:gd name="connsiteX7524" fmla="*/ 9174956 w 12192000"/>
            <a:gd name="connsiteY7524" fmla="*/ 4209925 h 6858000"/>
            <a:gd name="connsiteX7525" fmla="*/ 9259848 w 12192000"/>
            <a:gd name="connsiteY7525" fmla="*/ 4209925 h 6858000"/>
            <a:gd name="connsiteX7526" fmla="*/ 9225023 w 12192000"/>
            <a:gd name="connsiteY7526" fmla="*/ 4175107 h 6858000"/>
            <a:gd name="connsiteX7527" fmla="*/ 9259848 w 12192000"/>
            <a:gd name="connsiteY7527" fmla="*/ 4140288 h 6858000"/>
            <a:gd name="connsiteX7528" fmla="*/ 9294660 w 12192000"/>
            <a:gd name="connsiteY7528" fmla="*/ 4175107 h 6858000"/>
            <a:gd name="connsiteX7529" fmla="*/ 9259848 w 12192000"/>
            <a:gd name="connsiteY7529" fmla="*/ 4209925 h 6858000"/>
            <a:gd name="connsiteX7530" fmla="*/ 9344740 w 12192000"/>
            <a:gd name="connsiteY7530" fmla="*/ 4209925 h 6858000"/>
            <a:gd name="connsiteX7531" fmla="*/ 9309915 w 12192000"/>
            <a:gd name="connsiteY7531" fmla="*/ 4175107 h 6858000"/>
            <a:gd name="connsiteX7532" fmla="*/ 9344740 w 12192000"/>
            <a:gd name="connsiteY7532" fmla="*/ 4140288 h 6858000"/>
            <a:gd name="connsiteX7533" fmla="*/ 9379553 w 12192000"/>
            <a:gd name="connsiteY7533" fmla="*/ 4175107 h 6858000"/>
            <a:gd name="connsiteX7534" fmla="*/ 9344740 w 12192000"/>
            <a:gd name="connsiteY7534" fmla="*/ 4209925 h 6858000"/>
            <a:gd name="connsiteX7535" fmla="*/ 9429633 w 12192000"/>
            <a:gd name="connsiteY7535" fmla="*/ 4209925 h 6858000"/>
            <a:gd name="connsiteX7536" fmla="*/ 9394807 w 12192000"/>
            <a:gd name="connsiteY7536" fmla="*/ 4175107 h 6858000"/>
            <a:gd name="connsiteX7537" fmla="*/ 9429633 w 12192000"/>
            <a:gd name="connsiteY7537" fmla="*/ 4140288 h 6858000"/>
            <a:gd name="connsiteX7538" fmla="*/ 9464445 w 12192000"/>
            <a:gd name="connsiteY7538" fmla="*/ 4175107 h 6858000"/>
            <a:gd name="connsiteX7539" fmla="*/ 9429633 w 12192000"/>
            <a:gd name="connsiteY7539" fmla="*/ 4209925 h 6858000"/>
            <a:gd name="connsiteX7540" fmla="*/ 9514525 w 12192000"/>
            <a:gd name="connsiteY7540" fmla="*/ 4209925 h 6858000"/>
            <a:gd name="connsiteX7541" fmla="*/ 9479699 w 12192000"/>
            <a:gd name="connsiteY7541" fmla="*/ 4175107 h 6858000"/>
            <a:gd name="connsiteX7542" fmla="*/ 9514525 w 12192000"/>
            <a:gd name="connsiteY7542" fmla="*/ 4140288 h 6858000"/>
            <a:gd name="connsiteX7543" fmla="*/ 9549337 w 12192000"/>
            <a:gd name="connsiteY7543" fmla="*/ 4175107 h 6858000"/>
            <a:gd name="connsiteX7544" fmla="*/ 9514525 w 12192000"/>
            <a:gd name="connsiteY7544" fmla="*/ 4209925 h 6858000"/>
            <a:gd name="connsiteX7545" fmla="*/ 9599418 w 12192000"/>
            <a:gd name="connsiteY7545" fmla="*/ 4209925 h 6858000"/>
            <a:gd name="connsiteX7546" fmla="*/ 9564593 w 12192000"/>
            <a:gd name="connsiteY7546" fmla="*/ 4175107 h 6858000"/>
            <a:gd name="connsiteX7547" fmla="*/ 9599418 w 12192000"/>
            <a:gd name="connsiteY7547" fmla="*/ 4140288 h 6858000"/>
            <a:gd name="connsiteX7548" fmla="*/ 9634230 w 12192000"/>
            <a:gd name="connsiteY7548" fmla="*/ 4175107 h 6858000"/>
            <a:gd name="connsiteX7549" fmla="*/ 9599418 w 12192000"/>
            <a:gd name="connsiteY7549" fmla="*/ 4209925 h 6858000"/>
            <a:gd name="connsiteX7550" fmla="*/ 9684310 w 12192000"/>
            <a:gd name="connsiteY7550" fmla="*/ 4209925 h 6858000"/>
            <a:gd name="connsiteX7551" fmla="*/ 9649485 w 12192000"/>
            <a:gd name="connsiteY7551" fmla="*/ 4175107 h 6858000"/>
            <a:gd name="connsiteX7552" fmla="*/ 9684310 w 12192000"/>
            <a:gd name="connsiteY7552" fmla="*/ 4140288 h 6858000"/>
            <a:gd name="connsiteX7553" fmla="*/ 9719123 w 12192000"/>
            <a:gd name="connsiteY7553" fmla="*/ 4175107 h 6858000"/>
            <a:gd name="connsiteX7554" fmla="*/ 9684310 w 12192000"/>
            <a:gd name="connsiteY7554" fmla="*/ 4209925 h 6858000"/>
            <a:gd name="connsiteX7555" fmla="*/ 10108773 w 12192000"/>
            <a:gd name="connsiteY7555" fmla="*/ 4209925 h 6858000"/>
            <a:gd name="connsiteX7556" fmla="*/ 10073947 w 12192000"/>
            <a:gd name="connsiteY7556" fmla="*/ 4175107 h 6858000"/>
            <a:gd name="connsiteX7557" fmla="*/ 10108773 w 12192000"/>
            <a:gd name="connsiteY7557" fmla="*/ 4140288 h 6858000"/>
            <a:gd name="connsiteX7558" fmla="*/ 10143585 w 12192000"/>
            <a:gd name="connsiteY7558" fmla="*/ 4175107 h 6858000"/>
            <a:gd name="connsiteX7559" fmla="*/ 10108773 w 12192000"/>
            <a:gd name="connsiteY7559" fmla="*/ 4209925 h 6858000"/>
            <a:gd name="connsiteX7560" fmla="*/ 2213769 w 12192000"/>
            <a:gd name="connsiteY7560" fmla="*/ 4125066 h 6858000"/>
            <a:gd name="connsiteX7561" fmla="*/ 2178950 w 12192000"/>
            <a:gd name="connsiteY7561" fmla="*/ 4090247 h 6858000"/>
            <a:gd name="connsiteX7562" fmla="*/ 2213769 w 12192000"/>
            <a:gd name="connsiteY7562" fmla="*/ 4055428 h 6858000"/>
            <a:gd name="connsiteX7563" fmla="*/ 2248588 w 12192000"/>
            <a:gd name="connsiteY7563" fmla="*/ 4090247 h 6858000"/>
            <a:gd name="connsiteX7564" fmla="*/ 2213769 w 12192000"/>
            <a:gd name="connsiteY7564" fmla="*/ 4125066 h 6858000"/>
            <a:gd name="connsiteX7565" fmla="*/ 2298661 w 12192000"/>
            <a:gd name="connsiteY7565" fmla="*/ 4125066 h 6858000"/>
            <a:gd name="connsiteX7566" fmla="*/ 2263842 w 12192000"/>
            <a:gd name="connsiteY7566" fmla="*/ 4090247 h 6858000"/>
            <a:gd name="connsiteX7567" fmla="*/ 2298661 w 12192000"/>
            <a:gd name="connsiteY7567" fmla="*/ 4055428 h 6858000"/>
            <a:gd name="connsiteX7568" fmla="*/ 2333480 w 12192000"/>
            <a:gd name="connsiteY7568" fmla="*/ 4090247 h 6858000"/>
            <a:gd name="connsiteX7569" fmla="*/ 2298661 w 12192000"/>
            <a:gd name="connsiteY7569" fmla="*/ 4125066 h 6858000"/>
            <a:gd name="connsiteX7570" fmla="*/ 2383553 w 12192000"/>
            <a:gd name="connsiteY7570" fmla="*/ 4125066 h 6858000"/>
            <a:gd name="connsiteX7571" fmla="*/ 2348734 w 12192000"/>
            <a:gd name="connsiteY7571" fmla="*/ 4090247 h 6858000"/>
            <a:gd name="connsiteX7572" fmla="*/ 2383553 w 12192000"/>
            <a:gd name="connsiteY7572" fmla="*/ 4055428 h 6858000"/>
            <a:gd name="connsiteX7573" fmla="*/ 2418372 w 12192000"/>
            <a:gd name="connsiteY7573" fmla="*/ 4090247 h 6858000"/>
            <a:gd name="connsiteX7574" fmla="*/ 2383553 w 12192000"/>
            <a:gd name="connsiteY7574" fmla="*/ 4125066 h 6858000"/>
            <a:gd name="connsiteX7575" fmla="*/ 2468446 w 12192000"/>
            <a:gd name="connsiteY7575" fmla="*/ 4125066 h 6858000"/>
            <a:gd name="connsiteX7576" fmla="*/ 2433627 w 12192000"/>
            <a:gd name="connsiteY7576" fmla="*/ 4090247 h 6858000"/>
            <a:gd name="connsiteX7577" fmla="*/ 2468446 w 12192000"/>
            <a:gd name="connsiteY7577" fmla="*/ 4055428 h 6858000"/>
            <a:gd name="connsiteX7578" fmla="*/ 2503264 w 12192000"/>
            <a:gd name="connsiteY7578" fmla="*/ 4090247 h 6858000"/>
            <a:gd name="connsiteX7579" fmla="*/ 2468446 w 12192000"/>
            <a:gd name="connsiteY7579" fmla="*/ 4125066 h 6858000"/>
            <a:gd name="connsiteX7580" fmla="*/ 2553339 w 12192000"/>
            <a:gd name="connsiteY7580" fmla="*/ 4125066 h 6858000"/>
            <a:gd name="connsiteX7581" fmla="*/ 2518520 w 12192000"/>
            <a:gd name="connsiteY7581" fmla="*/ 4090247 h 6858000"/>
            <a:gd name="connsiteX7582" fmla="*/ 2553339 w 12192000"/>
            <a:gd name="connsiteY7582" fmla="*/ 4055428 h 6858000"/>
            <a:gd name="connsiteX7583" fmla="*/ 2588158 w 12192000"/>
            <a:gd name="connsiteY7583" fmla="*/ 4090247 h 6858000"/>
            <a:gd name="connsiteX7584" fmla="*/ 2553339 w 12192000"/>
            <a:gd name="connsiteY7584" fmla="*/ 4125066 h 6858000"/>
            <a:gd name="connsiteX7585" fmla="*/ 2638231 w 12192000"/>
            <a:gd name="connsiteY7585" fmla="*/ 4125066 h 6858000"/>
            <a:gd name="connsiteX7586" fmla="*/ 2603412 w 12192000"/>
            <a:gd name="connsiteY7586" fmla="*/ 4090247 h 6858000"/>
            <a:gd name="connsiteX7587" fmla="*/ 2638231 w 12192000"/>
            <a:gd name="connsiteY7587" fmla="*/ 4055428 h 6858000"/>
            <a:gd name="connsiteX7588" fmla="*/ 2673050 w 12192000"/>
            <a:gd name="connsiteY7588" fmla="*/ 4090247 h 6858000"/>
            <a:gd name="connsiteX7589" fmla="*/ 2638231 w 12192000"/>
            <a:gd name="connsiteY7589" fmla="*/ 4125066 h 6858000"/>
            <a:gd name="connsiteX7590" fmla="*/ 2723123 w 12192000"/>
            <a:gd name="connsiteY7590" fmla="*/ 4125066 h 6858000"/>
            <a:gd name="connsiteX7591" fmla="*/ 2688304 w 12192000"/>
            <a:gd name="connsiteY7591" fmla="*/ 4090247 h 6858000"/>
            <a:gd name="connsiteX7592" fmla="*/ 2723123 w 12192000"/>
            <a:gd name="connsiteY7592" fmla="*/ 4055428 h 6858000"/>
            <a:gd name="connsiteX7593" fmla="*/ 2757942 w 12192000"/>
            <a:gd name="connsiteY7593" fmla="*/ 4090247 h 6858000"/>
            <a:gd name="connsiteX7594" fmla="*/ 2723123 w 12192000"/>
            <a:gd name="connsiteY7594" fmla="*/ 4125066 h 6858000"/>
            <a:gd name="connsiteX7595" fmla="*/ 2808016 w 12192000"/>
            <a:gd name="connsiteY7595" fmla="*/ 4125066 h 6858000"/>
            <a:gd name="connsiteX7596" fmla="*/ 2773197 w 12192000"/>
            <a:gd name="connsiteY7596" fmla="*/ 4090247 h 6858000"/>
            <a:gd name="connsiteX7597" fmla="*/ 2808016 w 12192000"/>
            <a:gd name="connsiteY7597" fmla="*/ 4055428 h 6858000"/>
            <a:gd name="connsiteX7598" fmla="*/ 2842834 w 12192000"/>
            <a:gd name="connsiteY7598" fmla="*/ 4090247 h 6858000"/>
            <a:gd name="connsiteX7599" fmla="*/ 2808016 w 12192000"/>
            <a:gd name="connsiteY7599" fmla="*/ 4125066 h 6858000"/>
            <a:gd name="connsiteX7600" fmla="*/ 2892908 w 12192000"/>
            <a:gd name="connsiteY7600" fmla="*/ 4125066 h 6858000"/>
            <a:gd name="connsiteX7601" fmla="*/ 2858089 w 12192000"/>
            <a:gd name="connsiteY7601" fmla="*/ 4090247 h 6858000"/>
            <a:gd name="connsiteX7602" fmla="*/ 2892908 w 12192000"/>
            <a:gd name="connsiteY7602" fmla="*/ 4055428 h 6858000"/>
            <a:gd name="connsiteX7603" fmla="*/ 2927727 w 12192000"/>
            <a:gd name="connsiteY7603" fmla="*/ 4090247 h 6858000"/>
            <a:gd name="connsiteX7604" fmla="*/ 2892908 w 12192000"/>
            <a:gd name="connsiteY7604" fmla="*/ 4125066 h 6858000"/>
            <a:gd name="connsiteX7605" fmla="*/ 2977801 w 12192000"/>
            <a:gd name="connsiteY7605" fmla="*/ 4125066 h 6858000"/>
            <a:gd name="connsiteX7606" fmla="*/ 2942982 w 12192000"/>
            <a:gd name="connsiteY7606" fmla="*/ 4090247 h 6858000"/>
            <a:gd name="connsiteX7607" fmla="*/ 2977801 w 12192000"/>
            <a:gd name="connsiteY7607" fmla="*/ 4055428 h 6858000"/>
            <a:gd name="connsiteX7608" fmla="*/ 3012620 w 12192000"/>
            <a:gd name="connsiteY7608" fmla="*/ 4090247 h 6858000"/>
            <a:gd name="connsiteX7609" fmla="*/ 2977801 w 12192000"/>
            <a:gd name="connsiteY7609" fmla="*/ 4125066 h 6858000"/>
            <a:gd name="connsiteX7610" fmla="*/ 3062693 w 12192000"/>
            <a:gd name="connsiteY7610" fmla="*/ 4125066 h 6858000"/>
            <a:gd name="connsiteX7611" fmla="*/ 3027874 w 12192000"/>
            <a:gd name="connsiteY7611" fmla="*/ 4090247 h 6858000"/>
            <a:gd name="connsiteX7612" fmla="*/ 3062693 w 12192000"/>
            <a:gd name="connsiteY7612" fmla="*/ 4055428 h 6858000"/>
            <a:gd name="connsiteX7613" fmla="*/ 3097512 w 12192000"/>
            <a:gd name="connsiteY7613" fmla="*/ 4090247 h 6858000"/>
            <a:gd name="connsiteX7614" fmla="*/ 3062693 w 12192000"/>
            <a:gd name="connsiteY7614" fmla="*/ 4125066 h 6858000"/>
            <a:gd name="connsiteX7615" fmla="*/ 3147586 w 12192000"/>
            <a:gd name="connsiteY7615" fmla="*/ 4125066 h 6858000"/>
            <a:gd name="connsiteX7616" fmla="*/ 3112767 w 12192000"/>
            <a:gd name="connsiteY7616" fmla="*/ 4090247 h 6858000"/>
            <a:gd name="connsiteX7617" fmla="*/ 3147586 w 12192000"/>
            <a:gd name="connsiteY7617" fmla="*/ 4055428 h 6858000"/>
            <a:gd name="connsiteX7618" fmla="*/ 3182404 w 12192000"/>
            <a:gd name="connsiteY7618" fmla="*/ 4090247 h 6858000"/>
            <a:gd name="connsiteX7619" fmla="*/ 3147586 w 12192000"/>
            <a:gd name="connsiteY7619" fmla="*/ 4125066 h 6858000"/>
            <a:gd name="connsiteX7620" fmla="*/ 3232478 w 12192000"/>
            <a:gd name="connsiteY7620" fmla="*/ 4125066 h 6858000"/>
            <a:gd name="connsiteX7621" fmla="*/ 3197659 w 12192000"/>
            <a:gd name="connsiteY7621" fmla="*/ 4090247 h 6858000"/>
            <a:gd name="connsiteX7622" fmla="*/ 3232478 w 12192000"/>
            <a:gd name="connsiteY7622" fmla="*/ 4055428 h 6858000"/>
            <a:gd name="connsiteX7623" fmla="*/ 3267297 w 12192000"/>
            <a:gd name="connsiteY7623" fmla="*/ 4090247 h 6858000"/>
            <a:gd name="connsiteX7624" fmla="*/ 3232478 w 12192000"/>
            <a:gd name="connsiteY7624" fmla="*/ 4125066 h 6858000"/>
            <a:gd name="connsiteX7625" fmla="*/ 3402263 w 12192000"/>
            <a:gd name="connsiteY7625" fmla="*/ 4125066 h 6858000"/>
            <a:gd name="connsiteX7626" fmla="*/ 3367444 w 12192000"/>
            <a:gd name="connsiteY7626" fmla="*/ 4090247 h 6858000"/>
            <a:gd name="connsiteX7627" fmla="*/ 3402263 w 12192000"/>
            <a:gd name="connsiteY7627" fmla="*/ 4055428 h 6858000"/>
            <a:gd name="connsiteX7628" fmla="*/ 3437082 w 12192000"/>
            <a:gd name="connsiteY7628" fmla="*/ 4090247 h 6858000"/>
            <a:gd name="connsiteX7629" fmla="*/ 3402263 w 12192000"/>
            <a:gd name="connsiteY7629" fmla="*/ 4125066 h 6858000"/>
            <a:gd name="connsiteX7630" fmla="*/ 3656941 w 12192000"/>
            <a:gd name="connsiteY7630" fmla="*/ 4125066 h 6858000"/>
            <a:gd name="connsiteX7631" fmla="*/ 3622122 w 12192000"/>
            <a:gd name="connsiteY7631" fmla="*/ 4090247 h 6858000"/>
            <a:gd name="connsiteX7632" fmla="*/ 3656941 w 12192000"/>
            <a:gd name="connsiteY7632" fmla="*/ 4055428 h 6858000"/>
            <a:gd name="connsiteX7633" fmla="*/ 3691760 w 12192000"/>
            <a:gd name="connsiteY7633" fmla="*/ 4090247 h 6858000"/>
            <a:gd name="connsiteX7634" fmla="*/ 3656941 w 12192000"/>
            <a:gd name="connsiteY7634" fmla="*/ 4125066 h 6858000"/>
            <a:gd name="connsiteX7635" fmla="*/ 3741833 w 12192000"/>
            <a:gd name="connsiteY7635" fmla="*/ 4125066 h 6858000"/>
            <a:gd name="connsiteX7636" fmla="*/ 3707014 w 12192000"/>
            <a:gd name="connsiteY7636" fmla="*/ 4090247 h 6858000"/>
            <a:gd name="connsiteX7637" fmla="*/ 3741833 w 12192000"/>
            <a:gd name="connsiteY7637" fmla="*/ 4055428 h 6858000"/>
            <a:gd name="connsiteX7638" fmla="*/ 3776652 w 12192000"/>
            <a:gd name="connsiteY7638" fmla="*/ 4090247 h 6858000"/>
            <a:gd name="connsiteX7639" fmla="*/ 3741833 w 12192000"/>
            <a:gd name="connsiteY7639" fmla="*/ 4125066 h 6858000"/>
            <a:gd name="connsiteX7640" fmla="*/ 3996511 w 12192000"/>
            <a:gd name="connsiteY7640" fmla="*/ 4125066 h 6858000"/>
            <a:gd name="connsiteX7641" fmla="*/ 3961692 w 12192000"/>
            <a:gd name="connsiteY7641" fmla="*/ 4090247 h 6858000"/>
            <a:gd name="connsiteX7642" fmla="*/ 3996511 w 12192000"/>
            <a:gd name="connsiteY7642" fmla="*/ 4055428 h 6858000"/>
            <a:gd name="connsiteX7643" fmla="*/ 4031330 w 12192000"/>
            <a:gd name="connsiteY7643" fmla="*/ 4090247 h 6858000"/>
            <a:gd name="connsiteX7644" fmla="*/ 3996511 w 12192000"/>
            <a:gd name="connsiteY7644" fmla="*/ 4125066 h 6858000"/>
            <a:gd name="connsiteX7645" fmla="*/ 5864146 w 12192000"/>
            <a:gd name="connsiteY7645" fmla="*/ 4125066 h 6858000"/>
            <a:gd name="connsiteX7646" fmla="*/ 5829327 w 12192000"/>
            <a:gd name="connsiteY7646" fmla="*/ 4090247 h 6858000"/>
            <a:gd name="connsiteX7647" fmla="*/ 5864146 w 12192000"/>
            <a:gd name="connsiteY7647" fmla="*/ 4055428 h 6858000"/>
            <a:gd name="connsiteX7648" fmla="*/ 5898964 w 12192000"/>
            <a:gd name="connsiteY7648" fmla="*/ 4090247 h 6858000"/>
            <a:gd name="connsiteX7649" fmla="*/ 5864146 w 12192000"/>
            <a:gd name="connsiteY7649" fmla="*/ 4125066 h 6858000"/>
            <a:gd name="connsiteX7650" fmla="*/ 5949038 w 12192000"/>
            <a:gd name="connsiteY7650" fmla="*/ 4125066 h 6858000"/>
            <a:gd name="connsiteX7651" fmla="*/ 5914219 w 12192000"/>
            <a:gd name="connsiteY7651" fmla="*/ 4090247 h 6858000"/>
            <a:gd name="connsiteX7652" fmla="*/ 5949038 w 12192000"/>
            <a:gd name="connsiteY7652" fmla="*/ 4055428 h 6858000"/>
            <a:gd name="connsiteX7653" fmla="*/ 5983857 w 12192000"/>
            <a:gd name="connsiteY7653" fmla="*/ 4090247 h 6858000"/>
            <a:gd name="connsiteX7654" fmla="*/ 5949038 w 12192000"/>
            <a:gd name="connsiteY7654" fmla="*/ 4125066 h 6858000"/>
            <a:gd name="connsiteX7655" fmla="*/ 6033930 w 12192000"/>
            <a:gd name="connsiteY7655" fmla="*/ 4125066 h 6858000"/>
            <a:gd name="connsiteX7656" fmla="*/ 5999111 w 12192000"/>
            <a:gd name="connsiteY7656" fmla="*/ 4090247 h 6858000"/>
            <a:gd name="connsiteX7657" fmla="*/ 6033930 w 12192000"/>
            <a:gd name="connsiteY7657" fmla="*/ 4055428 h 6858000"/>
            <a:gd name="connsiteX7658" fmla="*/ 6068749 w 12192000"/>
            <a:gd name="connsiteY7658" fmla="*/ 4090247 h 6858000"/>
            <a:gd name="connsiteX7659" fmla="*/ 6033930 w 12192000"/>
            <a:gd name="connsiteY7659" fmla="*/ 4125066 h 6858000"/>
            <a:gd name="connsiteX7660" fmla="*/ 6118826 w 12192000"/>
            <a:gd name="connsiteY7660" fmla="*/ 4125066 h 6858000"/>
            <a:gd name="connsiteX7661" fmla="*/ 6084000 w 12192000"/>
            <a:gd name="connsiteY7661" fmla="*/ 4090247 h 6858000"/>
            <a:gd name="connsiteX7662" fmla="*/ 6118826 w 12192000"/>
            <a:gd name="connsiteY7662" fmla="*/ 4055428 h 6858000"/>
            <a:gd name="connsiteX7663" fmla="*/ 6153638 w 12192000"/>
            <a:gd name="connsiteY7663" fmla="*/ 4090247 h 6858000"/>
            <a:gd name="connsiteX7664" fmla="*/ 6118826 w 12192000"/>
            <a:gd name="connsiteY7664" fmla="*/ 4125066 h 6858000"/>
            <a:gd name="connsiteX7665" fmla="*/ 6203718 w 12192000"/>
            <a:gd name="connsiteY7665" fmla="*/ 4125066 h 6858000"/>
            <a:gd name="connsiteX7666" fmla="*/ 6168893 w 12192000"/>
            <a:gd name="connsiteY7666" fmla="*/ 4090247 h 6858000"/>
            <a:gd name="connsiteX7667" fmla="*/ 6203718 w 12192000"/>
            <a:gd name="connsiteY7667" fmla="*/ 4055428 h 6858000"/>
            <a:gd name="connsiteX7668" fmla="*/ 6238530 w 12192000"/>
            <a:gd name="connsiteY7668" fmla="*/ 4090247 h 6858000"/>
            <a:gd name="connsiteX7669" fmla="*/ 6203718 w 12192000"/>
            <a:gd name="connsiteY7669" fmla="*/ 4125066 h 6858000"/>
            <a:gd name="connsiteX7670" fmla="*/ 6373504 w 12192000"/>
            <a:gd name="connsiteY7670" fmla="*/ 4125066 h 6858000"/>
            <a:gd name="connsiteX7671" fmla="*/ 6338678 w 12192000"/>
            <a:gd name="connsiteY7671" fmla="*/ 4090247 h 6858000"/>
            <a:gd name="connsiteX7672" fmla="*/ 6373504 w 12192000"/>
            <a:gd name="connsiteY7672" fmla="*/ 4055428 h 6858000"/>
            <a:gd name="connsiteX7673" fmla="*/ 6408316 w 12192000"/>
            <a:gd name="connsiteY7673" fmla="*/ 4090247 h 6858000"/>
            <a:gd name="connsiteX7674" fmla="*/ 6373504 w 12192000"/>
            <a:gd name="connsiteY7674" fmla="*/ 4125066 h 6858000"/>
            <a:gd name="connsiteX7675" fmla="*/ 6458396 w 12192000"/>
            <a:gd name="connsiteY7675" fmla="*/ 4125066 h 6858000"/>
            <a:gd name="connsiteX7676" fmla="*/ 6423570 w 12192000"/>
            <a:gd name="connsiteY7676" fmla="*/ 4090247 h 6858000"/>
            <a:gd name="connsiteX7677" fmla="*/ 6458396 w 12192000"/>
            <a:gd name="connsiteY7677" fmla="*/ 4055428 h 6858000"/>
            <a:gd name="connsiteX7678" fmla="*/ 6493208 w 12192000"/>
            <a:gd name="connsiteY7678" fmla="*/ 4090247 h 6858000"/>
            <a:gd name="connsiteX7679" fmla="*/ 6458396 w 12192000"/>
            <a:gd name="connsiteY7679" fmla="*/ 4125066 h 6858000"/>
            <a:gd name="connsiteX7680" fmla="*/ 6543288 w 12192000"/>
            <a:gd name="connsiteY7680" fmla="*/ 4125066 h 6858000"/>
            <a:gd name="connsiteX7681" fmla="*/ 6508463 w 12192000"/>
            <a:gd name="connsiteY7681" fmla="*/ 4090247 h 6858000"/>
            <a:gd name="connsiteX7682" fmla="*/ 6543288 w 12192000"/>
            <a:gd name="connsiteY7682" fmla="*/ 4055428 h 6858000"/>
            <a:gd name="connsiteX7683" fmla="*/ 6578100 w 12192000"/>
            <a:gd name="connsiteY7683" fmla="*/ 4090247 h 6858000"/>
            <a:gd name="connsiteX7684" fmla="*/ 6543288 w 12192000"/>
            <a:gd name="connsiteY7684" fmla="*/ 4125066 h 6858000"/>
            <a:gd name="connsiteX7685" fmla="*/ 6628181 w 12192000"/>
            <a:gd name="connsiteY7685" fmla="*/ 4125066 h 6858000"/>
            <a:gd name="connsiteX7686" fmla="*/ 6593356 w 12192000"/>
            <a:gd name="connsiteY7686" fmla="*/ 4090247 h 6858000"/>
            <a:gd name="connsiteX7687" fmla="*/ 6628181 w 12192000"/>
            <a:gd name="connsiteY7687" fmla="*/ 4055428 h 6858000"/>
            <a:gd name="connsiteX7688" fmla="*/ 6662994 w 12192000"/>
            <a:gd name="connsiteY7688" fmla="*/ 4090247 h 6858000"/>
            <a:gd name="connsiteX7689" fmla="*/ 6628181 w 12192000"/>
            <a:gd name="connsiteY7689" fmla="*/ 4125066 h 6858000"/>
            <a:gd name="connsiteX7690" fmla="*/ 6882858 w 12192000"/>
            <a:gd name="connsiteY7690" fmla="*/ 4125066 h 6858000"/>
            <a:gd name="connsiteX7691" fmla="*/ 6848033 w 12192000"/>
            <a:gd name="connsiteY7691" fmla="*/ 4090247 h 6858000"/>
            <a:gd name="connsiteX7692" fmla="*/ 6882858 w 12192000"/>
            <a:gd name="connsiteY7692" fmla="*/ 4055428 h 6858000"/>
            <a:gd name="connsiteX7693" fmla="*/ 6917670 w 12192000"/>
            <a:gd name="connsiteY7693" fmla="*/ 4090247 h 6858000"/>
            <a:gd name="connsiteX7694" fmla="*/ 6882858 w 12192000"/>
            <a:gd name="connsiteY7694" fmla="*/ 4125066 h 6858000"/>
            <a:gd name="connsiteX7695" fmla="*/ 6967750 w 12192000"/>
            <a:gd name="connsiteY7695" fmla="*/ 4125066 h 6858000"/>
            <a:gd name="connsiteX7696" fmla="*/ 6932925 w 12192000"/>
            <a:gd name="connsiteY7696" fmla="*/ 4090247 h 6858000"/>
            <a:gd name="connsiteX7697" fmla="*/ 6967750 w 12192000"/>
            <a:gd name="connsiteY7697" fmla="*/ 4055428 h 6858000"/>
            <a:gd name="connsiteX7698" fmla="*/ 7002563 w 12192000"/>
            <a:gd name="connsiteY7698" fmla="*/ 4090247 h 6858000"/>
            <a:gd name="connsiteX7699" fmla="*/ 6967750 w 12192000"/>
            <a:gd name="connsiteY7699" fmla="*/ 4125066 h 6858000"/>
            <a:gd name="connsiteX7700" fmla="*/ 7052644 w 12192000"/>
            <a:gd name="connsiteY7700" fmla="*/ 4125066 h 6858000"/>
            <a:gd name="connsiteX7701" fmla="*/ 7017818 w 12192000"/>
            <a:gd name="connsiteY7701" fmla="*/ 4090247 h 6858000"/>
            <a:gd name="connsiteX7702" fmla="*/ 7052644 w 12192000"/>
            <a:gd name="connsiteY7702" fmla="*/ 4055428 h 6858000"/>
            <a:gd name="connsiteX7703" fmla="*/ 7087456 w 12192000"/>
            <a:gd name="connsiteY7703" fmla="*/ 4090247 h 6858000"/>
            <a:gd name="connsiteX7704" fmla="*/ 7052644 w 12192000"/>
            <a:gd name="connsiteY7704" fmla="*/ 4125066 h 6858000"/>
            <a:gd name="connsiteX7705" fmla="*/ 7137536 w 12192000"/>
            <a:gd name="connsiteY7705" fmla="*/ 4125066 h 6858000"/>
            <a:gd name="connsiteX7706" fmla="*/ 7102710 w 12192000"/>
            <a:gd name="connsiteY7706" fmla="*/ 4090247 h 6858000"/>
            <a:gd name="connsiteX7707" fmla="*/ 7137536 w 12192000"/>
            <a:gd name="connsiteY7707" fmla="*/ 4055428 h 6858000"/>
            <a:gd name="connsiteX7708" fmla="*/ 7172348 w 12192000"/>
            <a:gd name="connsiteY7708" fmla="*/ 4090247 h 6858000"/>
            <a:gd name="connsiteX7709" fmla="*/ 7137536 w 12192000"/>
            <a:gd name="connsiteY7709" fmla="*/ 4125066 h 6858000"/>
            <a:gd name="connsiteX7710" fmla="*/ 7392214 w 12192000"/>
            <a:gd name="connsiteY7710" fmla="*/ 4125066 h 6858000"/>
            <a:gd name="connsiteX7711" fmla="*/ 7357388 w 12192000"/>
            <a:gd name="connsiteY7711" fmla="*/ 4090247 h 6858000"/>
            <a:gd name="connsiteX7712" fmla="*/ 7392214 w 12192000"/>
            <a:gd name="connsiteY7712" fmla="*/ 4055428 h 6858000"/>
            <a:gd name="connsiteX7713" fmla="*/ 7427026 w 12192000"/>
            <a:gd name="connsiteY7713" fmla="*/ 4090247 h 6858000"/>
            <a:gd name="connsiteX7714" fmla="*/ 7392214 w 12192000"/>
            <a:gd name="connsiteY7714" fmla="*/ 4125066 h 6858000"/>
            <a:gd name="connsiteX7715" fmla="*/ 7477106 w 12192000"/>
            <a:gd name="connsiteY7715" fmla="*/ 4125066 h 6858000"/>
            <a:gd name="connsiteX7716" fmla="*/ 7442280 w 12192000"/>
            <a:gd name="connsiteY7716" fmla="*/ 4090247 h 6858000"/>
            <a:gd name="connsiteX7717" fmla="*/ 7477106 w 12192000"/>
            <a:gd name="connsiteY7717" fmla="*/ 4055428 h 6858000"/>
            <a:gd name="connsiteX7718" fmla="*/ 7511918 w 12192000"/>
            <a:gd name="connsiteY7718" fmla="*/ 4090247 h 6858000"/>
            <a:gd name="connsiteX7719" fmla="*/ 7477106 w 12192000"/>
            <a:gd name="connsiteY7719" fmla="*/ 4125066 h 6858000"/>
            <a:gd name="connsiteX7720" fmla="*/ 7561998 w 12192000"/>
            <a:gd name="connsiteY7720" fmla="*/ 4125066 h 6858000"/>
            <a:gd name="connsiteX7721" fmla="*/ 7527173 w 12192000"/>
            <a:gd name="connsiteY7721" fmla="*/ 4090247 h 6858000"/>
            <a:gd name="connsiteX7722" fmla="*/ 7561998 w 12192000"/>
            <a:gd name="connsiteY7722" fmla="*/ 4055428 h 6858000"/>
            <a:gd name="connsiteX7723" fmla="*/ 7596810 w 12192000"/>
            <a:gd name="connsiteY7723" fmla="*/ 4090247 h 6858000"/>
            <a:gd name="connsiteX7724" fmla="*/ 7561998 w 12192000"/>
            <a:gd name="connsiteY7724" fmla="*/ 4125066 h 6858000"/>
            <a:gd name="connsiteX7725" fmla="*/ 7731784 w 12192000"/>
            <a:gd name="connsiteY7725" fmla="*/ 4125066 h 6858000"/>
            <a:gd name="connsiteX7726" fmla="*/ 7696958 w 12192000"/>
            <a:gd name="connsiteY7726" fmla="*/ 4090247 h 6858000"/>
            <a:gd name="connsiteX7727" fmla="*/ 7731784 w 12192000"/>
            <a:gd name="connsiteY7727" fmla="*/ 4055428 h 6858000"/>
            <a:gd name="connsiteX7728" fmla="*/ 7766596 w 12192000"/>
            <a:gd name="connsiteY7728" fmla="*/ 4090247 h 6858000"/>
            <a:gd name="connsiteX7729" fmla="*/ 7731784 w 12192000"/>
            <a:gd name="connsiteY7729" fmla="*/ 4125066 h 6858000"/>
            <a:gd name="connsiteX7730" fmla="*/ 7816676 w 12192000"/>
            <a:gd name="connsiteY7730" fmla="*/ 4125066 h 6858000"/>
            <a:gd name="connsiteX7731" fmla="*/ 7781850 w 12192000"/>
            <a:gd name="connsiteY7731" fmla="*/ 4090247 h 6858000"/>
            <a:gd name="connsiteX7732" fmla="*/ 7816676 w 12192000"/>
            <a:gd name="connsiteY7732" fmla="*/ 4055428 h 6858000"/>
            <a:gd name="connsiteX7733" fmla="*/ 7851488 w 12192000"/>
            <a:gd name="connsiteY7733" fmla="*/ 4090247 h 6858000"/>
            <a:gd name="connsiteX7734" fmla="*/ 7816676 w 12192000"/>
            <a:gd name="connsiteY7734" fmla="*/ 4125066 h 6858000"/>
            <a:gd name="connsiteX7735" fmla="*/ 7901568 w 12192000"/>
            <a:gd name="connsiteY7735" fmla="*/ 4125066 h 6858000"/>
            <a:gd name="connsiteX7736" fmla="*/ 7866743 w 12192000"/>
            <a:gd name="connsiteY7736" fmla="*/ 4090247 h 6858000"/>
            <a:gd name="connsiteX7737" fmla="*/ 7901568 w 12192000"/>
            <a:gd name="connsiteY7737" fmla="*/ 4055428 h 6858000"/>
            <a:gd name="connsiteX7738" fmla="*/ 7936380 w 12192000"/>
            <a:gd name="connsiteY7738" fmla="*/ 4090247 h 6858000"/>
            <a:gd name="connsiteX7739" fmla="*/ 7901568 w 12192000"/>
            <a:gd name="connsiteY7739" fmla="*/ 4125066 h 6858000"/>
            <a:gd name="connsiteX7740" fmla="*/ 7986460 w 12192000"/>
            <a:gd name="connsiteY7740" fmla="*/ 4125066 h 6858000"/>
            <a:gd name="connsiteX7741" fmla="*/ 7951635 w 12192000"/>
            <a:gd name="connsiteY7741" fmla="*/ 4090247 h 6858000"/>
            <a:gd name="connsiteX7742" fmla="*/ 7986460 w 12192000"/>
            <a:gd name="connsiteY7742" fmla="*/ 4055428 h 6858000"/>
            <a:gd name="connsiteX7743" fmla="*/ 8021273 w 12192000"/>
            <a:gd name="connsiteY7743" fmla="*/ 4090247 h 6858000"/>
            <a:gd name="connsiteX7744" fmla="*/ 7986460 w 12192000"/>
            <a:gd name="connsiteY7744" fmla="*/ 4125066 h 6858000"/>
            <a:gd name="connsiteX7745" fmla="*/ 8071353 w 12192000"/>
            <a:gd name="connsiteY7745" fmla="*/ 4125066 h 6858000"/>
            <a:gd name="connsiteX7746" fmla="*/ 8036527 w 12192000"/>
            <a:gd name="connsiteY7746" fmla="*/ 4090247 h 6858000"/>
            <a:gd name="connsiteX7747" fmla="*/ 8071353 w 12192000"/>
            <a:gd name="connsiteY7747" fmla="*/ 4055428 h 6858000"/>
            <a:gd name="connsiteX7748" fmla="*/ 8106165 w 12192000"/>
            <a:gd name="connsiteY7748" fmla="*/ 4090247 h 6858000"/>
            <a:gd name="connsiteX7749" fmla="*/ 8071353 w 12192000"/>
            <a:gd name="connsiteY7749" fmla="*/ 4125066 h 6858000"/>
            <a:gd name="connsiteX7750" fmla="*/ 8156246 w 12192000"/>
            <a:gd name="connsiteY7750" fmla="*/ 4125066 h 6858000"/>
            <a:gd name="connsiteX7751" fmla="*/ 8121420 w 12192000"/>
            <a:gd name="connsiteY7751" fmla="*/ 4090247 h 6858000"/>
            <a:gd name="connsiteX7752" fmla="*/ 8156246 w 12192000"/>
            <a:gd name="connsiteY7752" fmla="*/ 4055428 h 6858000"/>
            <a:gd name="connsiteX7753" fmla="*/ 8191058 w 12192000"/>
            <a:gd name="connsiteY7753" fmla="*/ 4090247 h 6858000"/>
            <a:gd name="connsiteX7754" fmla="*/ 8156246 w 12192000"/>
            <a:gd name="connsiteY7754" fmla="*/ 4125066 h 6858000"/>
            <a:gd name="connsiteX7755" fmla="*/ 8241138 w 12192000"/>
            <a:gd name="connsiteY7755" fmla="*/ 4125066 h 6858000"/>
            <a:gd name="connsiteX7756" fmla="*/ 8206313 w 12192000"/>
            <a:gd name="connsiteY7756" fmla="*/ 4090247 h 6858000"/>
            <a:gd name="connsiteX7757" fmla="*/ 8241138 w 12192000"/>
            <a:gd name="connsiteY7757" fmla="*/ 4055428 h 6858000"/>
            <a:gd name="connsiteX7758" fmla="*/ 8275950 w 12192000"/>
            <a:gd name="connsiteY7758" fmla="*/ 4090247 h 6858000"/>
            <a:gd name="connsiteX7759" fmla="*/ 8241138 w 12192000"/>
            <a:gd name="connsiteY7759" fmla="*/ 4125066 h 6858000"/>
            <a:gd name="connsiteX7760" fmla="*/ 8326030 w 12192000"/>
            <a:gd name="connsiteY7760" fmla="*/ 4125066 h 6858000"/>
            <a:gd name="connsiteX7761" fmla="*/ 8291205 w 12192000"/>
            <a:gd name="connsiteY7761" fmla="*/ 4090247 h 6858000"/>
            <a:gd name="connsiteX7762" fmla="*/ 8326030 w 12192000"/>
            <a:gd name="connsiteY7762" fmla="*/ 4055428 h 6858000"/>
            <a:gd name="connsiteX7763" fmla="*/ 8360843 w 12192000"/>
            <a:gd name="connsiteY7763" fmla="*/ 4090247 h 6858000"/>
            <a:gd name="connsiteX7764" fmla="*/ 8326030 w 12192000"/>
            <a:gd name="connsiteY7764" fmla="*/ 4125066 h 6858000"/>
            <a:gd name="connsiteX7765" fmla="*/ 8410923 w 12192000"/>
            <a:gd name="connsiteY7765" fmla="*/ 4125066 h 6858000"/>
            <a:gd name="connsiteX7766" fmla="*/ 8376097 w 12192000"/>
            <a:gd name="connsiteY7766" fmla="*/ 4090247 h 6858000"/>
            <a:gd name="connsiteX7767" fmla="*/ 8410923 w 12192000"/>
            <a:gd name="connsiteY7767" fmla="*/ 4055428 h 6858000"/>
            <a:gd name="connsiteX7768" fmla="*/ 8445735 w 12192000"/>
            <a:gd name="connsiteY7768" fmla="*/ 4090247 h 6858000"/>
            <a:gd name="connsiteX7769" fmla="*/ 8410923 w 12192000"/>
            <a:gd name="connsiteY7769" fmla="*/ 4125066 h 6858000"/>
            <a:gd name="connsiteX7770" fmla="*/ 8495816 w 12192000"/>
            <a:gd name="connsiteY7770" fmla="*/ 4125066 h 6858000"/>
            <a:gd name="connsiteX7771" fmla="*/ 8460990 w 12192000"/>
            <a:gd name="connsiteY7771" fmla="*/ 4090247 h 6858000"/>
            <a:gd name="connsiteX7772" fmla="*/ 8495816 w 12192000"/>
            <a:gd name="connsiteY7772" fmla="*/ 4055428 h 6858000"/>
            <a:gd name="connsiteX7773" fmla="*/ 8530628 w 12192000"/>
            <a:gd name="connsiteY7773" fmla="*/ 4090247 h 6858000"/>
            <a:gd name="connsiteX7774" fmla="*/ 8495816 w 12192000"/>
            <a:gd name="connsiteY7774" fmla="*/ 4125066 h 6858000"/>
            <a:gd name="connsiteX7775" fmla="*/ 8580708 w 12192000"/>
            <a:gd name="connsiteY7775" fmla="*/ 4125066 h 6858000"/>
            <a:gd name="connsiteX7776" fmla="*/ 8545883 w 12192000"/>
            <a:gd name="connsiteY7776" fmla="*/ 4090247 h 6858000"/>
            <a:gd name="connsiteX7777" fmla="*/ 8580708 w 12192000"/>
            <a:gd name="connsiteY7777" fmla="*/ 4055428 h 6858000"/>
            <a:gd name="connsiteX7778" fmla="*/ 8615520 w 12192000"/>
            <a:gd name="connsiteY7778" fmla="*/ 4090247 h 6858000"/>
            <a:gd name="connsiteX7779" fmla="*/ 8580708 w 12192000"/>
            <a:gd name="connsiteY7779" fmla="*/ 4125066 h 6858000"/>
            <a:gd name="connsiteX7780" fmla="*/ 8665600 w 12192000"/>
            <a:gd name="connsiteY7780" fmla="*/ 4125066 h 6858000"/>
            <a:gd name="connsiteX7781" fmla="*/ 8630775 w 12192000"/>
            <a:gd name="connsiteY7781" fmla="*/ 4090247 h 6858000"/>
            <a:gd name="connsiteX7782" fmla="*/ 8665600 w 12192000"/>
            <a:gd name="connsiteY7782" fmla="*/ 4055428 h 6858000"/>
            <a:gd name="connsiteX7783" fmla="*/ 8700413 w 12192000"/>
            <a:gd name="connsiteY7783" fmla="*/ 4090247 h 6858000"/>
            <a:gd name="connsiteX7784" fmla="*/ 8665600 w 12192000"/>
            <a:gd name="connsiteY7784" fmla="*/ 4125066 h 6858000"/>
            <a:gd name="connsiteX7785" fmla="*/ 8750493 w 12192000"/>
            <a:gd name="connsiteY7785" fmla="*/ 4125066 h 6858000"/>
            <a:gd name="connsiteX7786" fmla="*/ 8715667 w 12192000"/>
            <a:gd name="connsiteY7786" fmla="*/ 4090247 h 6858000"/>
            <a:gd name="connsiteX7787" fmla="*/ 8750493 w 12192000"/>
            <a:gd name="connsiteY7787" fmla="*/ 4055428 h 6858000"/>
            <a:gd name="connsiteX7788" fmla="*/ 8785305 w 12192000"/>
            <a:gd name="connsiteY7788" fmla="*/ 4090247 h 6858000"/>
            <a:gd name="connsiteX7789" fmla="*/ 8750493 w 12192000"/>
            <a:gd name="connsiteY7789" fmla="*/ 4125066 h 6858000"/>
            <a:gd name="connsiteX7790" fmla="*/ 8835386 w 12192000"/>
            <a:gd name="connsiteY7790" fmla="*/ 4125066 h 6858000"/>
            <a:gd name="connsiteX7791" fmla="*/ 8800560 w 12192000"/>
            <a:gd name="connsiteY7791" fmla="*/ 4090247 h 6858000"/>
            <a:gd name="connsiteX7792" fmla="*/ 8835386 w 12192000"/>
            <a:gd name="connsiteY7792" fmla="*/ 4055428 h 6858000"/>
            <a:gd name="connsiteX7793" fmla="*/ 8870198 w 12192000"/>
            <a:gd name="connsiteY7793" fmla="*/ 4090247 h 6858000"/>
            <a:gd name="connsiteX7794" fmla="*/ 8835386 w 12192000"/>
            <a:gd name="connsiteY7794" fmla="*/ 4125066 h 6858000"/>
            <a:gd name="connsiteX7795" fmla="*/ 8920278 w 12192000"/>
            <a:gd name="connsiteY7795" fmla="*/ 4125066 h 6858000"/>
            <a:gd name="connsiteX7796" fmla="*/ 8885453 w 12192000"/>
            <a:gd name="connsiteY7796" fmla="*/ 4090247 h 6858000"/>
            <a:gd name="connsiteX7797" fmla="*/ 8920278 w 12192000"/>
            <a:gd name="connsiteY7797" fmla="*/ 4055428 h 6858000"/>
            <a:gd name="connsiteX7798" fmla="*/ 8955090 w 12192000"/>
            <a:gd name="connsiteY7798" fmla="*/ 4090247 h 6858000"/>
            <a:gd name="connsiteX7799" fmla="*/ 8920278 w 12192000"/>
            <a:gd name="connsiteY7799" fmla="*/ 4125066 h 6858000"/>
            <a:gd name="connsiteX7800" fmla="*/ 9005170 w 12192000"/>
            <a:gd name="connsiteY7800" fmla="*/ 4125066 h 6858000"/>
            <a:gd name="connsiteX7801" fmla="*/ 8970345 w 12192000"/>
            <a:gd name="connsiteY7801" fmla="*/ 4090247 h 6858000"/>
            <a:gd name="connsiteX7802" fmla="*/ 9005170 w 12192000"/>
            <a:gd name="connsiteY7802" fmla="*/ 4055428 h 6858000"/>
            <a:gd name="connsiteX7803" fmla="*/ 9039983 w 12192000"/>
            <a:gd name="connsiteY7803" fmla="*/ 4090247 h 6858000"/>
            <a:gd name="connsiteX7804" fmla="*/ 9005170 w 12192000"/>
            <a:gd name="connsiteY7804" fmla="*/ 4125066 h 6858000"/>
            <a:gd name="connsiteX7805" fmla="*/ 9090063 w 12192000"/>
            <a:gd name="connsiteY7805" fmla="*/ 4125066 h 6858000"/>
            <a:gd name="connsiteX7806" fmla="*/ 9055237 w 12192000"/>
            <a:gd name="connsiteY7806" fmla="*/ 4090247 h 6858000"/>
            <a:gd name="connsiteX7807" fmla="*/ 9090063 w 12192000"/>
            <a:gd name="connsiteY7807" fmla="*/ 4055428 h 6858000"/>
            <a:gd name="connsiteX7808" fmla="*/ 9124875 w 12192000"/>
            <a:gd name="connsiteY7808" fmla="*/ 4090247 h 6858000"/>
            <a:gd name="connsiteX7809" fmla="*/ 9090063 w 12192000"/>
            <a:gd name="connsiteY7809" fmla="*/ 4125066 h 6858000"/>
            <a:gd name="connsiteX7810" fmla="*/ 9174956 w 12192000"/>
            <a:gd name="connsiteY7810" fmla="*/ 4125066 h 6858000"/>
            <a:gd name="connsiteX7811" fmla="*/ 9140130 w 12192000"/>
            <a:gd name="connsiteY7811" fmla="*/ 4090247 h 6858000"/>
            <a:gd name="connsiteX7812" fmla="*/ 9174956 w 12192000"/>
            <a:gd name="connsiteY7812" fmla="*/ 4055428 h 6858000"/>
            <a:gd name="connsiteX7813" fmla="*/ 9209768 w 12192000"/>
            <a:gd name="connsiteY7813" fmla="*/ 4090247 h 6858000"/>
            <a:gd name="connsiteX7814" fmla="*/ 9174956 w 12192000"/>
            <a:gd name="connsiteY7814" fmla="*/ 4125066 h 6858000"/>
            <a:gd name="connsiteX7815" fmla="*/ 9259848 w 12192000"/>
            <a:gd name="connsiteY7815" fmla="*/ 4125066 h 6858000"/>
            <a:gd name="connsiteX7816" fmla="*/ 9225023 w 12192000"/>
            <a:gd name="connsiteY7816" fmla="*/ 4090247 h 6858000"/>
            <a:gd name="connsiteX7817" fmla="*/ 9259848 w 12192000"/>
            <a:gd name="connsiteY7817" fmla="*/ 4055428 h 6858000"/>
            <a:gd name="connsiteX7818" fmla="*/ 9294660 w 12192000"/>
            <a:gd name="connsiteY7818" fmla="*/ 4090247 h 6858000"/>
            <a:gd name="connsiteX7819" fmla="*/ 9259848 w 12192000"/>
            <a:gd name="connsiteY7819" fmla="*/ 4125066 h 6858000"/>
            <a:gd name="connsiteX7820" fmla="*/ 9344740 w 12192000"/>
            <a:gd name="connsiteY7820" fmla="*/ 4125066 h 6858000"/>
            <a:gd name="connsiteX7821" fmla="*/ 9309915 w 12192000"/>
            <a:gd name="connsiteY7821" fmla="*/ 4090247 h 6858000"/>
            <a:gd name="connsiteX7822" fmla="*/ 9344740 w 12192000"/>
            <a:gd name="connsiteY7822" fmla="*/ 4055428 h 6858000"/>
            <a:gd name="connsiteX7823" fmla="*/ 9379553 w 12192000"/>
            <a:gd name="connsiteY7823" fmla="*/ 4090247 h 6858000"/>
            <a:gd name="connsiteX7824" fmla="*/ 9344740 w 12192000"/>
            <a:gd name="connsiteY7824" fmla="*/ 4125066 h 6858000"/>
            <a:gd name="connsiteX7825" fmla="*/ 9429633 w 12192000"/>
            <a:gd name="connsiteY7825" fmla="*/ 4125066 h 6858000"/>
            <a:gd name="connsiteX7826" fmla="*/ 9394807 w 12192000"/>
            <a:gd name="connsiteY7826" fmla="*/ 4090247 h 6858000"/>
            <a:gd name="connsiteX7827" fmla="*/ 9429633 w 12192000"/>
            <a:gd name="connsiteY7827" fmla="*/ 4055428 h 6858000"/>
            <a:gd name="connsiteX7828" fmla="*/ 9464445 w 12192000"/>
            <a:gd name="connsiteY7828" fmla="*/ 4090247 h 6858000"/>
            <a:gd name="connsiteX7829" fmla="*/ 9429633 w 12192000"/>
            <a:gd name="connsiteY7829" fmla="*/ 4125066 h 6858000"/>
            <a:gd name="connsiteX7830" fmla="*/ 9514525 w 12192000"/>
            <a:gd name="connsiteY7830" fmla="*/ 4125066 h 6858000"/>
            <a:gd name="connsiteX7831" fmla="*/ 9479699 w 12192000"/>
            <a:gd name="connsiteY7831" fmla="*/ 4090247 h 6858000"/>
            <a:gd name="connsiteX7832" fmla="*/ 9514525 w 12192000"/>
            <a:gd name="connsiteY7832" fmla="*/ 4055428 h 6858000"/>
            <a:gd name="connsiteX7833" fmla="*/ 9549337 w 12192000"/>
            <a:gd name="connsiteY7833" fmla="*/ 4090247 h 6858000"/>
            <a:gd name="connsiteX7834" fmla="*/ 9514525 w 12192000"/>
            <a:gd name="connsiteY7834" fmla="*/ 4125066 h 6858000"/>
            <a:gd name="connsiteX7835" fmla="*/ 9599418 w 12192000"/>
            <a:gd name="connsiteY7835" fmla="*/ 4125066 h 6858000"/>
            <a:gd name="connsiteX7836" fmla="*/ 9564593 w 12192000"/>
            <a:gd name="connsiteY7836" fmla="*/ 4090247 h 6858000"/>
            <a:gd name="connsiteX7837" fmla="*/ 9599418 w 12192000"/>
            <a:gd name="connsiteY7837" fmla="*/ 4055428 h 6858000"/>
            <a:gd name="connsiteX7838" fmla="*/ 9634230 w 12192000"/>
            <a:gd name="connsiteY7838" fmla="*/ 4090247 h 6858000"/>
            <a:gd name="connsiteX7839" fmla="*/ 9599418 w 12192000"/>
            <a:gd name="connsiteY7839" fmla="*/ 4125066 h 6858000"/>
            <a:gd name="connsiteX7840" fmla="*/ 9684310 w 12192000"/>
            <a:gd name="connsiteY7840" fmla="*/ 4125066 h 6858000"/>
            <a:gd name="connsiteX7841" fmla="*/ 9649485 w 12192000"/>
            <a:gd name="connsiteY7841" fmla="*/ 4090247 h 6858000"/>
            <a:gd name="connsiteX7842" fmla="*/ 9684310 w 12192000"/>
            <a:gd name="connsiteY7842" fmla="*/ 4055428 h 6858000"/>
            <a:gd name="connsiteX7843" fmla="*/ 9719123 w 12192000"/>
            <a:gd name="connsiteY7843" fmla="*/ 4090247 h 6858000"/>
            <a:gd name="connsiteX7844" fmla="*/ 9684310 w 12192000"/>
            <a:gd name="connsiteY7844" fmla="*/ 4125066 h 6858000"/>
            <a:gd name="connsiteX7845" fmla="*/ 10108773 w 12192000"/>
            <a:gd name="connsiteY7845" fmla="*/ 4125066 h 6858000"/>
            <a:gd name="connsiteX7846" fmla="*/ 10073947 w 12192000"/>
            <a:gd name="connsiteY7846" fmla="*/ 4090247 h 6858000"/>
            <a:gd name="connsiteX7847" fmla="*/ 10108773 w 12192000"/>
            <a:gd name="connsiteY7847" fmla="*/ 4055428 h 6858000"/>
            <a:gd name="connsiteX7848" fmla="*/ 10143585 w 12192000"/>
            <a:gd name="connsiteY7848" fmla="*/ 4090247 h 6858000"/>
            <a:gd name="connsiteX7849" fmla="*/ 10108773 w 12192000"/>
            <a:gd name="connsiteY7849" fmla="*/ 4125066 h 6858000"/>
            <a:gd name="connsiteX7850" fmla="*/ 2128876 w 12192000"/>
            <a:gd name="connsiteY7850" fmla="*/ 4040206 h 6858000"/>
            <a:gd name="connsiteX7851" fmla="*/ 2094057 w 12192000"/>
            <a:gd name="connsiteY7851" fmla="*/ 4005387 h 6858000"/>
            <a:gd name="connsiteX7852" fmla="*/ 2128876 w 12192000"/>
            <a:gd name="connsiteY7852" fmla="*/ 3970568 h 6858000"/>
            <a:gd name="connsiteX7853" fmla="*/ 2163694 w 12192000"/>
            <a:gd name="connsiteY7853" fmla="*/ 4005387 h 6858000"/>
            <a:gd name="connsiteX7854" fmla="*/ 2128876 w 12192000"/>
            <a:gd name="connsiteY7854" fmla="*/ 4040206 h 6858000"/>
            <a:gd name="connsiteX7855" fmla="*/ 2213769 w 12192000"/>
            <a:gd name="connsiteY7855" fmla="*/ 4040206 h 6858000"/>
            <a:gd name="connsiteX7856" fmla="*/ 2178950 w 12192000"/>
            <a:gd name="connsiteY7856" fmla="*/ 4005387 h 6858000"/>
            <a:gd name="connsiteX7857" fmla="*/ 2213769 w 12192000"/>
            <a:gd name="connsiteY7857" fmla="*/ 3970568 h 6858000"/>
            <a:gd name="connsiteX7858" fmla="*/ 2248588 w 12192000"/>
            <a:gd name="connsiteY7858" fmla="*/ 4005387 h 6858000"/>
            <a:gd name="connsiteX7859" fmla="*/ 2213769 w 12192000"/>
            <a:gd name="connsiteY7859" fmla="*/ 4040206 h 6858000"/>
            <a:gd name="connsiteX7860" fmla="*/ 2298661 w 12192000"/>
            <a:gd name="connsiteY7860" fmla="*/ 4040206 h 6858000"/>
            <a:gd name="connsiteX7861" fmla="*/ 2263842 w 12192000"/>
            <a:gd name="connsiteY7861" fmla="*/ 4005387 h 6858000"/>
            <a:gd name="connsiteX7862" fmla="*/ 2298661 w 12192000"/>
            <a:gd name="connsiteY7862" fmla="*/ 3970568 h 6858000"/>
            <a:gd name="connsiteX7863" fmla="*/ 2333480 w 12192000"/>
            <a:gd name="connsiteY7863" fmla="*/ 4005387 h 6858000"/>
            <a:gd name="connsiteX7864" fmla="*/ 2298661 w 12192000"/>
            <a:gd name="connsiteY7864" fmla="*/ 4040206 h 6858000"/>
            <a:gd name="connsiteX7865" fmla="*/ 2383553 w 12192000"/>
            <a:gd name="connsiteY7865" fmla="*/ 4040206 h 6858000"/>
            <a:gd name="connsiteX7866" fmla="*/ 2348734 w 12192000"/>
            <a:gd name="connsiteY7866" fmla="*/ 4005387 h 6858000"/>
            <a:gd name="connsiteX7867" fmla="*/ 2383553 w 12192000"/>
            <a:gd name="connsiteY7867" fmla="*/ 3970568 h 6858000"/>
            <a:gd name="connsiteX7868" fmla="*/ 2418372 w 12192000"/>
            <a:gd name="connsiteY7868" fmla="*/ 4005387 h 6858000"/>
            <a:gd name="connsiteX7869" fmla="*/ 2383553 w 12192000"/>
            <a:gd name="connsiteY7869" fmla="*/ 4040206 h 6858000"/>
            <a:gd name="connsiteX7870" fmla="*/ 2468446 w 12192000"/>
            <a:gd name="connsiteY7870" fmla="*/ 4040206 h 6858000"/>
            <a:gd name="connsiteX7871" fmla="*/ 2433627 w 12192000"/>
            <a:gd name="connsiteY7871" fmla="*/ 4005387 h 6858000"/>
            <a:gd name="connsiteX7872" fmla="*/ 2468446 w 12192000"/>
            <a:gd name="connsiteY7872" fmla="*/ 3970568 h 6858000"/>
            <a:gd name="connsiteX7873" fmla="*/ 2503264 w 12192000"/>
            <a:gd name="connsiteY7873" fmla="*/ 4005387 h 6858000"/>
            <a:gd name="connsiteX7874" fmla="*/ 2468446 w 12192000"/>
            <a:gd name="connsiteY7874" fmla="*/ 4040206 h 6858000"/>
            <a:gd name="connsiteX7875" fmla="*/ 2553339 w 12192000"/>
            <a:gd name="connsiteY7875" fmla="*/ 4040206 h 6858000"/>
            <a:gd name="connsiteX7876" fmla="*/ 2518520 w 12192000"/>
            <a:gd name="connsiteY7876" fmla="*/ 4005387 h 6858000"/>
            <a:gd name="connsiteX7877" fmla="*/ 2553339 w 12192000"/>
            <a:gd name="connsiteY7877" fmla="*/ 3970568 h 6858000"/>
            <a:gd name="connsiteX7878" fmla="*/ 2588158 w 12192000"/>
            <a:gd name="connsiteY7878" fmla="*/ 4005387 h 6858000"/>
            <a:gd name="connsiteX7879" fmla="*/ 2553339 w 12192000"/>
            <a:gd name="connsiteY7879" fmla="*/ 4040206 h 6858000"/>
            <a:gd name="connsiteX7880" fmla="*/ 2638231 w 12192000"/>
            <a:gd name="connsiteY7880" fmla="*/ 4040206 h 6858000"/>
            <a:gd name="connsiteX7881" fmla="*/ 2603412 w 12192000"/>
            <a:gd name="connsiteY7881" fmla="*/ 4005387 h 6858000"/>
            <a:gd name="connsiteX7882" fmla="*/ 2638231 w 12192000"/>
            <a:gd name="connsiteY7882" fmla="*/ 3970568 h 6858000"/>
            <a:gd name="connsiteX7883" fmla="*/ 2673050 w 12192000"/>
            <a:gd name="connsiteY7883" fmla="*/ 4005387 h 6858000"/>
            <a:gd name="connsiteX7884" fmla="*/ 2638231 w 12192000"/>
            <a:gd name="connsiteY7884" fmla="*/ 4040206 h 6858000"/>
            <a:gd name="connsiteX7885" fmla="*/ 2723123 w 12192000"/>
            <a:gd name="connsiteY7885" fmla="*/ 4040206 h 6858000"/>
            <a:gd name="connsiteX7886" fmla="*/ 2688304 w 12192000"/>
            <a:gd name="connsiteY7886" fmla="*/ 4005387 h 6858000"/>
            <a:gd name="connsiteX7887" fmla="*/ 2723123 w 12192000"/>
            <a:gd name="connsiteY7887" fmla="*/ 3970568 h 6858000"/>
            <a:gd name="connsiteX7888" fmla="*/ 2757942 w 12192000"/>
            <a:gd name="connsiteY7888" fmla="*/ 4005387 h 6858000"/>
            <a:gd name="connsiteX7889" fmla="*/ 2723123 w 12192000"/>
            <a:gd name="connsiteY7889" fmla="*/ 4040206 h 6858000"/>
            <a:gd name="connsiteX7890" fmla="*/ 2808016 w 12192000"/>
            <a:gd name="connsiteY7890" fmla="*/ 4040206 h 6858000"/>
            <a:gd name="connsiteX7891" fmla="*/ 2773197 w 12192000"/>
            <a:gd name="connsiteY7891" fmla="*/ 4005387 h 6858000"/>
            <a:gd name="connsiteX7892" fmla="*/ 2808016 w 12192000"/>
            <a:gd name="connsiteY7892" fmla="*/ 3970568 h 6858000"/>
            <a:gd name="connsiteX7893" fmla="*/ 2842834 w 12192000"/>
            <a:gd name="connsiteY7893" fmla="*/ 4005387 h 6858000"/>
            <a:gd name="connsiteX7894" fmla="*/ 2808016 w 12192000"/>
            <a:gd name="connsiteY7894" fmla="*/ 4040206 h 6858000"/>
            <a:gd name="connsiteX7895" fmla="*/ 2892908 w 12192000"/>
            <a:gd name="connsiteY7895" fmla="*/ 4040206 h 6858000"/>
            <a:gd name="connsiteX7896" fmla="*/ 2858089 w 12192000"/>
            <a:gd name="connsiteY7896" fmla="*/ 4005387 h 6858000"/>
            <a:gd name="connsiteX7897" fmla="*/ 2892908 w 12192000"/>
            <a:gd name="connsiteY7897" fmla="*/ 3970568 h 6858000"/>
            <a:gd name="connsiteX7898" fmla="*/ 2927727 w 12192000"/>
            <a:gd name="connsiteY7898" fmla="*/ 4005387 h 6858000"/>
            <a:gd name="connsiteX7899" fmla="*/ 2892908 w 12192000"/>
            <a:gd name="connsiteY7899" fmla="*/ 4040206 h 6858000"/>
            <a:gd name="connsiteX7900" fmla="*/ 2977801 w 12192000"/>
            <a:gd name="connsiteY7900" fmla="*/ 4040206 h 6858000"/>
            <a:gd name="connsiteX7901" fmla="*/ 2942982 w 12192000"/>
            <a:gd name="connsiteY7901" fmla="*/ 4005387 h 6858000"/>
            <a:gd name="connsiteX7902" fmla="*/ 2977801 w 12192000"/>
            <a:gd name="connsiteY7902" fmla="*/ 3970568 h 6858000"/>
            <a:gd name="connsiteX7903" fmla="*/ 3012620 w 12192000"/>
            <a:gd name="connsiteY7903" fmla="*/ 4005387 h 6858000"/>
            <a:gd name="connsiteX7904" fmla="*/ 2977801 w 12192000"/>
            <a:gd name="connsiteY7904" fmla="*/ 4040206 h 6858000"/>
            <a:gd name="connsiteX7905" fmla="*/ 3062693 w 12192000"/>
            <a:gd name="connsiteY7905" fmla="*/ 4040206 h 6858000"/>
            <a:gd name="connsiteX7906" fmla="*/ 3027874 w 12192000"/>
            <a:gd name="connsiteY7906" fmla="*/ 4005387 h 6858000"/>
            <a:gd name="connsiteX7907" fmla="*/ 3062693 w 12192000"/>
            <a:gd name="connsiteY7907" fmla="*/ 3970568 h 6858000"/>
            <a:gd name="connsiteX7908" fmla="*/ 3097512 w 12192000"/>
            <a:gd name="connsiteY7908" fmla="*/ 4005387 h 6858000"/>
            <a:gd name="connsiteX7909" fmla="*/ 3062693 w 12192000"/>
            <a:gd name="connsiteY7909" fmla="*/ 4040206 h 6858000"/>
            <a:gd name="connsiteX7910" fmla="*/ 3147586 w 12192000"/>
            <a:gd name="connsiteY7910" fmla="*/ 4040206 h 6858000"/>
            <a:gd name="connsiteX7911" fmla="*/ 3112767 w 12192000"/>
            <a:gd name="connsiteY7911" fmla="*/ 4005387 h 6858000"/>
            <a:gd name="connsiteX7912" fmla="*/ 3147586 w 12192000"/>
            <a:gd name="connsiteY7912" fmla="*/ 3970568 h 6858000"/>
            <a:gd name="connsiteX7913" fmla="*/ 3182404 w 12192000"/>
            <a:gd name="connsiteY7913" fmla="*/ 4005387 h 6858000"/>
            <a:gd name="connsiteX7914" fmla="*/ 3147586 w 12192000"/>
            <a:gd name="connsiteY7914" fmla="*/ 4040206 h 6858000"/>
            <a:gd name="connsiteX7915" fmla="*/ 3232478 w 12192000"/>
            <a:gd name="connsiteY7915" fmla="*/ 4040206 h 6858000"/>
            <a:gd name="connsiteX7916" fmla="*/ 3197659 w 12192000"/>
            <a:gd name="connsiteY7916" fmla="*/ 4005387 h 6858000"/>
            <a:gd name="connsiteX7917" fmla="*/ 3232478 w 12192000"/>
            <a:gd name="connsiteY7917" fmla="*/ 3970568 h 6858000"/>
            <a:gd name="connsiteX7918" fmla="*/ 3267297 w 12192000"/>
            <a:gd name="connsiteY7918" fmla="*/ 4005387 h 6858000"/>
            <a:gd name="connsiteX7919" fmla="*/ 3232478 w 12192000"/>
            <a:gd name="connsiteY7919" fmla="*/ 4040206 h 6858000"/>
            <a:gd name="connsiteX7920" fmla="*/ 3317371 w 12192000"/>
            <a:gd name="connsiteY7920" fmla="*/ 4040206 h 6858000"/>
            <a:gd name="connsiteX7921" fmla="*/ 3282552 w 12192000"/>
            <a:gd name="connsiteY7921" fmla="*/ 4005387 h 6858000"/>
            <a:gd name="connsiteX7922" fmla="*/ 3317371 w 12192000"/>
            <a:gd name="connsiteY7922" fmla="*/ 3970568 h 6858000"/>
            <a:gd name="connsiteX7923" fmla="*/ 3352190 w 12192000"/>
            <a:gd name="connsiteY7923" fmla="*/ 4005387 h 6858000"/>
            <a:gd name="connsiteX7924" fmla="*/ 3317371 w 12192000"/>
            <a:gd name="connsiteY7924" fmla="*/ 4040206 h 6858000"/>
            <a:gd name="connsiteX7925" fmla="*/ 3487156 w 12192000"/>
            <a:gd name="connsiteY7925" fmla="*/ 4040206 h 6858000"/>
            <a:gd name="connsiteX7926" fmla="*/ 3452337 w 12192000"/>
            <a:gd name="connsiteY7926" fmla="*/ 4005387 h 6858000"/>
            <a:gd name="connsiteX7927" fmla="*/ 3487156 w 12192000"/>
            <a:gd name="connsiteY7927" fmla="*/ 3970568 h 6858000"/>
            <a:gd name="connsiteX7928" fmla="*/ 3521974 w 12192000"/>
            <a:gd name="connsiteY7928" fmla="*/ 4005387 h 6858000"/>
            <a:gd name="connsiteX7929" fmla="*/ 3487156 w 12192000"/>
            <a:gd name="connsiteY7929" fmla="*/ 4040206 h 6858000"/>
            <a:gd name="connsiteX7930" fmla="*/ 3572048 w 12192000"/>
            <a:gd name="connsiteY7930" fmla="*/ 4040206 h 6858000"/>
            <a:gd name="connsiteX7931" fmla="*/ 3537229 w 12192000"/>
            <a:gd name="connsiteY7931" fmla="*/ 4005387 h 6858000"/>
            <a:gd name="connsiteX7932" fmla="*/ 3572048 w 12192000"/>
            <a:gd name="connsiteY7932" fmla="*/ 3970568 h 6858000"/>
            <a:gd name="connsiteX7933" fmla="*/ 3606867 w 12192000"/>
            <a:gd name="connsiteY7933" fmla="*/ 4005387 h 6858000"/>
            <a:gd name="connsiteX7934" fmla="*/ 3572048 w 12192000"/>
            <a:gd name="connsiteY7934" fmla="*/ 4040206 h 6858000"/>
            <a:gd name="connsiteX7935" fmla="*/ 3656941 w 12192000"/>
            <a:gd name="connsiteY7935" fmla="*/ 4040206 h 6858000"/>
            <a:gd name="connsiteX7936" fmla="*/ 3622122 w 12192000"/>
            <a:gd name="connsiteY7936" fmla="*/ 4005387 h 6858000"/>
            <a:gd name="connsiteX7937" fmla="*/ 3656941 w 12192000"/>
            <a:gd name="connsiteY7937" fmla="*/ 3970568 h 6858000"/>
            <a:gd name="connsiteX7938" fmla="*/ 3691760 w 12192000"/>
            <a:gd name="connsiteY7938" fmla="*/ 4005387 h 6858000"/>
            <a:gd name="connsiteX7939" fmla="*/ 3656941 w 12192000"/>
            <a:gd name="connsiteY7939" fmla="*/ 4040206 h 6858000"/>
            <a:gd name="connsiteX7940" fmla="*/ 5694360 w 12192000"/>
            <a:gd name="connsiteY7940" fmla="*/ 4040206 h 6858000"/>
            <a:gd name="connsiteX7941" fmla="*/ 5659541 w 12192000"/>
            <a:gd name="connsiteY7941" fmla="*/ 4005387 h 6858000"/>
            <a:gd name="connsiteX7942" fmla="*/ 5694360 w 12192000"/>
            <a:gd name="connsiteY7942" fmla="*/ 3970568 h 6858000"/>
            <a:gd name="connsiteX7943" fmla="*/ 5729179 w 12192000"/>
            <a:gd name="connsiteY7943" fmla="*/ 4005387 h 6858000"/>
            <a:gd name="connsiteX7944" fmla="*/ 5694360 w 12192000"/>
            <a:gd name="connsiteY7944" fmla="*/ 4040206 h 6858000"/>
            <a:gd name="connsiteX7945" fmla="*/ 5779252 w 12192000"/>
            <a:gd name="connsiteY7945" fmla="*/ 4040206 h 6858000"/>
            <a:gd name="connsiteX7946" fmla="*/ 5744433 w 12192000"/>
            <a:gd name="connsiteY7946" fmla="*/ 4005387 h 6858000"/>
            <a:gd name="connsiteX7947" fmla="*/ 5779252 w 12192000"/>
            <a:gd name="connsiteY7947" fmla="*/ 3970568 h 6858000"/>
            <a:gd name="connsiteX7948" fmla="*/ 5814071 w 12192000"/>
            <a:gd name="connsiteY7948" fmla="*/ 4005387 h 6858000"/>
            <a:gd name="connsiteX7949" fmla="*/ 5779252 w 12192000"/>
            <a:gd name="connsiteY7949" fmla="*/ 4040206 h 6858000"/>
            <a:gd name="connsiteX7950" fmla="*/ 5864146 w 12192000"/>
            <a:gd name="connsiteY7950" fmla="*/ 4040206 h 6858000"/>
            <a:gd name="connsiteX7951" fmla="*/ 5829327 w 12192000"/>
            <a:gd name="connsiteY7951" fmla="*/ 4005387 h 6858000"/>
            <a:gd name="connsiteX7952" fmla="*/ 5864146 w 12192000"/>
            <a:gd name="connsiteY7952" fmla="*/ 3970568 h 6858000"/>
            <a:gd name="connsiteX7953" fmla="*/ 5898964 w 12192000"/>
            <a:gd name="connsiteY7953" fmla="*/ 4005387 h 6858000"/>
            <a:gd name="connsiteX7954" fmla="*/ 5864146 w 12192000"/>
            <a:gd name="connsiteY7954" fmla="*/ 4040206 h 6858000"/>
            <a:gd name="connsiteX7955" fmla="*/ 6033930 w 12192000"/>
            <a:gd name="connsiteY7955" fmla="*/ 4040206 h 6858000"/>
            <a:gd name="connsiteX7956" fmla="*/ 5999111 w 12192000"/>
            <a:gd name="connsiteY7956" fmla="*/ 4005387 h 6858000"/>
            <a:gd name="connsiteX7957" fmla="*/ 6033930 w 12192000"/>
            <a:gd name="connsiteY7957" fmla="*/ 3970568 h 6858000"/>
            <a:gd name="connsiteX7958" fmla="*/ 6068749 w 12192000"/>
            <a:gd name="connsiteY7958" fmla="*/ 4005387 h 6858000"/>
            <a:gd name="connsiteX7959" fmla="*/ 6033930 w 12192000"/>
            <a:gd name="connsiteY7959" fmla="*/ 4040206 h 6858000"/>
            <a:gd name="connsiteX7960" fmla="*/ 6203718 w 12192000"/>
            <a:gd name="connsiteY7960" fmla="*/ 4040206 h 6858000"/>
            <a:gd name="connsiteX7961" fmla="*/ 6168893 w 12192000"/>
            <a:gd name="connsiteY7961" fmla="*/ 4005387 h 6858000"/>
            <a:gd name="connsiteX7962" fmla="*/ 6203718 w 12192000"/>
            <a:gd name="connsiteY7962" fmla="*/ 3970568 h 6858000"/>
            <a:gd name="connsiteX7963" fmla="*/ 6238530 w 12192000"/>
            <a:gd name="connsiteY7963" fmla="*/ 4005387 h 6858000"/>
            <a:gd name="connsiteX7964" fmla="*/ 6203718 w 12192000"/>
            <a:gd name="connsiteY7964" fmla="*/ 4040206 h 6858000"/>
            <a:gd name="connsiteX7965" fmla="*/ 6458396 w 12192000"/>
            <a:gd name="connsiteY7965" fmla="*/ 4040206 h 6858000"/>
            <a:gd name="connsiteX7966" fmla="*/ 6423570 w 12192000"/>
            <a:gd name="connsiteY7966" fmla="*/ 4005387 h 6858000"/>
            <a:gd name="connsiteX7967" fmla="*/ 6458396 w 12192000"/>
            <a:gd name="connsiteY7967" fmla="*/ 3970568 h 6858000"/>
            <a:gd name="connsiteX7968" fmla="*/ 6493208 w 12192000"/>
            <a:gd name="connsiteY7968" fmla="*/ 4005387 h 6858000"/>
            <a:gd name="connsiteX7969" fmla="*/ 6458396 w 12192000"/>
            <a:gd name="connsiteY7969" fmla="*/ 4040206 h 6858000"/>
            <a:gd name="connsiteX7970" fmla="*/ 6543288 w 12192000"/>
            <a:gd name="connsiteY7970" fmla="*/ 4040206 h 6858000"/>
            <a:gd name="connsiteX7971" fmla="*/ 6508463 w 12192000"/>
            <a:gd name="connsiteY7971" fmla="*/ 4005387 h 6858000"/>
            <a:gd name="connsiteX7972" fmla="*/ 6543288 w 12192000"/>
            <a:gd name="connsiteY7972" fmla="*/ 3970568 h 6858000"/>
            <a:gd name="connsiteX7973" fmla="*/ 6578100 w 12192000"/>
            <a:gd name="connsiteY7973" fmla="*/ 4005387 h 6858000"/>
            <a:gd name="connsiteX7974" fmla="*/ 6543288 w 12192000"/>
            <a:gd name="connsiteY7974" fmla="*/ 4040206 h 6858000"/>
            <a:gd name="connsiteX7975" fmla="*/ 6628181 w 12192000"/>
            <a:gd name="connsiteY7975" fmla="*/ 4040206 h 6858000"/>
            <a:gd name="connsiteX7976" fmla="*/ 6593356 w 12192000"/>
            <a:gd name="connsiteY7976" fmla="*/ 4005387 h 6858000"/>
            <a:gd name="connsiteX7977" fmla="*/ 6628181 w 12192000"/>
            <a:gd name="connsiteY7977" fmla="*/ 3970568 h 6858000"/>
            <a:gd name="connsiteX7978" fmla="*/ 6662994 w 12192000"/>
            <a:gd name="connsiteY7978" fmla="*/ 4005387 h 6858000"/>
            <a:gd name="connsiteX7979" fmla="*/ 6628181 w 12192000"/>
            <a:gd name="connsiteY7979" fmla="*/ 4040206 h 6858000"/>
            <a:gd name="connsiteX7980" fmla="*/ 7137536 w 12192000"/>
            <a:gd name="connsiteY7980" fmla="*/ 4040206 h 6858000"/>
            <a:gd name="connsiteX7981" fmla="*/ 7102710 w 12192000"/>
            <a:gd name="connsiteY7981" fmla="*/ 4005387 h 6858000"/>
            <a:gd name="connsiteX7982" fmla="*/ 7137536 w 12192000"/>
            <a:gd name="connsiteY7982" fmla="*/ 3970568 h 6858000"/>
            <a:gd name="connsiteX7983" fmla="*/ 7172348 w 12192000"/>
            <a:gd name="connsiteY7983" fmla="*/ 4005387 h 6858000"/>
            <a:gd name="connsiteX7984" fmla="*/ 7137536 w 12192000"/>
            <a:gd name="connsiteY7984" fmla="*/ 4040206 h 6858000"/>
            <a:gd name="connsiteX7985" fmla="*/ 7222428 w 12192000"/>
            <a:gd name="connsiteY7985" fmla="*/ 4040206 h 6858000"/>
            <a:gd name="connsiteX7986" fmla="*/ 7187603 w 12192000"/>
            <a:gd name="connsiteY7986" fmla="*/ 4005387 h 6858000"/>
            <a:gd name="connsiteX7987" fmla="*/ 7222428 w 12192000"/>
            <a:gd name="connsiteY7987" fmla="*/ 3970568 h 6858000"/>
            <a:gd name="connsiteX7988" fmla="*/ 7257240 w 12192000"/>
            <a:gd name="connsiteY7988" fmla="*/ 4005387 h 6858000"/>
            <a:gd name="connsiteX7989" fmla="*/ 7222428 w 12192000"/>
            <a:gd name="connsiteY7989" fmla="*/ 4040206 h 6858000"/>
            <a:gd name="connsiteX7990" fmla="*/ 7477106 w 12192000"/>
            <a:gd name="connsiteY7990" fmla="*/ 4040206 h 6858000"/>
            <a:gd name="connsiteX7991" fmla="*/ 7442280 w 12192000"/>
            <a:gd name="connsiteY7991" fmla="*/ 4005387 h 6858000"/>
            <a:gd name="connsiteX7992" fmla="*/ 7477106 w 12192000"/>
            <a:gd name="connsiteY7992" fmla="*/ 3970568 h 6858000"/>
            <a:gd name="connsiteX7993" fmla="*/ 7511918 w 12192000"/>
            <a:gd name="connsiteY7993" fmla="*/ 4005387 h 6858000"/>
            <a:gd name="connsiteX7994" fmla="*/ 7477106 w 12192000"/>
            <a:gd name="connsiteY7994" fmla="*/ 4040206 h 6858000"/>
            <a:gd name="connsiteX7995" fmla="*/ 7561998 w 12192000"/>
            <a:gd name="connsiteY7995" fmla="*/ 4040206 h 6858000"/>
            <a:gd name="connsiteX7996" fmla="*/ 7527173 w 12192000"/>
            <a:gd name="connsiteY7996" fmla="*/ 4005387 h 6858000"/>
            <a:gd name="connsiteX7997" fmla="*/ 7561998 w 12192000"/>
            <a:gd name="connsiteY7997" fmla="*/ 3970568 h 6858000"/>
            <a:gd name="connsiteX7998" fmla="*/ 7596810 w 12192000"/>
            <a:gd name="connsiteY7998" fmla="*/ 4005387 h 6858000"/>
            <a:gd name="connsiteX7999" fmla="*/ 7561998 w 12192000"/>
            <a:gd name="connsiteY7999" fmla="*/ 4040206 h 6858000"/>
            <a:gd name="connsiteX8000" fmla="*/ 7646890 w 12192000"/>
            <a:gd name="connsiteY8000" fmla="*/ 4040206 h 6858000"/>
            <a:gd name="connsiteX8001" fmla="*/ 7612065 w 12192000"/>
            <a:gd name="connsiteY8001" fmla="*/ 4005387 h 6858000"/>
            <a:gd name="connsiteX8002" fmla="*/ 7646890 w 12192000"/>
            <a:gd name="connsiteY8002" fmla="*/ 3970568 h 6858000"/>
            <a:gd name="connsiteX8003" fmla="*/ 7681703 w 12192000"/>
            <a:gd name="connsiteY8003" fmla="*/ 4005387 h 6858000"/>
            <a:gd name="connsiteX8004" fmla="*/ 7646890 w 12192000"/>
            <a:gd name="connsiteY8004" fmla="*/ 4040206 h 6858000"/>
            <a:gd name="connsiteX8005" fmla="*/ 7731784 w 12192000"/>
            <a:gd name="connsiteY8005" fmla="*/ 4040206 h 6858000"/>
            <a:gd name="connsiteX8006" fmla="*/ 7696958 w 12192000"/>
            <a:gd name="connsiteY8006" fmla="*/ 4005387 h 6858000"/>
            <a:gd name="connsiteX8007" fmla="*/ 7731784 w 12192000"/>
            <a:gd name="connsiteY8007" fmla="*/ 3970568 h 6858000"/>
            <a:gd name="connsiteX8008" fmla="*/ 7766596 w 12192000"/>
            <a:gd name="connsiteY8008" fmla="*/ 4005387 h 6858000"/>
            <a:gd name="connsiteX8009" fmla="*/ 7731784 w 12192000"/>
            <a:gd name="connsiteY8009" fmla="*/ 4040206 h 6858000"/>
            <a:gd name="connsiteX8010" fmla="*/ 7816676 w 12192000"/>
            <a:gd name="connsiteY8010" fmla="*/ 4040206 h 6858000"/>
            <a:gd name="connsiteX8011" fmla="*/ 7781850 w 12192000"/>
            <a:gd name="connsiteY8011" fmla="*/ 4005387 h 6858000"/>
            <a:gd name="connsiteX8012" fmla="*/ 7816676 w 12192000"/>
            <a:gd name="connsiteY8012" fmla="*/ 3970568 h 6858000"/>
            <a:gd name="connsiteX8013" fmla="*/ 7851488 w 12192000"/>
            <a:gd name="connsiteY8013" fmla="*/ 4005387 h 6858000"/>
            <a:gd name="connsiteX8014" fmla="*/ 7816676 w 12192000"/>
            <a:gd name="connsiteY8014" fmla="*/ 4040206 h 6858000"/>
            <a:gd name="connsiteX8015" fmla="*/ 7901568 w 12192000"/>
            <a:gd name="connsiteY8015" fmla="*/ 4040206 h 6858000"/>
            <a:gd name="connsiteX8016" fmla="*/ 7866743 w 12192000"/>
            <a:gd name="connsiteY8016" fmla="*/ 4005387 h 6858000"/>
            <a:gd name="connsiteX8017" fmla="*/ 7901568 w 12192000"/>
            <a:gd name="connsiteY8017" fmla="*/ 3970568 h 6858000"/>
            <a:gd name="connsiteX8018" fmla="*/ 7936380 w 12192000"/>
            <a:gd name="connsiteY8018" fmla="*/ 4005387 h 6858000"/>
            <a:gd name="connsiteX8019" fmla="*/ 7901568 w 12192000"/>
            <a:gd name="connsiteY8019" fmla="*/ 4040206 h 6858000"/>
            <a:gd name="connsiteX8020" fmla="*/ 7986460 w 12192000"/>
            <a:gd name="connsiteY8020" fmla="*/ 4040206 h 6858000"/>
            <a:gd name="connsiteX8021" fmla="*/ 7951635 w 12192000"/>
            <a:gd name="connsiteY8021" fmla="*/ 4005387 h 6858000"/>
            <a:gd name="connsiteX8022" fmla="*/ 7986460 w 12192000"/>
            <a:gd name="connsiteY8022" fmla="*/ 3970568 h 6858000"/>
            <a:gd name="connsiteX8023" fmla="*/ 8021273 w 12192000"/>
            <a:gd name="connsiteY8023" fmla="*/ 4005387 h 6858000"/>
            <a:gd name="connsiteX8024" fmla="*/ 7986460 w 12192000"/>
            <a:gd name="connsiteY8024" fmla="*/ 4040206 h 6858000"/>
            <a:gd name="connsiteX8025" fmla="*/ 8071353 w 12192000"/>
            <a:gd name="connsiteY8025" fmla="*/ 4040206 h 6858000"/>
            <a:gd name="connsiteX8026" fmla="*/ 8036527 w 12192000"/>
            <a:gd name="connsiteY8026" fmla="*/ 4005387 h 6858000"/>
            <a:gd name="connsiteX8027" fmla="*/ 8071353 w 12192000"/>
            <a:gd name="connsiteY8027" fmla="*/ 3970568 h 6858000"/>
            <a:gd name="connsiteX8028" fmla="*/ 8106165 w 12192000"/>
            <a:gd name="connsiteY8028" fmla="*/ 4005387 h 6858000"/>
            <a:gd name="connsiteX8029" fmla="*/ 8071353 w 12192000"/>
            <a:gd name="connsiteY8029" fmla="*/ 4040206 h 6858000"/>
            <a:gd name="connsiteX8030" fmla="*/ 8156246 w 12192000"/>
            <a:gd name="connsiteY8030" fmla="*/ 4040206 h 6858000"/>
            <a:gd name="connsiteX8031" fmla="*/ 8121420 w 12192000"/>
            <a:gd name="connsiteY8031" fmla="*/ 4005387 h 6858000"/>
            <a:gd name="connsiteX8032" fmla="*/ 8156246 w 12192000"/>
            <a:gd name="connsiteY8032" fmla="*/ 3970568 h 6858000"/>
            <a:gd name="connsiteX8033" fmla="*/ 8191058 w 12192000"/>
            <a:gd name="connsiteY8033" fmla="*/ 4005387 h 6858000"/>
            <a:gd name="connsiteX8034" fmla="*/ 8156246 w 12192000"/>
            <a:gd name="connsiteY8034" fmla="*/ 4040206 h 6858000"/>
            <a:gd name="connsiteX8035" fmla="*/ 8241138 w 12192000"/>
            <a:gd name="connsiteY8035" fmla="*/ 4040206 h 6858000"/>
            <a:gd name="connsiteX8036" fmla="*/ 8206313 w 12192000"/>
            <a:gd name="connsiteY8036" fmla="*/ 4005387 h 6858000"/>
            <a:gd name="connsiteX8037" fmla="*/ 8241138 w 12192000"/>
            <a:gd name="connsiteY8037" fmla="*/ 3970568 h 6858000"/>
            <a:gd name="connsiteX8038" fmla="*/ 8275950 w 12192000"/>
            <a:gd name="connsiteY8038" fmla="*/ 4005387 h 6858000"/>
            <a:gd name="connsiteX8039" fmla="*/ 8241138 w 12192000"/>
            <a:gd name="connsiteY8039" fmla="*/ 4040206 h 6858000"/>
            <a:gd name="connsiteX8040" fmla="*/ 8326030 w 12192000"/>
            <a:gd name="connsiteY8040" fmla="*/ 4040206 h 6858000"/>
            <a:gd name="connsiteX8041" fmla="*/ 8291205 w 12192000"/>
            <a:gd name="connsiteY8041" fmla="*/ 4005387 h 6858000"/>
            <a:gd name="connsiteX8042" fmla="*/ 8326030 w 12192000"/>
            <a:gd name="connsiteY8042" fmla="*/ 3970568 h 6858000"/>
            <a:gd name="connsiteX8043" fmla="*/ 8360843 w 12192000"/>
            <a:gd name="connsiteY8043" fmla="*/ 4005387 h 6858000"/>
            <a:gd name="connsiteX8044" fmla="*/ 8326030 w 12192000"/>
            <a:gd name="connsiteY8044" fmla="*/ 4040206 h 6858000"/>
            <a:gd name="connsiteX8045" fmla="*/ 8410923 w 12192000"/>
            <a:gd name="connsiteY8045" fmla="*/ 4040206 h 6858000"/>
            <a:gd name="connsiteX8046" fmla="*/ 8376097 w 12192000"/>
            <a:gd name="connsiteY8046" fmla="*/ 4005387 h 6858000"/>
            <a:gd name="connsiteX8047" fmla="*/ 8410923 w 12192000"/>
            <a:gd name="connsiteY8047" fmla="*/ 3970568 h 6858000"/>
            <a:gd name="connsiteX8048" fmla="*/ 8445735 w 12192000"/>
            <a:gd name="connsiteY8048" fmla="*/ 4005387 h 6858000"/>
            <a:gd name="connsiteX8049" fmla="*/ 8410923 w 12192000"/>
            <a:gd name="connsiteY8049" fmla="*/ 4040206 h 6858000"/>
            <a:gd name="connsiteX8050" fmla="*/ 8495816 w 12192000"/>
            <a:gd name="connsiteY8050" fmla="*/ 4040206 h 6858000"/>
            <a:gd name="connsiteX8051" fmla="*/ 8460990 w 12192000"/>
            <a:gd name="connsiteY8051" fmla="*/ 4005387 h 6858000"/>
            <a:gd name="connsiteX8052" fmla="*/ 8495816 w 12192000"/>
            <a:gd name="connsiteY8052" fmla="*/ 3970568 h 6858000"/>
            <a:gd name="connsiteX8053" fmla="*/ 8530628 w 12192000"/>
            <a:gd name="connsiteY8053" fmla="*/ 4005387 h 6858000"/>
            <a:gd name="connsiteX8054" fmla="*/ 8495816 w 12192000"/>
            <a:gd name="connsiteY8054" fmla="*/ 4040206 h 6858000"/>
            <a:gd name="connsiteX8055" fmla="*/ 8580708 w 12192000"/>
            <a:gd name="connsiteY8055" fmla="*/ 4040206 h 6858000"/>
            <a:gd name="connsiteX8056" fmla="*/ 8545883 w 12192000"/>
            <a:gd name="connsiteY8056" fmla="*/ 4005387 h 6858000"/>
            <a:gd name="connsiteX8057" fmla="*/ 8580708 w 12192000"/>
            <a:gd name="connsiteY8057" fmla="*/ 3970568 h 6858000"/>
            <a:gd name="connsiteX8058" fmla="*/ 8615520 w 12192000"/>
            <a:gd name="connsiteY8058" fmla="*/ 4005387 h 6858000"/>
            <a:gd name="connsiteX8059" fmla="*/ 8580708 w 12192000"/>
            <a:gd name="connsiteY8059" fmla="*/ 4040206 h 6858000"/>
            <a:gd name="connsiteX8060" fmla="*/ 8665600 w 12192000"/>
            <a:gd name="connsiteY8060" fmla="*/ 4040206 h 6858000"/>
            <a:gd name="connsiteX8061" fmla="*/ 8630775 w 12192000"/>
            <a:gd name="connsiteY8061" fmla="*/ 4005387 h 6858000"/>
            <a:gd name="connsiteX8062" fmla="*/ 8665600 w 12192000"/>
            <a:gd name="connsiteY8062" fmla="*/ 3970568 h 6858000"/>
            <a:gd name="connsiteX8063" fmla="*/ 8700413 w 12192000"/>
            <a:gd name="connsiteY8063" fmla="*/ 4005387 h 6858000"/>
            <a:gd name="connsiteX8064" fmla="*/ 8665600 w 12192000"/>
            <a:gd name="connsiteY8064" fmla="*/ 4040206 h 6858000"/>
            <a:gd name="connsiteX8065" fmla="*/ 8750493 w 12192000"/>
            <a:gd name="connsiteY8065" fmla="*/ 4040206 h 6858000"/>
            <a:gd name="connsiteX8066" fmla="*/ 8715667 w 12192000"/>
            <a:gd name="connsiteY8066" fmla="*/ 4005387 h 6858000"/>
            <a:gd name="connsiteX8067" fmla="*/ 8750493 w 12192000"/>
            <a:gd name="connsiteY8067" fmla="*/ 3970568 h 6858000"/>
            <a:gd name="connsiteX8068" fmla="*/ 8785305 w 12192000"/>
            <a:gd name="connsiteY8068" fmla="*/ 4005387 h 6858000"/>
            <a:gd name="connsiteX8069" fmla="*/ 8750493 w 12192000"/>
            <a:gd name="connsiteY8069" fmla="*/ 4040206 h 6858000"/>
            <a:gd name="connsiteX8070" fmla="*/ 8835386 w 12192000"/>
            <a:gd name="connsiteY8070" fmla="*/ 4040206 h 6858000"/>
            <a:gd name="connsiteX8071" fmla="*/ 8800560 w 12192000"/>
            <a:gd name="connsiteY8071" fmla="*/ 4005387 h 6858000"/>
            <a:gd name="connsiteX8072" fmla="*/ 8835386 w 12192000"/>
            <a:gd name="connsiteY8072" fmla="*/ 3970568 h 6858000"/>
            <a:gd name="connsiteX8073" fmla="*/ 8870198 w 12192000"/>
            <a:gd name="connsiteY8073" fmla="*/ 4005387 h 6858000"/>
            <a:gd name="connsiteX8074" fmla="*/ 8835386 w 12192000"/>
            <a:gd name="connsiteY8074" fmla="*/ 4040206 h 6858000"/>
            <a:gd name="connsiteX8075" fmla="*/ 8920278 w 12192000"/>
            <a:gd name="connsiteY8075" fmla="*/ 4040206 h 6858000"/>
            <a:gd name="connsiteX8076" fmla="*/ 8885453 w 12192000"/>
            <a:gd name="connsiteY8076" fmla="*/ 4005387 h 6858000"/>
            <a:gd name="connsiteX8077" fmla="*/ 8920278 w 12192000"/>
            <a:gd name="connsiteY8077" fmla="*/ 3970568 h 6858000"/>
            <a:gd name="connsiteX8078" fmla="*/ 8955090 w 12192000"/>
            <a:gd name="connsiteY8078" fmla="*/ 4005387 h 6858000"/>
            <a:gd name="connsiteX8079" fmla="*/ 8920278 w 12192000"/>
            <a:gd name="connsiteY8079" fmla="*/ 4040206 h 6858000"/>
            <a:gd name="connsiteX8080" fmla="*/ 9005170 w 12192000"/>
            <a:gd name="connsiteY8080" fmla="*/ 4040206 h 6858000"/>
            <a:gd name="connsiteX8081" fmla="*/ 8970345 w 12192000"/>
            <a:gd name="connsiteY8081" fmla="*/ 4005387 h 6858000"/>
            <a:gd name="connsiteX8082" fmla="*/ 9005170 w 12192000"/>
            <a:gd name="connsiteY8082" fmla="*/ 3970568 h 6858000"/>
            <a:gd name="connsiteX8083" fmla="*/ 9039983 w 12192000"/>
            <a:gd name="connsiteY8083" fmla="*/ 4005387 h 6858000"/>
            <a:gd name="connsiteX8084" fmla="*/ 9005170 w 12192000"/>
            <a:gd name="connsiteY8084" fmla="*/ 4040206 h 6858000"/>
            <a:gd name="connsiteX8085" fmla="*/ 9090063 w 12192000"/>
            <a:gd name="connsiteY8085" fmla="*/ 4040206 h 6858000"/>
            <a:gd name="connsiteX8086" fmla="*/ 9055237 w 12192000"/>
            <a:gd name="connsiteY8086" fmla="*/ 4005387 h 6858000"/>
            <a:gd name="connsiteX8087" fmla="*/ 9090063 w 12192000"/>
            <a:gd name="connsiteY8087" fmla="*/ 3970568 h 6858000"/>
            <a:gd name="connsiteX8088" fmla="*/ 9124875 w 12192000"/>
            <a:gd name="connsiteY8088" fmla="*/ 4005387 h 6858000"/>
            <a:gd name="connsiteX8089" fmla="*/ 9090063 w 12192000"/>
            <a:gd name="connsiteY8089" fmla="*/ 4040206 h 6858000"/>
            <a:gd name="connsiteX8090" fmla="*/ 9174956 w 12192000"/>
            <a:gd name="connsiteY8090" fmla="*/ 4040206 h 6858000"/>
            <a:gd name="connsiteX8091" fmla="*/ 9140130 w 12192000"/>
            <a:gd name="connsiteY8091" fmla="*/ 4005387 h 6858000"/>
            <a:gd name="connsiteX8092" fmla="*/ 9174956 w 12192000"/>
            <a:gd name="connsiteY8092" fmla="*/ 3970568 h 6858000"/>
            <a:gd name="connsiteX8093" fmla="*/ 9209768 w 12192000"/>
            <a:gd name="connsiteY8093" fmla="*/ 4005387 h 6858000"/>
            <a:gd name="connsiteX8094" fmla="*/ 9174956 w 12192000"/>
            <a:gd name="connsiteY8094" fmla="*/ 4040206 h 6858000"/>
            <a:gd name="connsiteX8095" fmla="*/ 9259848 w 12192000"/>
            <a:gd name="connsiteY8095" fmla="*/ 4040206 h 6858000"/>
            <a:gd name="connsiteX8096" fmla="*/ 9225023 w 12192000"/>
            <a:gd name="connsiteY8096" fmla="*/ 4005387 h 6858000"/>
            <a:gd name="connsiteX8097" fmla="*/ 9259848 w 12192000"/>
            <a:gd name="connsiteY8097" fmla="*/ 3970568 h 6858000"/>
            <a:gd name="connsiteX8098" fmla="*/ 9294660 w 12192000"/>
            <a:gd name="connsiteY8098" fmla="*/ 4005387 h 6858000"/>
            <a:gd name="connsiteX8099" fmla="*/ 9259848 w 12192000"/>
            <a:gd name="connsiteY8099" fmla="*/ 4040206 h 6858000"/>
            <a:gd name="connsiteX8100" fmla="*/ 9344740 w 12192000"/>
            <a:gd name="connsiteY8100" fmla="*/ 4040206 h 6858000"/>
            <a:gd name="connsiteX8101" fmla="*/ 9309915 w 12192000"/>
            <a:gd name="connsiteY8101" fmla="*/ 4005387 h 6858000"/>
            <a:gd name="connsiteX8102" fmla="*/ 9344740 w 12192000"/>
            <a:gd name="connsiteY8102" fmla="*/ 3970568 h 6858000"/>
            <a:gd name="connsiteX8103" fmla="*/ 9379553 w 12192000"/>
            <a:gd name="connsiteY8103" fmla="*/ 4005387 h 6858000"/>
            <a:gd name="connsiteX8104" fmla="*/ 9344740 w 12192000"/>
            <a:gd name="connsiteY8104" fmla="*/ 4040206 h 6858000"/>
            <a:gd name="connsiteX8105" fmla="*/ 9429633 w 12192000"/>
            <a:gd name="connsiteY8105" fmla="*/ 4040206 h 6858000"/>
            <a:gd name="connsiteX8106" fmla="*/ 9394807 w 12192000"/>
            <a:gd name="connsiteY8106" fmla="*/ 4005387 h 6858000"/>
            <a:gd name="connsiteX8107" fmla="*/ 9429633 w 12192000"/>
            <a:gd name="connsiteY8107" fmla="*/ 3970568 h 6858000"/>
            <a:gd name="connsiteX8108" fmla="*/ 9464445 w 12192000"/>
            <a:gd name="connsiteY8108" fmla="*/ 4005387 h 6858000"/>
            <a:gd name="connsiteX8109" fmla="*/ 9429633 w 12192000"/>
            <a:gd name="connsiteY8109" fmla="*/ 4040206 h 6858000"/>
            <a:gd name="connsiteX8110" fmla="*/ 9684310 w 12192000"/>
            <a:gd name="connsiteY8110" fmla="*/ 4040206 h 6858000"/>
            <a:gd name="connsiteX8111" fmla="*/ 9649485 w 12192000"/>
            <a:gd name="connsiteY8111" fmla="*/ 4005387 h 6858000"/>
            <a:gd name="connsiteX8112" fmla="*/ 9684310 w 12192000"/>
            <a:gd name="connsiteY8112" fmla="*/ 3970568 h 6858000"/>
            <a:gd name="connsiteX8113" fmla="*/ 9719123 w 12192000"/>
            <a:gd name="connsiteY8113" fmla="*/ 4005387 h 6858000"/>
            <a:gd name="connsiteX8114" fmla="*/ 9684310 w 12192000"/>
            <a:gd name="connsiteY8114" fmla="*/ 4040206 h 6858000"/>
            <a:gd name="connsiteX8115" fmla="*/ 10108773 w 12192000"/>
            <a:gd name="connsiteY8115" fmla="*/ 4040206 h 6858000"/>
            <a:gd name="connsiteX8116" fmla="*/ 10073947 w 12192000"/>
            <a:gd name="connsiteY8116" fmla="*/ 4005387 h 6858000"/>
            <a:gd name="connsiteX8117" fmla="*/ 10108773 w 12192000"/>
            <a:gd name="connsiteY8117" fmla="*/ 3970568 h 6858000"/>
            <a:gd name="connsiteX8118" fmla="*/ 10143585 w 12192000"/>
            <a:gd name="connsiteY8118" fmla="*/ 4005387 h 6858000"/>
            <a:gd name="connsiteX8119" fmla="*/ 10108773 w 12192000"/>
            <a:gd name="connsiteY8119" fmla="*/ 4040206 h 6858000"/>
            <a:gd name="connsiteX8120" fmla="*/ 2213769 w 12192000"/>
            <a:gd name="connsiteY8120" fmla="*/ 3955346 h 6858000"/>
            <a:gd name="connsiteX8121" fmla="*/ 2178950 w 12192000"/>
            <a:gd name="connsiteY8121" fmla="*/ 3920527 h 6858000"/>
            <a:gd name="connsiteX8122" fmla="*/ 2213769 w 12192000"/>
            <a:gd name="connsiteY8122" fmla="*/ 3885709 h 6858000"/>
            <a:gd name="connsiteX8123" fmla="*/ 2248588 w 12192000"/>
            <a:gd name="connsiteY8123" fmla="*/ 3920527 h 6858000"/>
            <a:gd name="connsiteX8124" fmla="*/ 2213769 w 12192000"/>
            <a:gd name="connsiteY8124" fmla="*/ 3955346 h 6858000"/>
            <a:gd name="connsiteX8125" fmla="*/ 2298661 w 12192000"/>
            <a:gd name="connsiteY8125" fmla="*/ 3955346 h 6858000"/>
            <a:gd name="connsiteX8126" fmla="*/ 2263842 w 12192000"/>
            <a:gd name="connsiteY8126" fmla="*/ 3920527 h 6858000"/>
            <a:gd name="connsiteX8127" fmla="*/ 2298661 w 12192000"/>
            <a:gd name="connsiteY8127" fmla="*/ 3885709 h 6858000"/>
            <a:gd name="connsiteX8128" fmla="*/ 2333480 w 12192000"/>
            <a:gd name="connsiteY8128" fmla="*/ 3920527 h 6858000"/>
            <a:gd name="connsiteX8129" fmla="*/ 2298661 w 12192000"/>
            <a:gd name="connsiteY8129" fmla="*/ 3955346 h 6858000"/>
            <a:gd name="connsiteX8130" fmla="*/ 2383553 w 12192000"/>
            <a:gd name="connsiteY8130" fmla="*/ 3955346 h 6858000"/>
            <a:gd name="connsiteX8131" fmla="*/ 2348734 w 12192000"/>
            <a:gd name="connsiteY8131" fmla="*/ 3920527 h 6858000"/>
            <a:gd name="connsiteX8132" fmla="*/ 2383553 w 12192000"/>
            <a:gd name="connsiteY8132" fmla="*/ 3885709 h 6858000"/>
            <a:gd name="connsiteX8133" fmla="*/ 2418372 w 12192000"/>
            <a:gd name="connsiteY8133" fmla="*/ 3920527 h 6858000"/>
            <a:gd name="connsiteX8134" fmla="*/ 2383553 w 12192000"/>
            <a:gd name="connsiteY8134" fmla="*/ 3955346 h 6858000"/>
            <a:gd name="connsiteX8135" fmla="*/ 2468446 w 12192000"/>
            <a:gd name="connsiteY8135" fmla="*/ 3955346 h 6858000"/>
            <a:gd name="connsiteX8136" fmla="*/ 2433627 w 12192000"/>
            <a:gd name="connsiteY8136" fmla="*/ 3920527 h 6858000"/>
            <a:gd name="connsiteX8137" fmla="*/ 2468446 w 12192000"/>
            <a:gd name="connsiteY8137" fmla="*/ 3885709 h 6858000"/>
            <a:gd name="connsiteX8138" fmla="*/ 2503264 w 12192000"/>
            <a:gd name="connsiteY8138" fmla="*/ 3920527 h 6858000"/>
            <a:gd name="connsiteX8139" fmla="*/ 2468446 w 12192000"/>
            <a:gd name="connsiteY8139" fmla="*/ 3955346 h 6858000"/>
            <a:gd name="connsiteX8140" fmla="*/ 2553339 w 12192000"/>
            <a:gd name="connsiteY8140" fmla="*/ 3955346 h 6858000"/>
            <a:gd name="connsiteX8141" fmla="*/ 2518520 w 12192000"/>
            <a:gd name="connsiteY8141" fmla="*/ 3920527 h 6858000"/>
            <a:gd name="connsiteX8142" fmla="*/ 2553339 w 12192000"/>
            <a:gd name="connsiteY8142" fmla="*/ 3885709 h 6858000"/>
            <a:gd name="connsiteX8143" fmla="*/ 2588158 w 12192000"/>
            <a:gd name="connsiteY8143" fmla="*/ 3920527 h 6858000"/>
            <a:gd name="connsiteX8144" fmla="*/ 2553339 w 12192000"/>
            <a:gd name="connsiteY8144" fmla="*/ 3955346 h 6858000"/>
            <a:gd name="connsiteX8145" fmla="*/ 2638231 w 12192000"/>
            <a:gd name="connsiteY8145" fmla="*/ 3955346 h 6858000"/>
            <a:gd name="connsiteX8146" fmla="*/ 2603412 w 12192000"/>
            <a:gd name="connsiteY8146" fmla="*/ 3920527 h 6858000"/>
            <a:gd name="connsiteX8147" fmla="*/ 2638231 w 12192000"/>
            <a:gd name="connsiteY8147" fmla="*/ 3885709 h 6858000"/>
            <a:gd name="connsiteX8148" fmla="*/ 2673050 w 12192000"/>
            <a:gd name="connsiteY8148" fmla="*/ 3920527 h 6858000"/>
            <a:gd name="connsiteX8149" fmla="*/ 2638231 w 12192000"/>
            <a:gd name="connsiteY8149" fmla="*/ 3955346 h 6858000"/>
            <a:gd name="connsiteX8150" fmla="*/ 2723123 w 12192000"/>
            <a:gd name="connsiteY8150" fmla="*/ 3955346 h 6858000"/>
            <a:gd name="connsiteX8151" fmla="*/ 2688304 w 12192000"/>
            <a:gd name="connsiteY8151" fmla="*/ 3920527 h 6858000"/>
            <a:gd name="connsiteX8152" fmla="*/ 2723123 w 12192000"/>
            <a:gd name="connsiteY8152" fmla="*/ 3885709 h 6858000"/>
            <a:gd name="connsiteX8153" fmla="*/ 2757942 w 12192000"/>
            <a:gd name="connsiteY8153" fmla="*/ 3920527 h 6858000"/>
            <a:gd name="connsiteX8154" fmla="*/ 2723123 w 12192000"/>
            <a:gd name="connsiteY8154" fmla="*/ 3955346 h 6858000"/>
            <a:gd name="connsiteX8155" fmla="*/ 2808016 w 12192000"/>
            <a:gd name="connsiteY8155" fmla="*/ 3955346 h 6858000"/>
            <a:gd name="connsiteX8156" fmla="*/ 2773197 w 12192000"/>
            <a:gd name="connsiteY8156" fmla="*/ 3920527 h 6858000"/>
            <a:gd name="connsiteX8157" fmla="*/ 2808016 w 12192000"/>
            <a:gd name="connsiteY8157" fmla="*/ 3885709 h 6858000"/>
            <a:gd name="connsiteX8158" fmla="*/ 2842834 w 12192000"/>
            <a:gd name="connsiteY8158" fmla="*/ 3920527 h 6858000"/>
            <a:gd name="connsiteX8159" fmla="*/ 2808016 w 12192000"/>
            <a:gd name="connsiteY8159" fmla="*/ 3955346 h 6858000"/>
            <a:gd name="connsiteX8160" fmla="*/ 2892908 w 12192000"/>
            <a:gd name="connsiteY8160" fmla="*/ 3955346 h 6858000"/>
            <a:gd name="connsiteX8161" fmla="*/ 2858089 w 12192000"/>
            <a:gd name="connsiteY8161" fmla="*/ 3920527 h 6858000"/>
            <a:gd name="connsiteX8162" fmla="*/ 2892908 w 12192000"/>
            <a:gd name="connsiteY8162" fmla="*/ 3885709 h 6858000"/>
            <a:gd name="connsiteX8163" fmla="*/ 2927727 w 12192000"/>
            <a:gd name="connsiteY8163" fmla="*/ 3920527 h 6858000"/>
            <a:gd name="connsiteX8164" fmla="*/ 2892908 w 12192000"/>
            <a:gd name="connsiteY8164" fmla="*/ 3955346 h 6858000"/>
            <a:gd name="connsiteX8165" fmla="*/ 2977801 w 12192000"/>
            <a:gd name="connsiteY8165" fmla="*/ 3955346 h 6858000"/>
            <a:gd name="connsiteX8166" fmla="*/ 2942982 w 12192000"/>
            <a:gd name="connsiteY8166" fmla="*/ 3920527 h 6858000"/>
            <a:gd name="connsiteX8167" fmla="*/ 2977801 w 12192000"/>
            <a:gd name="connsiteY8167" fmla="*/ 3885709 h 6858000"/>
            <a:gd name="connsiteX8168" fmla="*/ 3012620 w 12192000"/>
            <a:gd name="connsiteY8168" fmla="*/ 3920527 h 6858000"/>
            <a:gd name="connsiteX8169" fmla="*/ 2977801 w 12192000"/>
            <a:gd name="connsiteY8169" fmla="*/ 3955346 h 6858000"/>
            <a:gd name="connsiteX8170" fmla="*/ 3062693 w 12192000"/>
            <a:gd name="connsiteY8170" fmla="*/ 3955346 h 6858000"/>
            <a:gd name="connsiteX8171" fmla="*/ 3027874 w 12192000"/>
            <a:gd name="connsiteY8171" fmla="*/ 3920527 h 6858000"/>
            <a:gd name="connsiteX8172" fmla="*/ 3062693 w 12192000"/>
            <a:gd name="connsiteY8172" fmla="*/ 3885709 h 6858000"/>
            <a:gd name="connsiteX8173" fmla="*/ 3097512 w 12192000"/>
            <a:gd name="connsiteY8173" fmla="*/ 3920527 h 6858000"/>
            <a:gd name="connsiteX8174" fmla="*/ 3062693 w 12192000"/>
            <a:gd name="connsiteY8174" fmla="*/ 3955346 h 6858000"/>
            <a:gd name="connsiteX8175" fmla="*/ 3147586 w 12192000"/>
            <a:gd name="connsiteY8175" fmla="*/ 3955346 h 6858000"/>
            <a:gd name="connsiteX8176" fmla="*/ 3112767 w 12192000"/>
            <a:gd name="connsiteY8176" fmla="*/ 3920527 h 6858000"/>
            <a:gd name="connsiteX8177" fmla="*/ 3147586 w 12192000"/>
            <a:gd name="connsiteY8177" fmla="*/ 3885709 h 6858000"/>
            <a:gd name="connsiteX8178" fmla="*/ 3182404 w 12192000"/>
            <a:gd name="connsiteY8178" fmla="*/ 3920527 h 6858000"/>
            <a:gd name="connsiteX8179" fmla="*/ 3147586 w 12192000"/>
            <a:gd name="connsiteY8179" fmla="*/ 3955346 h 6858000"/>
            <a:gd name="connsiteX8180" fmla="*/ 3232478 w 12192000"/>
            <a:gd name="connsiteY8180" fmla="*/ 3955346 h 6858000"/>
            <a:gd name="connsiteX8181" fmla="*/ 3197659 w 12192000"/>
            <a:gd name="connsiteY8181" fmla="*/ 3920527 h 6858000"/>
            <a:gd name="connsiteX8182" fmla="*/ 3232478 w 12192000"/>
            <a:gd name="connsiteY8182" fmla="*/ 3885709 h 6858000"/>
            <a:gd name="connsiteX8183" fmla="*/ 3267297 w 12192000"/>
            <a:gd name="connsiteY8183" fmla="*/ 3920527 h 6858000"/>
            <a:gd name="connsiteX8184" fmla="*/ 3232478 w 12192000"/>
            <a:gd name="connsiteY8184" fmla="*/ 3955346 h 6858000"/>
            <a:gd name="connsiteX8185" fmla="*/ 3317371 w 12192000"/>
            <a:gd name="connsiteY8185" fmla="*/ 3955346 h 6858000"/>
            <a:gd name="connsiteX8186" fmla="*/ 3282552 w 12192000"/>
            <a:gd name="connsiteY8186" fmla="*/ 3920527 h 6858000"/>
            <a:gd name="connsiteX8187" fmla="*/ 3317371 w 12192000"/>
            <a:gd name="connsiteY8187" fmla="*/ 3885709 h 6858000"/>
            <a:gd name="connsiteX8188" fmla="*/ 3352190 w 12192000"/>
            <a:gd name="connsiteY8188" fmla="*/ 3920527 h 6858000"/>
            <a:gd name="connsiteX8189" fmla="*/ 3317371 w 12192000"/>
            <a:gd name="connsiteY8189" fmla="*/ 3955346 h 6858000"/>
            <a:gd name="connsiteX8190" fmla="*/ 3402263 w 12192000"/>
            <a:gd name="connsiteY8190" fmla="*/ 3955346 h 6858000"/>
            <a:gd name="connsiteX8191" fmla="*/ 3367444 w 12192000"/>
            <a:gd name="connsiteY8191" fmla="*/ 3920527 h 6858000"/>
            <a:gd name="connsiteX8192" fmla="*/ 3402263 w 12192000"/>
            <a:gd name="connsiteY8192" fmla="*/ 3885709 h 6858000"/>
            <a:gd name="connsiteX8193" fmla="*/ 3437082 w 12192000"/>
            <a:gd name="connsiteY8193" fmla="*/ 3920527 h 6858000"/>
            <a:gd name="connsiteX8194" fmla="*/ 3402263 w 12192000"/>
            <a:gd name="connsiteY8194" fmla="*/ 3955346 h 6858000"/>
            <a:gd name="connsiteX8195" fmla="*/ 3487156 w 12192000"/>
            <a:gd name="connsiteY8195" fmla="*/ 3955346 h 6858000"/>
            <a:gd name="connsiteX8196" fmla="*/ 3452337 w 12192000"/>
            <a:gd name="connsiteY8196" fmla="*/ 3920527 h 6858000"/>
            <a:gd name="connsiteX8197" fmla="*/ 3487156 w 12192000"/>
            <a:gd name="connsiteY8197" fmla="*/ 3885709 h 6858000"/>
            <a:gd name="connsiteX8198" fmla="*/ 3521974 w 12192000"/>
            <a:gd name="connsiteY8198" fmla="*/ 3920527 h 6858000"/>
            <a:gd name="connsiteX8199" fmla="*/ 3487156 w 12192000"/>
            <a:gd name="connsiteY8199" fmla="*/ 3955346 h 6858000"/>
            <a:gd name="connsiteX8200" fmla="*/ 3572048 w 12192000"/>
            <a:gd name="connsiteY8200" fmla="*/ 3955346 h 6858000"/>
            <a:gd name="connsiteX8201" fmla="*/ 3537229 w 12192000"/>
            <a:gd name="connsiteY8201" fmla="*/ 3920527 h 6858000"/>
            <a:gd name="connsiteX8202" fmla="*/ 3572048 w 12192000"/>
            <a:gd name="connsiteY8202" fmla="*/ 3885709 h 6858000"/>
            <a:gd name="connsiteX8203" fmla="*/ 3606867 w 12192000"/>
            <a:gd name="connsiteY8203" fmla="*/ 3920527 h 6858000"/>
            <a:gd name="connsiteX8204" fmla="*/ 3572048 w 12192000"/>
            <a:gd name="connsiteY8204" fmla="*/ 3955346 h 6858000"/>
            <a:gd name="connsiteX8205" fmla="*/ 3656941 w 12192000"/>
            <a:gd name="connsiteY8205" fmla="*/ 3955346 h 6858000"/>
            <a:gd name="connsiteX8206" fmla="*/ 3622122 w 12192000"/>
            <a:gd name="connsiteY8206" fmla="*/ 3920527 h 6858000"/>
            <a:gd name="connsiteX8207" fmla="*/ 3656941 w 12192000"/>
            <a:gd name="connsiteY8207" fmla="*/ 3885709 h 6858000"/>
            <a:gd name="connsiteX8208" fmla="*/ 3691760 w 12192000"/>
            <a:gd name="connsiteY8208" fmla="*/ 3920527 h 6858000"/>
            <a:gd name="connsiteX8209" fmla="*/ 3656941 w 12192000"/>
            <a:gd name="connsiteY8209" fmla="*/ 3955346 h 6858000"/>
            <a:gd name="connsiteX8210" fmla="*/ 5609468 w 12192000"/>
            <a:gd name="connsiteY8210" fmla="*/ 3955346 h 6858000"/>
            <a:gd name="connsiteX8211" fmla="*/ 5574649 w 12192000"/>
            <a:gd name="connsiteY8211" fmla="*/ 3920527 h 6858000"/>
            <a:gd name="connsiteX8212" fmla="*/ 5609468 w 12192000"/>
            <a:gd name="connsiteY8212" fmla="*/ 3885709 h 6858000"/>
            <a:gd name="connsiteX8213" fmla="*/ 5644287 w 12192000"/>
            <a:gd name="connsiteY8213" fmla="*/ 3920527 h 6858000"/>
            <a:gd name="connsiteX8214" fmla="*/ 5609468 w 12192000"/>
            <a:gd name="connsiteY8214" fmla="*/ 3955346 h 6858000"/>
            <a:gd name="connsiteX8215" fmla="*/ 5694360 w 12192000"/>
            <a:gd name="connsiteY8215" fmla="*/ 3955346 h 6858000"/>
            <a:gd name="connsiteX8216" fmla="*/ 5659541 w 12192000"/>
            <a:gd name="connsiteY8216" fmla="*/ 3920527 h 6858000"/>
            <a:gd name="connsiteX8217" fmla="*/ 5694360 w 12192000"/>
            <a:gd name="connsiteY8217" fmla="*/ 3885709 h 6858000"/>
            <a:gd name="connsiteX8218" fmla="*/ 5729179 w 12192000"/>
            <a:gd name="connsiteY8218" fmla="*/ 3920527 h 6858000"/>
            <a:gd name="connsiteX8219" fmla="*/ 5694360 w 12192000"/>
            <a:gd name="connsiteY8219" fmla="*/ 3955346 h 6858000"/>
            <a:gd name="connsiteX8220" fmla="*/ 5779252 w 12192000"/>
            <a:gd name="connsiteY8220" fmla="*/ 3955346 h 6858000"/>
            <a:gd name="connsiteX8221" fmla="*/ 5744433 w 12192000"/>
            <a:gd name="connsiteY8221" fmla="*/ 3920527 h 6858000"/>
            <a:gd name="connsiteX8222" fmla="*/ 5779252 w 12192000"/>
            <a:gd name="connsiteY8222" fmla="*/ 3885709 h 6858000"/>
            <a:gd name="connsiteX8223" fmla="*/ 5814071 w 12192000"/>
            <a:gd name="connsiteY8223" fmla="*/ 3920527 h 6858000"/>
            <a:gd name="connsiteX8224" fmla="*/ 5779252 w 12192000"/>
            <a:gd name="connsiteY8224" fmla="*/ 3955346 h 6858000"/>
            <a:gd name="connsiteX8225" fmla="*/ 5864146 w 12192000"/>
            <a:gd name="connsiteY8225" fmla="*/ 3955346 h 6858000"/>
            <a:gd name="connsiteX8226" fmla="*/ 5829327 w 12192000"/>
            <a:gd name="connsiteY8226" fmla="*/ 3920527 h 6858000"/>
            <a:gd name="connsiteX8227" fmla="*/ 5864146 w 12192000"/>
            <a:gd name="connsiteY8227" fmla="*/ 3885709 h 6858000"/>
            <a:gd name="connsiteX8228" fmla="*/ 5898964 w 12192000"/>
            <a:gd name="connsiteY8228" fmla="*/ 3920527 h 6858000"/>
            <a:gd name="connsiteX8229" fmla="*/ 5864146 w 12192000"/>
            <a:gd name="connsiteY8229" fmla="*/ 3955346 h 6858000"/>
            <a:gd name="connsiteX8230" fmla="*/ 6118826 w 12192000"/>
            <a:gd name="connsiteY8230" fmla="*/ 3955346 h 6858000"/>
            <a:gd name="connsiteX8231" fmla="*/ 6084000 w 12192000"/>
            <a:gd name="connsiteY8231" fmla="*/ 3920527 h 6858000"/>
            <a:gd name="connsiteX8232" fmla="*/ 6118826 w 12192000"/>
            <a:gd name="connsiteY8232" fmla="*/ 3885709 h 6858000"/>
            <a:gd name="connsiteX8233" fmla="*/ 6153638 w 12192000"/>
            <a:gd name="connsiteY8233" fmla="*/ 3920527 h 6858000"/>
            <a:gd name="connsiteX8234" fmla="*/ 6118826 w 12192000"/>
            <a:gd name="connsiteY8234" fmla="*/ 3955346 h 6858000"/>
            <a:gd name="connsiteX8235" fmla="*/ 6288611 w 12192000"/>
            <a:gd name="connsiteY8235" fmla="*/ 3955346 h 6858000"/>
            <a:gd name="connsiteX8236" fmla="*/ 6253786 w 12192000"/>
            <a:gd name="connsiteY8236" fmla="*/ 3920527 h 6858000"/>
            <a:gd name="connsiteX8237" fmla="*/ 6288611 w 12192000"/>
            <a:gd name="connsiteY8237" fmla="*/ 3885709 h 6858000"/>
            <a:gd name="connsiteX8238" fmla="*/ 6323424 w 12192000"/>
            <a:gd name="connsiteY8238" fmla="*/ 3920527 h 6858000"/>
            <a:gd name="connsiteX8239" fmla="*/ 6288611 w 12192000"/>
            <a:gd name="connsiteY8239" fmla="*/ 3955346 h 6858000"/>
            <a:gd name="connsiteX8240" fmla="*/ 6458396 w 12192000"/>
            <a:gd name="connsiteY8240" fmla="*/ 3955346 h 6858000"/>
            <a:gd name="connsiteX8241" fmla="*/ 6423570 w 12192000"/>
            <a:gd name="connsiteY8241" fmla="*/ 3920527 h 6858000"/>
            <a:gd name="connsiteX8242" fmla="*/ 6458396 w 12192000"/>
            <a:gd name="connsiteY8242" fmla="*/ 3885709 h 6858000"/>
            <a:gd name="connsiteX8243" fmla="*/ 6493208 w 12192000"/>
            <a:gd name="connsiteY8243" fmla="*/ 3920527 h 6858000"/>
            <a:gd name="connsiteX8244" fmla="*/ 6458396 w 12192000"/>
            <a:gd name="connsiteY8244" fmla="*/ 3955346 h 6858000"/>
            <a:gd name="connsiteX8245" fmla="*/ 6628181 w 12192000"/>
            <a:gd name="connsiteY8245" fmla="*/ 3955346 h 6858000"/>
            <a:gd name="connsiteX8246" fmla="*/ 6593356 w 12192000"/>
            <a:gd name="connsiteY8246" fmla="*/ 3920527 h 6858000"/>
            <a:gd name="connsiteX8247" fmla="*/ 6628181 w 12192000"/>
            <a:gd name="connsiteY8247" fmla="*/ 3885709 h 6858000"/>
            <a:gd name="connsiteX8248" fmla="*/ 6662994 w 12192000"/>
            <a:gd name="connsiteY8248" fmla="*/ 3920527 h 6858000"/>
            <a:gd name="connsiteX8249" fmla="*/ 6628181 w 12192000"/>
            <a:gd name="connsiteY8249" fmla="*/ 3955346 h 6858000"/>
            <a:gd name="connsiteX8250" fmla="*/ 6797966 w 12192000"/>
            <a:gd name="connsiteY8250" fmla="*/ 3955346 h 6858000"/>
            <a:gd name="connsiteX8251" fmla="*/ 6763140 w 12192000"/>
            <a:gd name="connsiteY8251" fmla="*/ 3920527 h 6858000"/>
            <a:gd name="connsiteX8252" fmla="*/ 6797966 w 12192000"/>
            <a:gd name="connsiteY8252" fmla="*/ 3885709 h 6858000"/>
            <a:gd name="connsiteX8253" fmla="*/ 6832778 w 12192000"/>
            <a:gd name="connsiteY8253" fmla="*/ 3920527 h 6858000"/>
            <a:gd name="connsiteX8254" fmla="*/ 6797966 w 12192000"/>
            <a:gd name="connsiteY8254" fmla="*/ 3955346 h 6858000"/>
            <a:gd name="connsiteX8255" fmla="*/ 6882858 w 12192000"/>
            <a:gd name="connsiteY8255" fmla="*/ 3955346 h 6858000"/>
            <a:gd name="connsiteX8256" fmla="*/ 6848033 w 12192000"/>
            <a:gd name="connsiteY8256" fmla="*/ 3920527 h 6858000"/>
            <a:gd name="connsiteX8257" fmla="*/ 6882858 w 12192000"/>
            <a:gd name="connsiteY8257" fmla="*/ 3885709 h 6858000"/>
            <a:gd name="connsiteX8258" fmla="*/ 6917670 w 12192000"/>
            <a:gd name="connsiteY8258" fmla="*/ 3920527 h 6858000"/>
            <a:gd name="connsiteX8259" fmla="*/ 6882858 w 12192000"/>
            <a:gd name="connsiteY8259" fmla="*/ 3955346 h 6858000"/>
            <a:gd name="connsiteX8260" fmla="*/ 6967750 w 12192000"/>
            <a:gd name="connsiteY8260" fmla="*/ 3955346 h 6858000"/>
            <a:gd name="connsiteX8261" fmla="*/ 6932925 w 12192000"/>
            <a:gd name="connsiteY8261" fmla="*/ 3920527 h 6858000"/>
            <a:gd name="connsiteX8262" fmla="*/ 6967750 w 12192000"/>
            <a:gd name="connsiteY8262" fmla="*/ 3885709 h 6858000"/>
            <a:gd name="connsiteX8263" fmla="*/ 7002563 w 12192000"/>
            <a:gd name="connsiteY8263" fmla="*/ 3920527 h 6858000"/>
            <a:gd name="connsiteX8264" fmla="*/ 6967750 w 12192000"/>
            <a:gd name="connsiteY8264" fmla="*/ 3955346 h 6858000"/>
            <a:gd name="connsiteX8265" fmla="*/ 7137536 w 12192000"/>
            <a:gd name="connsiteY8265" fmla="*/ 3955346 h 6858000"/>
            <a:gd name="connsiteX8266" fmla="*/ 7102710 w 12192000"/>
            <a:gd name="connsiteY8266" fmla="*/ 3920527 h 6858000"/>
            <a:gd name="connsiteX8267" fmla="*/ 7137536 w 12192000"/>
            <a:gd name="connsiteY8267" fmla="*/ 3885709 h 6858000"/>
            <a:gd name="connsiteX8268" fmla="*/ 7172348 w 12192000"/>
            <a:gd name="connsiteY8268" fmla="*/ 3920527 h 6858000"/>
            <a:gd name="connsiteX8269" fmla="*/ 7137536 w 12192000"/>
            <a:gd name="connsiteY8269" fmla="*/ 3955346 h 6858000"/>
            <a:gd name="connsiteX8270" fmla="*/ 7222428 w 12192000"/>
            <a:gd name="connsiteY8270" fmla="*/ 3955346 h 6858000"/>
            <a:gd name="connsiteX8271" fmla="*/ 7187603 w 12192000"/>
            <a:gd name="connsiteY8271" fmla="*/ 3920527 h 6858000"/>
            <a:gd name="connsiteX8272" fmla="*/ 7222428 w 12192000"/>
            <a:gd name="connsiteY8272" fmla="*/ 3885709 h 6858000"/>
            <a:gd name="connsiteX8273" fmla="*/ 7257240 w 12192000"/>
            <a:gd name="connsiteY8273" fmla="*/ 3920527 h 6858000"/>
            <a:gd name="connsiteX8274" fmla="*/ 7222428 w 12192000"/>
            <a:gd name="connsiteY8274" fmla="*/ 3955346 h 6858000"/>
            <a:gd name="connsiteX8275" fmla="*/ 7307320 w 12192000"/>
            <a:gd name="connsiteY8275" fmla="*/ 3955346 h 6858000"/>
            <a:gd name="connsiteX8276" fmla="*/ 7272495 w 12192000"/>
            <a:gd name="connsiteY8276" fmla="*/ 3920527 h 6858000"/>
            <a:gd name="connsiteX8277" fmla="*/ 7307320 w 12192000"/>
            <a:gd name="connsiteY8277" fmla="*/ 3885709 h 6858000"/>
            <a:gd name="connsiteX8278" fmla="*/ 7342133 w 12192000"/>
            <a:gd name="connsiteY8278" fmla="*/ 3920527 h 6858000"/>
            <a:gd name="connsiteX8279" fmla="*/ 7307320 w 12192000"/>
            <a:gd name="connsiteY8279" fmla="*/ 3955346 h 6858000"/>
            <a:gd name="connsiteX8280" fmla="*/ 7477106 w 12192000"/>
            <a:gd name="connsiteY8280" fmla="*/ 3955346 h 6858000"/>
            <a:gd name="connsiteX8281" fmla="*/ 7442280 w 12192000"/>
            <a:gd name="connsiteY8281" fmla="*/ 3920527 h 6858000"/>
            <a:gd name="connsiteX8282" fmla="*/ 7477106 w 12192000"/>
            <a:gd name="connsiteY8282" fmla="*/ 3885709 h 6858000"/>
            <a:gd name="connsiteX8283" fmla="*/ 7511918 w 12192000"/>
            <a:gd name="connsiteY8283" fmla="*/ 3920527 h 6858000"/>
            <a:gd name="connsiteX8284" fmla="*/ 7477106 w 12192000"/>
            <a:gd name="connsiteY8284" fmla="*/ 3955346 h 6858000"/>
            <a:gd name="connsiteX8285" fmla="*/ 7561998 w 12192000"/>
            <a:gd name="connsiteY8285" fmla="*/ 3955346 h 6858000"/>
            <a:gd name="connsiteX8286" fmla="*/ 7527173 w 12192000"/>
            <a:gd name="connsiteY8286" fmla="*/ 3920527 h 6858000"/>
            <a:gd name="connsiteX8287" fmla="*/ 7561998 w 12192000"/>
            <a:gd name="connsiteY8287" fmla="*/ 3885709 h 6858000"/>
            <a:gd name="connsiteX8288" fmla="*/ 7596810 w 12192000"/>
            <a:gd name="connsiteY8288" fmla="*/ 3920527 h 6858000"/>
            <a:gd name="connsiteX8289" fmla="*/ 7561998 w 12192000"/>
            <a:gd name="connsiteY8289" fmla="*/ 3955346 h 6858000"/>
            <a:gd name="connsiteX8290" fmla="*/ 7646890 w 12192000"/>
            <a:gd name="connsiteY8290" fmla="*/ 3955346 h 6858000"/>
            <a:gd name="connsiteX8291" fmla="*/ 7612065 w 12192000"/>
            <a:gd name="connsiteY8291" fmla="*/ 3920527 h 6858000"/>
            <a:gd name="connsiteX8292" fmla="*/ 7646890 w 12192000"/>
            <a:gd name="connsiteY8292" fmla="*/ 3885709 h 6858000"/>
            <a:gd name="connsiteX8293" fmla="*/ 7681703 w 12192000"/>
            <a:gd name="connsiteY8293" fmla="*/ 3920527 h 6858000"/>
            <a:gd name="connsiteX8294" fmla="*/ 7646890 w 12192000"/>
            <a:gd name="connsiteY8294" fmla="*/ 3955346 h 6858000"/>
            <a:gd name="connsiteX8295" fmla="*/ 7731784 w 12192000"/>
            <a:gd name="connsiteY8295" fmla="*/ 3955346 h 6858000"/>
            <a:gd name="connsiteX8296" fmla="*/ 7696958 w 12192000"/>
            <a:gd name="connsiteY8296" fmla="*/ 3920527 h 6858000"/>
            <a:gd name="connsiteX8297" fmla="*/ 7731784 w 12192000"/>
            <a:gd name="connsiteY8297" fmla="*/ 3885709 h 6858000"/>
            <a:gd name="connsiteX8298" fmla="*/ 7766596 w 12192000"/>
            <a:gd name="connsiteY8298" fmla="*/ 3920527 h 6858000"/>
            <a:gd name="connsiteX8299" fmla="*/ 7731784 w 12192000"/>
            <a:gd name="connsiteY8299" fmla="*/ 3955346 h 6858000"/>
            <a:gd name="connsiteX8300" fmla="*/ 7816676 w 12192000"/>
            <a:gd name="connsiteY8300" fmla="*/ 3955346 h 6858000"/>
            <a:gd name="connsiteX8301" fmla="*/ 7781850 w 12192000"/>
            <a:gd name="connsiteY8301" fmla="*/ 3920527 h 6858000"/>
            <a:gd name="connsiteX8302" fmla="*/ 7816676 w 12192000"/>
            <a:gd name="connsiteY8302" fmla="*/ 3885709 h 6858000"/>
            <a:gd name="connsiteX8303" fmla="*/ 7851488 w 12192000"/>
            <a:gd name="connsiteY8303" fmla="*/ 3920527 h 6858000"/>
            <a:gd name="connsiteX8304" fmla="*/ 7816676 w 12192000"/>
            <a:gd name="connsiteY8304" fmla="*/ 3955346 h 6858000"/>
            <a:gd name="connsiteX8305" fmla="*/ 7901568 w 12192000"/>
            <a:gd name="connsiteY8305" fmla="*/ 3955346 h 6858000"/>
            <a:gd name="connsiteX8306" fmla="*/ 7866743 w 12192000"/>
            <a:gd name="connsiteY8306" fmla="*/ 3920527 h 6858000"/>
            <a:gd name="connsiteX8307" fmla="*/ 7901568 w 12192000"/>
            <a:gd name="connsiteY8307" fmla="*/ 3885709 h 6858000"/>
            <a:gd name="connsiteX8308" fmla="*/ 7936380 w 12192000"/>
            <a:gd name="connsiteY8308" fmla="*/ 3920527 h 6858000"/>
            <a:gd name="connsiteX8309" fmla="*/ 7901568 w 12192000"/>
            <a:gd name="connsiteY8309" fmla="*/ 3955346 h 6858000"/>
            <a:gd name="connsiteX8310" fmla="*/ 7986460 w 12192000"/>
            <a:gd name="connsiteY8310" fmla="*/ 3955346 h 6858000"/>
            <a:gd name="connsiteX8311" fmla="*/ 7951635 w 12192000"/>
            <a:gd name="connsiteY8311" fmla="*/ 3920527 h 6858000"/>
            <a:gd name="connsiteX8312" fmla="*/ 7986460 w 12192000"/>
            <a:gd name="connsiteY8312" fmla="*/ 3885709 h 6858000"/>
            <a:gd name="connsiteX8313" fmla="*/ 8021273 w 12192000"/>
            <a:gd name="connsiteY8313" fmla="*/ 3920527 h 6858000"/>
            <a:gd name="connsiteX8314" fmla="*/ 7986460 w 12192000"/>
            <a:gd name="connsiteY8314" fmla="*/ 3955346 h 6858000"/>
            <a:gd name="connsiteX8315" fmla="*/ 8071353 w 12192000"/>
            <a:gd name="connsiteY8315" fmla="*/ 3955346 h 6858000"/>
            <a:gd name="connsiteX8316" fmla="*/ 8036527 w 12192000"/>
            <a:gd name="connsiteY8316" fmla="*/ 3920527 h 6858000"/>
            <a:gd name="connsiteX8317" fmla="*/ 8071353 w 12192000"/>
            <a:gd name="connsiteY8317" fmla="*/ 3885709 h 6858000"/>
            <a:gd name="connsiteX8318" fmla="*/ 8106165 w 12192000"/>
            <a:gd name="connsiteY8318" fmla="*/ 3920527 h 6858000"/>
            <a:gd name="connsiteX8319" fmla="*/ 8071353 w 12192000"/>
            <a:gd name="connsiteY8319" fmla="*/ 3955346 h 6858000"/>
            <a:gd name="connsiteX8320" fmla="*/ 8156246 w 12192000"/>
            <a:gd name="connsiteY8320" fmla="*/ 3955346 h 6858000"/>
            <a:gd name="connsiteX8321" fmla="*/ 8121420 w 12192000"/>
            <a:gd name="connsiteY8321" fmla="*/ 3920527 h 6858000"/>
            <a:gd name="connsiteX8322" fmla="*/ 8156246 w 12192000"/>
            <a:gd name="connsiteY8322" fmla="*/ 3885709 h 6858000"/>
            <a:gd name="connsiteX8323" fmla="*/ 8191058 w 12192000"/>
            <a:gd name="connsiteY8323" fmla="*/ 3920527 h 6858000"/>
            <a:gd name="connsiteX8324" fmla="*/ 8156246 w 12192000"/>
            <a:gd name="connsiteY8324" fmla="*/ 3955346 h 6858000"/>
            <a:gd name="connsiteX8325" fmla="*/ 8241138 w 12192000"/>
            <a:gd name="connsiteY8325" fmla="*/ 3955346 h 6858000"/>
            <a:gd name="connsiteX8326" fmla="*/ 8206313 w 12192000"/>
            <a:gd name="connsiteY8326" fmla="*/ 3920527 h 6858000"/>
            <a:gd name="connsiteX8327" fmla="*/ 8241138 w 12192000"/>
            <a:gd name="connsiteY8327" fmla="*/ 3885709 h 6858000"/>
            <a:gd name="connsiteX8328" fmla="*/ 8275950 w 12192000"/>
            <a:gd name="connsiteY8328" fmla="*/ 3920527 h 6858000"/>
            <a:gd name="connsiteX8329" fmla="*/ 8241138 w 12192000"/>
            <a:gd name="connsiteY8329" fmla="*/ 3955346 h 6858000"/>
            <a:gd name="connsiteX8330" fmla="*/ 8326030 w 12192000"/>
            <a:gd name="connsiteY8330" fmla="*/ 3955346 h 6858000"/>
            <a:gd name="connsiteX8331" fmla="*/ 8291205 w 12192000"/>
            <a:gd name="connsiteY8331" fmla="*/ 3920527 h 6858000"/>
            <a:gd name="connsiteX8332" fmla="*/ 8326030 w 12192000"/>
            <a:gd name="connsiteY8332" fmla="*/ 3885709 h 6858000"/>
            <a:gd name="connsiteX8333" fmla="*/ 8360843 w 12192000"/>
            <a:gd name="connsiteY8333" fmla="*/ 3920527 h 6858000"/>
            <a:gd name="connsiteX8334" fmla="*/ 8326030 w 12192000"/>
            <a:gd name="connsiteY8334" fmla="*/ 3955346 h 6858000"/>
            <a:gd name="connsiteX8335" fmla="*/ 8410923 w 12192000"/>
            <a:gd name="connsiteY8335" fmla="*/ 3955346 h 6858000"/>
            <a:gd name="connsiteX8336" fmla="*/ 8376097 w 12192000"/>
            <a:gd name="connsiteY8336" fmla="*/ 3920527 h 6858000"/>
            <a:gd name="connsiteX8337" fmla="*/ 8410923 w 12192000"/>
            <a:gd name="connsiteY8337" fmla="*/ 3885709 h 6858000"/>
            <a:gd name="connsiteX8338" fmla="*/ 8445735 w 12192000"/>
            <a:gd name="connsiteY8338" fmla="*/ 3920527 h 6858000"/>
            <a:gd name="connsiteX8339" fmla="*/ 8410923 w 12192000"/>
            <a:gd name="connsiteY8339" fmla="*/ 3955346 h 6858000"/>
            <a:gd name="connsiteX8340" fmla="*/ 8495816 w 12192000"/>
            <a:gd name="connsiteY8340" fmla="*/ 3955346 h 6858000"/>
            <a:gd name="connsiteX8341" fmla="*/ 8460990 w 12192000"/>
            <a:gd name="connsiteY8341" fmla="*/ 3920527 h 6858000"/>
            <a:gd name="connsiteX8342" fmla="*/ 8495816 w 12192000"/>
            <a:gd name="connsiteY8342" fmla="*/ 3885709 h 6858000"/>
            <a:gd name="connsiteX8343" fmla="*/ 8530628 w 12192000"/>
            <a:gd name="connsiteY8343" fmla="*/ 3920527 h 6858000"/>
            <a:gd name="connsiteX8344" fmla="*/ 8495816 w 12192000"/>
            <a:gd name="connsiteY8344" fmla="*/ 3955346 h 6858000"/>
            <a:gd name="connsiteX8345" fmla="*/ 8580708 w 12192000"/>
            <a:gd name="connsiteY8345" fmla="*/ 3955346 h 6858000"/>
            <a:gd name="connsiteX8346" fmla="*/ 8545883 w 12192000"/>
            <a:gd name="connsiteY8346" fmla="*/ 3920527 h 6858000"/>
            <a:gd name="connsiteX8347" fmla="*/ 8580708 w 12192000"/>
            <a:gd name="connsiteY8347" fmla="*/ 3885709 h 6858000"/>
            <a:gd name="connsiteX8348" fmla="*/ 8615520 w 12192000"/>
            <a:gd name="connsiteY8348" fmla="*/ 3920527 h 6858000"/>
            <a:gd name="connsiteX8349" fmla="*/ 8580708 w 12192000"/>
            <a:gd name="connsiteY8349" fmla="*/ 3955346 h 6858000"/>
            <a:gd name="connsiteX8350" fmla="*/ 8665600 w 12192000"/>
            <a:gd name="connsiteY8350" fmla="*/ 3955346 h 6858000"/>
            <a:gd name="connsiteX8351" fmla="*/ 8630775 w 12192000"/>
            <a:gd name="connsiteY8351" fmla="*/ 3920527 h 6858000"/>
            <a:gd name="connsiteX8352" fmla="*/ 8665600 w 12192000"/>
            <a:gd name="connsiteY8352" fmla="*/ 3885709 h 6858000"/>
            <a:gd name="connsiteX8353" fmla="*/ 8700413 w 12192000"/>
            <a:gd name="connsiteY8353" fmla="*/ 3920527 h 6858000"/>
            <a:gd name="connsiteX8354" fmla="*/ 8665600 w 12192000"/>
            <a:gd name="connsiteY8354" fmla="*/ 3955346 h 6858000"/>
            <a:gd name="connsiteX8355" fmla="*/ 8750493 w 12192000"/>
            <a:gd name="connsiteY8355" fmla="*/ 3955346 h 6858000"/>
            <a:gd name="connsiteX8356" fmla="*/ 8715667 w 12192000"/>
            <a:gd name="connsiteY8356" fmla="*/ 3920527 h 6858000"/>
            <a:gd name="connsiteX8357" fmla="*/ 8750493 w 12192000"/>
            <a:gd name="connsiteY8357" fmla="*/ 3885709 h 6858000"/>
            <a:gd name="connsiteX8358" fmla="*/ 8785305 w 12192000"/>
            <a:gd name="connsiteY8358" fmla="*/ 3920527 h 6858000"/>
            <a:gd name="connsiteX8359" fmla="*/ 8750493 w 12192000"/>
            <a:gd name="connsiteY8359" fmla="*/ 3955346 h 6858000"/>
            <a:gd name="connsiteX8360" fmla="*/ 8835386 w 12192000"/>
            <a:gd name="connsiteY8360" fmla="*/ 3955346 h 6858000"/>
            <a:gd name="connsiteX8361" fmla="*/ 8800560 w 12192000"/>
            <a:gd name="connsiteY8361" fmla="*/ 3920527 h 6858000"/>
            <a:gd name="connsiteX8362" fmla="*/ 8835386 w 12192000"/>
            <a:gd name="connsiteY8362" fmla="*/ 3885709 h 6858000"/>
            <a:gd name="connsiteX8363" fmla="*/ 8870198 w 12192000"/>
            <a:gd name="connsiteY8363" fmla="*/ 3920527 h 6858000"/>
            <a:gd name="connsiteX8364" fmla="*/ 8835386 w 12192000"/>
            <a:gd name="connsiteY8364" fmla="*/ 3955346 h 6858000"/>
            <a:gd name="connsiteX8365" fmla="*/ 8920278 w 12192000"/>
            <a:gd name="connsiteY8365" fmla="*/ 3955346 h 6858000"/>
            <a:gd name="connsiteX8366" fmla="*/ 8885453 w 12192000"/>
            <a:gd name="connsiteY8366" fmla="*/ 3920527 h 6858000"/>
            <a:gd name="connsiteX8367" fmla="*/ 8920278 w 12192000"/>
            <a:gd name="connsiteY8367" fmla="*/ 3885709 h 6858000"/>
            <a:gd name="connsiteX8368" fmla="*/ 8955090 w 12192000"/>
            <a:gd name="connsiteY8368" fmla="*/ 3920527 h 6858000"/>
            <a:gd name="connsiteX8369" fmla="*/ 8920278 w 12192000"/>
            <a:gd name="connsiteY8369" fmla="*/ 3955346 h 6858000"/>
            <a:gd name="connsiteX8370" fmla="*/ 9005170 w 12192000"/>
            <a:gd name="connsiteY8370" fmla="*/ 3955346 h 6858000"/>
            <a:gd name="connsiteX8371" fmla="*/ 8970345 w 12192000"/>
            <a:gd name="connsiteY8371" fmla="*/ 3920527 h 6858000"/>
            <a:gd name="connsiteX8372" fmla="*/ 9005170 w 12192000"/>
            <a:gd name="connsiteY8372" fmla="*/ 3885709 h 6858000"/>
            <a:gd name="connsiteX8373" fmla="*/ 9039983 w 12192000"/>
            <a:gd name="connsiteY8373" fmla="*/ 3920527 h 6858000"/>
            <a:gd name="connsiteX8374" fmla="*/ 9005170 w 12192000"/>
            <a:gd name="connsiteY8374" fmla="*/ 3955346 h 6858000"/>
            <a:gd name="connsiteX8375" fmla="*/ 9090063 w 12192000"/>
            <a:gd name="connsiteY8375" fmla="*/ 3955346 h 6858000"/>
            <a:gd name="connsiteX8376" fmla="*/ 9055237 w 12192000"/>
            <a:gd name="connsiteY8376" fmla="*/ 3920527 h 6858000"/>
            <a:gd name="connsiteX8377" fmla="*/ 9090063 w 12192000"/>
            <a:gd name="connsiteY8377" fmla="*/ 3885709 h 6858000"/>
            <a:gd name="connsiteX8378" fmla="*/ 9124875 w 12192000"/>
            <a:gd name="connsiteY8378" fmla="*/ 3920527 h 6858000"/>
            <a:gd name="connsiteX8379" fmla="*/ 9090063 w 12192000"/>
            <a:gd name="connsiteY8379" fmla="*/ 3955346 h 6858000"/>
            <a:gd name="connsiteX8380" fmla="*/ 9174956 w 12192000"/>
            <a:gd name="connsiteY8380" fmla="*/ 3955346 h 6858000"/>
            <a:gd name="connsiteX8381" fmla="*/ 9140130 w 12192000"/>
            <a:gd name="connsiteY8381" fmla="*/ 3920527 h 6858000"/>
            <a:gd name="connsiteX8382" fmla="*/ 9174956 w 12192000"/>
            <a:gd name="connsiteY8382" fmla="*/ 3885709 h 6858000"/>
            <a:gd name="connsiteX8383" fmla="*/ 9209768 w 12192000"/>
            <a:gd name="connsiteY8383" fmla="*/ 3920527 h 6858000"/>
            <a:gd name="connsiteX8384" fmla="*/ 9174956 w 12192000"/>
            <a:gd name="connsiteY8384" fmla="*/ 3955346 h 6858000"/>
            <a:gd name="connsiteX8385" fmla="*/ 9259848 w 12192000"/>
            <a:gd name="connsiteY8385" fmla="*/ 3955346 h 6858000"/>
            <a:gd name="connsiteX8386" fmla="*/ 9225023 w 12192000"/>
            <a:gd name="connsiteY8386" fmla="*/ 3920527 h 6858000"/>
            <a:gd name="connsiteX8387" fmla="*/ 9259848 w 12192000"/>
            <a:gd name="connsiteY8387" fmla="*/ 3885709 h 6858000"/>
            <a:gd name="connsiteX8388" fmla="*/ 9294660 w 12192000"/>
            <a:gd name="connsiteY8388" fmla="*/ 3920527 h 6858000"/>
            <a:gd name="connsiteX8389" fmla="*/ 9259848 w 12192000"/>
            <a:gd name="connsiteY8389" fmla="*/ 3955346 h 6858000"/>
            <a:gd name="connsiteX8390" fmla="*/ 9344740 w 12192000"/>
            <a:gd name="connsiteY8390" fmla="*/ 3955346 h 6858000"/>
            <a:gd name="connsiteX8391" fmla="*/ 9309915 w 12192000"/>
            <a:gd name="connsiteY8391" fmla="*/ 3920527 h 6858000"/>
            <a:gd name="connsiteX8392" fmla="*/ 9344740 w 12192000"/>
            <a:gd name="connsiteY8392" fmla="*/ 3885709 h 6858000"/>
            <a:gd name="connsiteX8393" fmla="*/ 9379553 w 12192000"/>
            <a:gd name="connsiteY8393" fmla="*/ 3920527 h 6858000"/>
            <a:gd name="connsiteX8394" fmla="*/ 9344740 w 12192000"/>
            <a:gd name="connsiteY8394" fmla="*/ 3955346 h 6858000"/>
            <a:gd name="connsiteX8395" fmla="*/ 9769203 w 12192000"/>
            <a:gd name="connsiteY8395" fmla="*/ 3955346 h 6858000"/>
            <a:gd name="connsiteX8396" fmla="*/ 9734377 w 12192000"/>
            <a:gd name="connsiteY8396" fmla="*/ 3920527 h 6858000"/>
            <a:gd name="connsiteX8397" fmla="*/ 9769203 w 12192000"/>
            <a:gd name="connsiteY8397" fmla="*/ 3885709 h 6858000"/>
            <a:gd name="connsiteX8398" fmla="*/ 9804015 w 12192000"/>
            <a:gd name="connsiteY8398" fmla="*/ 3920527 h 6858000"/>
            <a:gd name="connsiteX8399" fmla="*/ 9769203 w 12192000"/>
            <a:gd name="connsiteY8399" fmla="*/ 3955346 h 6858000"/>
            <a:gd name="connsiteX8400" fmla="*/ 10108773 w 12192000"/>
            <a:gd name="connsiteY8400" fmla="*/ 3955346 h 6858000"/>
            <a:gd name="connsiteX8401" fmla="*/ 10073947 w 12192000"/>
            <a:gd name="connsiteY8401" fmla="*/ 3920527 h 6858000"/>
            <a:gd name="connsiteX8402" fmla="*/ 10108773 w 12192000"/>
            <a:gd name="connsiteY8402" fmla="*/ 3885709 h 6858000"/>
            <a:gd name="connsiteX8403" fmla="*/ 10143585 w 12192000"/>
            <a:gd name="connsiteY8403" fmla="*/ 3920527 h 6858000"/>
            <a:gd name="connsiteX8404" fmla="*/ 10108773 w 12192000"/>
            <a:gd name="connsiteY8404" fmla="*/ 3955346 h 6858000"/>
            <a:gd name="connsiteX8405" fmla="*/ 2213769 w 12192000"/>
            <a:gd name="connsiteY8405" fmla="*/ 3870485 h 6858000"/>
            <a:gd name="connsiteX8406" fmla="*/ 2178950 w 12192000"/>
            <a:gd name="connsiteY8406" fmla="*/ 3835667 h 6858000"/>
            <a:gd name="connsiteX8407" fmla="*/ 2213769 w 12192000"/>
            <a:gd name="connsiteY8407" fmla="*/ 3800848 h 6858000"/>
            <a:gd name="connsiteX8408" fmla="*/ 2248588 w 12192000"/>
            <a:gd name="connsiteY8408" fmla="*/ 3835667 h 6858000"/>
            <a:gd name="connsiteX8409" fmla="*/ 2213769 w 12192000"/>
            <a:gd name="connsiteY8409" fmla="*/ 3870485 h 6858000"/>
            <a:gd name="connsiteX8410" fmla="*/ 2298661 w 12192000"/>
            <a:gd name="connsiteY8410" fmla="*/ 3870485 h 6858000"/>
            <a:gd name="connsiteX8411" fmla="*/ 2263842 w 12192000"/>
            <a:gd name="connsiteY8411" fmla="*/ 3835667 h 6858000"/>
            <a:gd name="connsiteX8412" fmla="*/ 2298661 w 12192000"/>
            <a:gd name="connsiteY8412" fmla="*/ 3800848 h 6858000"/>
            <a:gd name="connsiteX8413" fmla="*/ 2333480 w 12192000"/>
            <a:gd name="connsiteY8413" fmla="*/ 3835667 h 6858000"/>
            <a:gd name="connsiteX8414" fmla="*/ 2298661 w 12192000"/>
            <a:gd name="connsiteY8414" fmla="*/ 3870485 h 6858000"/>
            <a:gd name="connsiteX8415" fmla="*/ 2383553 w 12192000"/>
            <a:gd name="connsiteY8415" fmla="*/ 3870485 h 6858000"/>
            <a:gd name="connsiteX8416" fmla="*/ 2348734 w 12192000"/>
            <a:gd name="connsiteY8416" fmla="*/ 3835667 h 6858000"/>
            <a:gd name="connsiteX8417" fmla="*/ 2383553 w 12192000"/>
            <a:gd name="connsiteY8417" fmla="*/ 3800848 h 6858000"/>
            <a:gd name="connsiteX8418" fmla="*/ 2418372 w 12192000"/>
            <a:gd name="connsiteY8418" fmla="*/ 3835667 h 6858000"/>
            <a:gd name="connsiteX8419" fmla="*/ 2383553 w 12192000"/>
            <a:gd name="connsiteY8419" fmla="*/ 3870485 h 6858000"/>
            <a:gd name="connsiteX8420" fmla="*/ 2468446 w 12192000"/>
            <a:gd name="connsiteY8420" fmla="*/ 3870485 h 6858000"/>
            <a:gd name="connsiteX8421" fmla="*/ 2433627 w 12192000"/>
            <a:gd name="connsiteY8421" fmla="*/ 3835667 h 6858000"/>
            <a:gd name="connsiteX8422" fmla="*/ 2468446 w 12192000"/>
            <a:gd name="connsiteY8422" fmla="*/ 3800848 h 6858000"/>
            <a:gd name="connsiteX8423" fmla="*/ 2503264 w 12192000"/>
            <a:gd name="connsiteY8423" fmla="*/ 3835667 h 6858000"/>
            <a:gd name="connsiteX8424" fmla="*/ 2468446 w 12192000"/>
            <a:gd name="connsiteY8424" fmla="*/ 3870485 h 6858000"/>
            <a:gd name="connsiteX8425" fmla="*/ 2553339 w 12192000"/>
            <a:gd name="connsiteY8425" fmla="*/ 3870485 h 6858000"/>
            <a:gd name="connsiteX8426" fmla="*/ 2518520 w 12192000"/>
            <a:gd name="connsiteY8426" fmla="*/ 3835667 h 6858000"/>
            <a:gd name="connsiteX8427" fmla="*/ 2553339 w 12192000"/>
            <a:gd name="connsiteY8427" fmla="*/ 3800848 h 6858000"/>
            <a:gd name="connsiteX8428" fmla="*/ 2588158 w 12192000"/>
            <a:gd name="connsiteY8428" fmla="*/ 3835667 h 6858000"/>
            <a:gd name="connsiteX8429" fmla="*/ 2553339 w 12192000"/>
            <a:gd name="connsiteY8429" fmla="*/ 3870485 h 6858000"/>
            <a:gd name="connsiteX8430" fmla="*/ 2638231 w 12192000"/>
            <a:gd name="connsiteY8430" fmla="*/ 3870485 h 6858000"/>
            <a:gd name="connsiteX8431" fmla="*/ 2603412 w 12192000"/>
            <a:gd name="connsiteY8431" fmla="*/ 3835667 h 6858000"/>
            <a:gd name="connsiteX8432" fmla="*/ 2638231 w 12192000"/>
            <a:gd name="connsiteY8432" fmla="*/ 3800848 h 6858000"/>
            <a:gd name="connsiteX8433" fmla="*/ 2673050 w 12192000"/>
            <a:gd name="connsiteY8433" fmla="*/ 3835667 h 6858000"/>
            <a:gd name="connsiteX8434" fmla="*/ 2638231 w 12192000"/>
            <a:gd name="connsiteY8434" fmla="*/ 3870485 h 6858000"/>
            <a:gd name="connsiteX8435" fmla="*/ 2723123 w 12192000"/>
            <a:gd name="connsiteY8435" fmla="*/ 3870485 h 6858000"/>
            <a:gd name="connsiteX8436" fmla="*/ 2688304 w 12192000"/>
            <a:gd name="connsiteY8436" fmla="*/ 3835667 h 6858000"/>
            <a:gd name="connsiteX8437" fmla="*/ 2723123 w 12192000"/>
            <a:gd name="connsiteY8437" fmla="*/ 3800848 h 6858000"/>
            <a:gd name="connsiteX8438" fmla="*/ 2757942 w 12192000"/>
            <a:gd name="connsiteY8438" fmla="*/ 3835667 h 6858000"/>
            <a:gd name="connsiteX8439" fmla="*/ 2723123 w 12192000"/>
            <a:gd name="connsiteY8439" fmla="*/ 3870485 h 6858000"/>
            <a:gd name="connsiteX8440" fmla="*/ 2808016 w 12192000"/>
            <a:gd name="connsiteY8440" fmla="*/ 3870485 h 6858000"/>
            <a:gd name="connsiteX8441" fmla="*/ 2773197 w 12192000"/>
            <a:gd name="connsiteY8441" fmla="*/ 3835667 h 6858000"/>
            <a:gd name="connsiteX8442" fmla="*/ 2808016 w 12192000"/>
            <a:gd name="connsiteY8442" fmla="*/ 3800848 h 6858000"/>
            <a:gd name="connsiteX8443" fmla="*/ 2842834 w 12192000"/>
            <a:gd name="connsiteY8443" fmla="*/ 3835667 h 6858000"/>
            <a:gd name="connsiteX8444" fmla="*/ 2808016 w 12192000"/>
            <a:gd name="connsiteY8444" fmla="*/ 3870485 h 6858000"/>
            <a:gd name="connsiteX8445" fmla="*/ 2892908 w 12192000"/>
            <a:gd name="connsiteY8445" fmla="*/ 3870485 h 6858000"/>
            <a:gd name="connsiteX8446" fmla="*/ 2858089 w 12192000"/>
            <a:gd name="connsiteY8446" fmla="*/ 3835667 h 6858000"/>
            <a:gd name="connsiteX8447" fmla="*/ 2892908 w 12192000"/>
            <a:gd name="connsiteY8447" fmla="*/ 3800848 h 6858000"/>
            <a:gd name="connsiteX8448" fmla="*/ 2927727 w 12192000"/>
            <a:gd name="connsiteY8448" fmla="*/ 3835667 h 6858000"/>
            <a:gd name="connsiteX8449" fmla="*/ 2892908 w 12192000"/>
            <a:gd name="connsiteY8449" fmla="*/ 3870485 h 6858000"/>
            <a:gd name="connsiteX8450" fmla="*/ 2977801 w 12192000"/>
            <a:gd name="connsiteY8450" fmla="*/ 3870485 h 6858000"/>
            <a:gd name="connsiteX8451" fmla="*/ 2942982 w 12192000"/>
            <a:gd name="connsiteY8451" fmla="*/ 3835667 h 6858000"/>
            <a:gd name="connsiteX8452" fmla="*/ 2977801 w 12192000"/>
            <a:gd name="connsiteY8452" fmla="*/ 3800848 h 6858000"/>
            <a:gd name="connsiteX8453" fmla="*/ 3012620 w 12192000"/>
            <a:gd name="connsiteY8453" fmla="*/ 3835667 h 6858000"/>
            <a:gd name="connsiteX8454" fmla="*/ 2977801 w 12192000"/>
            <a:gd name="connsiteY8454" fmla="*/ 3870485 h 6858000"/>
            <a:gd name="connsiteX8455" fmla="*/ 3062693 w 12192000"/>
            <a:gd name="connsiteY8455" fmla="*/ 3870485 h 6858000"/>
            <a:gd name="connsiteX8456" fmla="*/ 3027874 w 12192000"/>
            <a:gd name="connsiteY8456" fmla="*/ 3835667 h 6858000"/>
            <a:gd name="connsiteX8457" fmla="*/ 3062693 w 12192000"/>
            <a:gd name="connsiteY8457" fmla="*/ 3800848 h 6858000"/>
            <a:gd name="connsiteX8458" fmla="*/ 3097512 w 12192000"/>
            <a:gd name="connsiteY8458" fmla="*/ 3835667 h 6858000"/>
            <a:gd name="connsiteX8459" fmla="*/ 3062693 w 12192000"/>
            <a:gd name="connsiteY8459" fmla="*/ 3870485 h 6858000"/>
            <a:gd name="connsiteX8460" fmla="*/ 3147586 w 12192000"/>
            <a:gd name="connsiteY8460" fmla="*/ 3870485 h 6858000"/>
            <a:gd name="connsiteX8461" fmla="*/ 3112767 w 12192000"/>
            <a:gd name="connsiteY8461" fmla="*/ 3835667 h 6858000"/>
            <a:gd name="connsiteX8462" fmla="*/ 3147586 w 12192000"/>
            <a:gd name="connsiteY8462" fmla="*/ 3800848 h 6858000"/>
            <a:gd name="connsiteX8463" fmla="*/ 3182404 w 12192000"/>
            <a:gd name="connsiteY8463" fmla="*/ 3835667 h 6858000"/>
            <a:gd name="connsiteX8464" fmla="*/ 3147586 w 12192000"/>
            <a:gd name="connsiteY8464" fmla="*/ 3870485 h 6858000"/>
            <a:gd name="connsiteX8465" fmla="*/ 3232478 w 12192000"/>
            <a:gd name="connsiteY8465" fmla="*/ 3870485 h 6858000"/>
            <a:gd name="connsiteX8466" fmla="*/ 3197659 w 12192000"/>
            <a:gd name="connsiteY8466" fmla="*/ 3835667 h 6858000"/>
            <a:gd name="connsiteX8467" fmla="*/ 3232478 w 12192000"/>
            <a:gd name="connsiteY8467" fmla="*/ 3800848 h 6858000"/>
            <a:gd name="connsiteX8468" fmla="*/ 3267297 w 12192000"/>
            <a:gd name="connsiteY8468" fmla="*/ 3835667 h 6858000"/>
            <a:gd name="connsiteX8469" fmla="*/ 3232478 w 12192000"/>
            <a:gd name="connsiteY8469" fmla="*/ 3870485 h 6858000"/>
            <a:gd name="connsiteX8470" fmla="*/ 3317371 w 12192000"/>
            <a:gd name="connsiteY8470" fmla="*/ 3870485 h 6858000"/>
            <a:gd name="connsiteX8471" fmla="*/ 3282552 w 12192000"/>
            <a:gd name="connsiteY8471" fmla="*/ 3835667 h 6858000"/>
            <a:gd name="connsiteX8472" fmla="*/ 3317371 w 12192000"/>
            <a:gd name="connsiteY8472" fmla="*/ 3800848 h 6858000"/>
            <a:gd name="connsiteX8473" fmla="*/ 3352190 w 12192000"/>
            <a:gd name="connsiteY8473" fmla="*/ 3835667 h 6858000"/>
            <a:gd name="connsiteX8474" fmla="*/ 3317371 w 12192000"/>
            <a:gd name="connsiteY8474" fmla="*/ 3870485 h 6858000"/>
            <a:gd name="connsiteX8475" fmla="*/ 3402263 w 12192000"/>
            <a:gd name="connsiteY8475" fmla="*/ 3870485 h 6858000"/>
            <a:gd name="connsiteX8476" fmla="*/ 3367444 w 12192000"/>
            <a:gd name="connsiteY8476" fmla="*/ 3835667 h 6858000"/>
            <a:gd name="connsiteX8477" fmla="*/ 3402263 w 12192000"/>
            <a:gd name="connsiteY8477" fmla="*/ 3800848 h 6858000"/>
            <a:gd name="connsiteX8478" fmla="*/ 3437082 w 12192000"/>
            <a:gd name="connsiteY8478" fmla="*/ 3835667 h 6858000"/>
            <a:gd name="connsiteX8479" fmla="*/ 3402263 w 12192000"/>
            <a:gd name="connsiteY8479" fmla="*/ 3870485 h 6858000"/>
            <a:gd name="connsiteX8480" fmla="*/ 3487156 w 12192000"/>
            <a:gd name="connsiteY8480" fmla="*/ 3870485 h 6858000"/>
            <a:gd name="connsiteX8481" fmla="*/ 3452337 w 12192000"/>
            <a:gd name="connsiteY8481" fmla="*/ 3835667 h 6858000"/>
            <a:gd name="connsiteX8482" fmla="*/ 3487156 w 12192000"/>
            <a:gd name="connsiteY8482" fmla="*/ 3800848 h 6858000"/>
            <a:gd name="connsiteX8483" fmla="*/ 3521974 w 12192000"/>
            <a:gd name="connsiteY8483" fmla="*/ 3835667 h 6858000"/>
            <a:gd name="connsiteX8484" fmla="*/ 3487156 w 12192000"/>
            <a:gd name="connsiteY8484" fmla="*/ 3870485 h 6858000"/>
            <a:gd name="connsiteX8485" fmla="*/ 3572048 w 12192000"/>
            <a:gd name="connsiteY8485" fmla="*/ 3870485 h 6858000"/>
            <a:gd name="connsiteX8486" fmla="*/ 3537229 w 12192000"/>
            <a:gd name="connsiteY8486" fmla="*/ 3835667 h 6858000"/>
            <a:gd name="connsiteX8487" fmla="*/ 3572048 w 12192000"/>
            <a:gd name="connsiteY8487" fmla="*/ 3800848 h 6858000"/>
            <a:gd name="connsiteX8488" fmla="*/ 3606867 w 12192000"/>
            <a:gd name="connsiteY8488" fmla="*/ 3835667 h 6858000"/>
            <a:gd name="connsiteX8489" fmla="*/ 3572048 w 12192000"/>
            <a:gd name="connsiteY8489" fmla="*/ 3870485 h 6858000"/>
            <a:gd name="connsiteX8490" fmla="*/ 5609468 w 12192000"/>
            <a:gd name="connsiteY8490" fmla="*/ 3870485 h 6858000"/>
            <a:gd name="connsiteX8491" fmla="*/ 5574649 w 12192000"/>
            <a:gd name="connsiteY8491" fmla="*/ 3835667 h 6858000"/>
            <a:gd name="connsiteX8492" fmla="*/ 5609468 w 12192000"/>
            <a:gd name="connsiteY8492" fmla="*/ 3800848 h 6858000"/>
            <a:gd name="connsiteX8493" fmla="*/ 5644287 w 12192000"/>
            <a:gd name="connsiteY8493" fmla="*/ 3835667 h 6858000"/>
            <a:gd name="connsiteX8494" fmla="*/ 5609468 w 12192000"/>
            <a:gd name="connsiteY8494" fmla="*/ 3870485 h 6858000"/>
            <a:gd name="connsiteX8495" fmla="*/ 5694360 w 12192000"/>
            <a:gd name="connsiteY8495" fmla="*/ 3870485 h 6858000"/>
            <a:gd name="connsiteX8496" fmla="*/ 5659541 w 12192000"/>
            <a:gd name="connsiteY8496" fmla="*/ 3835667 h 6858000"/>
            <a:gd name="connsiteX8497" fmla="*/ 5694360 w 12192000"/>
            <a:gd name="connsiteY8497" fmla="*/ 3800848 h 6858000"/>
            <a:gd name="connsiteX8498" fmla="*/ 5729179 w 12192000"/>
            <a:gd name="connsiteY8498" fmla="*/ 3835667 h 6858000"/>
            <a:gd name="connsiteX8499" fmla="*/ 5694360 w 12192000"/>
            <a:gd name="connsiteY8499" fmla="*/ 3870485 h 6858000"/>
            <a:gd name="connsiteX8500" fmla="*/ 5779252 w 12192000"/>
            <a:gd name="connsiteY8500" fmla="*/ 3870485 h 6858000"/>
            <a:gd name="connsiteX8501" fmla="*/ 5744433 w 12192000"/>
            <a:gd name="connsiteY8501" fmla="*/ 3835667 h 6858000"/>
            <a:gd name="connsiteX8502" fmla="*/ 5779252 w 12192000"/>
            <a:gd name="connsiteY8502" fmla="*/ 3800848 h 6858000"/>
            <a:gd name="connsiteX8503" fmla="*/ 5814071 w 12192000"/>
            <a:gd name="connsiteY8503" fmla="*/ 3835667 h 6858000"/>
            <a:gd name="connsiteX8504" fmla="*/ 5779252 w 12192000"/>
            <a:gd name="connsiteY8504" fmla="*/ 3870485 h 6858000"/>
            <a:gd name="connsiteX8505" fmla="*/ 6373504 w 12192000"/>
            <a:gd name="connsiteY8505" fmla="*/ 3870485 h 6858000"/>
            <a:gd name="connsiteX8506" fmla="*/ 6338678 w 12192000"/>
            <a:gd name="connsiteY8506" fmla="*/ 3835667 h 6858000"/>
            <a:gd name="connsiteX8507" fmla="*/ 6373504 w 12192000"/>
            <a:gd name="connsiteY8507" fmla="*/ 3800848 h 6858000"/>
            <a:gd name="connsiteX8508" fmla="*/ 6408316 w 12192000"/>
            <a:gd name="connsiteY8508" fmla="*/ 3835667 h 6858000"/>
            <a:gd name="connsiteX8509" fmla="*/ 6373504 w 12192000"/>
            <a:gd name="connsiteY8509" fmla="*/ 3870485 h 6858000"/>
            <a:gd name="connsiteX8510" fmla="*/ 6543288 w 12192000"/>
            <a:gd name="connsiteY8510" fmla="*/ 3870485 h 6858000"/>
            <a:gd name="connsiteX8511" fmla="*/ 6508463 w 12192000"/>
            <a:gd name="connsiteY8511" fmla="*/ 3835667 h 6858000"/>
            <a:gd name="connsiteX8512" fmla="*/ 6543288 w 12192000"/>
            <a:gd name="connsiteY8512" fmla="*/ 3800848 h 6858000"/>
            <a:gd name="connsiteX8513" fmla="*/ 6578100 w 12192000"/>
            <a:gd name="connsiteY8513" fmla="*/ 3835667 h 6858000"/>
            <a:gd name="connsiteX8514" fmla="*/ 6543288 w 12192000"/>
            <a:gd name="connsiteY8514" fmla="*/ 3870485 h 6858000"/>
            <a:gd name="connsiteX8515" fmla="*/ 6713074 w 12192000"/>
            <a:gd name="connsiteY8515" fmla="*/ 3870485 h 6858000"/>
            <a:gd name="connsiteX8516" fmla="*/ 6678248 w 12192000"/>
            <a:gd name="connsiteY8516" fmla="*/ 3835667 h 6858000"/>
            <a:gd name="connsiteX8517" fmla="*/ 6713074 w 12192000"/>
            <a:gd name="connsiteY8517" fmla="*/ 3800848 h 6858000"/>
            <a:gd name="connsiteX8518" fmla="*/ 6747886 w 12192000"/>
            <a:gd name="connsiteY8518" fmla="*/ 3835667 h 6858000"/>
            <a:gd name="connsiteX8519" fmla="*/ 6713074 w 12192000"/>
            <a:gd name="connsiteY8519" fmla="*/ 3870485 h 6858000"/>
            <a:gd name="connsiteX8520" fmla="*/ 6797966 w 12192000"/>
            <a:gd name="connsiteY8520" fmla="*/ 3870485 h 6858000"/>
            <a:gd name="connsiteX8521" fmla="*/ 6763140 w 12192000"/>
            <a:gd name="connsiteY8521" fmla="*/ 3835667 h 6858000"/>
            <a:gd name="connsiteX8522" fmla="*/ 6797966 w 12192000"/>
            <a:gd name="connsiteY8522" fmla="*/ 3800848 h 6858000"/>
            <a:gd name="connsiteX8523" fmla="*/ 6832778 w 12192000"/>
            <a:gd name="connsiteY8523" fmla="*/ 3835667 h 6858000"/>
            <a:gd name="connsiteX8524" fmla="*/ 6797966 w 12192000"/>
            <a:gd name="connsiteY8524" fmla="*/ 3870485 h 6858000"/>
            <a:gd name="connsiteX8525" fmla="*/ 6882858 w 12192000"/>
            <a:gd name="connsiteY8525" fmla="*/ 3870485 h 6858000"/>
            <a:gd name="connsiteX8526" fmla="*/ 6848033 w 12192000"/>
            <a:gd name="connsiteY8526" fmla="*/ 3835667 h 6858000"/>
            <a:gd name="connsiteX8527" fmla="*/ 6882858 w 12192000"/>
            <a:gd name="connsiteY8527" fmla="*/ 3800848 h 6858000"/>
            <a:gd name="connsiteX8528" fmla="*/ 6917670 w 12192000"/>
            <a:gd name="connsiteY8528" fmla="*/ 3835667 h 6858000"/>
            <a:gd name="connsiteX8529" fmla="*/ 6882858 w 12192000"/>
            <a:gd name="connsiteY8529" fmla="*/ 3870485 h 6858000"/>
            <a:gd name="connsiteX8530" fmla="*/ 6967750 w 12192000"/>
            <a:gd name="connsiteY8530" fmla="*/ 3870485 h 6858000"/>
            <a:gd name="connsiteX8531" fmla="*/ 6932925 w 12192000"/>
            <a:gd name="connsiteY8531" fmla="*/ 3835667 h 6858000"/>
            <a:gd name="connsiteX8532" fmla="*/ 6967750 w 12192000"/>
            <a:gd name="connsiteY8532" fmla="*/ 3800848 h 6858000"/>
            <a:gd name="connsiteX8533" fmla="*/ 7002563 w 12192000"/>
            <a:gd name="connsiteY8533" fmla="*/ 3835667 h 6858000"/>
            <a:gd name="connsiteX8534" fmla="*/ 6967750 w 12192000"/>
            <a:gd name="connsiteY8534" fmla="*/ 3870485 h 6858000"/>
            <a:gd name="connsiteX8535" fmla="*/ 7052644 w 12192000"/>
            <a:gd name="connsiteY8535" fmla="*/ 3870485 h 6858000"/>
            <a:gd name="connsiteX8536" fmla="*/ 7017818 w 12192000"/>
            <a:gd name="connsiteY8536" fmla="*/ 3835667 h 6858000"/>
            <a:gd name="connsiteX8537" fmla="*/ 7052644 w 12192000"/>
            <a:gd name="connsiteY8537" fmla="*/ 3800848 h 6858000"/>
            <a:gd name="connsiteX8538" fmla="*/ 7087456 w 12192000"/>
            <a:gd name="connsiteY8538" fmla="*/ 3835667 h 6858000"/>
            <a:gd name="connsiteX8539" fmla="*/ 7052644 w 12192000"/>
            <a:gd name="connsiteY8539" fmla="*/ 3870485 h 6858000"/>
            <a:gd name="connsiteX8540" fmla="*/ 7137536 w 12192000"/>
            <a:gd name="connsiteY8540" fmla="*/ 3870485 h 6858000"/>
            <a:gd name="connsiteX8541" fmla="*/ 7102710 w 12192000"/>
            <a:gd name="connsiteY8541" fmla="*/ 3835667 h 6858000"/>
            <a:gd name="connsiteX8542" fmla="*/ 7137536 w 12192000"/>
            <a:gd name="connsiteY8542" fmla="*/ 3800848 h 6858000"/>
            <a:gd name="connsiteX8543" fmla="*/ 7172348 w 12192000"/>
            <a:gd name="connsiteY8543" fmla="*/ 3835667 h 6858000"/>
            <a:gd name="connsiteX8544" fmla="*/ 7137536 w 12192000"/>
            <a:gd name="connsiteY8544" fmla="*/ 3870485 h 6858000"/>
            <a:gd name="connsiteX8545" fmla="*/ 7222428 w 12192000"/>
            <a:gd name="connsiteY8545" fmla="*/ 3870485 h 6858000"/>
            <a:gd name="connsiteX8546" fmla="*/ 7187603 w 12192000"/>
            <a:gd name="connsiteY8546" fmla="*/ 3835667 h 6858000"/>
            <a:gd name="connsiteX8547" fmla="*/ 7222428 w 12192000"/>
            <a:gd name="connsiteY8547" fmla="*/ 3800848 h 6858000"/>
            <a:gd name="connsiteX8548" fmla="*/ 7257240 w 12192000"/>
            <a:gd name="connsiteY8548" fmla="*/ 3835667 h 6858000"/>
            <a:gd name="connsiteX8549" fmla="*/ 7222428 w 12192000"/>
            <a:gd name="connsiteY8549" fmla="*/ 3870485 h 6858000"/>
            <a:gd name="connsiteX8550" fmla="*/ 7561998 w 12192000"/>
            <a:gd name="connsiteY8550" fmla="*/ 3870485 h 6858000"/>
            <a:gd name="connsiteX8551" fmla="*/ 7527173 w 12192000"/>
            <a:gd name="connsiteY8551" fmla="*/ 3835667 h 6858000"/>
            <a:gd name="connsiteX8552" fmla="*/ 7561998 w 12192000"/>
            <a:gd name="connsiteY8552" fmla="*/ 3800848 h 6858000"/>
            <a:gd name="connsiteX8553" fmla="*/ 7596810 w 12192000"/>
            <a:gd name="connsiteY8553" fmla="*/ 3835667 h 6858000"/>
            <a:gd name="connsiteX8554" fmla="*/ 7561998 w 12192000"/>
            <a:gd name="connsiteY8554" fmla="*/ 3870485 h 6858000"/>
            <a:gd name="connsiteX8555" fmla="*/ 7646890 w 12192000"/>
            <a:gd name="connsiteY8555" fmla="*/ 3870485 h 6858000"/>
            <a:gd name="connsiteX8556" fmla="*/ 7612065 w 12192000"/>
            <a:gd name="connsiteY8556" fmla="*/ 3835667 h 6858000"/>
            <a:gd name="connsiteX8557" fmla="*/ 7646890 w 12192000"/>
            <a:gd name="connsiteY8557" fmla="*/ 3800848 h 6858000"/>
            <a:gd name="connsiteX8558" fmla="*/ 7681703 w 12192000"/>
            <a:gd name="connsiteY8558" fmla="*/ 3835667 h 6858000"/>
            <a:gd name="connsiteX8559" fmla="*/ 7646890 w 12192000"/>
            <a:gd name="connsiteY8559" fmla="*/ 3870485 h 6858000"/>
            <a:gd name="connsiteX8560" fmla="*/ 7731784 w 12192000"/>
            <a:gd name="connsiteY8560" fmla="*/ 3870485 h 6858000"/>
            <a:gd name="connsiteX8561" fmla="*/ 7696958 w 12192000"/>
            <a:gd name="connsiteY8561" fmla="*/ 3835667 h 6858000"/>
            <a:gd name="connsiteX8562" fmla="*/ 7731784 w 12192000"/>
            <a:gd name="connsiteY8562" fmla="*/ 3800848 h 6858000"/>
            <a:gd name="connsiteX8563" fmla="*/ 7766596 w 12192000"/>
            <a:gd name="connsiteY8563" fmla="*/ 3835667 h 6858000"/>
            <a:gd name="connsiteX8564" fmla="*/ 7731784 w 12192000"/>
            <a:gd name="connsiteY8564" fmla="*/ 3870485 h 6858000"/>
            <a:gd name="connsiteX8565" fmla="*/ 7817766 w 12192000"/>
            <a:gd name="connsiteY8565" fmla="*/ 3870485 h 6858000"/>
            <a:gd name="connsiteX8566" fmla="*/ 7782941 w 12192000"/>
            <a:gd name="connsiteY8566" fmla="*/ 3835667 h 6858000"/>
            <a:gd name="connsiteX8567" fmla="*/ 7817766 w 12192000"/>
            <a:gd name="connsiteY8567" fmla="*/ 3800848 h 6858000"/>
            <a:gd name="connsiteX8568" fmla="*/ 7852578 w 12192000"/>
            <a:gd name="connsiteY8568" fmla="*/ 3835667 h 6858000"/>
            <a:gd name="connsiteX8569" fmla="*/ 7817766 w 12192000"/>
            <a:gd name="connsiteY8569" fmla="*/ 3870485 h 6858000"/>
            <a:gd name="connsiteX8570" fmla="*/ 7902658 w 12192000"/>
            <a:gd name="connsiteY8570" fmla="*/ 3870485 h 6858000"/>
            <a:gd name="connsiteX8571" fmla="*/ 7867833 w 12192000"/>
            <a:gd name="connsiteY8571" fmla="*/ 3835667 h 6858000"/>
            <a:gd name="connsiteX8572" fmla="*/ 7902658 w 12192000"/>
            <a:gd name="connsiteY8572" fmla="*/ 3800848 h 6858000"/>
            <a:gd name="connsiteX8573" fmla="*/ 7937471 w 12192000"/>
            <a:gd name="connsiteY8573" fmla="*/ 3835667 h 6858000"/>
            <a:gd name="connsiteX8574" fmla="*/ 7902658 w 12192000"/>
            <a:gd name="connsiteY8574" fmla="*/ 3870485 h 6858000"/>
            <a:gd name="connsiteX8575" fmla="*/ 7985912 w 12192000"/>
            <a:gd name="connsiteY8575" fmla="*/ 3870485 h 6858000"/>
            <a:gd name="connsiteX8576" fmla="*/ 7951087 w 12192000"/>
            <a:gd name="connsiteY8576" fmla="*/ 3835667 h 6858000"/>
            <a:gd name="connsiteX8577" fmla="*/ 7985912 w 12192000"/>
            <a:gd name="connsiteY8577" fmla="*/ 3800848 h 6858000"/>
            <a:gd name="connsiteX8578" fmla="*/ 8020725 w 12192000"/>
            <a:gd name="connsiteY8578" fmla="*/ 3835667 h 6858000"/>
            <a:gd name="connsiteX8579" fmla="*/ 7985912 w 12192000"/>
            <a:gd name="connsiteY8579" fmla="*/ 3870485 h 6858000"/>
            <a:gd name="connsiteX8580" fmla="*/ 8070805 w 12192000"/>
            <a:gd name="connsiteY8580" fmla="*/ 3870485 h 6858000"/>
            <a:gd name="connsiteX8581" fmla="*/ 8035979 w 12192000"/>
            <a:gd name="connsiteY8581" fmla="*/ 3835667 h 6858000"/>
            <a:gd name="connsiteX8582" fmla="*/ 8070805 w 12192000"/>
            <a:gd name="connsiteY8582" fmla="*/ 3800848 h 6858000"/>
            <a:gd name="connsiteX8583" fmla="*/ 8105617 w 12192000"/>
            <a:gd name="connsiteY8583" fmla="*/ 3835667 h 6858000"/>
            <a:gd name="connsiteX8584" fmla="*/ 8070805 w 12192000"/>
            <a:gd name="connsiteY8584" fmla="*/ 3870485 h 6858000"/>
            <a:gd name="connsiteX8585" fmla="*/ 8155697 w 12192000"/>
            <a:gd name="connsiteY8585" fmla="*/ 3870485 h 6858000"/>
            <a:gd name="connsiteX8586" fmla="*/ 8120871 w 12192000"/>
            <a:gd name="connsiteY8586" fmla="*/ 3835667 h 6858000"/>
            <a:gd name="connsiteX8587" fmla="*/ 8155697 w 12192000"/>
            <a:gd name="connsiteY8587" fmla="*/ 3800848 h 6858000"/>
            <a:gd name="connsiteX8588" fmla="*/ 8190509 w 12192000"/>
            <a:gd name="connsiteY8588" fmla="*/ 3835667 h 6858000"/>
            <a:gd name="connsiteX8589" fmla="*/ 8155697 w 12192000"/>
            <a:gd name="connsiteY8589" fmla="*/ 3870485 h 6858000"/>
            <a:gd name="connsiteX8590" fmla="*/ 8241680 w 12192000"/>
            <a:gd name="connsiteY8590" fmla="*/ 3870485 h 6858000"/>
            <a:gd name="connsiteX8591" fmla="*/ 8206855 w 12192000"/>
            <a:gd name="connsiteY8591" fmla="*/ 3835667 h 6858000"/>
            <a:gd name="connsiteX8592" fmla="*/ 8241680 w 12192000"/>
            <a:gd name="connsiteY8592" fmla="*/ 3800848 h 6858000"/>
            <a:gd name="connsiteX8593" fmla="*/ 8276493 w 12192000"/>
            <a:gd name="connsiteY8593" fmla="*/ 3835667 h 6858000"/>
            <a:gd name="connsiteX8594" fmla="*/ 8241680 w 12192000"/>
            <a:gd name="connsiteY8594" fmla="*/ 3870485 h 6858000"/>
            <a:gd name="connsiteX8595" fmla="*/ 8326572 w 12192000"/>
            <a:gd name="connsiteY8595" fmla="*/ 3870485 h 6858000"/>
            <a:gd name="connsiteX8596" fmla="*/ 8291747 w 12192000"/>
            <a:gd name="connsiteY8596" fmla="*/ 3835667 h 6858000"/>
            <a:gd name="connsiteX8597" fmla="*/ 8326572 w 12192000"/>
            <a:gd name="connsiteY8597" fmla="*/ 3800848 h 6858000"/>
            <a:gd name="connsiteX8598" fmla="*/ 8361385 w 12192000"/>
            <a:gd name="connsiteY8598" fmla="*/ 3835667 h 6858000"/>
            <a:gd name="connsiteX8599" fmla="*/ 8326572 w 12192000"/>
            <a:gd name="connsiteY8599" fmla="*/ 3870485 h 6858000"/>
            <a:gd name="connsiteX8600" fmla="*/ 8410923 w 12192000"/>
            <a:gd name="connsiteY8600" fmla="*/ 3870485 h 6858000"/>
            <a:gd name="connsiteX8601" fmla="*/ 8376097 w 12192000"/>
            <a:gd name="connsiteY8601" fmla="*/ 3835667 h 6858000"/>
            <a:gd name="connsiteX8602" fmla="*/ 8410923 w 12192000"/>
            <a:gd name="connsiteY8602" fmla="*/ 3800848 h 6858000"/>
            <a:gd name="connsiteX8603" fmla="*/ 8445735 w 12192000"/>
            <a:gd name="connsiteY8603" fmla="*/ 3835667 h 6858000"/>
            <a:gd name="connsiteX8604" fmla="*/ 8410923 w 12192000"/>
            <a:gd name="connsiteY8604" fmla="*/ 3870485 h 6858000"/>
            <a:gd name="connsiteX8605" fmla="*/ 8495816 w 12192000"/>
            <a:gd name="connsiteY8605" fmla="*/ 3870485 h 6858000"/>
            <a:gd name="connsiteX8606" fmla="*/ 8460990 w 12192000"/>
            <a:gd name="connsiteY8606" fmla="*/ 3835667 h 6858000"/>
            <a:gd name="connsiteX8607" fmla="*/ 8495816 w 12192000"/>
            <a:gd name="connsiteY8607" fmla="*/ 3800848 h 6858000"/>
            <a:gd name="connsiteX8608" fmla="*/ 8530628 w 12192000"/>
            <a:gd name="connsiteY8608" fmla="*/ 3835667 h 6858000"/>
            <a:gd name="connsiteX8609" fmla="*/ 8495816 w 12192000"/>
            <a:gd name="connsiteY8609" fmla="*/ 3870485 h 6858000"/>
            <a:gd name="connsiteX8610" fmla="*/ 8580708 w 12192000"/>
            <a:gd name="connsiteY8610" fmla="*/ 3870485 h 6858000"/>
            <a:gd name="connsiteX8611" fmla="*/ 8545883 w 12192000"/>
            <a:gd name="connsiteY8611" fmla="*/ 3835667 h 6858000"/>
            <a:gd name="connsiteX8612" fmla="*/ 8580708 w 12192000"/>
            <a:gd name="connsiteY8612" fmla="*/ 3800848 h 6858000"/>
            <a:gd name="connsiteX8613" fmla="*/ 8615520 w 12192000"/>
            <a:gd name="connsiteY8613" fmla="*/ 3835667 h 6858000"/>
            <a:gd name="connsiteX8614" fmla="*/ 8580708 w 12192000"/>
            <a:gd name="connsiteY8614" fmla="*/ 3870485 h 6858000"/>
            <a:gd name="connsiteX8615" fmla="*/ 8665600 w 12192000"/>
            <a:gd name="connsiteY8615" fmla="*/ 3870485 h 6858000"/>
            <a:gd name="connsiteX8616" fmla="*/ 8630775 w 12192000"/>
            <a:gd name="connsiteY8616" fmla="*/ 3835667 h 6858000"/>
            <a:gd name="connsiteX8617" fmla="*/ 8665600 w 12192000"/>
            <a:gd name="connsiteY8617" fmla="*/ 3800848 h 6858000"/>
            <a:gd name="connsiteX8618" fmla="*/ 8700413 w 12192000"/>
            <a:gd name="connsiteY8618" fmla="*/ 3835667 h 6858000"/>
            <a:gd name="connsiteX8619" fmla="*/ 8665600 w 12192000"/>
            <a:gd name="connsiteY8619" fmla="*/ 3870485 h 6858000"/>
            <a:gd name="connsiteX8620" fmla="*/ 8750493 w 12192000"/>
            <a:gd name="connsiteY8620" fmla="*/ 3870485 h 6858000"/>
            <a:gd name="connsiteX8621" fmla="*/ 8715667 w 12192000"/>
            <a:gd name="connsiteY8621" fmla="*/ 3835667 h 6858000"/>
            <a:gd name="connsiteX8622" fmla="*/ 8750493 w 12192000"/>
            <a:gd name="connsiteY8622" fmla="*/ 3800848 h 6858000"/>
            <a:gd name="connsiteX8623" fmla="*/ 8785305 w 12192000"/>
            <a:gd name="connsiteY8623" fmla="*/ 3835667 h 6858000"/>
            <a:gd name="connsiteX8624" fmla="*/ 8750493 w 12192000"/>
            <a:gd name="connsiteY8624" fmla="*/ 3870485 h 6858000"/>
            <a:gd name="connsiteX8625" fmla="*/ 8835386 w 12192000"/>
            <a:gd name="connsiteY8625" fmla="*/ 3870485 h 6858000"/>
            <a:gd name="connsiteX8626" fmla="*/ 8800560 w 12192000"/>
            <a:gd name="connsiteY8626" fmla="*/ 3835667 h 6858000"/>
            <a:gd name="connsiteX8627" fmla="*/ 8835386 w 12192000"/>
            <a:gd name="connsiteY8627" fmla="*/ 3800848 h 6858000"/>
            <a:gd name="connsiteX8628" fmla="*/ 8870198 w 12192000"/>
            <a:gd name="connsiteY8628" fmla="*/ 3835667 h 6858000"/>
            <a:gd name="connsiteX8629" fmla="*/ 8835386 w 12192000"/>
            <a:gd name="connsiteY8629" fmla="*/ 3870485 h 6858000"/>
            <a:gd name="connsiteX8630" fmla="*/ 8920278 w 12192000"/>
            <a:gd name="connsiteY8630" fmla="*/ 3870485 h 6858000"/>
            <a:gd name="connsiteX8631" fmla="*/ 8885453 w 12192000"/>
            <a:gd name="connsiteY8631" fmla="*/ 3835667 h 6858000"/>
            <a:gd name="connsiteX8632" fmla="*/ 8920278 w 12192000"/>
            <a:gd name="connsiteY8632" fmla="*/ 3800848 h 6858000"/>
            <a:gd name="connsiteX8633" fmla="*/ 8955090 w 12192000"/>
            <a:gd name="connsiteY8633" fmla="*/ 3835667 h 6858000"/>
            <a:gd name="connsiteX8634" fmla="*/ 8920278 w 12192000"/>
            <a:gd name="connsiteY8634" fmla="*/ 3870485 h 6858000"/>
            <a:gd name="connsiteX8635" fmla="*/ 9005170 w 12192000"/>
            <a:gd name="connsiteY8635" fmla="*/ 3870485 h 6858000"/>
            <a:gd name="connsiteX8636" fmla="*/ 8970345 w 12192000"/>
            <a:gd name="connsiteY8636" fmla="*/ 3835667 h 6858000"/>
            <a:gd name="connsiteX8637" fmla="*/ 9005170 w 12192000"/>
            <a:gd name="connsiteY8637" fmla="*/ 3800848 h 6858000"/>
            <a:gd name="connsiteX8638" fmla="*/ 9039983 w 12192000"/>
            <a:gd name="connsiteY8638" fmla="*/ 3835667 h 6858000"/>
            <a:gd name="connsiteX8639" fmla="*/ 9005170 w 12192000"/>
            <a:gd name="connsiteY8639" fmla="*/ 3870485 h 6858000"/>
            <a:gd name="connsiteX8640" fmla="*/ 9090063 w 12192000"/>
            <a:gd name="connsiteY8640" fmla="*/ 3870485 h 6858000"/>
            <a:gd name="connsiteX8641" fmla="*/ 9055237 w 12192000"/>
            <a:gd name="connsiteY8641" fmla="*/ 3835667 h 6858000"/>
            <a:gd name="connsiteX8642" fmla="*/ 9090063 w 12192000"/>
            <a:gd name="connsiteY8642" fmla="*/ 3800848 h 6858000"/>
            <a:gd name="connsiteX8643" fmla="*/ 9124875 w 12192000"/>
            <a:gd name="connsiteY8643" fmla="*/ 3835667 h 6858000"/>
            <a:gd name="connsiteX8644" fmla="*/ 9090063 w 12192000"/>
            <a:gd name="connsiteY8644" fmla="*/ 3870485 h 6858000"/>
            <a:gd name="connsiteX8645" fmla="*/ 9174956 w 12192000"/>
            <a:gd name="connsiteY8645" fmla="*/ 3870485 h 6858000"/>
            <a:gd name="connsiteX8646" fmla="*/ 9140130 w 12192000"/>
            <a:gd name="connsiteY8646" fmla="*/ 3835667 h 6858000"/>
            <a:gd name="connsiteX8647" fmla="*/ 9174956 w 12192000"/>
            <a:gd name="connsiteY8647" fmla="*/ 3800848 h 6858000"/>
            <a:gd name="connsiteX8648" fmla="*/ 9209768 w 12192000"/>
            <a:gd name="connsiteY8648" fmla="*/ 3835667 h 6858000"/>
            <a:gd name="connsiteX8649" fmla="*/ 9174956 w 12192000"/>
            <a:gd name="connsiteY8649" fmla="*/ 3870485 h 6858000"/>
            <a:gd name="connsiteX8650" fmla="*/ 9259848 w 12192000"/>
            <a:gd name="connsiteY8650" fmla="*/ 3870485 h 6858000"/>
            <a:gd name="connsiteX8651" fmla="*/ 9225023 w 12192000"/>
            <a:gd name="connsiteY8651" fmla="*/ 3835667 h 6858000"/>
            <a:gd name="connsiteX8652" fmla="*/ 9259848 w 12192000"/>
            <a:gd name="connsiteY8652" fmla="*/ 3800848 h 6858000"/>
            <a:gd name="connsiteX8653" fmla="*/ 9294660 w 12192000"/>
            <a:gd name="connsiteY8653" fmla="*/ 3835667 h 6858000"/>
            <a:gd name="connsiteX8654" fmla="*/ 9259848 w 12192000"/>
            <a:gd name="connsiteY8654" fmla="*/ 3870485 h 6858000"/>
            <a:gd name="connsiteX8655" fmla="*/ 9344740 w 12192000"/>
            <a:gd name="connsiteY8655" fmla="*/ 3870485 h 6858000"/>
            <a:gd name="connsiteX8656" fmla="*/ 9309915 w 12192000"/>
            <a:gd name="connsiteY8656" fmla="*/ 3835667 h 6858000"/>
            <a:gd name="connsiteX8657" fmla="*/ 9344740 w 12192000"/>
            <a:gd name="connsiteY8657" fmla="*/ 3800848 h 6858000"/>
            <a:gd name="connsiteX8658" fmla="*/ 9379553 w 12192000"/>
            <a:gd name="connsiteY8658" fmla="*/ 3835667 h 6858000"/>
            <a:gd name="connsiteX8659" fmla="*/ 9344740 w 12192000"/>
            <a:gd name="connsiteY8659" fmla="*/ 3870485 h 6858000"/>
            <a:gd name="connsiteX8660" fmla="*/ 9429633 w 12192000"/>
            <a:gd name="connsiteY8660" fmla="*/ 3870485 h 6858000"/>
            <a:gd name="connsiteX8661" fmla="*/ 9394807 w 12192000"/>
            <a:gd name="connsiteY8661" fmla="*/ 3835667 h 6858000"/>
            <a:gd name="connsiteX8662" fmla="*/ 9429633 w 12192000"/>
            <a:gd name="connsiteY8662" fmla="*/ 3800848 h 6858000"/>
            <a:gd name="connsiteX8663" fmla="*/ 9464445 w 12192000"/>
            <a:gd name="connsiteY8663" fmla="*/ 3835667 h 6858000"/>
            <a:gd name="connsiteX8664" fmla="*/ 9429633 w 12192000"/>
            <a:gd name="connsiteY8664" fmla="*/ 3870485 h 6858000"/>
            <a:gd name="connsiteX8665" fmla="*/ 9514525 w 12192000"/>
            <a:gd name="connsiteY8665" fmla="*/ 3870485 h 6858000"/>
            <a:gd name="connsiteX8666" fmla="*/ 9479699 w 12192000"/>
            <a:gd name="connsiteY8666" fmla="*/ 3835667 h 6858000"/>
            <a:gd name="connsiteX8667" fmla="*/ 9514525 w 12192000"/>
            <a:gd name="connsiteY8667" fmla="*/ 3800848 h 6858000"/>
            <a:gd name="connsiteX8668" fmla="*/ 9549337 w 12192000"/>
            <a:gd name="connsiteY8668" fmla="*/ 3835667 h 6858000"/>
            <a:gd name="connsiteX8669" fmla="*/ 9514525 w 12192000"/>
            <a:gd name="connsiteY8669" fmla="*/ 3870485 h 6858000"/>
            <a:gd name="connsiteX8670" fmla="*/ 9769203 w 12192000"/>
            <a:gd name="connsiteY8670" fmla="*/ 3870485 h 6858000"/>
            <a:gd name="connsiteX8671" fmla="*/ 9734377 w 12192000"/>
            <a:gd name="connsiteY8671" fmla="*/ 3835667 h 6858000"/>
            <a:gd name="connsiteX8672" fmla="*/ 9769203 w 12192000"/>
            <a:gd name="connsiteY8672" fmla="*/ 3800848 h 6858000"/>
            <a:gd name="connsiteX8673" fmla="*/ 9804015 w 12192000"/>
            <a:gd name="connsiteY8673" fmla="*/ 3835667 h 6858000"/>
            <a:gd name="connsiteX8674" fmla="*/ 9769203 w 12192000"/>
            <a:gd name="connsiteY8674" fmla="*/ 3870485 h 6858000"/>
            <a:gd name="connsiteX8675" fmla="*/ 10023880 w 12192000"/>
            <a:gd name="connsiteY8675" fmla="*/ 3870485 h 6858000"/>
            <a:gd name="connsiteX8676" fmla="*/ 9989055 w 12192000"/>
            <a:gd name="connsiteY8676" fmla="*/ 3835667 h 6858000"/>
            <a:gd name="connsiteX8677" fmla="*/ 10023880 w 12192000"/>
            <a:gd name="connsiteY8677" fmla="*/ 3800848 h 6858000"/>
            <a:gd name="connsiteX8678" fmla="*/ 10058693 w 12192000"/>
            <a:gd name="connsiteY8678" fmla="*/ 3835667 h 6858000"/>
            <a:gd name="connsiteX8679" fmla="*/ 10023880 w 12192000"/>
            <a:gd name="connsiteY8679" fmla="*/ 3870485 h 6858000"/>
            <a:gd name="connsiteX8680" fmla="*/ 2298661 w 12192000"/>
            <a:gd name="connsiteY8680" fmla="*/ 3785626 h 6858000"/>
            <a:gd name="connsiteX8681" fmla="*/ 2263842 w 12192000"/>
            <a:gd name="connsiteY8681" fmla="*/ 3750807 h 6858000"/>
            <a:gd name="connsiteX8682" fmla="*/ 2298661 w 12192000"/>
            <a:gd name="connsiteY8682" fmla="*/ 3715988 h 6858000"/>
            <a:gd name="connsiteX8683" fmla="*/ 2333480 w 12192000"/>
            <a:gd name="connsiteY8683" fmla="*/ 3750807 h 6858000"/>
            <a:gd name="connsiteX8684" fmla="*/ 2298661 w 12192000"/>
            <a:gd name="connsiteY8684" fmla="*/ 3785626 h 6858000"/>
            <a:gd name="connsiteX8685" fmla="*/ 2383553 w 12192000"/>
            <a:gd name="connsiteY8685" fmla="*/ 3785626 h 6858000"/>
            <a:gd name="connsiteX8686" fmla="*/ 2348734 w 12192000"/>
            <a:gd name="connsiteY8686" fmla="*/ 3750807 h 6858000"/>
            <a:gd name="connsiteX8687" fmla="*/ 2383553 w 12192000"/>
            <a:gd name="connsiteY8687" fmla="*/ 3715988 h 6858000"/>
            <a:gd name="connsiteX8688" fmla="*/ 2418372 w 12192000"/>
            <a:gd name="connsiteY8688" fmla="*/ 3750807 h 6858000"/>
            <a:gd name="connsiteX8689" fmla="*/ 2383553 w 12192000"/>
            <a:gd name="connsiteY8689" fmla="*/ 3785626 h 6858000"/>
            <a:gd name="connsiteX8690" fmla="*/ 2468446 w 12192000"/>
            <a:gd name="connsiteY8690" fmla="*/ 3785626 h 6858000"/>
            <a:gd name="connsiteX8691" fmla="*/ 2433627 w 12192000"/>
            <a:gd name="connsiteY8691" fmla="*/ 3750807 h 6858000"/>
            <a:gd name="connsiteX8692" fmla="*/ 2468446 w 12192000"/>
            <a:gd name="connsiteY8692" fmla="*/ 3715988 h 6858000"/>
            <a:gd name="connsiteX8693" fmla="*/ 2503264 w 12192000"/>
            <a:gd name="connsiteY8693" fmla="*/ 3750807 h 6858000"/>
            <a:gd name="connsiteX8694" fmla="*/ 2468446 w 12192000"/>
            <a:gd name="connsiteY8694" fmla="*/ 3785626 h 6858000"/>
            <a:gd name="connsiteX8695" fmla="*/ 2553339 w 12192000"/>
            <a:gd name="connsiteY8695" fmla="*/ 3785626 h 6858000"/>
            <a:gd name="connsiteX8696" fmla="*/ 2518520 w 12192000"/>
            <a:gd name="connsiteY8696" fmla="*/ 3750807 h 6858000"/>
            <a:gd name="connsiteX8697" fmla="*/ 2553339 w 12192000"/>
            <a:gd name="connsiteY8697" fmla="*/ 3715988 h 6858000"/>
            <a:gd name="connsiteX8698" fmla="*/ 2588158 w 12192000"/>
            <a:gd name="connsiteY8698" fmla="*/ 3750807 h 6858000"/>
            <a:gd name="connsiteX8699" fmla="*/ 2553339 w 12192000"/>
            <a:gd name="connsiteY8699" fmla="*/ 3785626 h 6858000"/>
            <a:gd name="connsiteX8700" fmla="*/ 2638231 w 12192000"/>
            <a:gd name="connsiteY8700" fmla="*/ 3785626 h 6858000"/>
            <a:gd name="connsiteX8701" fmla="*/ 2603412 w 12192000"/>
            <a:gd name="connsiteY8701" fmla="*/ 3750807 h 6858000"/>
            <a:gd name="connsiteX8702" fmla="*/ 2638231 w 12192000"/>
            <a:gd name="connsiteY8702" fmla="*/ 3715988 h 6858000"/>
            <a:gd name="connsiteX8703" fmla="*/ 2673050 w 12192000"/>
            <a:gd name="connsiteY8703" fmla="*/ 3750807 h 6858000"/>
            <a:gd name="connsiteX8704" fmla="*/ 2638231 w 12192000"/>
            <a:gd name="connsiteY8704" fmla="*/ 3785626 h 6858000"/>
            <a:gd name="connsiteX8705" fmla="*/ 2723123 w 12192000"/>
            <a:gd name="connsiteY8705" fmla="*/ 3785626 h 6858000"/>
            <a:gd name="connsiteX8706" fmla="*/ 2688304 w 12192000"/>
            <a:gd name="connsiteY8706" fmla="*/ 3750807 h 6858000"/>
            <a:gd name="connsiteX8707" fmla="*/ 2723123 w 12192000"/>
            <a:gd name="connsiteY8707" fmla="*/ 3715988 h 6858000"/>
            <a:gd name="connsiteX8708" fmla="*/ 2757942 w 12192000"/>
            <a:gd name="connsiteY8708" fmla="*/ 3750807 h 6858000"/>
            <a:gd name="connsiteX8709" fmla="*/ 2723123 w 12192000"/>
            <a:gd name="connsiteY8709" fmla="*/ 3785626 h 6858000"/>
            <a:gd name="connsiteX8710" fmla="*/ 2808016 w 12192000"/>
            <a:gd name="connsiteY8710" fmla="*/ 3785626 h 6858000"/>
            <a:gd name="connsiteX8711" fmla="*/ 2773197 w 12192000"/>
            <a:gd name="connsiteY8711" fmla="*/ 3750807 h 6858000"/>
            <a:gd name="connsiteX8712" fmla="*/ 2808016 w 12192000"/>
            <a:gd name="connsiteY8712" fmla="*/ 3715988 h 6858000"/>
            <a:gd name="connsiteX8713" fmla="*/ 2842834 w 12192000"/>
            <a:gd name="connsiteY8713" fmla="*/ 3750807 h 6858000"/>
            <a:gd name="connsiteX8714" fmla="*/ 2808016 w 12192000"/>
            <a:gd name="connsiteY8714" fmla="*/ 3785626 h 6858000"/>
            <a:gd name="connsiteX8715" fmla="*/ 2892908 w 12192000"/>
            <a:gd name="connsiteY8715" fmla="*/ 3785626 h 6858000"/>
            <a:gd name="connsiteX8716" fmla="*/ 2858089 w 12192000"/>
            <a:gd name="connsiteY8716" fmla="*/ 3750807 h 6858000"/>
            <a:gd name="connsiteX8717" fmla="*/ 2892908 w 12192000"/>
            <a:gd name="connsiteY8717" fmla="*/ 3715988 h 6858000"/>
            <a:gd name="connsiteX8718" fmla="*/ 2927727 w 12192000"/>
            <a:gd name="connsiteY8718" fmla="*/ 3750807 h 6858000"/>
            <a:gd name="connsiteX8719" fmla="*/ 2892908 w 12192000"/>
            <a:gd name="connsiteY8719" fmla="*/ 3785626 h 6858000"/>
            <a:gd name="connsiteX8720" fmla="*/ 2977801 w 12192000"/>
            <a:gd name="connsiteY8720" fmla="*/ 3785626 h 6858000"/>
            <a:gd name="connsiteX8721" fmla="*/ 2942982 w 12192000"/>
            <a:gd name="connsiteY8721" fmla="*/ 3750807 h 6858000"/>
            <a:gd name="connsiteX8722" fmla="*/ 2977801 w 12192000"/>
            <a:gd name="connsiteY8722" fmla="*/ 3715988 h 6858000"/>
            <a:gd name="connsiteX8723" fmla="*/ 3012620 w 12192000"/>
            <a:gd name="connsiteY8723" fmla="*/ 3750807 h 6858000"/>
            <a:gd name="connsiteX8724" fmla="*/ 2977801 w 12192000"/>
            <a:gd name="connsiteY8724" fmla="*/ 3785626 h 6858000"/>
            <a:gd name="connsiteX8725" fmla="*/ 3062693 w 12192000"/>
            <a:gd name="connsiteY8725" fmla="*/ 3785626 h 6858000"/>
            <a:gd name="connsiteX8726" fmla="*/ 3027874 w 12192000"/>
            <a:gd name="connsiteY8726" fmla="*/ 3750807 h 6858000"/>
            <a:gd name="connsiteX8727" fmla="*/ 3062693 w 12192000"/>
            <a:gd name="connsiteY8727" fmla="*/ 3715988 h 6858000"/>
            <a:gd name="connsiteX8728" fmla="*/ 3097512 w 12192000"/>
            <a:gd name="connsiteY8728" fmla="*/ 3750807 h 6858000"/>
            <a:gd name="connsiteX8729" fmla="*/ 3062693 w 12192000"/>
            <a:gd name="connsiteY8729" fmla="*/ 3785626 h 6858000"/>
            <a:gd name="connsiteX8730" fmla="*/ 3147586 w 12192000"/>
            <a:gd name="connsiteY8730" fmla="*/ 3785626 h 6858000"/>
            <a:gd name="connsiteX8731" fmla="*/ 3112767 w 12192000"/>
            <a:gd name="connsiteY8731" fmla="*/ 3750807 h 6858000"/>
            <a:gd name="connsiteX8732" fmla="*/ 3147586 w 12192000"/>
            <a:gd name="connsiteY8732" fmla="*/ 3715988 h 6858000"/>
            <a:gd name="connsiteX8733" fmla="*/ 3182404 w 12192000"/>
            <a:gd name="connsiteY8733" fmla="*/ 3750807 h 6858000"/>
            <a:gd name="connsiteX8734" fmla="*/ 3147586 w 12192000"/>
            <a:gd name="connsiteY8734" fmla="*/ 3785626 h 6858000"/>
            <a:gd name="connsiteX8735" fmla="*/ 3232478 w 12192000"/>
            <a:gd name="connsiteY8735" fmla="*/ 3785626 h 6858000"/>
            <a:gd name="connsiteX8736" fmla="*/ 3197659 w 12192000"/>
            <a:gd name="connsiteY8736" fmla="*/ 3750807 h 6858000"/>
            <a:gd name="connsiteX8737" fmla="*/ 3232478 w 12192000"/>
            <a:gd name="connsiteY8737" fmla="*/ 3715988 h 6858000"/>
            <a:gd name="connsiteX8738" fmla="*/ 3267297 w 12192000"/>
            <a:gd name="connsiteY8738" fmla="*/ 3750807 h 6858000"/>
            <a:gd name="connsiteX8739" fmla="*/ 3232478 w 12192000"/>
            <a:gd name="connsiteY8739" fmla="*/ 3785626 h 6858000"/>
            <a:gd name="connsiteX8740" fmla="*/ 3317371 w 12192000"/>
            <a:gd name="connsiteY8740" fmla="*/ 3785626 h 6858000"/>
            <a:gd name="connsiteX8741" fmla="*/ 3282552 w 12192000"/>
            <a:gd name="connsiteY8741" fmla="*/ 3750807 h 6858000"/>
            <a:gd name="connsiteX8742" fmla="*/ 3317371 w 12192000"/>
            <a:gd name="connsiteY8742" fmla="*/ 3715988 h 6858000"/>
            <a:gd name="connsiteX8743" fmla="*/ 3352190 w 12192000"/>
            <a:gd name="connsiteY8743" fmla="*/ 3750807 h 6858000"/>
            <a:gd name="connsiteX8744" fmla="*/ 3317371 w 12192000"/>
            <a:gd name="connsiteY8744" fmla="*/ 3785626 h 6858000"/>
            <a:gd name="connsiteX8745" fmla="*/ 3402263 w 12192000"/>
            <a:gd name="connsiteY8745" fmla="*/ 3785626 h 6858000"/>
            <a:gd name="connsiteX8746" fmla="*/ 3367444 w 12192000"/>
            <a:gd name="connsiteY8746" fmla="*/ 3750807 h 6858000"/>
            <a:gd name="connsiteX8747" fmla="*/ 3402263 w 12192000"/>
            <a:gd name="connsiteY8747" fmla="*/ 3715988 h 6858000"/>
            <a:gd name="connsiteX8748" fmla="*/ 3437082 w 12192000"/>
            <a:gd name="connsiteY8748" fmla="*/ 3750807 h 6858000"/>
            <a:gd name="connsiteX8749" fmla="*/ 3402263 w 12192000"/>
            <a:gd name="connsiteY8749" fmla="*/ 3785626 h 6858000"/>
            <a:gd name="connsiteX8750" fmla="*/ 3487156 w 12192000"/>
            <a:gd name="connsiteY8750" fmla="*/ 3785626 h 6858000"/>
            <a:gd name="connsiteX8751" fmla="*/ 3452337 w 12192000"/>
            <a:gd name="connsiteY8751" fmla="*/ 3750807 h 6858000"/>
            <a:gd name="connsiteX8752" fmla="*/ 3487156 w 12192000"/>
            <a:gd name="connsiteY8752" fmla="*/ 3715988 h 6858000"/>
            <a:gd name="connsiteX8753" fmla="*/ 3521974 w 12192000"/>
            <a:gd name="connsiteY8753" fmla="*/ 3750807 h 6858000"/>
            <a:gd name="connsiteX8754" fmla="*/ 3487156 w 12192000"/>
            <a:gd name="connsiteY8754" fmla="*/ 3785626 h 6858000"/>
            <a:gd name="connsiteX8755" fmla="*/ 5694360 w 12192000"/>
            <a:gd name="connsiteY8755" fmla="*/ 3785626 h 6858000"/>
            <a:gd name="connsiteX8756" fmla="*/ 5659541 w 12192000"/>
            <a:gd name="connsiteY8756" fmla="*/ 3750807 h 6858000"/>
            <a:gd name="connsiteX8757" fmla="*/ 5694360 w 12192000"/>
            <a:gd name="connsiteY8757" fmla="*/ 3715988 h 6858000"/>
            <a:gd name="connsiteX8758" fmla="*/ 5729179 w 12192000"/>
            <a:gd name="connsiteY8758" fmla="*/ 3750807 h 6858000"/>
            <a:gd name="connsiteX8759" fmla="*/ 5694360 w 12192000"/>
            <a:gd name="connsiteY8759" fmla="*/ 3785626 h 6858000"/>
            <a:gd name="connsiteX8760" fmla="*/ 6033934 w 12192000"/>
            <a:gd name="connsiteY8760" fmla="*/ 3785626 h 6858000"/>
            <a:gd name="connsiteX8761" fmla="*/ 5999108 w 12192000"/>
            <a:gd name="connsiteY8761" fmla="*/ 3750807 h 6858000"/>
            <a:gd name="connsiteX8762" fmla="*/ 6033934 w 12192000"/>
            <a:gd name="connsiteY8762" fmla="*/ 3715988 h 6858000"/>
            <a:gd name="connsiteX8763" fmla="*/ 6068746 w 12192000"/>
            <a:gd name="connsiteY8763" fmla="*/ 3750807 h 6858000"/>
            <a:gd name="connsiteX8764" fmla="*/ 6033934 w 12192000"/>
            <a:gd name="connsiteY8764" fmla="*/ 3785626 h 6858000"/>
            <a:gd name="connsiteX8765" fmla="*/ 6118826 w 12192000"/>
            <a:gd name="connsiteY8765" fmla="*/ 3785626 h 6858000"/>
            <a:gd name="connsiteX8766" fmla="*/ 6084000 w 12192000"/>
            <a:gd name="connsiteY8766" fmla="*/ 3750807 h 6858000"/>
            <a:gd name="connsiteX8767" fmla="*/ 6118826 w 12192000"/>
            <a:gd name="connsiteY8767" fmla="*/ 3715988 h 6858000"/>
            <a:gd name="connsiteX8768" fmla="*/ 6153638 w 12192000"/>
            <a:gd name="connsiteY8768" fmla="*/ 3750807 h 6858000"/>
            <a:gd name="connsiteX8769" fmla="*/ 6118826 w 12192000"/>
            <a:gd name="connsiteY8769" fmla="*/ 3785626 h 6858000"/>
            <a:gd name="connsiteX8770" fmla="*/ 6288611 w 12192000"/>
            <a:gd name="connsiteY8770" fmla="*/ 3785626 h 6858000"/>
            <a:gd name="connsiteX8771" fmla="*/ 6253786 w 12192000"/>
            <a:gd name="connsiteY8771" fmla="*/ 3750807 h 6858000"/>
            <a:gd name="connsiteX8772" fmla="*/ 6288611 w 12192000"/>
            <a:gd name="connsiteY8772" fmla="*/ 3715988 h 6858000"/>
            <a:gd name="connsiteX8773" fmla="*/ 6323424 w 12192000"/>
            <a:gd name="connsiteY8773" fmla="*/ 3750807 h 6858000"/>
            <a:gd name="connsiteX8774" fmla="*/ 6288611 w 12192000"/>
            <a:gd name="connsiteY8774" fmla="*/ 3785626 h 6858000"/>
            <a:gd name="connsiteX8775" fmla="*/ 6967750 w 12192000"/>
            <a:gd name="connsiteY8775" fmla="*/ 3785626 h 6858000"/>
            <a:gd name="connsiteX8776" fmla="*/ 6932925 w 12192000"/>
            <a:gd name="connsiteY8776" fmla="*/ 3750807 h 6858000"/>
            <a:gd name="connsiteX8777" fmla="*/ 6967750 w 12192000"/>
            <a:gd name="connsiteY8777" fmla="*/ 3715988 h 6858000"/>
            <a:gd name="connsiteX8778" fmla="*/ 7002563 w 12192000"/>
            <a:gd name="connsiteY8778" fmla="*/ 3750807 h 6858000"/>
            <a:gd name="connsiteX8779" fmla="*/ 6967750 w 12192000"/>
            <a:gd name="connsiteY8779" fmla="*/ 3785626 h 6858000"/>
            <a:gd name="connsiteX8780" fmla="*/ 7052644 w 12192000"/>
            <a:gd name="connsiteY8780" fmla="*/ 3785626 h 6858000"/>
            <a:gd name="connsiteX8781" fmla="*/ 7017818 w 12192000"/>
            <a:gd name="connsiteY8781" fmla="*/ 3750807 h 6858000"/>
            <a:gd name="connsiteX8782" fmla="*/ 7052644 w 12192000"/>
            <a:gd name="connsiteY8782" fmla="*/ 3715988 h 6858000"/>
            <a:gd name="connsiteX8783" fmla="*/ 7087456 w 12192000"/>
            <a:gd name="connsiteY8783" fmla="*/ 3750807 h 6858000"/>
            <a:gd name="connsiteX8784" fmla="*/ 7052644 w 12192000"/>
            <a:gd name="connsiteY8784" fmla="*/ 3785626 h 6858000"/>
            <a:gd name="connsiteX8785" fmla="*/ 7137536 w 12192000"/>
            <a:gd name="connsiteY8785" fmla="*/ 3785626 h 6858000"/>
            <a:gd name="connsiteX8786" fmla="*/ 7102710 w 12192000"/>
            <a:gd name="connsiteY8786" fmla="*/ 3750807 h 6858000"/>
            <a:gd name="connsiteX8787" fmla="*/ 7137536 w 12192000"/>
            <a:gd name="connsiteY8787" fmla="*/ 3715988 h 6858000"/>
            <a:gd name="connsiteX8788" fmla="*/ 7172348 w 12192000"/>
            <a:gd name="connsiteY8788" fmla="*/ 3750807 h 6858000"/>
            <a:gd name="connsiteX8789" fmla="*/ 7137536 w 12192000"/>
            <a:gd name="connsiteY8789" fmla="*/ 3785626 h 6858000"/>
            <a:gd name="connsiteX8790" fmla="*/ 7222428 w 12192000"/>
            <a:gd name="connsiteY8790" fmla="*/ 3785626 h 6858000"/>
            <a:gd name="connsiteX8791" fmla="*/ 7187603 w 12192000"/>
            <a:gd name="connsiteY8791" fmla="*/ 3750807 h 6858000"/>
            <a:gd name="connsiteX8792" fmla="*/ 7222428 w 12192000"/>
            <a:gd name="connsiteY8792" fmla="*/ 3715988 h 6858000"/>
            <a:gd name="connsiteX8793" fmla="*/ 7257240 w 12192000"/>
            <a:gd name="connsiteY8793" fmla="*/ 3750807 h 6858000"/>
            <a:gd name="connsiteX8794" fmla="*/ 7222428 w 12192000"/>
            <a:gd name="connsiteY8794" fmla="*/ 3785626 h 6858000"/>
            <a:gd name="connsiteX8795" fmla="*/ 7307320 w 12192000"/>
            <a:gd name="connsiteY8795" fmla="*/ 3785626 h 6858000"/>
            <a:gd name="connsiteX8796" fmla="*/ 7272495 w 12192000"/>
            <a:gd name="connsiteY8796" fmla="*/ 3750807 h 6858000"/>
            <a:gd name="connsiteX8797" fmla="*/ 7307320 w 12192000"/>
            <a:gd name="connsiteY8797" fmla="*/ 3715988 h 6858000"/>
            <a:gd name="connsiteX8798" fmla="*/ 7342133 w 12192000"/>
            <a:gd name="connsiteY8798" fmla="*/ 3750807 h 6858000"/>
            <a:gd name="connsiteX8799" fmla="*/ 7307320 w 12192000"/>
            <a:gd name="connsiteY8799" fmla="*/ 3785626 h 6858000"/>
            <a:gd name="connsiteX8800" fmla="*/ 7392214 w 12192000"/>
            <a:gd name="connsiteY8800" fmla="*/ 3785626 h 6858000"/>
            <a:gd name="connsiteX8801" fmla="*/ 7357388 w 12192000"/>
            <a:gd name="connsiteY8801" fmla="*/ 3750807 h 6858000"/>
            <a:gd name="connsiteX8802" fmla="*/ 7392214 w 12192000"/>
            <a:gd name="connsiteY8802" fmla="*/ 3715988 h 6858000"/>
            <a:gd name="connsiteX8803" fmla="*/ 7427026 w 12192000"/>
            <a:gd name="connsiteY8803" fmla="*/ 3750807 h 6858000"/>
            <a:gd name="connsiteX8804" fmla="*/ 7392214 w 12192000"/>
            <a:gd name="connsiteY8804" fmla="*/ 3785626 h 6858000"/>
            <a:gd name="connsiteX8805" fmla="*/ 7477106 w 12192000"/>
            <a:gd name="connsiteY8805" fmla="*/ 3785626 h 6858000"/>
            <a:gd name="connsiteX8806" fmla="*/ 7442280 w 12192000"/>
            <a:gd name="connsiteY8806" fmla="*/ 3750807 h 6858000"/>
            <a:gd name="connsiteX8807" fmla="*/ 7477106 w 12192000"/>
            <a:gd name="connsiteY8807" fmla="*/ 3715988 h 6858000"/>
            <a:gd name="connsiteX8808" fmla="*/ 7511918 w 12192000"/>
            <a:gd name="connsiteY8808" fmla="*/ 3750807 h 6858000"/>
            <a:gd name="connsiteX8809" fmla="*/ 7477106 w 12192000"/>
            <a:gd name="connsiteY8809" fmla="*/ 3785626 h 6858000"/>
            <a:gd name="connsiteX8810" fmla="*/ 7561998 w 12192000"/>
            <a:gd name="connsiteY8810" fmla="*/ 3785626 h 6858000"/>
            <a:gd name="connsiteX8811" fmla="*/ 7527173 w 12192000"/>
            <a:gd name="connsiteY8811" fmla="*/ 3750807 h 6858000"/>
            <a:gd name="connsiteX8812" fmla="*/ 7561998 w 12192000"/>
            <a:gd name="connsiteY8812" fmla="*/ 3715988 h 6858000"/>
            <a:gd name="connsiteX8813" fmla="*/ 7596810 w 12192000"/>
            <a:gd name="connsiteY8813" fmla="*/ 3750807 h 6858000"/>
            <a:gd name="connsiteX8814" fmla="*/ 7561998 w 12192000"/>
            <a:gd name="connsiteY8814" fmla="*/ 3785626 h 6858000"/>
            <a:gd name="connsiteX8815" fmla="*/ 7646890 w 12192000"/>
            <a:gd name="connsiteY8815" fmla="*/ 3785626 h 6858000"/>
            <a:gd name="connsiteX8816" fmla="*/ 7612065 w 12192000"/>
            <a:gd name="connsiteY8816" fmla="*/ 3750807 h 6858000"/>
            <a:gd name="connsiteX8817" fmla="*/ 7646890 w 12192000"/>
            <a:gd name="connsiteY8817" fmla="*/ 3715988 h 6858000"/>
            <a:gd name="connsiteX8818" fmla="*/ 7681703 w 12192000"/>
            <a:gd name="connsiteY8818" fmla="*/ 3750807 h 6858000"/>
            <a:gd name="connsiteX8819" fmla="*/ 7646890 w 12192000"/>
            <a:gd name="connsiteY8819" fmla="*/ 3785626 h 6858000"/>
            <a:gd name="connsiteX8820" fmla="*/ 7731784 w 12192000"/>
            <a:gd name="connsiteY8820" fmla="*/ 3785626 h 6858000"/>
            <a:gd name="connsiteX8821" fmla="*/ 7696958 w 12192000"/>
            <a:gd name="connsiteY8821" fmla="*/ 3750807 h 6858000"/>
            <a:gd name="connsiteX8822" fmla="*/ 7731784 w 12192000"/>
            <a:gd name="connsiteY8822" fmla="*/ 3715988 h 6858000"/>
            <a:gd name="connsiteX8823" fmla="*/ 7766596 w 12192000"/>
            <a:gd name="connsiteY8823" fmla="*/ 3750807 h 6858000"/>
            <a:gd name="connsiteX8824" fmla="*/ 7731784 w 12192000"/>
            <a:gd name="connsiteY8824" fmla="*/ 3785626 h 6858000"/>
            <a:gd name="connsiteX8825" fmla="*/ 7817766 w 12192000"/>
            <a:gd name="connsiteY8825" fmla="*/ 3785626 h 6858000"/>
            <a:gd name="connsiteX8826" fmla="*/ 7782941 w 12192000"/>
            <a:gd name="connsiteY8826" fmla="*/ 3750807 h 6858000"/>
            <a:gd name="connsiteX8827" fmla="*/ 7817766 w 12192000"/>
            <a:gd name="connsiteY8827" fmla="*/ 3715988 h 6858000"/>
            <a:gd name="connsiteX8828" fmla="*/ 7852578 w 12192000"/>
            <a:gd name="connsiteY8828" fmla="*/ 3750807 h 6858000"/>
            <a:gd name="connsiteX8829" fmla="*/ 7817766 w 12192000"/>
            <a:gd name="connsiteY8829" fmla="*/ 3785626 h 6858000"/>
            <a:gd name="connsiteX8830" fmla="*/ 7902658 w 12192000"/>
            <a:gd name="connsiteY8830" fmla="*/ 3785626 h 6858000"/>
            <a:gd name="connsiteX8831" fmla="*/ 7867833 w 12192000"/>
            <a:gd name="connsiteY8831" fmla="*/ 3750807 h 6858000"/>
            <a:gd name="connsiteX8832" fmla="*/ 7902658 w 12192000"/>
            <a:gd name="connsiteY8832" fmla="*/ 3715988 h 6858000"/>
            <a:gd name="connsiteX8833" fmla="*/ 7937471 w 12192000"/>
            <a:gd name="connsiteY8833" fmla="*/ 3750807 h 6858000"/>
            <a:gd name="connsiteX8834" fmla="*/ 7902658 w 12192000"/>
            <a:gd name="connsiteY8834" fmla="*/ 3785626 h 6858000"/>
            <a:gd name="connsiteX8835" fmla="*/ 7985912 w 12192000"/>
            <a:gd name="connsiteY8835" fmla="*/ 3785626 h 6858000"/>
            <a:gd name="connsiteX8836" fmla="*/ 7951087 w 12192000"/>
            <a:gd name="connsiteY8836" fmla="*/ 3750807 h 6858000"/>
            <a:gd name="connsiteX8837" fmla="*/ 7985912 w 12192000"/>
            <a:gd name="connsiteY8837" fmla="*/ 3715988 h 6858000"/>
            <a:gd name="connsiteX8838" fmla="*/ 8020725 w 12192000"/>
            <a:gd name="connsiteY8838" fmla="*/ 3750807 h 6858000"/>
            <a:gd name="connsiteX8839" fmla="*/ 7985912 w 12192000"/>
            <a:gd name="connsiteY8839" fmla="*/ 3785626 h 6858000"/>
            <a:gd name="connsiteX8840" fmla="*/ 8070805 w 12192000"/>
            <a:gd name="connsiteY8840" fmla="*/ 3785626 h 6858000"/>
            <a:gd name="connsiteX8841" fmla="*/ 8035979 w 12192000"/>
            <a:gd name="connsiteY8841" fmla="*/ 3750807 h 6858000"/>
            <a:gd name="connsiteX8842" fmla="*/ 8070805 w 12192000"/>
            <a:gd name="connsiteY8842" fmla="*/ 3715988 h 6858000"/>
            <a:gd name="connsiteX8843" fmla="*/ 8105617 w 12192000"/>
            <a:gd name="connsiteY8843" fmla="*/ 3750807 h 6858000"/>
            <a:gd name="connsiteX8844" fmla="*/ 8070805 w 12192000"/>
            <a:gd name="connsiteY8844" fmla="*/ 3785626 h 6858000"/>
            <a:gd name="connsiteX8845" fmla="*/ 8155697 w 12192000"/>
            <a:gd name="connsiteY8845" fmla="*/ 3785626 h 6858000"/>
            <a:gd name="connsiteX8846" fmla="*/ 8120871 w 12192000"/>
            <a:gd name="connsiteY8846" fmla="*/ 3750807 h 6858000"/>
            <a:gd name="connsiteX8847" fmla="*/ 8155697 w 12192000"/>
            <a:gd name="connsiteY8847" fmla="*/ 3715988 h 6858000"/>
            <a:gd name="connsiteX8848" fmla="*/ 8190509 w 12192000"/>
            <a:gd name="connsiteY8848" fmla="*/ 3750807 h 6858000"/>
            <a:gd name="connsiteX8849" fmla="*/ 8155697 w 12192000"/>
            <a:gd name="connsiteY8849" fmla="*/ 3785626 h 6858000"/>
            <a:gd name="connsiteX8850" fmla="*/ 8241680 w 12192000"/>
            <a:gd name="connsiteY8850" fmla="*/ 3785626 h 6858000"/>
            <a:gd name="connsiteX8851" fmla="*/ 8206855 w 12192000"/>
            <a:gd name="connsiteY8851" fmla="*/ 3750807 h 6858000"/>
            <a:gd name="connsiteX8852" fmla="*/ 8241680 w 12192000"/>
            <a:gd name="connsiteY8852" fmla="*/ 3715988 h 6858000"/>
            <a:gd name="connsiteX8853" fmla="*/ 8276493 w 12192000"/>
            <a:gd name="connsiteY8853" fmla="*/ 3750807 h 6858000"/>
            <a:gd name="connsiteX8854" fmla="*/ 8241680 w 12192000"/>
            <a:gd name="connsiteY8854" fmla="*/ 3785626 h 6858000"/>
            <a:gd name="connsiteX8855" fmla="*/ 8326572 w 12192000"/>
            <a:gd name="connsiteY8855" fmla="*/ 3785626 h 6858000"/>
            <a:gd name="connsiteX8856" fmla="*/ 8291747 w 12192000"/>
            <a:gd name="connsiteY8856" fmla="*/ 3750807 h 6858000"/>
            <a:gd name="connsiteX8857" fmla="*/ 8326572 w 12192000"/>
            <a:gd name="connsiteY8857" fmla="*/ 3715988 h 6858000"/>
            <a:gd name="connsiteX8858" fmla="*/ 8361385 w 12192000"/>
            <a:gd name="connsiteY8858" fmla="*/ 3750807 h 6858000"/>
            <a:gd name="connsiteX8859" fmla="*/ 8326572 w 12192000"/>
            <a:gd name="connsiteY8859" fmla="*/ 3785626 h 6858000"/>
            <a:gd name="connsiteX8860" fmla="*/ 8410923 w 12192000"/>
            <a:gd name="connsiteY8860" fmla="*/ 3785626 h 6858000"/>
            <a:gd name="connsiteX8861" fmla="*/ 8376097 w 12192000"/>
            <a:gd name="connsiteY8861" fmla="*/ 3750807 h 6858000"/>
            <a:gd name="connsiteX8862" fmla="*/ 8410923 w 12192000"/>
            <a:gd name="connsiteY8862" fmla="*/ 3715988 h 6858000"/>
            <a:gd name="connsiteX8863" fmla="*/ 8445735 w 12192000"/>
            <a:gd name="connsiteY8863" fmla="*/ 3750807 h 6858000"/>
            <a:gd name="connsiteX8864" fmla="*/ 8410923 w 12192000"/>
            <a:gd name="connsiteY8864" fmla="*/ 3785626 h 6858000"/>
            <a:gd name="connsiteX8865" fmla="*/ 8495816 w 12192000"/>
            <a:gd name="connsiteY8865" fmla="*/ 3785626 h 6858000"/>
            <a:gd name="connsiteX8866" fmla="*/ 8460990 w 12192000"/>
            <a:gd name="connsiteY8866" fmla="*/ 3750807 h 6858000"/>
            <a:gd name="connsiteX8867" fmla="*/ 8495816 w 12192000"/>
            <a:gd name="connsiteY8867" fmla="*/ 3715988 h 6858000"/>
            <a:gd name="connsiteX8868" fmla="*/ 8530628 w 12192000"/>
            <a:gd name="connsiteY8868" fmla="*/ 3750807 h 6858000"/>
            <a:gd name="connsiteX8869" fmla="*/ 8495816 w 12192000"/>
            <a:gd name="connsiteY8869" fmla="*/ 3785626 h 6858000"/>
            <a:gd name="connsiteX8870" fmla="*/ 8580708 w 12192000"/>
            <a:gd name="connsiteY8870" fmla="*/ 3785626 h 6858000"/>
            <a:gd name="connsiteX8871" fmla="*/ 8545883 w 12192000"/>
            <a:gd name="connsiteY8871" fmla="*/ 3750807 h 6858000"/>
            <a:gd name="connsiteX8872" fmla="*/ 8580708 w 12192000"/>
            <a:gd name="connsiteY8872" fmla="*/ 3715988 h 6858000"/>
            <a:gd name="connsiteX8873" fmla="*/ 8615520 w 12192000"/>
            <a:gd name="connsiteY8873" fmla="*/ 3750807 h 6858000"/>
            <a:gd name="connsiteX8874" fmla="*/ 8580708 w 12192000"/>
            <a:gd name="connsiteY8874" fmla="*/ 3785626 h 6858000"/>
            <a:gd name="connsiteX8875" fmla="*/ 8665600 w 12192000"/>
            <a:gd name="connsiteY8875" fmla="*/ 3785626 h 6858000"/>
            <a:gd name="connsiteX8876" fmla="*/ 8630775 w 12192000"/>
            <a:gd name="connsiteY8876" fmla="*/ 3750807 h 6858000"/>
            <a:gd name="connsiteX8877" fmla="*/ 8665600 w 12192000"/>
            <a:gd name="connsiteY8877" fmla="*/ 3715988 h 6858000"/>
            <a:gd name="connsiteX8878" fmla="*/ 8700413 w 12192000"/>
            <a:gd name="connsiteY8878" fmla="*/ 3750807 h 6858000"/>
            <a:gd name="connsiteX8879" fmla="*/ 8665600 w 12192000"/>
            <a:gd name="connsiteY8879" fmla="*/ 3785626 h 6858000"/>
            <a:gd name="connsiteX8880" fmla="*/ 8750493 w 12192000"/>
            <a:gd name="connsiteY8880" fmla="*/ 3785626 h 6858000"/>
            <a:gd name="connsiteX8881" fmla="*/ 8715667 w 12192000"/>
            <a:gd name="connsiteY8881" fmla="*/ 3750807 h 6858000"/>
            <a:gd name="connsiteX8882" fmla="*/ 8750493 w 12192000"/>
            <a:gd name="connsiteY8882" fmla="*/ 3715988 h 6858000"/>
            <a:gd name="connsiteX8883" fmla="*/ 8785305 w 12192000"/>
            <a:gd name="connsiteY8883" fmla="*/ 3750807 h 6858000"/>
            <a:gd name="connsiteX8884" fmla="*/ 8750493 w 12192000"/>
            <a:gd name="connsiteY8884" fmla="*/ 3785626 h 6858000"/>
            <a:gd name="connsiteX8885" fmla="*/ 8835386 w 12192000"/>
            <a:gd name="connsiteY8885" fmla="*/ 3785626 h 6858000"/>
            <a:gd name="connsiteX8886" fmla="*/ 8800560 w 12192000"/>
            <a:gd name="connsiteY8886" fmla="*/ 3750807 h 6858000"/>
            <a:gd name="connsiteX8887" fmla="*/ 8835386 w 12192000"/>
            <a:gd name="connsiteY8887" fmla="*/ 3715988 h 6858000"/>
            <a:gd name="connsiteX8888" fmla="*/ 8870198 w 12192000"/>
            <a:gd name="connsiteY8888" fmla="*/ 3750807 h 6858000"/>
            <a:gd name="connsiteX8889" fmla="*/ 8835386 w 12192000"/>
            <a:gd name="connsiteY8889" fmla="*/ 3785626 h 6858000"/>
            <a:gd name="connsiteX8890" fmla="*/ 8920278 w 12192000"/>
            <a:gd name="connsiteY8890" fmla="*/ 3785626 h 6858000"/>
            <a:gd name="connsiteX8891" fmla="*/ 8885453 w 12192000"/>
            <a:gd name="connsiteY8891" fmla="*/ 3750807 h 6858000"/>
            <a:gd name="connsiteX8892" fmla="*/ 8920278 w 12192000"/>
            <a:gd name="connsiteY8892" fmla="*/ 3715988 h 6858000"/>
            <a:gd name="connsiteX8893" fmla="*/ 8955090 w 12192000"/>
            <a:gd name="connsiteY8893" fmla="*/ 3750807 h 6858000"/>
            <a:gd name="connsiteX8894" fmla="*/ 8920278 w 12192000"/>
            <a:gd name="connsiteY8894" fmla="*/ 3785626 h 6858000"/>
            <a:gd name="connsiteX8895" fmla="*/ 9005170 w 12192000"/>
            <a:gd name="connsiteY8895" fmla="*/ 3785626 h 6858000"/>
            <a:gd name="connsiteX8896" fmla="*/ 8970345 w 12192000"/>
            <a:gd name="connsiteY8896" fmla="*/ 3750807 h 6858000"/>
            <a:gd name="connsiteX8897" fmla="*/ 9005170 w 12192000"/>
            <a:gd name="connsiteY8897" fmla="*/ 3715988 h 6858000"/>
            <a:gd name="connsiteX8898" fmla="*/ 9039983 w 12192000"/>
            <a:gd name="connsiteY8898" fmla="*/ 3750807 h 6858000"/>
            <a:gd name="connsiteX8899" fmla="*/ 9005170 w 12192000"/>
            <a:gd name="connsiteY8899" fmla="*/ 3785626 h 6858000"/>
            <a:gd name="connsiteX8900" fmla="*/ 9090063 w 12192000"/>
            <a:gd name="connsiteY8900" fmla="*/ 3785626 h 6858000"/>
            <a:gd name="connsiteX8901" fmla="*/ 9055237 w 12192000"/>
            <a:gd name="connsiteY8901" fmla="*/ 3750807 h 6858000"/>
            <a:gd name="connsiteX8902" fmla="*/ 9090063 w 12192000"/>
            <a:gd name="connsiteY8902" fmla="*/ 3715988 h 6858000"/>
            <a:gd name="connsiteX8903" fmla="*/ 9124875 w 12192000"/>
            <a:gd name="connsiteY8903" fmla="*/ 3750807 h 6858000"/>
            <a:gd name="connsiteX8904" fmla="*/ 9090063 w 12192000"/>
            <a:gd name="connsiteY8904" fmla="*/ 3785626 h 6858000"/>
            <a:gd name="connsiteX8905" fmla="*/ 9174956 w 12192000"/>
            <a:gd name="connsiteY8905" fmla="*/ 3785626 h 6858000"/>
            <a:gd name="connsiteX8906" fmla="*/ 9140130 w 12192000"/>
            <a:gd name="connsiteY8906" fmla="*/ 3750807 h 6858000"/>
            <a:gd name="connsiteX8907" fmla="*/ 9174956 w 12192000"/>
            <a:gd name="connsiteY8907" fmla="*/ 3715988 h 6858000"/>
            <a:gd name="connsiteX8908" fmla="*/ 9209768 w 12192000"/>
            <a:gd name="connsiteY8908" fmla="*/ 3750807 h 6858000"/>
            <a:gd name="connsiteX8909" fmla="*/ 9174956 w 12192000"/>
            <a:gd name="connsiteY8909" fmla="*/ 3785626 h 6858000"/>
            <a:gd name="connsiteX8910" fmla="*/ 9259848 w 12192000"/>
            <a:gd name="connsiteY8910" fmla="*/ 3785626 h 6858000"/>
            <a:gd name="connsiteX8911" fmla="*/ 9225023 w 12192000"/>
            <a:gd name="connsiteY8911" fmla="*/ 3750807 h 6858000"/>
            <a:gd name="connsiteX8912" fmla="*/ 9259848 w 12192000"/>
            <a:gd name="connsiteY8912" fmla="*/ 3715988 h 6858000"/>
            <a:gd name="connsiteX8913" fmla="*/ 9294660 w 12192000"/>
            <a:gd name="connsiteY8913" fmla="*/ 3750807 h 6858000"/>
            <a:gd name="connsiteX8914" fmla="*/ 9259848 w 12192000"/>
            <a:gd name="connsiteY8914" fmla="*/ 3785626 h 6858000"/>
            <a:gd name="connsiteX8915" fmla="*/ 9344740 w 12192000"/>
            <a:gd name="connsiteY8915" fmla="*/ 3785626 h 6858000"/>
            <a:gd name="connsiteX8916" fmla="*/ 9309915 w 12192000"/>
            <a:gd name="connsiteY8916" fmla="*/ 3750807 h 6858000"/>
            <a:gd name="connsiteX8917" fmla="*/ 9344740 w 12192000"/>
            <a:gd name="connsiteY8917" fmla="*/ 3715988 h 6858000"/>
            <a:gd name="connsiteX8918" fmla="*/ 9379553 w 12192000"/>
            <a:gd name="connsiteY8918" fmla="*/ 3750807 h 6858000"/>
            <a:gd name="connsiteX8919" fmla="*/ 9344740 w 12192000"/>
            <a:gd name="connsiteY8919" fmla="*/ 3785626 h 6858000"/>
            <a:gd name="connsiteX8920" fmla="*/ 9429633 w 12192000"/>
            <a:gd name="connsiteY8920" fmla="*/ 3785626 h 6858000"/>
            <a:gd name="connsiteX8921" fmla="*/ 9394807 w 12192000"/>
            <a:gd name="connsiteY8921" fmla="*/ 3750807 h 6858000"/>
            <a:gd name="connsiteX8922" fmla="*/ 9429633 w 12192000"/>
            <a:gd name="connsiteY8922" fmla="*/ 3715988 h 6858000"/>
            <a:gd name="connsiteX8923" fmla="*/ 9464445 w 12192000"/>
            <a:gd name="connsiteY8923" fmla="*/ 3750807 h 6858000"/>
            <a:gd name="connsiteX8924" fmla="*/ 9429633 w 12192000"/>
            <a:gd name="connsiteY8924" fmla="*/ 3785626 h 6858000"/>
            <a:gd name="connsiteX8925" fmla="*/ 9938988 w 12192000"/>
            <a:gd name="connsiteY8925" fmla="*/ 3785626 h 6858000"/>
            <a:gd name="connsiteX8926" fmla="*/ 9904163 w 12192000"/>
            <a:gd name="connsiteY8926" fmla="*/ 3750807 h 6858000"/>
            <a:gd name="connsiteX8927" fmla="*/ 9938988 w 12192000"/>
            <a:gd name="connsiteY8927" fmla="*/ 3715988 h 6858000"/>
            <a:gd name="connsiteX8928" fmla="*/ 9973800 w 12192000"/>
            <a:gd name="connsiteY8928" fmla="*/ 3750807 h 6858000"/>
            <a:gd name="connsiteX8929" fmla="*/ 9938988 w 12192000"/>
            <a:gd name="connsiteY8929" fmla="*/ 3785626 h 6858000"/>
            <a:gd name="connsiteX8930" fmla="*/ 2298661 w 12192000"/>
            <a:gd name="connsiteY8930" fmla="*/ 3700766 h 6858000"/>
            <a:gd name="connsiteX8931" fmla="*/ 2263842 w 12192000"/>
            <a:gd name="connsiteY8931" fmla="*/ 3665947 h 6858000"/>
            <a:gd name="connsiteX8932" fmla="*/ 2298661 w 12192000"/>
            <a:gd name="connsiteY8932" fmla="*/ 3631128 h 6858000"/>
            <a:gd name="connsiteX8933" fmla="*/ 2333480 w 12192000"/>
            <a:gd name="connsiteY8933" fmla="*/ 3665947 h 6858000"/>
            <a:gd name="connsiteX8934" fmla="*/ 2298661 w 12192000"/>
            <a:gd name="connsiteY8934" fmla="*/ 3700766 h 6858000"/>
            <a:gd name="connsiteX8935" fmla="*/ 2383553 w 12192000"/>
            <a:gd name="connsiteY8935" fmla="*/ 3700766 h 6858000"/>
            <a:gd name="connsiteX8936" fmla="*/ 2348734 w 12192000"/>
            <a:gd name="connsiteY8936" fmla="*/ 3665947 h 6858000"/>
            <a:gd name="connsiteX8937" fmla="*/ 2383553 w 12192000"/>
            <a:gd name="connsiteY8937" fmla="*/ 3631128 h 6858000"/>
            <a:gd name="connsiteX8938" fmla="*/ 2418372 w 12192000"/>
            <a:gd name="connsiteY8938" fmla="*/ 3665947 h 6858000"/>
            <a:gd name="connsiteX8939" fmla="*/ 2383553 w 12192000"/>
            <a:gd name="connsiteY8939" fmla="*/ 3700766 h 6858000"/>
            <a:gd name="connsiteX8940" fmla="*/ 2468446 w 12192000"/>
            <a:gd name="connsiteY8940" fmla="*/ 3700766 h 6858000"/>
            <a:gd name="connsiteX8941" fmla="*/ 2433627 w 12192000"/>
            <a:gd name="connsiteY8941" fmla="*/ 3665947 h 6858000"/>
            <a:gd name="connsiteX8942" fmla="*/ 2468446 w 12192000"/>
            <a:gd name="connsiteY8942" fmla="*/ 3631128 h 6858000"/>
            <a:gd name="connsiteX8943" fmla="*/ 2503264 w 12192000"/>
            <a:gd name="connsiteY8943" fmla="*/ 3665947 h 6858000"/>
            <a:gd name="connsiteX8944" fmla="*/ 2468446 w 12192000"/>
            <a:gd name="connsiteY8944" fmla="*/ 3700766 h 6858000"/>
            <a:gd name="connsiteX8945" fmla="*/ 2553339 w 12192000"/>
            <a:gd name="connsiteY8945" fmla="*/ 3700766 h 6858000"/>
            <a:gd name="connsiteX8946" fmla="*/ 2518520 w 12192000"/>
            <a:gd name="connsiteY8946" fmla="*/ 3665947 h 6858000"/>
            <a:gd name="connsiteX8947" fmla="*/ 2553339 w 12192000"/>
            <a:gd name="connsiteY8947" fmla="*/ 3631128 h 6858000"/>
            <a:gd name="connsiteX8948" fmla="*/ 2588158 w 12192000"/>
            <a:gd name="connsiteY8948" fmla="*/ 3665947 h 6858000"/>
            <a:gd name="connsiteX8949" fmla="*/ 2553339 w 12192000"/>
            <a:gd name="connsiteY8949" fmla="*/ 3700766 h 6858000"/>
            <a:gd name="connsiteX8950" fmla="*/ 2638231 w 12192000"/>
            <a:gd name="connsiteY8950" fmla="*/ 3700766 h 6858000"/>
            <a:gd name="connsiteX8951" fmla="*/ 2603412 w 12192000"/>
            <a:gd name="connsiteY8951" fmla="*/ 3665947 h 6858000"/>
            <a:gd name="connsiteX8952" fmla="*/ 2638231 w 12192000"/>
            <a:gd name="connsiteY8952" fmla="*/ 3631128 h 6858000"/>
            <a:gd name="connsiteX8953" fmla="*/ 2673050 w 12192000"/>
            <a:gd name="connsiteY8953" fmla="*/ 3665947 h 6858000"/>
            <a:gd name="connsiteX8954" fmla="*/ 2638231 w 12192000"/>
            <a:gd name="connsiteY8954" fmla="*/ 3700766 h 6858000"/>
            <a:gd name="connsiteX8955" fmla="*/ 2723123 w 12192000"/>
            <a:gd name="connsiteY8955" fmla="*/ 3700766 h 6858000"/>
            <a:gd name="connsiteX8956" fmla="*/ 2688304 w 12192000"/>
            <a:gd name="connsiteY8956" fmla="*/ 3665947 h 6858000"/>
            <a:gd name="connsiteX8957" fmla="*/ 2723123 w 12192000"/>
            <a:gd name="connsiteY8957" fmla="*/ 3631128 h 6858000"/>
            <a:gd name="connsiteX8958" fmla="*/ 2757942 w 12192000"/>
            <a:gd name="connsiteY8958" fmla="*/ 3665947 h 6858000"/>
            <a:gd name="connsiteX8959" fmla="*/ 2723123 w 12192000"/>
            <a:gd name="connsiteY8959" fmla="*/ 3700766 h 6858000"/>
            <a:gd name="connsiteX8960" fmla="*/ 2808016 w 12192000"/>
            <a:gd name="connsiteY8960" fmla="*/ 3700766 h 6858000"/>
            <a:gd name="connsiteX8961" fmla="*/ 2773197 w 12192000"/>
            <a:gd name="connsiteY8961" fmla="*/ 3665947 h 6858000"/>
            <a:gd name="connsiteX8962" fmla="*/ 2808016 w 12192000"/>
            <a:gd name="connsiteY8962" fmla="*/ 3631128 h 6858000"/>
            <a:gd name="connsiteX8963" fmla="*/ 2842834 w 12192000"/>
            <a:gd name="connsiteY8963" fmla="*/ 3665947 h 6858000"/>
            <a:gd name="connsiteX8964" fmla="*/ 2808016 w 12192000"/>
            <a:gd name="connsiteY8964" fmla="*/ 3700766 h 6858000"/>
            <a:gd name="connsiteX8965" fmla="*/ 2892908 w 12192000"/>
            <a:gd name="connsiteY8965" fmla="*/ 3700766 h 6858000"/>
            <a:gd name="connsiteX8966" fmla="*/ 2858089 w 12192000"/>
            <a:gd name="connsiteY8966" fmla="*/ 3665947 h 6858000"/>
            <a:gd name="connsiteX8967" fmla="*/ 2892908 w 12192000"/>
            <a:gd name="connsiteY8967" fmla="*/ 3631128 h 6858000"/>
            <a:gd name="connsiteX8968" fmla="*/ 2927727 w 12192000"/>
            <a:gd name="connsiteY8968" fmla="*/ 3665947 h 6858000"/>
            <a:gd name="connsiteX8969" fmla="*/ 2892908 w 12192000"/>
            <a:gd name="connsiteY8969" fmla="*/ 3700766 h 6858000"/>
            <a:gd name="connsiteX8970" fmla="*/ 2977801 w 12192000"/>
            <a:gd name="connsiteY8970" fmla="*/ 3700766 h 6858000"/>
            <a:gd name="connsiteX8971" fmla="*/ 2942982 w 12192000"/>
            <a:gd name="connsiteY8971" fmla="*/ 3665947 h 6858000"/>
            <a:gd name="connsiteX8972" fmla="*/ 2977801 w 12192000"/>
            <a:gd name="connsiteY8972" fmla="*/ 3631128 h 6858000"/>
            <a:gd name="connsiteX8973" fmla="*/ 3012620 w 12192000"/>
            <a:gd name="connsiteY8973" fmla="*/ 3665947 h 6858000"/>
            <a:gd name="connsiteX8974" fmla="*/ 2977801 w 12192000"/>
            <a:gd name="connsiteY8974" fmla="*/ 3700766 h 6858000"/>
            <a:gd name="connsiteX8975" fmla="*/ 3062693 w 12192000"/>
            <a:gd name="connsiteY8975" fmla="*/ 3700766 h 6858000"/>
            <a:gd name="connsiteX8976" fmla="*/ 3027874 w 12192000"/>
            <a:gd name="connsiteY8976" fmla="*/ 3665947 h 6858000"/>
            <a:gd name="connsiteX8977" fmla="*/ 3062693 w 12192000"/>
            <a:gd name="connsiteY8977" fmla="*/ 3631128 h 6858000"/>
            <a:gd name="connsiteX8978" fmla="*/ 3097512 w 12192000"/>
            <a:gd name="connsiteY8978" fmla="*/ 3665947 h 6858000"/>
            <a:gd name="connsiteX8979" fmla="*/ 3062693 w 12192000"/>
            <a:gd name="connsiteY8979" fmla="*/ 3700766 h 6858000"/>
            <a:gd name="connsiteX8980" fmla="*/ 3147586 w 12192000"/>
            <a:gd name="connsiteY8980" fmla="*/ 3700766 h 6858000"/>
            <a:gd name="connsiteX8981" fmla="*/ 3112767 w 12192000"/>
            <a:gd name="connsiteY8981" fmla="*/ 3665947 h 6858000"/>
            <a:gd name="connsiteX8982" fmla="*/ 3147586 w 12192000"/>
            <a:gd name="connsiteY8982" fmla="*/ 3631128 h 6858000"/>
            <a:gd name="connsiteX8983" fmla="*/ 3182404 w 12192000"/>
            <a:gd name="connsiteY8983" fmla="*/ 3665947 h 6858000"/>
            <a:gd name="connsiteX8984" fmla="*/ 3147586 w 12192000"/>
            <a:gd name="connsiteY8984" fmla="*/ 3700766 h 6858000"/>
            <a:gd name="connsiteX8985" fmla="*/ 3232478 w 12192000"/>
            <a:gd name="connsiteY8985" fmla="*/ 3700766 h 6858000"/>
            <a:gd name="connsiteX8986" fmla="*/ 3197659 w 12192000"/>
            <a:gd name="connsiteY8986" fmla="*/ 3665947 h 6858000"/>
            <a:gd name="connsiteX8987" fmla="*/ 3232478 w 12192000"/>
            <a:gd name="connsiteY8987" fmla="*/ 3631128 h 6858000"/>
            <a:gd name="connsiteX8988" fmla="*/ 3267297 w 12192000"/>
            <a:gd name="connsiteY8988" fmla="*/ 3665947 h 6858000"/>
            <a:gd name="connsiteX8989" fmla="*/ 3232478 w 12192000"/>
            <a:gd name="connsiteY8989" fmla="*/ 3700766 h 6858000"/>
            <a:gd name="connsiteX8990" fmla="*/ 3317371 w 12192000"/>
            <a:gd name="connsiteY8990" fmla="*/ 3700766 h 6858000"/>
            <a:gd name="connsiteX8991" fmla="*/ 3282552 w 12192000"/>
            <a:gd name="connsiteY8991" fmla="*/ 3665947 h 6858000"/>
            <a:gd name="connsiteX8992" fmla="*/ 3317371 w 12192000"/>
            <a:gd name="connsiteY8992" fmla="*/ 3631128 h 6858000"/>
            <a:gd name="connsiteX8993" fmla="*/ 3352190 w 12192000"/>
            <a:gd name="connsiteY8993" fmla="*/ 3665947 h 6858000"/>
            <a:gd name="connsiteX8994" fmla="*/ 3317371 w 12192000"/>
            <a:gd name="connsiteY8994" fmla="*/ 3700766 h 6858000"/>
            <a:gd name="connsiteX8995" fmla="*/ 3402263 w 12192000"/>
            <a:gd name="connsiteY8995" fmla="*/ 3700766 h 6858000"/>
            <a:gd name="connsiteX8996" fmla="*/ 3367444 w 12192000"/>
            <a:gd name="connsiteY8996" fmla="*/ 3665947 h 6858000"/>
            <a:gd name="connsiteX8997" fmla="*/ 3402263 w 12192000"/>
            <a:gd name="connsiteY8997" fmla="*/ 3631128 h 6858000"/>
            <a:gd name="connsiteX8998" fmla="*/ 3437082 w 12192000"/>
            <a:gd name="connsiteY8998" fmla="*/ 3665947 h 6858000"/>
            <a:gd name="connsiteX8999" fmla="*/ 3402263 w 12192000"/>
            <a:gd name="connsiteY8999" fmla="*/ 3700766 h 6858000"/>
            <a:gd name="connsiteX9000" fmla="*/ 5694364 w 12192000"/>
            <a:gd name="connsiteY9000" fmla="*/ 3700766 h 6858000"/>
            <a:gd name="connsiteX9001" fmla="*/ 5659538 w 12192000"/>
            <a:gd name="connsiteY9001" fmla="*/ 3665947 h 6858000"/>
            <a:gd name="connsiteX9002" fmla="*/ 5694364 w 12192000"/>
            <a:gd name="connsiteY9002" fmla="*/ 3631128 h 6858000"/>
            <a:gd name="connsiteX9003" fmla="*/ 5729176 w 12192000"/>
            <a:gd name="connsiteY9003" fmla="*/ 3665947 h 6858000"/>
            <a:gd name="connsiteX9004" fmla="*/ 5694364 w 12192000"/>
            <a:gd name="connsiteY9004" fmla="*/ 3700766 h 6858000"/>
            <a:gd name="connsiteX9005" fmla="*/ 5779256 w 12192000"/>
            <a:gd name="connsiteY9005" fmla="*/ 3700766 h 6858000"/>
            <a:gd name="connsiteX9006" fmla="*/ 5744430 w 12192000"/>
            <a:gd name="connsiteY9006" fmla="*/ 3665947 h 6858000"/>
            <a:gd name="connsiteX9007" fmla="*/ 5779256 w 12192000"/>
            <a:gd name="connsiteY9007" fmla="*/ 3631128 h 6858000"/>
            <a:gd name="connsiteX9008" fmla="*/ 5814068 w 12192000"/>
            <a:gd name="connsiteY9008" fmla="*/ 3665947 h 6858000"/>
            <a:gd name="connsiteX9009" fmla="*/ 5779256 w 12192000"/>
            <a:gd name="connsiteY9009" fmla="*/ 3700766 h 6858000"/>
            <a:gd name="connsiteX9010" fmla="*/ 5864148 w 12192000"/>
            <a:gd name="connsiteY9010" fmla="*/ 3700766 h 6858000"/>
            <a:gd name="connsiteX9011" fmla="*/ 5829323 w 12192000"/>
            <a:gd name="connsiteY9011" fmla="*/ 3665947 h 6858000"/>
            <a:gd name="connsiteX9012" fmla="*/ 5864148 w 12192000"/>
            <a:gd name="connsiteY9012" fmla="*/ 3631128 h 6858000"/>
            <a:gd name="connsiteX9013" fmla="*/ 5898960 w 12192000"/>
            <a:gd name="connsiteY9013" fmla="*/ 3665947 h 6858000"/>
            <a:gd name="connsiteX9014" fmla="*/ 5864148 w 12192000"/>
            <a:gd name="connsiteY9014" fmla="*/ 3700766 h 6858000"/>
            <a:gd name="connsiteX9015" fmla="*/ 5949041 w 12192000"/>
            <a:gd name="connsiteY9015" fmla="*/ 3700766 h 6858000"/>
            <a:gd name="connsiteX9016" fmla="*/ 5914216 w 12192000"/>
            <a:gd name="connsiteY9016" fmla="*/ 3665947 h 6858000"/>
            <a:gd name="connsiteX9017" fmla="*/ 5949041 w 12192000"/>
            <a:gd name="connsiteY9017" fmla="*/ 3631128 h 6858000"/>
            <a:gd name="connsiteX9018" fmla="*/ 5983854 w 12192000"/>
            <a:gd name="connsiteY9018" fmla="*/ 3665947 h 6858000"/>
            <a:gd name="connsiteX9019" fmla="*/ 5949041 w 12192000"/>
            <a:gd name="connsiteY9019" fmla="*/ 3700766 h 6858000"/>
            <a:gd name="connsiteX9020" fmla="*/ 6033934 w 12192000"/>
            <a:gd name="connsiteY9020" fmla="*/ 3700766 h 6858000"/>
            <a:gd name="connsiteX9021" fmla="*/ 5999108 w 12192000"/>
            <a:gd name="connsiteY9021" fmla="*/ 3665947 h 6858000"/>
            <a:gd name="connsiteX9022" fmla="*/ 6033934 w 12192000"/>
            <a:gd name="connsiteY9022" fmla="*/ 3631128 h 6858000"/>
            <a:gd name="connsiteX9023" fmla="*/ 6068746 w 12192000"/>
            <a:gd name="connsiteY9023" fmla="*/ 3665947 h 6858000"/>
            <a:gd name="connsiteX9024" fmla="*/ 6033934 w 12192000"/>
            <a:gd name="connsiteY9024" fmla="*/ 3700766 h 6858000"/>
            <a:gd name="connsiteX9025" fmla="*/ 6118826 w 12192000"/>
            <a:gd name="connsiteY9025" fmla="*/ 3700766 h 6858000"/>
            <a:gd name="connsiteX9026" fmla="*/ 6084000 w 12192000"/>
            <a:gd name="connsiteY9026" fmla="*/ 3665947 h 6858000"/>
            <a:gd name="connsiteX9027" fmla="*/ 6118826 w 12192000"/>
            <a:gd name="connsiteY9027" fmla="*/ 3631128 h 6858000"/>
            <a:gd name="connsiteX9028" fmla="*/ 6153638 w 12192000"/>
            <a:gd name="connsiteY9028" fmla="*/ 3665947 h 6858000"/>
            <a:gd name="connsiteX9029" fmla="*/ 6118826 w 12192000"/>
            <a:gd name="connsiteY9029" fmla="*/ 3700766 h 6858000"/>
            <a:gd name="connsiteX9030" fmla="*/ 6882858 w 12192000"/>
            <a:gd name="connsiteY9030" fmla="*/ 3700766 h 6858000"/>
            <a:gd name="connsiteX9031" fmla="*/ 6848033 w 12192000"/>
            <a:gd name="connsiteY9031" fmla="*/ 3665947 h 6858000"/>
            <a:gd name="connsiteX9032" fmla="*/ 6882858 w 12192000"/>
            <a:gd name="connsiteY9032" fmla="*/ 3631128 h 6858000"/>
            <a:gd name="connsiteX9033" fmla="*/ 6917670 w 12192000"/>
            <a:gd name="connsiteY9033" fmla="*/ 3665947 h 6858000"/>
            <a:gd name="connsiteX9034" fmla="*/ 6882858 w 12192000"/>
            <a:gd name="connsiteY9034" fmla="*/ 3700766 h 6858000"/>
            <a:gd name="connsiteX9035" fmla="*/ 6967750 w 12192000"/>
            <a:gd name="connsiteY9035" fmla="*/ 3700766 h 6858000"/>
            <a:gd name="connsiteX9036" fmla="*/ 6932925 w 12192000"/>
            <a:gd name="connsiteY9036" fmla="*/ 3665947 h 6858000"/>
            <a:gd name="connsiteX9037" fmla="*/ 6967750 w 12192000"/>
            <a:gd name="connsiteY9037" fmla="*/ 3631128 h 6858000"/>
            <a:gd name="connsiteX9038" fmla="*/ 7002563 w 12192000"/>
            <a:gd name="connsiteY9038" fmla="*/ 3665947 h 6858000"/>
            <a:gd name="connsiteX9039" fmla="*/ 6967750 w 12192000"/>
            <a:gd name="connsiteY9039" fmla="*/ 3700766 h 6858000"/>
            <a:gd name="connsiteX9040" fmla="*/ 7052644 w 12192000"/>
            <a:gd name="connsiteY9040" fmla="*/ 3700766 h 6858000"/>
            <a:gd name="connsiteX9041" fmla="*/ 7017818 w 12192000"/>
            <a:gd name="connsiteY9041" fmla="*/ 3665947 h 6858000"/>
            <a:gd name="connsiteX9042" fmla="*/ 7052644 w 12192000"/>
            <a:gd name="connsiteY9042" fmla="*/ 3631128 h 6858000"/>
            <a:gd name="connsiteX9043" fmla="*/ 7087456 w 12192000"/>
            <a:gd name="connsiteY9043" fmla="*/ 3665947 h 6858000"/>
            <a:gd name="connsiteX9044" fmla="*/ 7052644 w 12192000"/>
            <a:gd name="connsiteY9044" fmla="*/ 3700766 h 6858000"/>
            <a:gd name="connsiteX9045" fmla="*/ 7137536 w 12192000"/>
            <a:gd name="connsiteY9045" fmla="*/ 3700766 h 6858000"/>
            <a:gd name="connsiteX9046" fmla="*/ 7102710 w 12192000"/>
            <a:gd name="connsiteY9046" fmla="*/ 3665947 h 6858000"/>
            <a:gd name="connsiteX9047" fmla="*/ 7137536 w 12192000"/>
            <a:gd name="connsiteY9047" fmla="*/ 3631128 h 6858000"/>
            <a:gd name="connsiteX9048" fmla="*/ 7172348 w 12192000"/>
            <a:gd name="connsiteY9048" fmla="*/ 3665947 h 6858000"/>
            <a:gd name="connsiteX9049" fmla="*/ 7137536 w 12192000"/>
            <a:gd name="connsiteY9049" fmla="*/ 3700766 h 6858000"/>
            <a:gd name="connsiteX9050" fmla="*/ 7222428 w 12192000"/>
            <a:gd name="connsiteY9050" fmla="*/ 3700766 h 6858000"/>
            <a:gd name="connsiteX9051" fmla="*/ 7187603 w 12192000"/>
            <a:gd name="connsiteY9051" fmla="*/ 3665947 h 6858000"/>
            <a:gd name="connsiteX9052" fmla="*/ 7222428 w 12192000"/>
            <a:gd name="connsiteY9052" fmla="*/ 3631128 h 6858000"/>
            <a:gd name="connsiteX9053" fmla="*/ 7257240 w 12192000"/>
            <a:gd name="connsiteY9053" fmla="*/ 3665947 h 6858000"/>
            <a:gd name="connsiteX9054" fmla="*/ 7222428 w 12192000"/>
            <a:gd name="connsiteY9054" fmla="*/ 3700766 h 6858000"/>
            <a:gd name="connsiteX9055" fmla="*/ 7307320 w 12192000"/>
            <a:gd name="connsiteY9055" fmla="*/ 3700766 h 6858000"/>
            <a:gd name="connsiteX9056" fmla="*/ 7272495 w 12192000"/>
            <a:gd name="connsiteY9056" fmla="*/ 3665947 h 6858000"/>
            <a:gd name="connsiteX9057" fmla="*/ 7307320 w 12192000"/>
            <a:gd name="connsiteY9057" fmla="*/ 3631128 h 6858000"/>
            <a:gd name="connsiteX9058" fmla="*/ 7342133 w 12192000"/>
            <a:gd name="connsiteY9058" fmla="*/ 3665947 h 6858000"/>
            <a:gd name="connsiteX9059" fmla="*/ 7307320 w 12192000"/>
            <a:gd name="connsiteY9059" fmla="*/ 3700766 h 6858000"/>
            <a:gd name="connsiteX9060" fmla="*/ 7392214 w 12192000"/>
            <a:gd name="connsiteY9060" fmla="*/ 3700766 h 6858000"/>
            <a:gd name="connsiteX9061" fmla="*/ 7357388 w 12192000"/>
            <a:gd name="connsiteY9061" fmla="*/ 3665947 h 6858000"/>
            <a:gd name="connsiteX9062" fmla="*/ 7392214 w 12192000"/>
            <a:gd name="connsiteY9062" fmla="*/ 3631128 h 6858000"/>
            <a:gd name="connsiteX9063" fmla="*/ 7427026 w 12192000"/>
            <a:gd name="connsiteY9063" fmla="*/ 3665947 h 6858000"/>
            <a:gd name="connsiteX9064" fmla="*/ 7392214 w 12192000"/>
            <a:gd name="connsiteY9064" fmla="*/ 3700766 h 6858000"/>
            <a:gd name="connsiteX9065" fmla="*/ 7477106 w 12192000"/>
            <a:gd name="connsiteY9065" fmla="*/ 3700766 h 6858000"/>
            <a:gd name="connsiteX9066" fmla="*/ 7442280 w 12192000"/>
            <a:gd name="connsiteY9066" fmla="*/ 3665947 h 6858000"/>
            <a:gd name="connsiteX9067" fmla="*/ 7477106 w 12192000"/>
            <a:gd name="connsiteY9067" fmla="*/ 3631128 h 6858000"/>
            <a:gd name="connsiteX9068" fmla="*/ 7511918 w 12192000"/>
            <a:gd name="connsiteY9068" fmla="*/ 3665947 h 6858000"/>
            <a:gd name="connsiteX9069" fmla="*/ 7477106 w 12192000"/>
            <a:gd name="connsiteY9069" fmla="*/ 3700766 h 6858000"/>
            <a:gd name="connsiteX9070" fmla="*/ 7561998 w 12192000"/>
            <a:gd name="connsiteY9070" fmla="*/ 3700766 h 6858000"/>
            <a:gd name="connsiteX9071" fmla="*/ 7527173 w 12192000"/>
            <a:gd name="connsiteY9071" fmla="*/ 3665947 h 6858000"/>
            <a:gd name="connsiteX9072" fmla="*/ 7561998 w 12192000"/>
            <a:gd name="connsiteY9072" fmla="*/ 3631128 h 6858000"/>
            <a:gd name="connsiteX9073" fmla="*/ 7596810 w 12192000"/>
            <a:gd name="connsiteY9073" fmla="*/ 3665947 h 6858000"/>
            <a:gd name="connsiteX9074" fmla="*/ 7561998 w 12192000"/>
            <a:gd name="connsiteY9074" fmla="*/ 3700766 h 6858000"/>
            <a:gd name="connsiteX9075" fmla="*/ 7646890 w 12192000"/>
            <a:gd name="connsiteY9075" fmla="*/ 3700766 h 6858000"/>
            <a:gd name="connsiteX9076" fmla="*/ 7612065 w 12192000"/>
            <a:gd name="connsiteY9076" fmla="*/ 3665947 h 6858000"/>
            <a:gd name="connsiteX9077" fmla="*/ 7646890 w 12192000"/>
            <a:gd name="connsiteY9077" fmla="*/ 3631128 h 6858000"/>
            <a:gd name="connsiteX9078" fmla="*/ 7681703 w 12192000"/>
            <a:gd name="connsiteY9078" fmla="*/ 3665947 h 6858000"/>
            <a:gd name="connsiteX9079" fmla="*/ 7646890 w 12192000"/>
            <a:gd name="connsiteY9079" fmla="*/ 3700766 h 6858000"/>
            <a:gd name="connsiteX9080" fmla="*/ 7731784 w 12192000"/>
            <a:gd name="connsiteY9080" fmla="*/ 3700766 h 6858000"/>
            <a:gd name="connsiteX9081" fmla="*/ 7696958 w 12192000"/>
            <a:gd name="connsiteY9081" fmla="*/ 3665947 h 6858000"/>
            <a:gd name="connsiteX9082" fmla="*/ 7731784 w 12192000"/>
            <a:gd name="connsiteY9082" fmla="*/ 3631128 h 6858000"/>
            <a:gd name="connsiteX9083" fmla="*/ 7766596 w 12192000"/>
            <a:gd name="connsiteY9083" fmla="*/ 3665947 h 6858000"/>
            <a:gd name="connsiteX9084" fmla="*/ 7731784 w 12192000"/>
            <a:gd name="connsiteY9084" fmla="*/ 3700766 h 6858000"/>
            <a:gd name="connsiteX9085" fmla="*/ 7816676 w 12192000"/>
            <a:gd name="connsiteY9085" fmla="*/ 3700766 h 6858000"/>
            <a:gd name="connsiteX9086" fmla="*/ 7781850 w 12192000"/>
            <a:gd name="connsiteY9086" fmla="*/ 3665947 h 6858000"/>
            <a:gd name="connsiteX9087" fmla="*/ 7816676 w 12192000"/>
            <a:gd name="connsiteY9087" fmla="*/ 3631128 h 6858000"/>
            <a:gd name="connsiteX9088" fmla="*/ 7851488 w 12192000"/>
            <a:gd name="connsiteY9088" fmla="*/ 3665947 h 6858000"/>
            <a:gd name="connsiteX9089" fmla="*/ 7816676 w 12192000"/>
            <a:gd name="connsiteY9089" fmla="*/ 3700766 h 6858000"/>
            <a:gd name="connsiteX9090" fmla="*/ 7901568 w 12192000"/>
            <a:gd name="connsiteY9090" fmla="*/ 3700766 h 6858000"/>
            <a:gd name="connsiteX9091" fmla="*/ 7866743 w 12192000"/>
            <a:gd name="connsiteY9091" fmla="*/ 3665947 h 6858000"/>
            <a:gd name="connsiteX9092" fmla="*/ 7901568 w 12192000"/>
            <a:gd name="connsiteY9092" fmla="*/ 3631128 h 6858000"/>
            <a:gd name="connsiteX9093" fmla="*/ 7936380 w 12192000"/>
            <a:gd name="connsiteY9093" fmla="*/ 3665947 h 6858000"/>
            <a:gd name="connsiteX9094" fmla="*/ 7901568 w 12192000"/>
            <a:gd name="connsiteY9094" fmla="*/ 3700766 h 6858000"/>
            <a:gd name="connsiteX9095" fmla="*/ 7986460 w 12192000"/>
            <a:gd name="connsiteY9095" fmla="*/ 3700766 h 6858000"/>
            <a:gd name="connsiteX9096" fmla="*/ 7951635 w 12192000"/>
            <a:gd name="connsiteY9096" fmla="*/ 3665947 h 6858000"/>
            <a:gd name="connsiteX9097" fmla="*/ 7986460 w 12192000"/>
            <a:gd name="connsiteY9097" fmla="*/ 3631128 h 6858000"/>
            <a:gd name="connsiteX9098" fmla="*/ 8021273 w 12192000"/>
            <a:gd name="connsiteY9098" fmla="*/ 3665947 h 6858000"/>
            <a:gd name="connsiteX9099" fmla="*/ 7986460 w 12192000"/>
            <a:gd name="connsiteY9099" fmla="*/ 3700766 h 6858000"/>
            <a:gd name="connsiteX9100" fmla="*/ 8071353 w 12192000"/>
            <a:gd name="connsiteY9100" fmla="*/ 3700766 h 6858000"/>
            <a:gd name="connsiteX9101" fmla="*/ 8036527 w 12192000"/>
            <a:gd name="connsiteY9101" fmla="*/ 3665947 h 6858000"/>
            <a:gd name="connsiteX9102" fmla="*/ 8071353 w 12192000"/>
            <a:gd name="connsiteY9102" fmla="*/ 3631128 h 6858000"/>
            <a:gd name="connsiteX9103" fmla="*/ 8106165 w 12192000"/>
            <a:gd name="connsiteY9103" fmla="*/ 3665947 h 6858000"/>
            <a:gd name="connsiteX9104" fmla="*/ 8071353 w 12192000"/>
            <a:gd name="connsiteY9104" fmla="*/ 3700766 h 6858000"/>
            <a:gd name="connsiteX9105" fmla="*/ 8156246 w 12192000"/>
            <a:gd name="connsiteY9105" fmla="*/ 3700766 h 6858000"/>
            <a:gd name="connsiteX9106" fmla="*/ 8121420 w 12192000"/>
            <a:gd name="connsiteY9106" fmla="*/ 3665947 h 6858000"/>
            <a:gd name="connsiteX9107" fmla="*/ 8156246 w 12192000"/>
            <a:gd name="connsiteY9107" fmla="*/ 3631128 h 6858000"/>
            <a:gd name="connsiteX9108" fmla="*/ 8191058 w 12192000"/>
            <a:gd name="connsiteY9108" fmla="*/ 3665947 h 6858000"/>
            <a:gd name="connsiteX9109" fmla="*/ 8156246 w 12192000"/>
            <a:gd name="connsiteY9109" fmla="*/ 3700766 h 6858000"/>
            <a:gd name="connsiteX9110" fmla="*/ 8241138 w 12192000"/>
            <a:gd name="connsiteY9110" fmla="*/ 3700766 h 6858000"/>
            <a:gd name="connsiteX9111" fmla="*/ 8206313 w 12192000"/>
            <a:gd name="connsiteY9111" fmla="*/ 3665947 h 6858000"/>
            <a:gd name="connsiteX9112" fmla="*/ 8241138 w 12192000"/>
            <a:gd name="connsiteY9112" fmla="*/ 3631128 h 6858000"/>
            <a:gd name="connsiteX9113" fmla="*/ 8275950 w 12192000"/>
            <a:gd name="connsiteY9113" fmla="*/ 3665947 h 6858000"/>
            <a:gd name="connsiteX9114" fmla="*/ 8241138 w 12192000"/>
            <a:gd name="connsiteY9114" fmla="*/ 3700766 h 6858000"/>
            <a:gd name="connsiteX9115" fmla="*/ 8326030 w 12192000"/>
            <a:gd name="connsiteY9115" fmla="*/ 3700766 h 6858000"/>
            <a:gd name="connsiteX9116" fmla="*/ 8291205 w 12192000"/>
            <a:gd name="connsiteY9116" fmla="*/ 3665947 h 6858000"/>
            <a:gd name="connsiteX9117" fmla="*/ 8326030 w 12192000"/>
            <a:gd name="connsiteY9117" fmla="*/ 3631128 h 6858000"/>
            <a:gd name="connsiteX9118" fmla="*/ 8360843 w 12192000"/>
            <a:gd name="connsiteY9118" fmla="*/ 3665947 h 6858000"/>
            <a:gd name="connsiteX9119" fmla="*/ 8326030 w 12192000"/>
            <a:gd name="connsiteY9119" fmla="*/ 3700766 h 6858000"/>
            <a:gd name="connsiteX9120" fmla="*/ 8410923 w 12192000"/>
            <a:gd name="connsiteY9120" fmla="*/ 3700766 h 6858000"/>
            <a:gd name="connsiteX9121" fmla="*/ 8376097 w 12192000"/>
            <a:gd name="connsiteY9121" fmla="*/ 3665947 h 6858000"/>
            <a:gd name="connsiteX9122" fmla="*/ 8410923 w 12192000"/>
            <a:gd name="connsiteY9122" fmla="*/ 3631128 h 6858000"/>
            <a:gd name="connsiteX9123" fmla="*/ 8445735 w 12192000"/>
            <a:gd name="connsiteY9123" fmla="*/ 3665947 h 6858000"/>
            <a:gd name="connsiteX9124" fmla="*/ 8410923 w 12192000"/>
            <a:gd name="connsiteY9124" fmla="*/ 3700766 h 6858000"/>
            <a:gd name="connsiteX9125" fmla="*/ 8495816 w 12192000"/>
            <a:gd name="connsiteY9125" fmla="*/ 3700766 h 6858000"/>
            <a:gd name="connsiteX9126" fmla="*/ 8460990 w 12192000"/>
            <a:gd name="connsiteY9126" fmla="*/ 3665947 h 6858000"/>
            <a:gd name="connsiteX9127" fmla="*/ 8495816 w 12192000"/>
            <a:gd name="connsiteY9127" fmla="*/ 3631128 h 6858000"/>
            <a:gd name="connsiteX9128" fmla="*/ 8530628 w 12192000"/>
            <a:gd name="connsiteY9128" fmla="*/ 3665947 h 6858000"/>
            <a:gd name="connsiteX9129" fmla="*/ 8495816 w 12192000"/>
            <a:gd name="connsiteY9129" fmla="*/ 3700766 h 6858000"/>
            <a:gd name="connsiteX9130" fmla="*/ 8580708 w 12192000"/>
            <a:gd name="connsiteY9130" fmla="*/ 3700766 h 6858000"/>
            <a:gd name="connsiteX9131" fmla="*/ 8545883 w 12192000"/>
            <a:gd name="connsiteY9131" fmla="*/ 3665947 h 6858000"/>
            <a:gd name="connsiteX9132" fmla="*/ 8580708 w 12192000"/>
            <a:gd name="connsiteY9132" fmla="*/ 3631128 h 6858000"/>
            <a:gd name="connsiteX9133" fmla="*/ 8615520 w 12192000"/>
            <a:gd name="connsiteY9133" fmla="*/ 3665947 h 6858000"/>
            <a:gd name="connsiteX9134" fmla="*/ 8580708 w 12192000"/>
            <a:gd name="connsiteY9134" fmla="*/ 3700766 h 6858000"/>
            <a:gd name="connsiteX9135" fmla="*/ 8665600 w 12192000"/>
            <a:gd name="connsiteY9135" fmla="*/ 3700766 h 6858000"/>
            <a:gd name="connsiteX9136" fmla="*/ 8630775 w 12192000"/>
            <a:gd name="connsiteY9136" fmla="*/ 3665947 h 6858000"/>
            <a:gd name="connsiteX9137" fmla="*/ 8665600 w 12192000"/>
            <a:gd name="connsiteY9137" fmla="*/ 3631128 h 6858000"/>
            <a:gd name="connsiteX9138" fmla="*/ 8700413 w 12192000"/>
            <a:gd name="connsiteY9138" fmla="*/ 3665947 h 6858000"/>
            <a:gd name="connsiteX9139" fmla="*/ 8665600 w 12192000"/>
            <a:gd name="connsiteY9139" fmla="*/ 3700766 h 6858000"/>
            <a:gd name="connsiteX9140" fmla="*/ 8750493 w 12192000"/>
            <a:gd name="connsiteY9140" fmla="*/ 3700766 h 6858000"/>
            <a:gd name="connsiteX9141" fmla="*/ 8715667 w 12192000"/>
            <a:gd name="connsiteY9141" fmla="*/ 3665947 h 6858000"/>
            <a:gd name="connsiteX9142" fmla="*/ 8750493 w 12192000"/>
            <a:gd name="connsiteY9142" fmla="*/ 3631128 h 6858000"/>
            <a:gd name="connsiteX9143" fmla="*/ 8785305 w 12192000"/>
            <a:gd name="connsiteY9143" fmla="*/ 3665947 h 6858000"/>
            <a:gd name="connsiteX9144" fmla="*/ 8750493 w 12192000"/>
            <a:gd name="connsiteY9144" fmla="*/ 3700766 h 6858000"/>
            <a:gd name="connsiteX9145" fmla="*/ 8835386 w 12192000"/>
            <a:gd name="connsiteY9145" fmla="*/ 3700766 h 6858000"/>
            <a:gd name="connsiteX9146" fmla="*/ 8800560 w 12192000"/>
            <a:gd name="connsiteY9146" fmla="*/ 3665947 h 6858000"/>
            <a:gd name="connsiteX9147" fmla="*/ 8835386 w 12192000"/>
            <a:gd name="connsiteY9147" fmla="*/ 3631128 h 6858000"/>
            <a:gd name="connsiteX9148" fmla="*/ 8870198 w 12192000"/>
            <a:gd name="connsiteY9148" fmla="*/ 3665947 h 6858000"/>
            <a:gd name="connsiteX9149" fmla="*/ 8835386 w 12192000"/>
            <a:gd name="connsiteY9149" fmla="*/ 3700766 h 6858000"/>
            <a:gd name="connsiteX9150" fmla="*/ 8920278 w 12192000"/>
            <a:gd name="connsiteY9150" fmla="*/ 3700766 h 6858000"/>
            <a:gd name="connsiteX9151" fmla="*/ 8885453 w 12192000"/>
            <a:gd name="connsiteY9151" fmla="*/ 3665947 h 6858000"/>
            <a:gd name="connsiteX9152" fmla="*/ 8920278 w 12192000"/>
            <a:gd name="connsiteY9152" fmla="*/ 3631128 h 6858000"/>
            <a:gd name="connsiteX9153" fmla="*/ 8955090 w 12192000"/>
            <a:gd name="connsiteY9153" fmla="*/ 3665947 h 6858000"/>
            <a:gd name="connsiteX9154" fmla="*/ 8920278 w 12192000"/>
            <a:gd name="connsiteY9154" fmla="*/ 3700766 h 6858000"/>
            <a:gd name="connsiteX9155" fmla="*/ 9005170 w 12192000"/>
            <a:gd name="connsiteY9155" fmla="*/ 3700766 h 6858000"/>
            <a:gd name="connsiteX9156" fmla="*/ 8970345 w 12192000"/>
            <a:gd name="connsiteY9156" fmla="*/ 3665947 h 6858000"/>
            <a:gd name="connsiteX9157" fmla="*/ 9005170 w 12192000"/>
            <a:gd name="connsiteY9157" fmla="*/ 3631128 h 6858000"/>
            <a:gd name="connsiteX9158" fmla="*/ 9039983 w 12192000"/>
            <a:gd name="connsiteY9158" fmla="*/ 3665947 h 6858000"/>
            <a:gd name="connsiteX9159" fmla="*/ 9005170 w 12192000"/>
            <a:gd name="connsiteY9159" fmla="*/ 3700766 h 6858000"/>
            <a:gd name="connsiteX9160" fmla="*/ 9090063 w 12192000"/>
            <a:gd name="connsiteY9160" fmla="*/ 3700766 h 6858000"/>
            <a:gd name="connsiteX9161" fmla="*/ 9055237 w 12192000"/>
            <a:gd name="connsiteY9161" fmla="*/ 3665947 h 6858000"/>
            <a:gd name="connsiteX9162" fmla="*/ 9090063 w 12192000"/>
            <a:gd name="connsiteY9162" fmla="*/ 3631128 h 6858000"/>
            <a:gd name="connsiteX9163" fmla="*/ 9124875 w 12192000"/>
            <a:gd name="connsiteY9163" fmla="*/ 3665947 h 6858000"/>
            <a:gd name="connsiteX9164" fmla="*/ 9090063 w 12192000"/>
            <a:gd name="connsiteY9164" fmla="*/ 3700766 h 6858000"/>
            <a:gd name="connsiteX9165" fmla="*/ 9174956 w 12192000"/>
            <a:gd name="connsiteY9165" fmla="*/ 3700766 h 6858000"/>
            <a:gd name="connsiteX9166" fmla="*/ 9140130 w 12192000"/>
            <a:gd name="connsiteY9166" fmla="*/ 3665947 h 6858000"/>
            <a:gd name="connsiteX9167" fmla="*/ 9174956 w 12192000"/>
            <a:gd name="connsiteY9167" fmla="*/ 3631128 h 6858000"/>
            <a:gd name="connsiteX9168" fmla="*/ 9209768 w 12192000"/>
            <a:gd name="connsiteY9168" fmla="*/ 3665947 h 6858000"/>
            <a:gd name="connsiteX9169" fmla="*/ 9174956 w 12192000"/>
            <a:gd name="connsiteY9169" fmla="*/ 3700766 h 6858000"/>
            <a:gd name="connsiteX9170" fmla="*/ 9259848 w 12192000"/>
            <a:gd name="connsiteY9170" fmla="*/ 3700766 h 6858000"/>
            <a:gd name="connsiteX9171" fmla="*/ 9225023 w 12192000"/>
            <a:gd name="connsiteY9171" fmla="*/ 3665947 h 6858000"/>
            <a:gd name="connsiteX9172" fmla="*/ 9259848 w 12192000"/>
            <a:gd name="connsiteY9172" fmla="*/ 3631128 h 6858000"/>
            <a:gd name="connsiteX9173" fmla="*/ 9294660 w 12192000"/>
            <a:gd name="connsiteY9173" fmla="*/ 3665947 h 6858000"/>
            <a:gd name="connsiteX9174" fmla="*/ 9259848 w 12192000"/>
            <a:gd name="connsiteY9174" fmla="*/ 3700766 h 6858000"/>
            <a:gd name="connsiteX9175" fmla="*/ 9344740 w 12192000"/>
            <a:gd name="connsiteY9175" fmla="*/ 3700766 h 6858000"/>
            <a:gd name="connsiteX9176" fmla="*/ 9309915 w 12192000"/>
            <a:gd name="connsiteY9176" fmla="*/ 3665947 h 6858000"/>
            <a:gd name="connsiteX9177" fmla="*/ 9344740 w 12192000"/>
            <a:gd name="connsiteY9177" fmla="*/ 3631128 h 6858000"/>
            <a:gd name="connsiteX9178" fmla="*/ 9379553 w 12192000"/>
            <a:gd name="connsiteY9178" fmla="*/ 3665947 h 6858000"/>
            <a:gd name="connsiteX9179" fmla="*/ 9344740 w 12192000"/>
            <a:gd name="connsiteY9179" fmla="*/ 3700766 h 6858000"/>
            <a:gd name="connsiteX9180" fmla="*/ 9429633 w 12192000"/>
            <a:gd name="connsiteY9180" fmla="*/ 3700766 h 6858000"/>
            <a:gd name="connsiteX9181" fmla="*/ 9394807 w 12192000"/>
            <a:gd name="connsiteY9181" fmla="*/ 3665947 h 6858000"/>
            <a:gd name="connsiteX9182" fmla="*/ 9429633 w 12192000"/>
            <a:gd name="connsiteY9182" fmla="*/ 3631128 h 6858000"/>
            <a:gd name="connsiteX9183" fmla="*/ 9464445 w 12192000"/>
            <a:gd name="connsiteY9183" fmla="*/ 3665947 h 6858000"/>
            <a:gd name="connsiteX9184" fmla="*/ 9429633 w 12192000"/>
            <a:gd name="connsiteY9184" fmla="*/ 3700766 h 6858000"/>
            <a:gd name="connsiteX9185" fmla="*/ 9514525 w 12192000"/>
            <a:gd name="connsiteY9185" fmla="*/ 3700766 h 6858000"/>
            <a:gd name="connsiteX9186" fmla="*/ 9479699 w 12192000"/>
            <a:gd name="connsiteY9186" fmla="*/ 3665947 h 6858000"/>
            <a:gd name="connsiteX9187" fmla="*/ 9514525 w 12192000"/>
            <a:gd name="connsiteY9187" fmla="*/ 3631128 h 6858000"/>
            <a:gd name="connsiteX9188" fmla="*/ 9549337 w 12192000"/>
            <a:gd name="connsiteY9188" fmla="*/ 3665947 h 6858000"/>
            <a:gd name="connsiteX9189" fmla="*/ 9514525 w 12192000"/>
            <a:gd name="connsiteY9189" fmla="*/ 3700766 h 6858000"/>
            <a:gd name="connsiteX9190" fmla="*/ 9854095 w 12192000"/>
            <a:gd name="connsiteY9190" fmla="*/ 3700766 h 6858000"/>
            <a:gd name="connsiteX9191" fmla="*/ 9819269 w 12192000"/>
            <a:gd name="connsiteY9191" fmla="*/ 3665947 h 6858000"/>
            <a:gd name="connsiteX9192" fmla="*/ 9854095 w 12192000"/>
            <a:gd name="connsiteY9192" fmla="*/ 3631128 h 6858000"/>
            <a:gd name="connsiteX9193" fmla="*/ 9888907 w 12192000"/>
            <a:gd name="connsiteY9193" fmla="*/ 3665947 h 6858000"/>
            <a:gd name="connsiteX9194" fmla="*/ 9854095 w 12192000"/>
            <a:gd name="connsiteY9194" fmla="*/ 3700766 h 6858000"/>
            <a:gd name="connsiteX9195" fmla="*/ 2298661 w 12192000"/>
            <a:gd name="connsiteY9195" fmla="*/ 3615906 h 6858000"/>
            <a:gd name="connsiteX9196" fmla="*/ 2263842 w 12192000"/>
            <a:gd name="connsiteY9196" fmla="*/ 3581087 h 6858000"/>
            <a:gd name="connsiteX9197" fmla="*/ 2298661 w 12192000"/>
            <a:gd name="connsiteY9197" fmla="*/ 3546269 h 6858000"/>
            <a:gd name="connsiteX9198" fmla="*/ 2333480 w 12192000"/>
            <a:gd name="connsiteY9198" fmla="*/ 3581087 h 6858000"/>
            <a:gd name="connsiteX9199" fmla="*/ 2298661 w 12192000"/>
            <a:gd name="connsiteY9199" fmla="*/ 3615906 h 6858000"/>
            <a:gd name="connsiteX9200" fmla="*/ 2468446 w 12192000"/>
            <a:gd name="connsiteY9200" fmla="*/ 3615906 h 6858000"/>
            <a:gd name="connsiteX9201" fmla="*/ 2433627 w 12192000"/>
            <a:gd name="connsiteY9201" fmla="*/ 3581087 h 6858000"/>
            <a:gd name="connsiteX9202" fmla="*/ 2468446 w 12192000"/>
            <a:gd name="connsiteY9202" fmla="*/ 3546269 h 6858000"/>
            <a:gd name="connsiteX9203" fmla="*/ 2503264 w 12192000"/>
            <a:gd name="connsiteY9203" fmla="*/ 3581087 h 6858000"/>
            <a:gd name="connsiteX9204" fmla="*/ 2468446 w 12192000"/>
            <a:gd name="connsiteY9204" fmla="*/ 3615906 h 6858000"/>
            <a:gd name="connsiteX9205" fmla="*/ 2553339 w 12192000"/>
            <a:gd name="connsiteY9205" fmla="*/ 3615906 h 6858000"/>
            <a:gd name="connsiteX9206" fmla="*/ 2518520 w 12192000"/>
            <a:gd name="connsiteY9206" fmla="*/ 3581087 h 6858000"/>
            <a:gd name="connsiteX9207" fmla="*/ 2553339 w 12192000"/>
            <a:gd name="connsiteY9207" fmla="*/ 3546269 h 6858000"/>
            <a:gd name="connsiteX9208" fmla="*/ 2588158 w 12192000"/>
            <a:gd name="connsiteY9208" fmla="*/ 3581087 h 6858000"/>
            <a:gd name="connsiteX9209" fmla="*/ 2553339 w 12192000"/>
            <a:gd name="connsiteY9209" fmla="*/ 3615906 h 6858000"/>
            <a:gd name="connsiteX9210" fmla="*/ 2638231 w 12192000"/>
            <a:gd name="connsiteY9210" fmla="*/ 3615906 h 6858000"/>
            <a:gd name="connsiteX9211" fmla="*/ 2603412 w 12192000"/>
            <a:gd name="connsiteY9211" fmla="*/ 3581087 h 6858000"/>
            <a:gd name="connsiteX9212" fmla="*/ 2638231 w 12192000"/>
            <a:gd name="connsiteY9212" fmla="*/ 3546269 h 6858000"/>
            <a:gd name="connsiteX9213" fmla="*/ 2673050 w 12192000"/>
            <a:gd name="connsiteY9213" fmla="*/ 3581087 h 6858000"/>
            <a:gd name="connsiteX9214" fmla="*/ 2638231 w 12192000"/>
            <a:gd name="connsiteY9214" fmla="*/ 3615906 h 6858000"/>
            <a:gd name="connsiteX9215" fmla="*/ 2723123 w 12192000"/>
            <a:gd name="connsiteY9215" fmla="*/ 3615906 h 6858000"/>
            <a:gd name="connsiteX9216" fmla="*/ 2688304 w 12192000"/>
            <a:gd name="connsiteY9216" fmla="*/ 3581087 h 6858000"/>
            <a:gd name="connsiteX9217" fmla="*/ 2723123 w 12192000"/>
            <a:gd name="connsiteY9217" fmla="*/ 3546269 h 6858000"/>
            <a:gd name="connsiteX9218" fmla="*/ 2757942 w 12192000"/>
            <a:gd name="connsiteY9218" fmla="*/ 3581087 h 6858000"/>
            <a:gd name="connsiteX9219" fmla="*/ 2723123 w 12192000"/>
            <a:gd name="connsiteY9219" fmla="*/ 3615906 h 6858000"/>
            <a:gd name="connsiteX9220" fmla="*/ 2808016 w 12192000"/>
            <a:gd name="connsiteY9220" fmla="*/ 3615906 h 6858000"/>
            <a:gd name="connsiteX9221" fmla="*/ 2773197 w 12192000"/>
            <a:gd name="connsiteY9221" fmla="*/ 3581087 h 6858000"/>
            <a:gd name="connsiteX9222" fmla="*/ 2808016 w 12192000"/>
            <a:gd name="connsiteY9222" fmla="*/ 3546269 h 6858000"/>
            <a:gd name="connsiteX9223" fmla="*/ 2842834 w 12192000"/>
            <a:gd name="connsiteY9223" fmla="*/ 3581087 h 6858000"/>
            <a:gd name="connsiteX9224" fmla="*/ 2808016 w 12192000"/>
            <a:gd name="connsiteY9224" fmla="*/ 3615906 h 6858000"/>
            <a:gd name="connsiteX9225" fmla="*/ 2892908 w 12192000"/>
            <a:gd name="connsiteY9225" fmla="*/ 3615906 h 6858000"/>
            <a:gd name="connsiteX9226" fmla="*/ 2858089 w 12192000"/>
            <a:gd name="connsiteY9226" fmla="*/ 3581087 h 6858000"/>
            <a:gd name="connsiteX9227" fmla="*/ 2892908 w 12192000"/>
            <a:gd name="connsiteY9227" fmla="*/ 3546269 h 6858000"/>
            <a:gd name="connsiteX9228" fmla="*/ 2927727 w 12192000"/>
            <a:gd name="connsiteY9228" fmla="*/ 3581087 h 6858000"/>
            <a:gd name="connsiteX9229" fmla="*/ 2892908 w 12192000"/>
            <a:gd name="connsiteY9229" fmla="*/ 3615906 h 6858000"/>
            <a:gd name="connsiteX9230" fmla="*/ 2977801 w 12192000"/>
            <a:gd name="connsiteY9230" fmla="*/ 3615906 h 6858000"/>
            <a:gd name="connsiteX9231" fmla="*/ 2942982 w 12192000"/>
            <a:gd name="connsiteY9231" fmla="*/ 3581087 h 6858000"/>
            <a:gd name="connsiteX9232" fmla="*/ 2977801 w 12192000"/>
            <a:gd name="connsiteY9232" fmla="*/ 3546269 h 6858000"/>
            <a:gd name="connsiteX9233" fmla="*/ 3012620 w 12192000"/>
            <a:gd name="connsiteY9233" fmla="*/ 3581087 h 6858000"/>
            <a:gd name="connsiteX9234" fmla="*/ 2977801 w 12192000"/>
            <a:gd name="connsiteY9234" fmla="*/ 3615906 h 6858000"/>
            <a:gd name="connsiteX9235" fmla="*/ 3062693 w 12192000"/>
            <a:gd name="connsiteY9235" fmla="*/ 3615906 h 6858000"/>
            <a:gd name="connsiteX9236" fmla="*/ 3027874 w 12192000"/>
            <a:gd name="connsiteY9236" fmla="*/ 3581087 h 6858000"/>
            <a:gd name="connsiteX9237" fmla="*/ 3062693 w 12192000"/>
            <a:gd name="connsiteY9237" fmla="*/ 3546269 h 6858000"/>
            <a:gd name="connsiteX9238" fmla="*/ 3097512 w 12192000"/>
            <a:gd name="connsiteY9238" fmla="*/ 3581087 h 6858000"/>
            <a:gd name="connsiteX9239" fmla="*/ 3062693 w 12192000"/>
            <a:gd name="connsiteY9239" fmla="*/ 3615906 h 6858000"/>
            <a:gd name="connsiteX9240" fmla="*/ 3147586 w 12192000"/>
            <a:gd name="connsiteY9240" fmla="*/ 3615906 h 6858000"/>
            <a:gd name="connsiteX9241" fmla="*/ 3112767 w 12192000"/>
            <a:gd name="connsiteY9241" fmla="*/ 3581087 h 6858000"/>
            <a:gd name="connsiteX9242" fmla="*/ 3147586 w 12192000"/>
            <a:gd name="connsiteY9242" fmla="*/ 3546269 h 6858000"/>
            <a:gd name="connsiteX9243" fmla="*/ 3182404 w 12192000"/>
            <a:gd name="connsiteY9243" fmla="*/ 3581087 h 6858000"/>
            <a:gd name="connsiteX9244" fmla="*/ 3147586 w 12192000"/>
            <a:gd name="connsiteY9244" fmla="*/ 3615906 h 6858000"/>
            <a:gd name="connsiteX9245" fmla="*/ 3232478 w 12192000"/>
            <a:gd name="connsiteY9245" fmla="*/ 3615906 h 6858000"/>
            <a:gd name="connsiteX9246" fmla="*/ 3197659 w 12192000"/>
            <a:gd name="connsiteY9246" fmla="*/ 3581087 h 6858000"/>
            <a:gd name="connsiteX9247" fmla="*/ 3232478 w 12192000"/>
            <a:gd name="connsiteY9247" fmla="*/ 3546269 h 6858000"/>
            <a:gd name="connsiteX9248" fmla="*/ 3267297 w 12192000"/>
            <a:gd name="connsiteY9248" fmla="*/ 3581087 h 6858000"/>
            <a:gd name="connsiteX9249" fmla="*/ 3232478 w 12192000"/>
            <a:gd name="connsiteY9249" fmla="*/ 3615906 h 6858000"/>
            <a:gd name="connsiteX9250" fmla="*/ 3317371 w 12192000"/>
            <a:gd name="connsiteY9250" fmla="*/ 3615906 h 6858000"/>
            <a:gd name="connsiteX9251" fmla="*/ 3282552 w 12192000"/>
            <a:gd name="connsiteY9251" fmla="*/ 3581087 h 6858000"/>
            <a:gd name="connsiteX9252" fmla="*/ 3317371 w 12192000"/>
            <a:gd name="connsiteY9252" fmla="*/ 3546269 h 6858000"/>
            <a:gd name="connsiteX9253" fmla="*/ 3352190 w 12192000"/>
            <a:gd name="connsiteY9253" fmla="*/ 3581087 h 6858000"/>
            <a:gd name="connsiteX9254" fmla="*/ 3317371 w 12192000"/>
            <a:gd name="connsiteY9254" fmla="*/ 3615906 h 6858000"/>
            <a:gd name="connsiteX9255" fmla="*/ 5609471 w 12192000"/>
            <a:gd name="connsiteY9255" fmla="*/ 3615906 h 6858000"/>
            <a:gd name="connsiteX9256" fmla="*/ 5574646 w 12192000"/>
            <a:gd name="connsiteY9256" fmla="*/ 3581087 h 6858000"/>
            <a:gd name="connsiteX9257" fmla="*/ 5609471 w 12192000"/>
            <a:gd name="connsiteY9257" fmla="*/ 3546269 h 6858000"/>
            <a:gd name="connsiteX9258" fmla="*/ 5644284 w 12192000"/>
            <a:gd name="connsiteY9258" fmla="*/ 3581087 h 6858000"/>
            <a:gd name="connsiteX9259" fmla="*/ 5609471 w 12192000"/>
            <a:gd name="connsiteY9259" fmla="*/ 3615906 h 6858000"/>
            <a:gd name="connsiteX9260" fmla="*/ 5694364 w 12192000"/>
            <a:gd name="connsiteY9260" fmla="*/ 3615906 h 6858000"/>
            <a:gd name="connsiteX9261" fmla="*/ 5659538 w 12192000"/>
            <a:gd name="connsiteY9261" fmla="*/ 3581087 h 6858000"/>
            <a:gd name="connsiteX9262" fmla="*/ 5694364 w 12192000"/>
            <a:gd name="connsiteY9262" fmla="*/ 3546269 h 6858000"/>
            <a:gd name="connsiteX9263" fmla="*/ 5729176 w 12192000"/>
            <a:gd name="connsiteY9263" fmla="*/ 3581087 h 6858000"/>
            <a:gd name="connsiteX9264" fmla="*/ 5694364 w 12192000"/>
            <a:gd name="connsiteY9264" fmla="*/ 3615906 h 6858000"/>
            <a:gd name="connsiteX9265" fmla="*/ 5779256 w 12192000"/>
            <a:gd name="connsiteY9265" fmla="*/ 3615906 h 6858000"/>
            <a:gd name="connsiteX9266" fmla="*/ 5744430 w 12192000"/>
            <a:gd name="connsiteY9266" fmla="*/ 3581087 h 6858000"/>
            <a:gd name="connsiteX9267" fmla="*/ 5779256 w 12192000"/>
            <a:gd name="connsiteY9267" fmla="*/ 3546269 h 6858000"/>
            <a:gd name="connsiteX9268" fmla="*/ 5814068 w 12192000"/>
            <a:gd name="connsiteY9268" fmla="*/ 3581087 h 6858000"/>
            <a:gd name="connsiteX9269" fmla="*/ 5779256 w 12192000"/>
            <a:gd name="connsiteY9269" fmla="*/ 3615906 h 6858000"/>
            <a:gd name="connsiteX9270" fmla="*/ 5864148 w 12192000"/>
            <a:gd name="connsiteY9270" fmla="*/ 3615906 h 6858000"/>
            <a:gd name="connsiteX9271" fmla="*/ 5829323 w 12192000"/>
            <a:gd name="connsiteY9271" fmla="*/ 3581087 h 6858000"/>
            <a:gd name="connsiteX9272" fmla="*/ 5864148 w 12192000"/>
            <a:gd name="connsiteY9272" fmla="*/ 3546269 h 6858000"/>
            <a:gd name="connsiteX9273" fmla="*/ 5898960 w 12192000"/>
            <a:gd name="connsiteY9273" fmla="*/ 3581087 h 6858000"/>
            <a:gd name="connsiteX9274" fmla="*/ 5864148 w 12192000"/>
            <a:gd name="connsiteY9274" fmla="*/ 3615906 h 6858000"/>
            <a:gd name="connsiteX9275" fmla="*/ 5949041 w 12192000"/>
            <a:gd name="connsiteY9275" fmla="*/ 3615906 h 6858000"/>
            <a:gd name="connsiteX9276" fmla="*/ 5914216 w 12192000"/>
            <a:gd name="connsiteY9276" fmla="*/ 3581087 h 6858000"/>
            <a:gd name="connsiteX9277" fmla="*/ 5949041 w 12192000"/>
            <a:gd name="connsiteY9277" fmla="*/ 3546269 h 6858000"/>
            <a:gd name="connsiteX9278" fmla="*/ 5983854 w 12192000"/>
            <a:gd name="connsiteY9278" fmla="*/ 3581087 h 6858000"/>
            <a:gd name="connsiteX9279" fmla="*/ 5949041 w 12192000"/>
            <a:gd name="connsiteY9279" fmla="*/ 3615906 h 6858000"/>
            <a:gd name="connsiteX9280" fmla="*/ 6033934 w 12192000"/>
            <a:gd name="connsiteY9280" fmla="*/ 3615906 h 6858000"/>
            <a:gd name="connsiteX9281" fmla="*/ 5999108 w 12192000"/>
            <a:gd name="connsiteY9281" fmla="*/ 3581087 h 6858000"/>
            <a:gd name="connsiteX9282" fmla="*/ 6033934 w 12192000"/>
            <a:gd name="connsiteY9282" fmla="*/ 3546269 h 6858000"/>
            <a:gd name="connsiteX9283" fmla="*/ 6068746 w 12192000"/>
            <a:gd name="connsiteY9283" fmla="*/ 3581087 h 6858000"/>
            <a:gd name="connsiteX9284" fmla="*/ 6033934 w 12192000"/>
            <a:gd name="connsiteY9284" fmla="*/ 3615906 h 6858000"/>
            <a:gd name="connsiteX9285" fmla="*/ 6118826 w 12192000"/>
            <a:gd name="connsiteY9285" fmla="*/ 3615906 h 6858000"/>
            <a:gd name="connsiteX9286" fmla="*/ 6084000 w 12192000"/>
            <a:gd name="connsiteY9286" fmla="*/ 3581087 h 6858000"/>
            <a:gd name="connsiteX9287" fmla="*/ 6118826 w 12192000"/>
            <a:gd name="connsiteY9287" fmla="*/ 3546269 h 6858000"/>
            <a:gd name="connsiteX9288" fmla="*/ 6153638 w 12192000"/>
            <a:gd name="connsiteY9288" fmla="*/ 3581087 h 6858000"/>
            <a:gd name="connsiteX9289" fmla="*/ 6118826 w 12192000"/>
            <a:gd name="connsiteY9289" fmla="*/ 3615906 h 6858000"/>
            <a:gd name="connsiteX9290" fmla="*/ 6203718 w 12192000"/>
            <a:gd name="connsiteY9290" fmla="*/ 3615906 h 6858000"/>
            <a:gd name="connsiteX9291" fmla="*/ 6168893 w 12192000"/>
            <a:gd name="connsiteY9291" fmla="*/ 3581087 h 6858000"/>
            <a:gd name="connsiteX9292" fmla="*/ 6203718 w 12192000"/>
            <a:gd name="connsiteY9292" fmla="*/ 3546269 h 6858000"/>
            <a:gd name="connsiteX9293" fmla="*/ 6238530 w 12192000"/>
            <a:gd name="connsiteY9293" fmla="*/ 3581087 h 6858000"/>
            <a:gd name="connsiteX9294" fmla="*/ 6203718 w 12192000"/>
            <a:gd name="connsiteY9294" fmla="*/ 3615906 h 6858000"/>
            <a:gd name="connsiteX9295" fmla="*/ 6288611 w 12192000"/>
            <a:gd name="connsiteY9295" fmla="*/ 3615906 h 6858000"/>
            <a:gd name="connsiteX9296" fmla="*/ 6253786 w 12192000"/>
            <a:gd name="connsiteY9296" fmla="*/ 3581087 h 6858000"/>
            <a:gd name="connsiteX9297" fmla="*/ 6288611 w 12192000"/>
            <a:gd name="connsiteY9297" fmla="*/ 3546269 h 6858000"/>
            <a:gd name="connsiteX9298" fmla="*/ 6323424 w 12192000"/>
            <a:gd name="connsiteY9298" fmla="*/ 3581087 h 6858000"/>
            <a:gd name="connsiteX9299" fmla="*/ 6288611 w 12192000"/>
            <a:gd name="connsiteY9299" fmla="*/ 3615906 h 6858000"/>
            <a:gd name="connsiteX9300" fmla="*/ 6543288 w 12192000"/>
            <a:gd name="connsiteY9300" fmla="*/ 3615906 h 6858000"/>
            <a:gd name="connsiteX9301" fmla="*/ 6508463 w 12192000"/>
            <a:gd name="connsiteY9301" fmla="*/ 3581087 h 6858000"/>
            <a:gd name="connsiteX9302" fmla="*/ 6543288 w 12192000"/>
            <a:gd name="connsiteY9302" fmla="*/ 3546269 h 6858000"/>
            <a:gd name="connsiteX9303" fmla="*/ 6578100 w 12192000"/>
            <a:gd name="connsiteY9303" fmla="*/ 3581087 h 6858000"/>
            <a:gd name="connsiteX9304" fmla="*/ 6543288 w 12192000"/>
            <a:gd name="connsiteY9304" fmla="*/ 3615906 h 6858000"/>
            <a:gd name="connsiteX9305" fmla="*/ 6967750 w 12192000"/>
            <a:gd name="connsiteY9305" fmla="*/ 3615906 h 6858000"/>
            <a:gd name="connsiteX9306" fmla="*/ 6932925 w 12192000"/>
            <a:gd name="connsiteY9306" fmla="*/ 3581087 h 6858000"/>
            <a:gd name="connsiteX9307" fmla="*/ 6967750 w 12192000"/>
            <a:gd name="connsiteY9307" fmla="*/ 3546269 h 6858000"/>
            <a:gd name="connsiteX9308" fmla="*/ 7002563 w 12192000"/>
            <a:gd name="connsiteY9308" fmla="*/ 3581087 h 6858000"/>
            <a:gd name="connsiteX9309" fmla="*/ 6967750 w 12192000"/>
            <a:gd name="connsiteY9309" fmla="*/ 3615906 h 6858000"/>
            <a:gd name="connsiteX9310" fmla="*/ 7052644 w 12192000"/>
            <a:gd name="connsiteY9310" fmla="*/ 3615906 h 6858000"/>
            <a:gd name="connsiteX9311" fmla="*/ 7017818 w 12192000"/>
            <a:gd name="connsiteY9311" fmla="*/ 3581087 h 6858000"/>
            <a:gd name="connsiteX9312" fmla="*/ 7052644 w 12192000"/>
            <a:gd name="connsiteY9312" fmla="*/ 3546269 h 6858000"/>
            <a:gd name="connsiteX9313" fmla="*/ 7087456 w 12192000"/>
            <a:gd name="connsiteY9313" fmla="*/ 3581087 h 6858000"/>
            <a:gd name="connsiteX9314" fmla="*/ 7052644 w 12192000"/>
            <a:gd name="connsiteY9314" fmla="*/ 3615906 h 6858000"/>
            <a:gd name="connsiteX9315" fmla="*/ 7137536 w 12192000"/>
            <a:gd name="connsiteY9315" fmla="*/ 3615906 h 6858000"/>
            <a:gd name="connsiteX9316" fmla="*/ 7102710 w 12192000"/>
            <a:gd name="connsiteY9316" fmla="*/ 3581087 h 6858000"/>
            <a:gd name="connsiteX9317" fmla="*/ 7137536 w 12192000"/>
            <a:gd name="connsiteY9317" fmla="*/ 3546269 h 6858000"/>
            <a:gd name="connsiteX9318" fmla="*/ 7172348 w 12192000"/>
            <a:gd name="connsiteY9318" fmla="*/ 3581087 h 6858000"/>
            <a:gd name="connsiteX9319" fmla="*/ 7137536 w 12192000"/>
            <a:gd name="connsiteY9319" fmla="*/ 3615906 h 6858000"/>
            <a:gd name="connsiteX9320" fmla="*/ 7222428 w 12192000"/>
            <a:gd name="connsiteY9320" fmla="*/ 3615906 h 6858000"/>
            <a:gd name="connsiteX9321" fmla="*/ 7187603 w 12192000"/>
            <a:gd name="connsiteY9321" fmla="*/ 3581087 h 6858000"/>
            <a:gd name="connsiteX9322" fmla="*/ 7222428 w 12192000"/>
            <a:gd name="connsiteY9322" fmla="*/ 3546269 h 6858000"/>
            <a:gd name="connsiteX9323" fmla="*/ 7257240 w 12192000"/>
            <a:gd name="connsiteY9323" fmla="*/ 3581087 h 6858000"/>
            <a:gd name="connsiteX9324" fmla="*/ 7222428 w 12192000"/>
            <a:gd name="connsiteY9324" fmla="*/ 3615906 h 6858000"/>
            <a:gd name="connsiteX9325" fmla="*/ 7307320 w 12192000"/>
            <a:gd name="connsiteY9325" fmla="*/ 3615906 h 6858000"/>
            <a:gd name="connsiteX9326" fmla="*/ 7272495 w 12192000"/>
            <a:gd name="connsiteY9326" fmla="*/ 3581087 h 6858000"/>
            <a:gd name="connsiteX9327" fmla="*/ 7307320 w 12192000"/>
            <a:gd name="connsiteY9327" fmla="*/ 3546269 h 6858000"/>
            <a:gd name="connsiteX9328" fmla="*/ 7342133 w 12192000"/>
            <a:gd name="connsiteY9328" fmla="*/ 3581087 h 6858000"/>
            <a:gd name="connsiteX9329" fmla="*/ 7307320 w 12192000"/>
            <a:gd name="connsiteY9329" fmla="*/ 3615906 h 6858000"/>
            <a:gd name="connsiteX9330" fmla="*/ 7392214 w 12192000"/>
            <a:gd name="connsiteY9330" fmla="*/ 3615906 h 6858000"/>
            <a:gd name="connsiteX9331" fmla="*/ 7357388 w 12192000"/>
            <a:gd name="connsiteY9331" fmla="*/ 3581087 h 6858000"/>
            <a:gd name="connsiteX9332" fmla="*/ 7392214 w 12192000"/>
            <a:gd name="connsiteY9332" fmla="*/ 3546269 h 6858000"/>
            <a:gd name="connsiteX9333" fmla="*/ 7427026 w 12192000"/>
            <a:gd name="connsiteY9333" fmla="*/ 3581087 h 6858000"/>
            <a:gd name="connsiteX9334" fmla="*/ 7392214 w 12192000"/>
            <a:gd name="connsiteY9334" fmla="*/ 3615906 h 6858000"/>
            <a:gd name="connsiteX9335" fmla="*/ 7477106 w 12192000"/>
            <a:gd name="connsiteY9335" fmla="*/ 3615906 h 6858000"/>
            <a:gd name="connsiteX9336" fmla="*/ 7442280 w 12192000"/>
            <a:gd name="connsiteY9336" fmla="*/ 3581087 h 6858000"/>
            <a:gd name="connsiteX9337" fmla="*/ 7477106 w 12192000"/>
            <a:gd name="connsiteY9337" fmla="*/ 3546269 h 6858000"/>
            <a:gd name="connsiteX9338" fmla="*/ 7511918 w 12192000"/>
            <a:gd name="connsiteY9338" fmla="*/ 3581087 h 6858000"/>
            <a:gd name="connsiteX9339" fmla="*/ 7477106 w 12192000"/>
            <a:gd name="connsiteY9339" fmla="*/ 3615906 h 6858000"/>
            <a:gd name="connsiteX9340" fmla="*/ 7561998 w 12192000"/>
            <a:gd name="connsiteY9340" fmla="*/ 3615906 h 6858000"/>
            <a:gd name="connsiteX9341" fmla="*/ 7527173 w 12192000"/>
            <a:gd name="connsiteY9341" fmla="*/ 3581087 h 6858000"/>
            <a:gd name="connsiteX9342" fmla="*/ 7561998 w 12192000"/>
            <a:gd name="connsiteY9342" fmla="*/ 3546269 h 6858000"/>
            <a:gd name="connsiteX9343" fmla="*/ 7596810 w 12192000"/>
            <a:gd name="connsiteY9343" fmla="*/ 3581087 h 6858000"/>
            <a:gd name="connsiteX9344" fmla="*/ 7561998 w 12192000"/>
            <a:gd name="connsiteY9344" fmla="*/ 3615906 h 6858000"/>
            <a:gd name="connsiteX9345" fmla="*/ 7731784 w 12192000"/>
            <a:gd name="connsiteY9345" fmla="*/ 3615906 h 6858000"/>
            <a:gd name="connsiteX9346" fmla="*/ 7696958 w 12192000"/>
            <a:gd name="connsiteY9346" fmla="*/ 3581087 h 6858000"/>
            <a:gd name="connsiteX9347" fmla="*/ 7731784 w 12192000"/>
            <a:gd name="connsiteY9347" fmla="*/ 3546269 h 6858000"/>
            <a:gd name="connsiteX9348" fmla="*/ 7766596 w 12192000"/>
            <a:gd name="connsiteY9348" fmla="*/ 3581087 h 6858000"/>
            <a:gd name="connsiteX9349" fmla="*/ 7731784 w 12192000"/>
            <a:gd name="connsiteY9349" fmla="*/ 3615906 h 6858000"/>
            <a:gd name="connsiteX9350" fmla="*/ 7816676 w 12192000"/>
            <a:gd name="connsiteY9350" fmla="*/ 3615906 h 6858000"/>
            <a:gd name="connsiteX9351" fmla="*/ 7781850 w 12192000"/>
            <a:gd name="connsiteY9351" fmla="*/ 3581087 h 6858000"/>
            <a:gd name="connsiteX9352" fmla="*/ 7816676 w 12192000"/>
            <a:gd name="connsiteY9352" fmla="*/ 3546269 h 6858000"/>
            <a:gd name="connsiteX9353" fmla="*/ 7851488 w 12192000"/>
            <a:gd name="connsiteY9353" fmla="*/ 3581087 h 6858000"/>
            <a:gd name="connsiteX9354" fmla="*/ 7816676 w 12192000"/>
            <a:gd name="connsiteY9354" fmla="*/ 3615906 h 6858000"/>
            <a:gd name="connsiteX9355" fmla="*/ 7901568 w 12192000"/>
            <a:gd name="connsiteY9355" fmla="*/ 3615906 h 6858000"/>
            <a:gd name="connsiteX9356" fmla="*/ 7866743 w 12192000"/>
            <a:gd name="connsiteY9356" fmla="*/ 3581087 h 6858000"/>
            <a:gd name="connsiteX9357" fmla="*/ 7901568 w 12192000"/>
            <a:gd name="connsiteY9357" fmla="*/ 3546269 h 6858000"/>
            <a:gd name="connsiteX9358" fmla="*/ 7936380 w 12192000"/>
            <a:gd name="connsiteY9358" fmla="*/ 3581087 h 6858000"/>
            <a:gd name="connsiteX9359" fmla="*/ 7901568 w 12192000"/>
            <a:gd name="connsiteY9359" fmla="*/ 3615906 h 6858000"/>
            <a:gd name="connsiteX9360" fmla="*/ 7986460 w 12192000"/>
            <a:gd name="connsiteY9360" fmla="*/ 3615906 h 6858000"/>
            <a:gd name="connsiteX9361" fmla="*/ 7951635 w 12192000"/>
            <a:gd name="connsiteY9361" fmla="*/ 3581087 h 6858000"/>
            <a:gd name="connsiteX9362" fmla="*/ 7986460 w 12192000"/>
            <a:gd name="connsiteY9362" fmla="*/ 3546269 h 6858000"/>
            <a:gd name="connsiteX9363" fmla="*/ 8021273 w 12192000"/>
            <a:gd name="connsiteY9363" fmla="*/ 3581087 h 6858000"/>
            <a:gd name="connsiteX9364" fmla="*/ 7986460 w 12192000"/>
            <a:gd name="connsiteY9364" fmla="*/ 3615906 h 6858000"/>
            <a:gd name="connsiteX9365" fmla="*/ 8071353 w 12192000"/>
            <a:gd name="connsiteY9365" fmla="*/ 3615906 h 6858000"/>
            <a:gd name="connsiteX9366" fmla="*/ 8036527 w 12192000"/>
            <a:gd name="connsiteY9366" fmla="*/ 3581087 h 6858000"/>
            <a:gd name="connsiteX9367" fmla="*/ 8071353 w 12192000"/>
            <a:gd name="connsiteY9367" fmla="*/ 3546269 h 6858000"/>
            <a:gd name="connsiteX9368" fmla="*/ 8106165 w 12192000"/>
            <a:gd name="connsiteY9368" fmla="*/ 3581087 h 6858000"/>
            <a:gd name="connsiteX9369" fmla="*/ 8071353 w 12192000"/>
            <a:gd name="connsiteY9369" fmla="*/ 3615906 h 6858000"/>
            <a:gd name="connsiteX9370" fmla="*/ 8156246 w 12192000"/>
            <a:gd name="connsiteY9370" fmla="*/ 3615906 h 6858000"/>
            <a:gd name="connsiteX9371" fmla="*/ 8121420 w 12192000"/>
            <a:gd name="connsiteY9371" fmla="*/ 3581087 h 6858000"/>
            <a:gd name="connsiteX9372" fmla="*/ 8156246 w 12192000"/>
            <a:gd name="connsiteY9372" fmla="*/ 3546269 h 6858000"/>
            <a:gd name="connsiteX9373" fmla="*/ 8191058 w 12192000"/>
            <a:gd name="connsiteY9373" fmla="*/ 3581087 h 6858000"/>
            <a:gd name="connsiteX9374" fmla="*/ 8156246 w 12192000"/>
            <a:gd name="connsiteY9374" fmla="*/ 3615906 h 6858000"/>
            <a:gd name="connsiteX9375" fmla="*/ 8241138 w 12192000"/>
            <a:gd name="connsiteY9375" fmla="*/ 3615906 h 6858000"/>
            <a:gd name="connsiteX9376" fmla="*/ 8206313 w 12192000"/>
            <a:gd name="connsiteY9376" fmla="*/ 3581087 h 6858000"/>
            <a:gd name="connsiteX9377" fmla="*/ 8241138 w 12192000"/>
            <a:gd name="connsiteY9377" fmla="*/ 3546269 h 6858000"/>
            <a:gd name="connsiteX9378" fmla="*/ 8275950 w 12192000"/>
            <a:gd name="connsiteY9378" fmla="*/ 3581087 h 6858000"/>
            <a:gd name="connsiteX9379" fmla="*/ 8241138 w 12192000"/>
            <a:gd name="connsiteY9379" fmla="*/ 3615906 h 6858000"/>
            <a:gd name="connsiteX9380" fmla="*/ 8326030 w 12192000"/>
            <a:gd name="connsiteY9380" fmla="*/ 3615906 h 6858000"/>
            <a:gd name="connsiteX9381" fmla="*/ 8291205 w 12192000"/>
            <a:gd name="connsiteY9381" fmla="*/ 3581087 h 6858000"/>
            <a:gd name="connsiteX9382" fmla="*/ 8326030 w 12192000"/>
            <a:gd name="connsiteY9382" fmla="*/ 3546269 h 6858000"/>
            <a:gd name="connsiteX9383" fmla="*/ 8360843 w 12192000"/>
            <a:gd name="connsiteY9383" fmla="*/ 3581087 h 6858000"/>
            <a:gd name="connsiteX9384" fmla="*/ 8326030 w 12192000"/>
            <a:gd name="connsiteY9384" fmla="*/ 3615906 h 6858000"/>
            <a:gd name="connsiteX9385" fmla="*/ 8410923 w 12192000"/>
            <a:gd name="connsiteY9385" fmla="*/ 3615906 h 6858000"/>
            <a:gd name="connsiteX9386" fmla="*/ 8376097 w 12192000"/>
            <a:gd name="connsiteY9386" fmla="*/ 3581087 h 6858000"/>
            <a:gd name="connsiteX9387" fmla="*/ 8410923 w 12192000"/>
            <a:gd name="connsiteY9387" fmla="*/ 3546269 h 6858000"/>
            <a:gd name="connsiteX9388" fmla="*/ 8445735 w 12192000"/>
            <a:gd name="connsiteY9388" fmla="*/ 3581087 h 6858000"/>
            <a:gd name="connsiteX9389" fmla="*/ 8410923 w 12192000"/>
            <a:gd name="connsiteY9389" fmla="*/ 3615906 h 6858000"/>
            <a:gd name="connsiteX9390" fmla="*/ 8495816 w 12192000"/>
            <a:gd name="connsiteY9390" fmla="*/ 3615906 h 6858000"/>
            <a:gd name="connsiteX9391" fmla="*/ 8460990 w 12192000"/>
            <a:gd name="connsiteY9391" fmla="*/ 3581087 h 6858000"/>
            <a:gd name="connsiteX9392" fmla="*/ 8495816 w 12192000"/>
            <a:gd name="connsiteY9392" fmla="*/ 3546269 h 6858000"/>
            <a:gd name="connsiteX9393" fmla="*/ 8530628 w 12192000"/>
            <a:gd name="connsiteY9393" fmla="*/ 3581087 h 6858000"/>
            <a:gd name="connsiteX9394" fmla="*/ 8495816 w 12192000"/>
            <a:gd name="connsiteY9394" fmla="*/ 3615906 h 6858000"/>
            <a:gd name="connsiteX9395" fmla="*/ 8580708 w 12192000"/>
            <a:gd name="connsiteY9395" fmla="*/ 3615906 h 6858000"/>
            <a:gd name="connsiteX9396" fmla="*/ 8545883 w 12192000"/>
            <a:gd name="connsiteY9396" fmla="*/ 3581087 h 6858000"/>
            <a:gd name="connsiteX9397" fmla="*/ 8580708 w 12192000"/>
            <a:gd name="connsiteY9397" fmla="*/ 3546269 h 6858000"/>
            <a:gd name="connsiteX9398" fmla="*/ 8615520 w 12192000"/>
            <a:gd name="connsiteY9398" fmla="*/ 3581087 h 6858000"/>
            <a:gd name="connsiteX9399" fmla="*/ 8580708 w 12192000"/>
            <a:gd name="connsiteY9399" fmla="*/ 3615906 h 6858000"/>
            <a:gd name="connsiteX9400" fmla="*/ 8665600 w 12192000"/>
            <a:gd name="connsiteY9400" fmla="*/ 3615906 h 6858000"/>
            <a:gd name="connsiteX9401" fmla="*/ 8630775 w 12192000"/>
            <a:gd name="connsiteY9401" fmla="*/ 3581087 h 6858000"/>
            <a:gd name="connsiteX9402" fmla="*/ 8665600 w 12192000"/>
            <a:gd name="connsiteY9402" fmla="*/ 3546269 h 6858000"/>
            <a:gd name="connsiteX9403" fmla="*/ 8700413 w 12192000"/>
            <a:gd name="connsiteY9403" fmla="*/ 3581087 h 6858000"/>
            <a:gd name="connsiteX9404" fmla="*/ 8665600 w 12192000"/>
            <a:gd name="connsiteY9404" fmla="*/ 3615906 h 6858000"/>
            <a:gd name="connsiteX9405" fmla="*/ 8750493 w 12192000"/>
            <a:gd name="connsiteY9405" fmla="*/ 3615906 h 6858000"/>
            <a:gd name="connsiteX9406" fmla="*/ 8715667 w 12192000"/>
            <a:gd name="connsiteY9406" fmla="*/ 3581087 h 6858000"/>
            <a:gd name="connsiteX9407" fmla="*/ 8750493 w 12192000"/>
            <a:gd name="connsiteY9407" fmla="*/ 3546269 h 6858000"/>
            <a:gd name="connsiteX9408" fmla="*/ 8785305 w 12192000"/>
            <a:gd name="connsiteY9408" fmla="*/ 3581087 h 6858000"/>
            <a:gd name="connsiteX9409" fmla="*/ 8750493 w 12192000"/>
            <a:gd name="connsiteY9409" fmla="*/ 3615906 h 6858000"/>
            <a:gd name="connsiteX9410" fmla="*/ 8835386 w 12192000"/>
            <a:gd name="connsiteY9410" fmla="*/ 3615906 h 6858000"/>
            <a:gd name="connsiteX9411" fmla="*/ 8800560 w 12192000"/>
            <a:gd name="connsiteY9411" fmla="*/ 3581087 h 6858000"/>
            <a:gd name="connsiteX9412" fmla="*/ 8835386 w 12192000"/>
            <a:gd name="connsiteY9412" fmla="*/ 3546269 h 6858000"/>
            <a:gd name="connsiteX9413" fmla="*/ 8870198 w 12192000"/>
            <a:gd name="connsiteY9413" fmla="*/ 3581087 h 6858000"/>
            <a:gd name="connsiteX9414" fmla="*/ 8835386 w 12192000"/>
            <a:gd name="connsiteY9414" fmla="*/ 3615906 h 6858000"/>
            <a:gd name="connsiteX9415" fmla="*/ 8920278 w 12192000"/>
            <a:gd name="connsiteY9415" fmla="*/ 3615906 h 6858000"/>
            <a:gd name="connsiteX9416" fmla="*/ 8885453 w 12192000"/>
            <a:gd name="connsiteY9416" fmla="*/ 3581087 h 6858000"/>
            <a:gd name="connsiteX9417" fmla="*/ 8920278 w 12192000"/>
            <a:gd name="connsiteY9417" fmla="*/ 3546269 h 6858000"/>
            <a:gd name="connsiteX9418" fmla="*/ 8955090 w 12192000"/>
            <a:gd name="connsiteY9418" fmla="*/ 3581087 h 6858000"/>
            <a:gd name="connsiteX9419" fmla="*/ 8920278 w 12192000"/>
            <a:gd name="connsiteY9419" fmla="*/ 3615906 h 6858000"/>
            <a:gd name="connsiteX9420" fmla="*/ 9005170 w 12192000"/>
            <a:gd name="connsiteY9420" fmla="*/ 3615906 h 6858000"/>
            <a:gd name="connsiteX9421" fmla="*/ 8970345 w 12192000"/>
            <a:gd name="connsiteY9421" fmla="*/ 3581087 h 6858000"/>
            <a:gd name="connsiteX9422" fmla="*/ 9005170 w 12192000"/>
            <a:gd name="connsiteY9422" fmla="*/ 3546269 h 6858000"/>
            <a:gd name="connsiteX9423" fmla="*/ 9039983 w 12192000"/>
            <a:gd name="connsiteY9423" fmla="*/ 3581087 h 6858000"/>
            <a:gd name="connsiteX9424" fmla="*/ 9005170 w 12192000"/>
            <a:gd name="connsiteY9424" fmla="*/ 3615906 h 6858000"/>
            <a:gd name="connsiteX9425" fmla="*/ 9090063 w 12192000"/>
            <a:gd name="connsiteY9425" fmla="*/ 3615906 h 6858000"/>
            <a:gd name="connsiteX9426" fmla="*/ 9055237 w 12192000"/>
            <a:gd name="connsiteY9426" fmla="*/ 3581087 h 6858000"/>
            <a:gd name="connsiteX9427" fmla="*/ 9090063 w 12192000"/>
            <a:gd name="connsiteY9427" fmla="*/ 3546269 h 6858000"/>
            <a:gd name="connsiteX9428" fmla="*/ 9124875 w 12192000"/>
            <a:gd name="connsiteY9428" fmla="*/ 3581087 h 6858000"/>
            <a:gd name="connsiteX9429" fmla="*/ 9090063 w 12192000"/>
            <a:gd name="connsiteY9429" fmla="*/ 3615906 h 6858000"/>
            <a:gd name="connsiteX9430" fmla="*/ 9174956 w 12192000"/>
            <a:gd name="connsiteY9430" fmla="*/ 3615906 h 6858000"/>
            <a:gd name="connsiteX9431" fmla="*/ 9140130 w 12192000"/>
            <a:gd name="connsiteY9431" fmla="*/ 3581087 h 6858000"/>
            <a:gd name="connsiteX9432" fmla="*/ 9174956 w 12192000"/>
            <a:gd name="connsiteY9432" fmla="*/ 3546269 h 6858000"/>
            <a:gd name="connsiteX9433" fmla="*/ 9209768 w 12192000"/>
            <a:gd name="connsiteY9433" fmla="*/ 3581087 h 6858000"/>
            <a:gd name="connsiteX9434" fmla="*/ 9174956 w 12192000"/>
            <a:gd name="connsiteY9434" fmla="*/ 3615906 h 6858000"/>
            <a:gd name="connsiteX9435" fmla="*/ 9259848 w 12192000"/>
            <a:gd name="connsiteY9435" fmla="*/ 3615906 h 6858000"/>
            <a:gd name="connsiteX9436" fmla="*/ 9225023 w 12192000"/>
            <a:gd name="connsiteY9436" fmla="*/ 3581087 h 6858000"/>
            <a:gd name="connsiteX9437" fmla="*/ 9259848 w 12192000"/>
            <a:gd name="connsiteY9437" fmla="*/ 3546269 h 6858000"/>
            <a:gd name="connsiteX9438" fmla="*/ 9294660 w 12192000"/>
            <a:gd name="connsiteY9438" fmla="*/ 3581087 h 6858000"/>
            <a:gd name="connsiteX9439" fmla="*/ 9259848 w 12192000"/>
            <a:gd name="connsiteY9439" fmla="*/ 3615906 h 6858000"/>
            <a:gd name="connsiteX9440" fmla="*/ 9344740 w 12192000"/>
            <a:gd name="connsiteY9440" fmla="*/ 3615906 h 6858000"/>
            <a:gd name="connsiteX9441" fmla="*/ 9309915 w 12192000"/>
            <a:gd name="connsiteY9441" fmla="*/ 3581087 h 6858000"/>
            <a:gd name="connsiteX9442" fmla="*/ 9344740 w 12192000"/>
            <a:gd name="connsiteY9442" fmla="*/ 3546269 h 6858000"/>
            <a:gd name="connsiteX9443" fmla="*/ 9379553 w 12192000"/>
            <a:gd name="connsiteY9443" fmla="*/ 3581087 h 6858000"/>
            <a:gd name="connsiteX9444" fmla="*/ 9344740 w 12192000"/>
            <a:gd name="connsiteY9444" fmla="*/ 3615906 h 6858000"/>
            <a:gd name="connsiteX9445" fmla="*/ 9429633 w 12192000"/>
            <a:gd name="connsiteY9445" fmla="*/ 3615906 h 6858000"/>
            <a:gd name="connsiteX9446" fmla="*/ 9394807 w 12192000"/>
            <a:gd name="connsiteY9446" fmla="*/ 3581087 h 6858000"/>
            <a:gd name="connsiteX9447" fmla="*/ 9429633 w 12192000"/>
            <a:gd name="connsiteY9447" fmla="*/ 3546269 h 6858000"/>
            <a:gd name="connsiteX9448" fmla="*/ 9464445 w 12192000"/>
            <a:gd name="connsiteY9448" fmla="*/ 3581087 h 6858000"/>
            <a:gd name="connsiteX9449" fmla="*/ 9429633 w 12192000"/>
            <a:gd name="connsiteY9449" fmla="*/ 3615906 h 6858000"/>
            <a:gd name="connsiteX9450" fmla="*/ 9514525 w 12192000"/>
            <a:gd name="connsiteY9450" fmla="*/ 3615906 h 6858000"/>
            <a:gd name="connsiteX9451" fmla="*/ 9479699 w 12192000"/>
            <a:gd name="connsiteY9451" fmla="*/ 3581087 h 6858000"/>
            <a:gd name="connsiteX9452" fmla="*/ 9514525 w 12192000"/>
            <a:gd name="connsiteY9452" fmla="*/ 3546269 h 6858000"/>
            <a:gd name="connsiteX9453" fmla="*/ 9549337 w 12192000"/>
            <a:gd name="connsiteY9453" fmla="*/ 3581087 h 6858000"/>
            <a:gd name="connsiteX9454" fmla="*/ 9514525 w 12192000"/>
            <a:gd name="connsiteY9454" fmla="*/ 3615906 h 6858000"/>
            <a:gd name="connsiteX9455" fmla="*/ 9599418 w 12192000"/>
            <a:gd name="connsiteY9455" fmla="*/ 3615906 h 6858000"/>
            <a:gd name="connsiteX9456" fmla="*/ 9564593 w 12192000"/>
            <a:gd name="connsiteY9456" fmla="*/ 3581087 h 6858000"/>
            <a:gd name="connsiteX9457" fmla="*/ 9599418 w 12192000"/>
            <a:gd name="connsiteY9457" fmla="*/ 3546269 h 6858000"/>
            <a:gd name="connsiteX9458" fmla="*/ 9634230 w 12192000"/>
            <a:gd name="connsiteY9458" fmla="*/ 3581087 h 6858000"/>
            <a:gd name="connsiteX9459" fmla="*/ 9599418 w 12192000"/>
            <a:gd name="connsiteY9459" fmla="*/ 3615906 h 6858000"/>
            <a:gd name="connsiteX9460" fmla="*/ 2298661 w 12192000"/>
            <a:gd name="connsiteY9460" fmla="*/ 3531045 h 6858000"/>
            <a:gd name="connsiteX9461" fmla="*/ 2263842 w 12192000"/>
            <a:gd name="connsiteY9461" fmla="*/ 3496227 h 6858000"/>
            <a:gd name="connsiteX9462" fmla="*/ 2298661 w 12192000"/>
            <a:gd name="connsiteY9462" fmla="*/ 3461408 h 6858000"/>
            <a:gd name="connsiteX9463" fmla="*/ 2333480 w 12192000"/>
            <a:gd name="connsiteY9463" fmla="*/ 3496227 h 6858000"/>
            <a:gd name="connsiteX9464" fmla="*/ 2298661 w 12192000"/>
            <a:gd name="connsiteY9464" fmla="*/ 3531045 h 6858000"/>
            <a:gd name="connsiteX9465" fmla="*/ 2383553 w 12192000"/>
            <a:gd name="connsiteY9465" fmla="*/ 3531045 h 6858000"/>
            <a:gd name="connsiteX9466" fmla="*/ 2348734 w 12192000"/>
            <a:gd name="connsiteY9466" fmla="*/ 3496227 h 6858000"/>
            <a:gd name="connsiteX9467" fmla="*/ 2383553 w 12192000"/>
            <a:gd name="connsiteY9467" fmla="*/ 3461408 h 6858000"/>
            <a:gd name="connsiteX9468" fmla="*/ 2418372 w 12192000"/>
            <a:gd name="connsiteY9468" fmla="*/ 3496227 h 6858000"/>
            <a:gd name="connsiteX9469" fmla="*/ 2383553 w 12192000"/>
            <a:gd name="connsiteY9469" fmla="*/ 3531045 h 6858000"/>
            <a:gd name="connsiteX9470" fmla="*/ 2468446 w 12192000"/>
            <a:gd name="connsiteY9470" fmla="*/ 3531045 h 6858000"/>
            <a:gd name="connsiteX9471" fmla="*/ 2433627 w 12192000"/>
            <a:gd name="connsiteY9471" fmla="*/ 3496227 h 6858000"/>
            <a:gd name="connsiteX9472" fmla="*/ 2468446 w 12192000"/>
            <a:gd name="connsiteY9472" fmla="*/ 3461408 h 6858000"/>
            <a:gd name="connsiteX9473" fmla="*/ 2503264 w 12192000"/>
            <a:gd name="connsiteY9473" fmla="*/ 3496227 h 6858000"/>
            <a:gd name="connsiteX9474" fmla="*/ 2468446 w 12192000"/>
            <a:gd name="connsiteY9474" fmla="*/ 3531045 h 6858000"/>
            <a:gd name="connsiteX9475" fmla="*/ 2553339 w 12192000"/>
            <a:gd name="connsiteY9475" fmla="*/ 3531045 h 6858000"/>
            <a:gd name="connsiteX9476" fmla="*/ 2518520 w 12192000"/>
            <a:gd name="connsiteY9476" fmla="*/ 3496227 h 6858000"/>
            <a:gd name="connsiteX9477" fmla="*/ 2553339 w 12192000"/>
            <a:gd name="connsiteY9477" fmla="*/ 3461408 h 6858000"/>
            <a:gd name="connsiteX9478" fmla="*/ 2588158 w 12192000"/>
            <a:gd name="connsiteY9478" fmla="*/ 3496227 h 6858000"/>
            <a:gd name="connsiteX9479" fmla="*/ 2553339 w 12192000"/>
            <a:gd name="connsiteY9479" fmla="*/ 3531045 h 6858000"/>
            <a:gd name="connsiteX9480" fmla="*/ 2638231 w 12192000"/>
            <a:gd name="connsiteY9480" fmla="*/ 3531045 h 6858000"/>
            <a:gd name="connsiteX9481" fmla="*/ 2603412 w 12192000"/>
            <a:gd name="connsiteY9481" fmla="*/ 3496227 h 6858000"/>
            <a:gd name="connsiteX9482" fmla="*/ 2638231 w 12192000"/>
            <a:gd name="connsiteY9482" fmla="*/ 3461408 h 6858000"/>
            <a:gd name="connsiteX9483" fmla="*/ 2673050 w 12192000"/>
            <a:gd name="connsiteY9483" fmla="*/ 3496227 h 6858000"/>
            <a:gd name="connsiteX9484" fmla="*/ 2638231 w 12192000"/>
            <a:gd name="connsiteY9484" fmla="*/ 3531045 h 6858000"/>
            <a:gd name="connsiteX9485" fmla="*/ 2723123 w 12192000"/>
            <a:gd name="connsiteY9485" fmla="*/ 3531045 h 6858000"/>
            <a:gd name="connsiteX9486" fmla="*/ 2688304 w 12192000"/>
            <a:gd name="connsiteY9486" fmla="*/ 3496227 h 6858000"/>
            <a:gd name="connsiteX9487" fmla="*/ 2723123 w 12192000"/>
            <a:gd name="connsiteY9487" fmla="*/ 3461408 h 6858000"/>
            <a:gd name="connsiteX9488" fmla="*/ 2757942 w 12192000"/>
            <a:gd name="connsiteY9488" fmla="*/ 3496227 h 6858000"/>
            <a:gd name="connsiteX9489" fmla="*/ 2723123 w 12192000"/>
            <a:gd name="connsiteY9489" fmla="*/ 3531045 h 6858000"/>
            <a:gd name="connsiteX9490" fmla="*/ 2808016 w 12192000"/>
            <a:gd name="connsiteY9490" fmla="*/ 3531045 h 6858000"/>
            <a:gd name="connsiteX9491" fmla="*/ 2773197 w 12192000"/>
            <a:gd name="connsiteY9491" fmla="*/ 3496227 h 6858000"/>
            <a:gd name="connsiteX9492" fmla="*/ 2808016 w 12192000"/>
            <a:gd name="connsiteY9492" fmla="*/ 3461408 h 6858000"/>
            <a:gd name="connsiteX9493" fmla="*/ 2842834 w 12192000"/>
            <a:gd name="connsiteY9493" fmla="*/ 3496227 h 6858000"/>
            <a:gd name="connsiteX9494" fmla="*/ 2808016 w 12192000"/>
            <a:gd name="connsiteY9494" fmla="*/ 3531045 h 6858000"/>
            <a:gd name="connsiteX9495" fmla="*/ 2892908 w 12192000"/>
            <a:gd name="connsiteY9495" fmla="*/ 3531045 h 6858000"/>
            <a:gd name="connsiteX9496" fmla="*/ 2858089 w 12192000"/>
            <a:gd name="connsiteY9496" fmla="*/ 3496227 h 6858000"/>
            <a:gd name="connsiteX9497" fmla="*/ 2892908 w 12192000"/>
            <a:gd name="connsiteY9497" fmla="*/ 3461408 h 6858000"/>
            <a:gd name="connsiteX9498" fmla="*/ 2927727 w 12192000"/>
            <a:gd name="connsiteY9498" fmla="*/ 3496227 h 6858000"/>
            <a:gd name="connsiteX9499" fmla="*/ 2892908 w 12192000"/>
            <a:gd name="connsiteY9499" fmla="*/ 3531045 h 6858000"/>
            <a:gd name="connsiteX9500" fmla="*/ 3317371 w 12192000"/>
            <a:gd name="connsiteY9500" fmla="*/ 3531045 h 6858000"/>
            <a:gd name="connsiteX9501" fmla="*/ 3282552 w 12192000"/>
            <a:gd name="connsiteY9501" fmla="*/ 3496227 h 6858000"/>
            <a:gd name="connsiteX9502" fmla="*/ 3317371 w 12192000"/>
            <a:gd name="connsiteY9502" fmla="*/ 3461408 h 6858000"/>
            <a:gd name="connsiteX9503" fmla="*/ 3352190 w 12192000"/>
            <a:gd name="connsiteY9503" fmla="*/ 3496227 h 6858000"/>
            <a:gd name="connsiteX9504" fmla="*/ 3317371 w 12192000"/>
            <a:gd name="connsiteY9504" fmla="*/ 3531045 h 6858000"/>
            <a:gd name="connsiteX9505" fmla="*/ 5609471 w 12192000"/>
            <a:gd name="connsiteY9505" fmla="*/ 3531045 h 6858000"/>
            <a:gd name="connsiteX9506" fmla="*/ 5574646 w 12192000"/>
            <a:gd name="connsiteY9506" fmla="*/ 3496227 h 6858000"/>
            <a:gd name="connsiteX9507" fmla="*/ 5609471 w 12192000"/>
            <a:gd name="connsiteY9507" fmla="*/ 3461408 h 6858000"/>
            <a:gd name="connsiteX9508" fmla="*/ 5644284 w 12192000"/>
            <a:gd name="connsiteY9508" fmla="*/ 3496227 h 6858000"/>
            <a:gd name="connsiteX9509" fmla="*/ 5609471 w 12192000"/>
            <a:gd name="connsiteY9509" fmla="*/ 3531045 h 6858000"/>
            <a:gd name="connsiteX9510" fmla="*/ 5694364 w 12192000"/>
            <a:gd name="connsiteY9510" fmla="*/ 3531045 h 6858000"/>
            <a:gd name="connsiteX9511" fmla="*/ 5659538 w 12192000"/>
            <a:gd name="connsiteY9511" fmla="*/ 3496227 h 6858000"/>
            <a:gd name="connsiteX9512" fmla="*/ 5694364 w 12192000"/>
            <a:gd name="connsiteY9512" fmla="*/ 3461408 h 6858000"/>
            <a:gd name="connsiteX9513" fmla="*/ 5729176 w 12192000"/>
            <a:gd name="connsiteY9513" fmla="*/ 3496227 h 6858000"/>
            <a:gd name="connsiteX9514" fmla="*/ 5694364 w 12192000"/>
            <a:gd name="connsiteY9514" fmla="*/ 3531045 h 6858000"/>
            <a:gd name="connsiteX9515" fmla="*/ 5779256 w 12192000"/>
            <a:gd name="connsiteY9515" fmla="*/ 3531045 h 6858000"/>
            <a:gd name="connsiteX9516" fmla="*/ 5744430 w 12192000"/>
            <a:gd name="connsiteY9516" fmla="*/ 3496227 h 6858000"/>
            <a:gd name="connsiteX9517" fmla="*/ 5779256 w 12192000"/>
            <a:gd name="connsiteY9517" fmla="*/ 3461408 h 6858000"/>
            <a:gd name="connsiteX9518" fmla="*/ 5814068 w 12192000"/>
            <a:gd name="connsiteY9518" fmla="*/ 3496227 h 6858000"/>
            <a:gd name="connsiteX9519" fmla="*/ 5779256 w 12192000"/>
            <a:gd name="connsiteY9519" fmla="*/ 3531045 h 6858000"/>
            <a:gd name="connsiteX9520" fmla="*/ 5864148 w 12192000"/>
            <a:gd name="connsiteY9520" fmla="*/ 3531045 h 6858000"/>
            <a:gd name="connsiteX9521" fmla="*/ 5829323 w 12192000"/>
            <a:gd name="connsiteY9521" fmla="*/ 3496227 h 6858000"/>
            <a:gd name="connsiteX9522" fmla="*/ 5864148 w 12192000"/>
            <a:gd name="connsiteY9522" fmla="*/ 3461408 h 6858000"/>
            <a:gd name="connsiteX9523" fmla="*/ 5898960 w 12192000"/>
            <a:gd name="connsiteY9523" fmla="*/ 3496227 h 6858000"/>
            <a:gd name="connsiteX9524" fmla="*/ 5864148 w 12192000"/>
            <a:gd name="connsiteY9524" fmla="*/ 3531045 h 6858000"/>
            <a:gd name="connsiteX9525" fmla="*/ 5949041 w 12192000"/>
            <a:gd name="connsiteY9525" fmla="*/ 3531045 h 6858000"/>
            <a:gd name="connsiteX9526" fmla="*/ 5914216 w 12192000"/>
            <a:gd name="connsiteY9526" fmla="*/ 3496227 h 6858000"/>
            <a:gd name="connsiteX9527" fmla="*/ 5949041 w 12192000"/>
            <a:gd name="connsiteY9527" fmla="*/ 3461408 h 6858000"/>
            <a:gd name="connsiteX9528" fmla="*/ 5983854 w 12192000"/>
            <a:gd name="connsiteY9528" fmla="*/ 3496227 h 6858000"/>
            <a:gd name="connsiteX9529" fmla="*/ 5949041 w 12192000"/>
            <a:gd name="connsiteY9529" fmla="*/ 3531045 h 6858000"/>
            <a:gd name="connsiteX9530" fmla="*/ 6033934 w 12192000"/>
            <a:gd name="connsiteY9530" fmla="*/ 3531045 h 6858000"/>
            <a:gd name="connsiteX9531" fmla="*/ 5999108 w 12192000"/>
            <a:gd name="connsiteY9531" fmla="*/ 3496227 h 6858000"/>
            <a:gd name="connsiteX9532" fmla="*/ 6033934 w 12192000"/>
            <a:gd name="connsiteY9532" fmla="*/ 3461408 h 6858000"/>
            <a:gd name="connsiteX9533" fmla="*/ 6068746 w 12192000"/>
            <a:gd name="connsiteY9533" fmla="*/ 3496227 h 6858000"/>
            <a:gd name="connsiteX9534" fmla="*/ 6033934 w 12192000"/>
            <a:gd name="connsiteY9534" fmla="*/ 3531045 h 6858000"/>
            <a:gd name="connsiteX9535" fmla="*/ 6118826 w 12192000"/>
            <a:gd name="connsiteY9535" fmla="*/ 3531045 h 6858000"/>
            <a:gd name="connsiteX9536" fmla="*/ 6084000 w 12192000"/>
            <a:gd name="connsiteY9536" fmla="*/ 3496227 h 6858000"/>
            <a:gd name="connsiteX9537" fmla="*/ 6118826 w 12192000"/>
            <a:gd name="connsiteY9537" fmla="*/ 3461408 h 6858000"/>
            <a:gd name="connsiteX9538" fmla="*/ 6153638 w 12192000"/>
            <a:gd name="connsiteY9538" fmla="*/ 3496227 h 6858000"/>
            <a:gd name="connsiteX9539" fmla="*/ 6118826 w 12192000"/>
            <a:gd name="connsiteY9539" fmla="*/ 3531045 h 6858000"/>
            <a:gd name="connsiteX9540" fmla="*/ 6203718 w 12192000"/>
            <a:gd name="connsiteY9540" fmla="*/ 3531045 h 6858000"/>
            <a:gd name="connsiteX9541" fmla="*/ 6168893 w 12192000"/>
            <a:gd name="connsiteY9541" fmla="*/ 3496227 h 6858000"/>
            <a:gd name="connsiteX9542" fmla="*/ 6203718 w 12192000"/>
            <a:gd name="connsiteY9542" fmla="*/ 3461408 h 6858000"/>
            <a:gd name="connsiteX9543" fmla="*/ 6238530 w 12192000"/>
            <a:gd name="connsiteY9543" fmla="*/ 3496227 h 6858000"/>
            <a:gd name="connsiteX9544" fmla="*/ 6203718 w 12192000"/>
            <a:gd name="connsiteY9544" fmla="*/ 3531045 h 6858000"/>
            <a:gd name="connsiteX9545" fmla="*/ 6288611 w 12192000"/>
            <a:gd name="connsiteY9545" fmla="*/ 3531045 h 6858000"/>
            <a:gd name="connsiteX9546" fmla="*/ 6253786 w 12192000"/>
            <a:gd name="connsiteY9546" fmla="*/ 3496227 h 6858000"/>
            <a:gd name="connsiteX9547" fmla="*/ 6288611 w 12192000"/>
            <a:gd name="connsiteY9547" fmla="*/ 3461408 h 6858000"/>
            <a:gd name="connsiteX9548" fmla="*/ 6323424 w 12192000"/>
            <a:gd name="connsiteY9548" fmla="*/ 3496227 h 6858000"/>
            <a:gd name="connsiteX9549" fmla="*/ 6288611 w 12192000"/>
            <a:gd name="connsiteY9549" fmla="*/ 3531045 h 6858000"/>
            <a:gd name="connsiteX9550" fmla="*/ 6373504 w 12192000"/>
            <a:gd name="connsiteY9550" fmla="*/ 3531045 h 6858000"/>
            <a:gd name="connsiteX9551" fmla="*/ 6338678 w 12192000"/>
            <a:gd name="connsiteY9551" fmla="*/ 3496227 h 6858000"/>
            <a:gd name="connsiteX9552" fmla="*/ 6373504 w 12192000"/>
            <a:gd name="connsiteY9552" fmla="*/ 3461408 h 6858000"/>
            <a:gd name="connsiteX9553" fmla="*/ 6408316 w 12192000"/>
            <a:gd name="connsiteY9553" fmla="*/ 3496227 h 6858000"/>
            <a:gd name="connsiteX9554" fmla="*/ 6373504 w 12192000"/>
            <a:gd name="connsiteY9554" fmla="*/ 3531045 h 6858000"/>
            <a:gd name="connsiteX9555" fmla="*/ 6458396 w 12192000"/>
            <a:gd name="connsiteY9555" fmla="*/ 3531045 h 6858000"/>
            <a:gd name="connsiteX9556" fmla="*/ 6423570 w 12192000"/>
            <a:gd name="connsiteY9556" fmla="*/ 3496227 h 6858000"/>
            <a:gd name="connsiteX9557" fmla="*/ 6458396 w 12192000"/>
            <a:gd name="connsiteY9557" fmla="*/ 3461408 h 6858000"/>
            <a:gd name="connsiteX9558" fmla="*/ 6493208 w 12192000"/>
            <a:gd name="connsiteY9558" fmla="*/ 3496227 h 6858000"/>
            <a:gd name="connsiteX9559" fmla="*/ 6458396 w 12192000"/>
            <a:gd name="connsiteY9559" fmla="*/ 3531045 h 6858000"/>
            <a:gd name="connsiteX9560" fmla="*/ 6543288 w 12192000"/>
            <a:gd name="connsiteY9560" fmla="*/ 3531045 h 6858000"/>
            <a:gd name="connsiteX9561" fmla="*/ 6508463 w 12192000"/>
            <a:gd name="connsiteY9561" fmla="*/ 3496227 h 6858000"/>
            <a:gd name="connsiteX9562" fmla="*/ 6543288 w 12192000"/>
            <a:gd name="connsiteY9562" fmla="*/ 3461408 h 6858000"/>
            <a:gd name="connsiteX9563" fmla="*/ 6578100 w 12192000"/>
            <a:gd name="connsiteY9563" fmla="*/ 3496227 h 6858000"/>
            <a:gd name="connsiteX9564" fmla="*/ 6543288 w 12192000"/>
            <a:gd name="connsiteY9564" fmla="*/ 3531045 h 6858000"/>
            <a:gd name="connsiteX9565" fmla="*/ 6628181 w 12192000"/>
            <a:gd name="connsiteY9565" fmla="*/ 3531045 h 6858000"/>
            <a:gd name="connsiteX9566" fmla="*/ 6593356 w 12192000"/>
            <a:gd name="connsiteY9566" fmla="*/ 3496227 h 6858000"/>
            <a:gd name="connsiteX9567" fmla="*/ 6628181 w 12192000"/>
            <a:gd name="connsiteY9567" fmla="*/ 3461408 h 6858000"/>
            <a:gd name="connsiteX9568" fmla="*/ 6662994 w 12192000"/>
            <a:gd name="connsiteY9568" fmla="*/ 3496227 h 6858000"/>
            <a:gd name="connsiteX9569" fmla="*/ 6628181 w 12192000"/>
            <a:gd name="connsiteY9569" fmla="*/ 3531045 h 6858000"/>
            <a:gd name="connsiteX9570" fmla="*/ 6713074 w 12192000"/>
            <a:gd name="connsiteY9570" fmla="*/ 3531045 h 6858000"/>
            <a:gd name="connsiteX9571" fmla="*/ 6678248 w 12192000"/>
            <a:gd name="connsiteY9571" fmla="*/ 3496227 h 6858000"/>
            <a:gd name="connsiteX9572" fmla="*/ 6713074 w 12192000"/>
            <a:gd name="connsiteY9572" fmla="*/ 3461408 h 6858000"/>
            <a:gd name="connsiteX9573" fmla="*/ 6747886 w 12192000"/>
            <a:gd name="connsiteY9573" fmla="*/ 3496227 h 6858000"/>
            <a:gd name="connsiteX9574" fmla="*/ 6713074 w 12192000"/>
            <a:gd name="connsiteY9574" fmla="*/ 3531045 h 6858000"/>
            <a:gd name="connsiteX9575" fmla="*/ 6797966 w 12192000"/>
            <a:gd name="connsiteY9575" fmla="*/ 3531045 h 6858000"/>
            <a:gd name="connsiteX9576" fmla="*/ 6763140 w 12192000"/>
            <a:gd name="connsiteY9576" fmla="*/ 3496227 h 6858000"/>
            <a:gd name="connsiteX9577" fmla="*/ 6797966 w 12192000"/>
            <a:gd name="connsiteY9577" fmla="*/ 3461408 h 6858000"/>
            <a:gd name="connsiteX9578" fmla="*/ 6832778 w 12192000"/>
            <a:gd name="connsiteY9578" fmla="*/ 3496227 h 6858000"/>
            <a:gd name="connsiteX9579" fmla="*/ 6797966 w 12192000"/>
            <a:gd name="connsiteY9579" fmla="*/ 3531045 h 6858000"/>
            <a:gd name="connsiteX9580" fmla="*/ 6882858 w 12192000"/>
            <a:gd name="connsiteY9580" fmla="*/ 3531045 h 6858000"/>
            <a:gd name="connsiteX9581" fmla="*/ 6848033 w 12192000"/>
            <a:gd name="connsiteY9581" fmla="*/ 3496227 h 6858000"/>
            <a:gd name="connsiteX9582" fmla="*/ 6882858 w 12192000"/>
            <a:gd name="connsiteY9582" fmla="*/ 3461408 h 6858000"/>
            <a:gd name="connsiteX9583" fmla="*/ 6917670 w 12192000"/>
            <a:gd name="connsiteY9583" fmla="*/ 3496227 h 6858000"/>
            <a:gd name="connsiteX9584" fmla="*/ 6882858 w 12192000"/>
            <a:gd name="connsiteY9584" fmla="*/ 3531045 h 6858000"/>
            <a:gd name="connsiteX9585" fmla="*/ 6967750 w 12192000"/>
            <a:gd name="connsiteY9585" fmla="*/ 3531045 h 6858000"/>
            <a:gd name="connsiteX9586" fmla="*/ 6932925 w 12192000"/>
            <a:gd name="connsiteY9586" fmla="*/ 3496227 h 6858000"/>
            <a:gd name="connsiteX9587" fmla="*/ 6967750 w 12192000"/>
            <a:gd name="connsiteY9587" fmla="*/ 3461408 h 6858000"/>
            <a:gd name="connsiteX9588" fmla="*/ 7002563 w 12192000"/>
            <a:gd name="connsiteY9588" fmla="*/ 3496227 h 6858000"/>
            <a:gd name="connsiteX9589" fmla="*/ 6967750 w 12192000"/>
            <a:gd name="connsiteY9589" fmla="*/ 3531045 h 6858000"/>
            <a:gd name="connsiteX9590" fmla="*/ 7052644 w 12192000"/>
            <a:gd name="connsiteY9590" fmla="*/ 3531045 h 6858000"/>
            <a:gd name="connsiteX9591" fmla="*/ 7017818 w 12192000"/>
            <a:gd name="connsiteY9591" fmla="*/ 3496227 h 6858000"/>
            <a:gd name="connsiteX9592" fmla="*/ 7052644 w 12192000"/>
            <a:gd name="connsiteY9592" fmla="*/ 3461408 h 6858000"/>
            <a:gd name="connsiteX9593" fmla="*/ 7087456 w 12192000"/>
            <a:gd name="connsiteY9593" fmla="*/ 3496227 h 6858000"/>
            <a:gd name="connsiteX9594" fmla="*/ 7052644 w 12192000"/>
            <a:gd name="connsiteY9594" fmla="*/ 3531045 h 6858000"/>
            <a:gd name="connsiteX9595" fmla="*/ 7137536 w 12192000"/>
            <a:gd name="connsiteY9595" fmla="*/ 3531045 h 6858000"/>
            <a:gd name="connsiteX9596" fmla="*/ 7102710 w 12192000"/>
            <a:gd name="connsiteY9596" fmla="*/ 3496227 h 6858000"/>
            <a:gd name="connsiteX9597" fmla="*/ 7137536 w 12192000"/>
            <a:gd name="connsiteY9597" fmla="*/ 3461408 h 6858000"/>
            <a:gd name="connsiteX9598" fmla="*/ 7172348 w 12192000"/>
            <a:gd name="connsiteY9598" fmla="*/ 3496227 h 6858000"/>
            <a:gd name="connsiteX9599" fmla="*/ 7137536 w 12192000"/>
            <a:gd name="connsiteY9599" fmla="*/ 3531045 h 6858000"/>
            <a:gd name="connsiteX9600" fmla="*/ 7222428 w 12192000"/>
            <a:gd name="connsiteY9600" fmla="*/ 3531045 h 6858000"/>
            <a:gd name="connsiteX9601" fmla="*/ 7187603 w 12192000"/>
            <a:gd name="connsiteY9601" fmla="*/ 3496227 h 6858000"/>
            <a:gd name="connsiteX9602" fmla="*/ 7222428 w 12192000"/>
            <a:gd name="connsiteY9602" fmla="*/ 3461408 h 6858000"/>
            <a:gd name="connsiteX9603" fmla="*/ 7257240 w 12192000"/>
            <a:gd name="connsiteY9603" fmla="*/ 3496227 h 6858000"/>
            <a:gd name="connsiteX9604" fmla="*/ 7222428 w 12192000"/>
            <a:gd name="connsiteY9604" fmla="*/ 3531045 h 6858000"/>
            <a:gd name="connsiteX9605" fmla="*/ 7307320 w 12192000"/>
            <a:gd name="connsiteY9605" fmla="*/ 3531045 h 6858000"/>
            <a:gd name="connsiteX9606" fmla="*/ 7272495 w 12192000"/>
            <a:gd name="connsiteY9606" fmla="*/ 3496227 h 6858000"/>
            <a:gd name="connsiteX9607" fmla="*/ 7307320 w 12192000"/>
            <a:gd name="connsiteY9607" fmla="*/ 3461408 h 6858000"/>
            <a:gd name="connsiteX9608" fmla="*/ 7342133 w 12192000"/>
            <a:gd name="connsiteY9608" fmla="*/ 3496227 h 6858000"/>
            <a:gd name="connsiteX9609" fmla="*/ 7307320 w 12192000"/>
            <a:gd name="connsiteY9609" fmla="*/ 3531045 h 6858000"/>
            <a:gd name="connsiteX9610" fmla="*/ 7477106 w 12192000"/>
            <a:gd name="connsiteY9610" fmla="*/ 3531045 h 6858000"/>
            <a:gd name="connsiteX9611" fmla="*/ 7442280 w 12192000"/>
            <a:gd name="connsiteY9611" fmla="*/ 3496227 h 6858000"/>
            <a:gd name="connsiteX9612" fmla="*/ 7477106 w 12192000"/>
            <a:gd name="connsiteY9612" fmla="*/ 3461408 h 6858000"/>
            <a:gd name="connsiteX9613" fmla="*/ 7511918 w 12192000"/>
            <a:gd name="connsiteY9613" fmla="*/ 3496227 h 6858000"/>
            <a:gd name="connsiteX9614" fmla="*/ 7477106 w 12192000"/>
            <a:gd name="connsiteY9614" fmla="*/ 3531045 h 6858000"/>
            <a:gd name="connsiteX9615" fmla="*/ 7561998 w 12192000"/>
            <a:gd name="connsiteY9615" fmla="*/ 3531045 h 6858000"/>
            <a:gd name="connsiteX9616" fmla="*/ 7527173 w 12192000"/>
            <a:gd name="connsiteY9616" fmla="*/ 3496227 h 6858000"/>
            <a:gd name="connsiteX9617" fmla="*/ 7561998 w 12192000"/>
            <a:gd name="connsiteY9617" fmla="*/ 3461408 h 6858000"/>
            <a:gd name="connsiteX9618" fmla="*/ 7596810 w 12192000"/>
            <a:gd name="connsiteY9618" fmla="*/ 3496227 h 6858000"/>
            <a:gd name="connsiteX9619" fmla="*/ 7561998 w 12192000"/>
            <a:gd name="connsiteY9619" fmla="*/ 3531045 h 6858000"/>
            <a:gd name="connsiteX9620" fmla="*/ 7646890 w 12192000"/>
            <a:gd name="connsiteY9620" fmla="*/ 3531045 h 6858000"/>
            <a:gd name="connsiteX9621" fmla="*/ 7612065 w 12192000"/>
            <a:gd name="connsiteY9621" fmla="*/ 3496227 h 6858000"/>
            <a:gd name="connsiteX9622" fmla="*/ 7646890 w 12192000"/>
            <a:gd name="connsiteY9622" fmla="*/ 3461408 h 6858000"/>
            <a:gd name="connsiteX9623" fmla="*/ 7681703 w 12192000"/>
            <a:gd name="connsiteY9623" fmla="*/ 3496227 h 6858000"/>
            <a:gd name="connsiteX9624" fmla="*/ 7646890 w 12192000"/>
            <a:gd name="connsiteY9624" fmla="*/ 3531045 h 6858000"/>
            <a:gd name="connsiteX9625" fmla="*/ 7731784 w 12192000"/>
            <a:gd name="connsiteY9625" fmla="*/ 3531045 h 6858000"/>
            <a:gd name="connsiteX9626" fmla="*/ 7696958 w 12192000"/>
            <a:gd name="connsiteY9626" fmla="*/ 3496227 h 6858000"/>
            <a:gd name="connsiteX9627" fmla="*/ 7731784 w 12192000"/>
            <a:gd name="connsiteY9627" fmla="*/ 3461408 h 6858000"/>
            <a:gd name="connsiteX9628" fmla="*/ 7766596 w 12192000"/>
            <a:gd name="connsiteY9628" fmla="*/ 3496227 h 6858000"/>
            <a:gd name="connsiteX9629" fmla="*/ 7731784 w 12192000"/>
            <a:gd name="connsiteY9629" fmla="*/ 3531045 h 6858000"/>
            <a:gd name="connsiteX9630" fmla="*/ 7816676 w 12192000"/>
            <a:gd name="connsiteY9630" fmla="*/ 3531045 h 6858000"/>
            <a:gd name="connsiteX9631" fmla="*/ 7781850 w 12192000"/>
            <a:gd name="connsiteY9631" fmla="*/ 3496227 h 6858000"/>
            <a:gd name="connsiteX9632" fmla="*/ 7816676 w 12192000"/>
            <a:gd name="connsiteY9632" fmla="*/ 3461408 h 6858000"/>
            <a:gd name="connsiteX9633" fmla="*/ 7851488 w 12192000"/>
            <a:gd name="connsiteY9633" fmla="*/ 3496227 h 6858000"/>
            <a:gd name="connsiteX9634" fmla="*/ 7816676 w 12192000"/>
            <a:gd name="connsiteY9634" fmla="*/ 3531045 h 6858000"/>
            <a:gd name="connsiteX9635" fmla="*/ 7901568 w 12192000"/>
            <a:gd name="connsiteY9635" fmla="*/ 3531045 h 6858000"/>
            <a:gd name="connsiteX9636" fmla="*/ 7866743 w 12192000"/>
            <a:gd name="connsiteY9636" fmla="*/ 3496227 h 6858000"/>
            <a:gd name="connsiteX9637" fmla="*/ 7901568 w 12192000"/>
            <a:gd name="connsiteY9637" fmla="*/ 3461408 h 6858000"/>
            <a:gd name="connsiteX9638" fmla="*/ 7936380 w 12192000"/>
            <a:gd name="connsiteY9638" fmla="*/ 3496227 h 6858000"/>
            <a:gd name="connsiteX9639" fmla="*/ 7901568 w 12192000"/>
            <a:gd name="connsiteY9639" fmla="*/ 3531045 h 6858000"/>
            <a:gd name="connsiteX9640" fmla="*/ 7986460 w 12192000"/>
            <a:gd name="connsiteY9640" fmla="*/ 3531045 h 6858000"/>
            <a:gd name="connsiteX9641" fmla="*/ 7951635 w 12192000"/>
            <a:gd name="connsiteY9641" fmla="*/ 3496227 h 6858000"/>
            <a:gd name="connsiteX9642" fmla="*/ 7986460 w 12192000"/>
            <a:gd name="connsiteY9642" fmla="*/ 3461408 h 6858000"/>
            <a:gd name="connsiteX9643" fmla="*/ 8021273 w 12192000"/>
            <a:gd name="connsiteY9643" fmla="*/ 3496227 h 6858000"/>
            <a:gd name="connsiteX9644" fmla="*/ 7986460 w 12192000"/>
            <a:gd name="connsiteY9644" fmla="*/ 3531045 h 6858000"/>
            <a:gd name="connsiteX9645" fmla="*/ 8071353 w 12192000"/>
            <a:gd name="connsiteY9645" fmla="*/ 3531045 h 6858000"/>
            <a:gd name="connsiteX9646" fmla="*/ 8036527 w 12192000"/>
            <a:gd name="connsiteY9646" fmla="*/ 3496227 h 6858000"/>
            <a:gd name="connsiteX9647" fmla="*/ 8071353 w 12192000"/>
            <a:gd name="connsiteY9647" fmla="*/ 3461408 h 6858000"/>
            <a:gd name="connsiteX9648" fmla="*/ 8106165 w 12192000"/>
            <a:gd name="connsiteY9648" fmla="*/ 3496227 h 6858000"/>
            <a:gd name="connsiteX9649" fmla="*/ 8071353 w 12192000"/>
            <a:gd name="connsiteY9649" fmla="*/ 3531045 h 6858000"/>
            <a:gd name="connsiteX9650" fmla="*/ 8156246 w 12192000"/>
            <a:gd name="connsiteY9650" fmla="*/ 3531045 h 6858000"/>
            <a:gd name="connsiteX9651" fmla="*/ 8121420 w 12192000"/>
            <a:gd name="connsiteY9651" fmla="*/ 3496227 h 6858000"/>
            <a:gd name="connsiteX9652" fmla="*/ 8156246 w 12192000"/>
            <a:gd name="connsiteY9652" fmla="*/ 3461408 h 6858000"/>
            <a:gd name="connsiteX9653" fmla="*/ 8191058 w 12192000"/>
            <a:gd name="connsiteY9653" fmla="*/ 3496227 h 6858000"/>
            <a:gd name="connsiteX9654" fmla="*/ 8156246 w 12192000"/>
            <a:gd name="connsiteY9654" fmla="*/ 3531045 h 6858000"/>
            <a:gd name="connsiteX9655" fmla="*/ 8241138 w 12192000"/>
            <a:gd name="connsiteY9655" fmla="*/ 3531045 h 6858000"/>
            <a:gd name="connsiteX9656" fmla="*/ 8206313 w 12192000"/>
            <a:gd name="connsiteY9656" fmla="*/ 3496227 h 6858000"/>
            <a:gd name="connsiteX9657" fmla="*/ 8241138 w 12192000"/>
            <a:gd name="connsiteY9657" fmla="*/ 3461408 h 6858000"/>
            <a:gd name="connsiteX9658" fmla="*/ 8275950 w 12192000"/>
            <a:gd name="connsiteY9658" fmla="*/ 3496227 h 6858000"/>
            <a:gd name="connsiteX9659" fmla="*/ 8241138 w 12192000"/>
            <a:gd name="connsiteY9659" fmla="*/ 3531045 h 6858000"/>
            <a:gd name="connsiteX9660" fmla="*/ 8326030 w 12192000"/>
            <a:gd name="connsiteY9660" fmla="*/ 3531045 h 6858000"/>
            <a:gd name="connsiteX9661" fmla="*/ 8291205 w 12192000"/>
            <a:gd name="connsiteY9661" fmla="*/ 3496227 h 6858000"/>
            <a:gd name="connsiteX9662" fmla="*/ 8326030 w 12192000"/>
            <a:gd name="connsiteY9662" fmla="*/ 3461408 h 6858000"/>
            <a:gd name="connsiteX9663" fmla="*/ 8360843 w 12192000"/>
            <a:gd name="connsiteY9663" fmla="*/ 3496227 h 6858000"/>
            <a:gd name="connsiteX9664" fmla="*/ 8326030 w 12192000"/>
            <a:gd name="connsiteY9664" fmla="*/ 3531045 h 6858000"/>
            <a:gd name="connsiteX9665" fmla="*/ 8410923 w 12192000"/>
            <a:gd name="connsiteY9665" fmla="*/ 3531045 h 6858000"/>
            <a:gd name="connsiteX9666" fmla="*/ 8376097 w 12192000"/>
            <a:gd name="connsiteY9666" fmla="*/ 3496227 h 6858000"/>
            <a:gd name="connsiteX9667" fmla="*/ 8410923 w 12192000"/>
            <a:gd name="connsiteY9667" fmla="*/ 3461408 h 6858000"/>
            <a:gd name="connsiteX9668" fmla="*/ 8445735 w 12192000"/>
            <a:gd name="connsiteY9668" fmla="*/ 3496227 h 6858000"/>
            <a:gd name="connsiteX9669" fmla="*/ 8410923 w 12192000"/>
            <a:gd name="connsiteY9669" fmla="*/ 3531045 h 6858000"/>
            <a:gd name="connsiteX9670" fmla="*/ 8495816 w 12192000"/>
            <a:gd name="connsiteY9670" fmla="*/ 3531045 h 6858000"/>
            <a:gd name="connsiteX9671" fmla="*/ 8460990 w 12192000"/>
            <a:gd name="connsiteY9671" fmla="*/ 3496227 h 6858000"/>
            <a:gd name="connsiteX9672" fmla="*/ 8495816 w 12192000"/>
            <a:gd name="connsiteY9672" fmla="*/ 3461408 h 6858000"/>
            <a:gd name="connsiteX9673" fmla="*/ 8530628 w 12192000"/>
            <a:gd name="connsiteY9673" fmla="*/ 3496227 h 6858000"/>
            <a:gd name="connsiteX9674" fmla="*/ 8495816 w 12192000"/>
            <a:gd name="connsiteY9674" fmla="*/ 3531045 h 6858000"/>
            <a:gd name="connsiteX9675" fmla="*/ 8580708 w 12192000"/>
            <a:gd name="connsiteY9675" fmla="*/ 3531045 h 6858000"/>
            <a:gd name="connsiteX9676" fmla="*/ 8545883 w 12192000"/>
            <a:gd name="connsiteY9676" fmla="*/ 3496227 h 6858000"/>
            <a:gd name="connsiteX9677" fmla="*/ 8580708 w 12192000"/>
            <a:gd name="connsiteY9677" fmla="*/ 3461408 h 6858000"/>
            <a:gd name="connsiteX9678" fmla="*/ 8615520 w 12192000"/>
            <a:gd name="connsiteY9678" fmla="*/ 3496227 h 6858000"/>
            <a:gd name="connsiteX9679" fmla="*/ 8580708 w 12192000"/>
            <a:gd name="connsiteY9679" fmla="*/ 3531045 h 6858000"/>
            <a:gd name="connsiteX9680" fmla="*/ 8665600 w 12192000"/>
            <a:gd name="connsiteY9680" fmla="*/ 3531045 h 6858000"/>
            <a:gd name="connsiteX9681" fmla="*/ 8630775 w 12192000"/>
            <a:gd name="connsiteY9681" fmla="*/ 3496227 h 6858000"/>
            <a:gd name="connsiteX9682" fmla="*/ 8665600 w 12192000"/>
            <a:gd name="connsiteY9682" fmla="*/ 3461408 h 6858000"/>
            <a:gd name="connsiteX9683" fmla="*/ 8700413 w 12192000"/>
            <a:gd name="connsiteY9683" fmla="*/ 3496227 h 6858000"/>
            <a:gd name="connsiteX9684" fmla="*/ 8665600 w 12192000"/>
            <a:gd name="connsiteY9684" fmla="*/ 3531045 h 6858000"/>
            <a:gd name="connsiteX9685" fmla="*/ 8750493 w 12192000"/>
            <a:gd name="connsiteY9685" fmla="*/ 3531045 h 6858000"/>
            <a:gd name="connsiteX9686" fmla="*/ 8715667 w 12192000"/>
            <a:gd name="connsiteY9686" fmla="*/ 3496227 h 6858000"/>
            <a:gd name="connsiteX9687" fmla="*/ 8750493 w 12192000"/>
            <a:gd name="connsiteY9687" fmla="*/ 3461408 h 6858000"/>
            <a:gd name="connsiteX9688" fmla="*/ 8785305 w 12192000"/>
            <a:gd name="connsiteY9688" fmla="*/ 3496227 h 6858000"/>
            <a:gd name="connsiteX9689" fmla="*/ 8750493 w 12192000"/>
            <a:gd name="connsiteY9689" fmla="*/ 3531045 h 6858000"/>
            <a:gd name="connsiteX9690" fmla="*/ 8835386 w 12192000"/>
            <a:gd name="connsiteY9690" fmla="*/ 3531045 h 6858000"/>
            <a:gd name="connsiteX9691" fmla="*/ 8800560 w 12192000"/>
            <a:gd name="connsiteY9691" fmla="*/ 3496227 h 6858000"/>
            <a:gd name="connsiteX9692" fmla="*/ 8835386 w 12192000"/>
            <a:gd name="connsiteY9692" fmla="*/ 3461408 h 6858000"/>
            <a:gd name="connsiteX9693" fmla="*/ 8870198 w 12192000"/>
            <a:gd name="connsiteY9693" fmla="*/ 3496227 h 6858000"/>
            <a:gd name="connsiteX9694" fmla="*/ 8835386 w 12192000"/>
            <a:gd name="connsiteY9694" fmla="*/ 3531045 h 6858000"/>
            <a:gd name="connsiteX9695" fmla="*/ 8920278 w 12192000"/>
            <a:gd name="connsiteY9695" fmla="*/ 3531045 h 6858000"/>
            <a:gd name="connsiteX9696" fmla="*/ 8885453 w 12192000"/>
            <a:gd name="connsiteY9696" fmla="*/ 3496227 h 6858000"/>
            <a:gd name="connsiteX9697" fmla="*/ 8920278 w 12192000"/>
            <a:gd name="connsiteY9697" fmla="*/ 3461408 h 6858000"/>
            <a:gd name="connsiteX9698" fmla="*/ 8955090 w 12192000"/>
            <a:gd name="connsiteY9698" fmla="*/ 3496227 h 6858000"/>
            <a:gd name="connsiteX9699" fmla="*/ 8920278 w 12192000"/>
            <a:gd name="connsiteY9699" fmla="*/ 3531045 h 6858000"/>
            <a:gd name="connsiteX9700" fmla="*/ 9005170 w 12192000"/>
            <a:gd name="connsiteY9700" fmla="*/ 3531045 h 6858000"/>
            <a:gd name="connsiteX9701" fmla="*/ 8970345 w 12192000"/>
            <a:gd name="connsiteY9701" fmla="*/ 3496227 h 6858000"/>
            <a:gd name="connsiteX9702" fmla="*/ 9005170 w 12192000"/>
            <a:gd name="connsiteY9702" fmla="*/ 3461408 h 6858000"/>
            <a:gd name="connsiteX9703" fmla="*/ 9039983 w 12192000"/>
            <a:gd name="connsiteY9703" fmla="*/ 3496227 h 6858000"/>
            <a:gd name="connsiteX9704" fmla="*/ 9005170 w 12192000"/>
            <a:gd name="connsiteY9704" fmla="*/ 3531045 h 6858000"/>
            <a:gd name="connsiteX9705" fmla="*/ 9090063 w 12192000"/>
            <a:gd name="connsiteY9705" fmla="*/ 3531045 h 6858000"/>
            <a:gd name="connsiteX9706" fmla="*/ 9055237 w 12192000"/>
            <a:gd name="connsiteY9706" fmla="*/ 3496227 h 6858000"/>
            <a:gd name="connsiteX9707" fmla="*/ 9090063 w 12192000"/>
            <a:gd name="connsiteY9707" fmla="*/ 3461408 h 6858000"/>
            <a:gd name="connsiteX9708" fmla="*/ 9124875 w 12192000"/>
            <a:gd name="connsiteY9708" fmla="*/ 3496227 h 6858000"/>
            <a:gd name="connsiteX9709" fmla="*/ 9090063 w 12192000"/>
            <a:gd name="connsiteY9709" fmla="*/ 3531045 h 6858000"/>
            <a:gd name="connsiteX9710" fmla="*/ 9174956 w 12192000"/>
            <a:gd name="connsiteY9710" fmla="*/ 3531045 h 6858000"/>
            <a:gd name="connsiteX9711" fmla="*/ 9140130 w 12192000"/>
            <a:gd name="connsiteY9711" fmla="*/ 3496227 h 6858000"/>
            <a:gd name="connsiteX9712" fmla="*/ 9174956 w 12192000"/>
            <a:gd name="connsiteY9712" fmla="*/ 3461408 h 6858000"/>
            <a:gd name="connsiteX9713" fmla="*/ 9209768 w 12192000"/>
            <a:gd name="connsiteY9713" fmla="*/ 3496227 h 6858000"/>
            <a:gd name="connsiteX9714" fmla="*/ 9174956 w 12192000"/>
            <a:gd name="connsiteY9714" fmla="*/ 3531045 h 6858000"/>
            <a:gd name="connsiteX9715" fmla="*/ 9259848 w 12192000"/>
            <a:gd name="connsiteY9715" fmla="*/ 3531045 h 6858000"/>
            <a:gd name="connsiteX9716" fmla="*/ 9225023 w 12192000"/>
            <a:gd name="connsiteY9716" fmla="*/ 3496227 h 6858000"/>
            <a:gd name="connsiteX9717" fmla="*/ 9259848 w 12192000"/>
            <a:gd name="connsiteY9717" fmla="*/ 3461408 h 6858000"/>
            <a:gd name="connsiteX9718" fmla="*/ 9294660 w 12192000"/>
            <a:gd name="connsiteY9718" fmla="*/ 3496227 h 6858000"/>
            <a:gd name="connsiteX9719" fmla="*/ 9259848 w 12192000"/>
            <a:gd name="connsiteY9719" fmla="*/ 3531045 h 6858000"/>
            <a:gd name="connsiteX9720" fmla="*/ 9344740 w 12192000"/>
            <a:gd name="connsiteY9720" fmla="*/ 3531045 h 6858000"/>
            <a:gd name="connsiteX9721" fmla="*/ 9309915 w 12192000"/>
            <a:gd name="connsiteY9721" fmla="*/ 3496227 h 6858000"/>
            <a:gd name="connsiteX9722" fmla="*/ 9344740 w 12192000"/>
            <a:gd name="connsiteY9722" fmla="*/ 3461408 h 6858000"/>
            <a:gd name="connsiteX9723" fmla="*/ 9379553 w 12192000"/>
            <a:gd name="connsiteY9723" fmla="*/ 3496227 h 6858000"/>
            <a:gd name="connsiteX9724" fmla="*/ 9344740 w 12192000"/>
            <a:gd name="connsiteY9724" fmla="*/ 3531045 h 6858000"/>
            <a:gd name="connsiteX9725" fmla="*/ 9429633 w 12192000"/>
            <a:gd name="connsiteY9725" fmla="*/ 3531045 h 6858000"/>
            <a:gd name="connsiteX9726" fmla="*/ 9394807 w 12192000"/>
            <a:gd name="connsiteY9726" fmla="*/ 3496227 h 6858000"/>
            <a:gd name="connsiteX9727" fmla="*/ 9429633 w 12192000"/>
            <a:gd name="connsiteY9727" fmla="*/ 3461408 h 6858000"/>
            <a:gd name="connsiteX9728" fmla="*/ 9464445 w 12192000"/>
            <a:gd name="connsiteY9728" fmla="*/ 3496227 h 6858000"/>
            <a:gd name="connsiteX9729" fmla="*/ 9429633 w 12192000"/>
            <a:gd name="connsiteY9729" fmla="*/ 3531045 h 6858000"/>
            <a:gd name="connsiteX9730" fmla="*/ 9514525 w 12192000"/>
            <a:gd name="connsiteY9730" fmla="*/ 3531045 h 6858000"/>
            <a:gd name="connsiteX9731" fmla="*/ 9479699 w 12192000"/>
            <a:gd name="connsiteY9731" fmla="*/ 3496227 h 6858000"/>
            <a:gd name="connsiteX9732" fmla="*/ 9514525 w 12192000"/>
            <a:gd name="connsiteY9732" fmla="*/ 3461408 h 6858000"/>
            <a:gd name="connsiteX9733" fmla="*/ 9549337 w 12192000"/>
            <a:gd name="connsiteY9733" fmla="*/ 3496227 h 6858000"/>
            <a:gd name="connsiteX9734" fmla="*/ 9514525 w 12192000"/>
            <a:gd name="connsiteY9734" fmla="*/ 3531045 h 6858000"/>
            <a:gd name="connsiteX9735" fmla="*/ 2383553 w 12192000"/>
            <a:gd name="connsiteY9735" fmla="*/ 3446186 h 6858000"/>
            <a:gd name="connsiteX9736" fmla="*/ 2348734 w 12192000"/>
            <a:gd name="connsiteY9736" fmla="*/ 3411367 h 6858000"/>
            <a:gd name="connsiteX9737" fmla="*/ 2383553 w 12192000"/>
            <a:gd name="connsiteY9737" fmla="*/ 3376548 h 6858000"/>
            <a:gd name="connsiteX9738" fmla="*/ 2418372 w 12192000"/>
            <a:gd name="connsiteY9738" fmla="*/ 3411367 h 6858000"/>
            <a:gd name="connsiteX9739" fmla="*/ 2383553 w 12192000"/>
            <a:gd name="connsiteY9739" fmla="*/ 3446186 h 6858000"/>
            <a:gd name="connsiteX9740" fmla="*/ 2553339 w 12192000"/>
            <a:gd name="connsiteY9740" fmla="*/ 3446186 h 6858000"/>
            <a:gd name="connsiteX9741" fmla="*/ 2518520 w 12192000"/>
            <a:gd name="connsiteY9741" fmla="*/ 3411367 h 6858000"/>
            <a:gd name="connsiteX9742" fmla="*/ 2553339 w 12192000"/>
            <a:gd name="connsiteY9742" fmla="*/ 3376548 h 6858000"/>
            <a:gd name="connsiteX9743" fmla="*/ 2588158 w 12192000"/>
            <a:gd name="connsiteY9743" fmla="*/ 3411367 h 6858000"/>
            <a:gd name="connsiteX9744" fmla="*/ 2553339 w 12192000"/>
            <a:gd name="connsiteY9744" fmla="*/ 3446186 h 6858000"/>
            <a:gd name="connsiteX9745" fmla="*/ 2638231 w 12192000"/>
            <a:gd name="connsiteY9745" fmla="*/ 3446186 h 6858000"/>
            <a:gd name="connsiteX9746" fmla="*/ 2603412 w 12192000"/>
            <a:gd name="connsiteY9746" fmla="*/ 3411367 h 6858000"/>
            <a:gd name="connsiteX9747" fmla="*/ 2638231 w 12192000"/>
            <a:gd name="connsiteY9747" fmla="*/ 3376548 h 6858000"/>
            <a:gd name="connsiteX9748" fmla="*/ 2673050 w 12192000"/>
            <a:gd name="connsiteY9748" fmla="*/ 3411367 h 6858000"/>
            <a:gd name="connsiteX9749" fmla="*/ 2638231 w 12192000"/>
            <a:gd name="connsiteY9749" fmla="*/ 3446186 h 6858000"/>
            <a:gd name="connsiteX9750" fmla="*/ 2723123 w 12192000"/>
            <a:gd name="connsiteY9750" fmla="*/ 3446186 h 6858000"/>
            <a:gd name="connsiteX9751" fmla="*/ 2688304 w 12192000"/>
            <a:gd name="connsiteY9751" fmla="*/ 3411367 h 6858000"/>
            <a:gd name="connsiteX9752" fmla="*/ 2723123 w 12192000"/>
            <a:gd name="connsiteY9752" fmla="*/ 3376548 h 6858000"/>
            <a:gd name="connsiteX9753" fmla="*/ 2757942 w 12192000"/>
            <a:gd name="connsiteY9753" fmla="*/ 3411367 h 6858000"/>
            <a:gd name="connsiteX9754" fmla="*/ 2723123 w 12192000"/>
            <a:gd name="connsiteY9754" fmla="*/ 3446186 h 6858000"/>
            <a:gd name="connsiteX9755" fmla="*/ 2808016 w 12192000"/>
            <a:gd name="connsiteY9755" fmla="*/ 3446186 h 6858000"/>
            <a:gd name="connsiteX9756" fmla="*/ 2773197 w 12192000"/>
            <a:gd name="connsiteY9756" fmla="*/ 3411367 h 6858000"/>
            <a:gd name="connsiteX9757" fmla="*/ 2808016 w 12192000"/>
            <a:gd name="connsiteY9757" fmla="*/ 3376548 h 6858000"/>
            <a:gd name="connsiteX9758" fmla="*/ 2842834 w 12192000"/>
            <a:gd name="connsiteY9758" fmla="*/ 3411367 h 6858000"/>
            <a:gd name="connsiteX9759" fmla="*/ 2808016 w 12192000"/>
            <a:gd name="connsiteY9759" fmla="*/ 3446186 h 6858000"/>
            <a:gd name="connsiteX9760" fmla="*/ 3402263 w 12192000"/>
            <a:gd name="connsiteY9760" fmla="*/ 3446186 h 6858000"/>
            <a:gd name="connsiteX9761" fmla="*/ 3367444 w 12192000"/>
            <a:gd name="connsiteY9761" fmla="*/ 3411367 h 6858000"/>
            <a:gd name="connsiteX9762" fmla="*/ 3402263 w 12192000"/>
            <a:gd name="connsiteY9762" fmla="*/ 3376548 h 6858000"/>
            <a:gd name="connsiteX9763" fmla="*/ 3437082 w 12192000"/>
            <a:gd name="connsiteY9763" fmla="*/ 3411367 h 6858000"/>
            <a:gd name="connsiteX9764" fmla="*/ 3402263 w 12192000"/>
            <a:gd name="connsiteY9764" fmla="*/ 3446186 h 6858000"/>
            <a:gd name="connsiteX9765" fmla="*/ 5524578 w 12192000"/>
            <a:gd name="connsiteY9765" fmla="*/ 3446186 h 6858000"/>
            <a:gd name="connsiteX9766" fmla="*/ 5489753 w 12192000"/>
            <a:gd name="connsiteY9766" fmla="*/ 3411367 h 6858000"/>
            <a:gd name="connsiteX9767" fmla="*/ 5524578 w 12192000"/>
            <a:gd name="connsiteY9767" fmla="*/ 3376548 h 6858000"/>
            <a:gd name="connsiteX9768" fmla="*/ 5559390 w 12192000"/>
            <a:gd name="connsiteY9768" fmla="*/ 3411367 h 6858000"/>
            <a:gd name="connsiteX9769" fmla="*/ 5524578 w 12192000"/>
            <a:gd name="connsiteY9769" fmla="*/ 3446186 h 6858000"/>
            <a:gd name="connsiteX9770" fmla="*/ 5609471 w 12192000"/>
            <a:gd name="connsiteY9770" fmla="*/ 3446186 h 6858000"/>
            <a:gd name="connsiteX9771" fmla="*/ 5574646 w 12192000"/>
            <a:gd name="connsiteY9771" fmla="*/ 3411367 h 6858000"/>
            <a:gd name="connsiteX9772" fmla="*/ 5609471 w 12192000"/>
            <a:gd name="connsiteY9772" fmla="*/ 3376548 h 6858000"/>
            <a:gd name="connsiteX9773" fmla="*/ 5644284 w 12192000"/>
            <a:gd name="connsiteY9773" fmla="*/ 3411367 h 6858000"/>
            <a:gd name="connsiteX9774" fmla="*/ 5609471 w 12192000"/>
            <a:gd name="connsiteY9774" fmla="*/ 3446186 h 6858000"/>
            <a:gd name="connsiteX9775" fmla="*/ 5694364 w 12192000"/>
            <a:gd name="connsiteY9775" fmla="*/ 3446186 h 6858000"/>
            <a:gd name="connsiteX9776" fmla="*/ 5659538 w 12192000"/>
            <a:gd name="connsiteY9776" fmla="*/ 3411367 h 6858000"/>
            <a:gd name="connsiteX9777" fmla="*/ 5694364 w 12192000"/>
            <a:gd name="connsiteY9777" fmla="*/ 3376548 h 6858000"/>
            <a:gd name="connsiteX9778" fmla="*/ 5729176 w 12192000"/>
            <a:gd name="connsiteY9778" fmla="*/ 3411367 h 6858000"/>
            <a:gd name="connsiteX9779" fmla="*/ 5694364 w 12192000"/>
            <a:gd name="connsiteY9779" fmla="*/ 3446186 h 6858000"/>
            <a:gd name="connsiteX9780" fmla="*/ 5779256 w 12192000"/>
            <a:gd name="connsiteY9780" fmla="*/ 3446186 h 6858000"/>
            <a:gd name="connsiteX9781" fmla="*/ 5744430 w 12192000"/>
            <a:gd name="connsiteY9781" fmla="*/ 3411367 h 6858000"/>
            <a:gd name="connsiteX9782" fmla="*/ 5779256 w 12192000"/>
            <a:gd name="connsiteY9782" fmla="*/ 3376548 h 6858000"/>
            <a:gd name="connsiteX9783" fmla="*/ 5814068 w 12192000"/>
            <a:gd name="connsiteY9783" fmla="*/ 3411367 h 6858000"/>
            <a:gd name="connsiteX9784" fmla="*/ 5779256 w 12192000"/>
            <a:gd name="connsiteY9784" fmla="*/ 3446186 h 6858000"/>
            <a:gd name="connsiteX9785" fmla="*/ 5864148 w 12192000"/>
            <a:gd name="connsiteY9785" fmla="*/ 3446186 h 6858000"/>
            <a:gd name="connsiteX9786" fmla="*/ 5829323 w 12192000"/>
            <a:gd name="connsiteY9786" fmla="*/ 3411367 h 6858000"/>
            <a:gd name="connsiteX9787" fmla="*/ 5864148 w 12192000"/>
            <a:gd name="connsiteY9787" fmla="*/ 3376548 h 6858000"/>
            <a:gd name="connsiteX9788" fmla="*/ 5898960 w 12192000"/>
            <a:gd name="connsiteY9788" fmla="*/ 3411367 h 6858000"/>
            <a:gd name="connsiteX9789" fmla="*/ 5864148 w 12192000"/>
            <a:gd name="connsiteY9789" fmla="*/ 3446186 h 6858000"/>
            <a:gd name="connsiteX9790" fmla="*/ 5949041 w 12192000"/>
            <a:gd name="connsiteY9790" fmla="*/ 3446186 h 6858000"/>
            <a:gd name="connsiteX9791" fmla="*/ 5914216 w 12192000"/>
            <a:gd name="connsiteY9791" fmla="*/ 3411367 h 6858000"/>
            <a:gd name="connsiteX9792" fmla="*/ 5949041 w 12192000"/>
            <a:gd name="connsiteY9792" fmla="*/ 3376548 h 6858000"/>
            <a:gd name="connsiteX9793" fmla="*/ 5983854 w 12192000"/>
            <a:gd name="connsiteY9793" fmla="*/ 3411367 h 6858000"/>
            <a:gd name="connsiteX9794" fmla="*/ 5949041 w 12192000"/>
            <a:gd name="connsiteY9794" fmla="*/ 3446186 h 6858000"/>
            <a:gd name="connsiteX9795" fmla="*/ 6033934 w 12192000"/>
            <a:gd name="connsiteY9795" fmla="*/ 3446186 h 6858000"/>
            <a:gd name="connsiteX9796" fmla="*/ 5999108 w 12192000"/>
            <a:gd name="connsiteY9796" fmla="*/ 3411367 h 6858000"/>
            <a:gd name="connsiteX9797" fmla="*/ 6033934 w 12192000"/>
            <a:gd name="connsiteY9797" fmla="*/ 3376548 h 6858000"/>
            <a:gd name="connsiteX9798" fmla="*/ 6068746 w 12192000"/>
            <a:gd name="connsiteY9798" fmla="*/ 3411367 h 6858000"/>
            <a:gd name="connsiteX9799" fmla="*/ 6033934 w 12192000"/>
            <a:gd name="connsiteY9799" fmla="*/ 3446186 h 6858000"/>
            <a:gd name="connsiteX9800" fmla="*/ 6118826 w 12192000"/>
            <a:gd name="connsiteY9800" fmla="*/ 3446186 h 6858000"/>
            <a:gd name="connsiteX9801" fmla="*/ 6084000 w 12192000"/>
            <a:gd name="connsiteY9801" fmla="*/ 3411367 h 6858000"/>
            <a:gd name="connsiteX9802" fmla="*/ 6118826 w 12192000"/>
            <a:gd name="connsiteY9802" fmla="*/ 3376548 h 6858000"/>
            <a:gd name="connsiteX9803" fmla="*/ 6153638 w 12192000"/>
            <a:gd name="connsiteY9803" fmla="*/ 3411367 h 6858000"/>
            <a:gd name="connsiteX9804" fmla="*/ 6118826 w 12192000"/>
            <a:gd name="connsiteY9804" fmla="*/ 3446186 h 6858000"/>
            <a:gd name="connsiteX9805" fmla="*/ 6203718 w 12192000"/>
            <a:gd name="connsiteY9805" fmla="*/ 3446186 h 6858000"/>
            <a:gd name="connsiteX9806" fmla="*/ 6168893 w 12192000"/>
            <a:gd name="connsiteY9806" fmla="*/ 3411367 h 6858000"/>
            <a:gd name="connsiteX9807" fmla="*/ 6203718 w 12192000"/>
            <a:gd name="connsiteY9807" fmla="*/ 3376548 h 6858000"/>
            <a:gd name="connsiteX9808" fmla="*/ 6238530 w 12192000"/>
            <a:gd name="connsiteY9808" fmla="*/ 3411367 h 6858000"/>
            <a:gd name="connsiteX9809" fmla="*/ 6203718 w 12192000"/>
            <a:gd name="connsiteY9809" fmla="*/ 3446186 h 6858000"/>
            <a:gd name="connsiteX9810" fmla="*/ 6288611 w 12192000"/>
            <a:gd name="connsiteY9810" fmla="*/ 3446186 h 6858000"/>
            <a:gd name="connsiteX9811" fmla="*/ 6253786 w 12192000"/>
            <a:gd name="connsiteY9811" fmla="*/ 3411367 h 6858000"/>
            <a:gd name="connsiteX9812" fmla="*/ 6288611 w 12192000"/>
            <a:gd name="connsiteY9812" fmla="*/ 3376548 h 6858000"/>
            <a:gd name="connsiteX9813" fmla="*/ 6323424 w 12192000"/>
            <a:gd name="connsiteY9813" fmla="*/ 3411367 h 6858000"/>
            <a:gd name="connsiteX9814" fmla="*/ 6288611 w 12192000"/>
            <a:gd name="connsiteY9814" fmla="*/ 3446186 h 6858000"/>
            <a:gd name="connsiteX9815" fmla="*/ 6373504 w 12192000"/>
            <a:gd name="connsiteY9815" fmla="*/ 3446186 h 6858000"/>
            <a:gd name="connsiteX9816" fmla="*/ 6338678 w 12192000"/>
            <a:gd name="connsiteY9816" fmla="*/ 3411367 h 6858000"/>
            <a:gd name="connsiteX9817" fmla="*/ 6373504 w 12192000"/>
            <a:gd name="connsiteY9817" fmla="*/ 3376548 h 6858000"/>
            <a:gd name="connsiteX9818" fmla="*/ 6408316 w 12192000"/>
            <a:gd name="connsiteY9818" fmla="*/ 3411367 h 6858000"/>
            <a:gd name="connsiteX9819" fmla="*/ 6373504 w 12192000"/>
            <a:gd name="connsiteY9819" fmla="*/ 3446186 h 6858000"/>
            <a:gd name="connsiteX9820" fmla="*/ 6458396 w 12192000"/>
            <a:gd name="connsiteY9820" fmla="*/ 3446186 h 6858000"/>
            <a:gd name="connsiteX9821" fmla="*/ 6423570 w 12192000"/>
            <a:gd name="connsiteY9821" fmla="*/ 3411367 h 6858000"/>
            <a:gd name="connsiteX9822" fmla="*/ 6458396 w 12192000"/>
            <a:gd name="connsiteY9822" fmla="*/ 3376548 h 6858000"/>
            <a:gd name="connsiteX9823" fmla="*/ 6493208 w 12192000"/>
            <a:gd name="connsiteY9823" fmla="*/ 3411367 h 6858000"/>
            <a:gd name="connsiteX9824" fmla="*/ 6458396 w 12192000"/>
            <a:gd name="connsiteY9824" fmla="*/ 3446186 h 6858000"/>
            <a:gd name="connsiteX9825" fmla="*/ 6543288 w 12192000"/>
            <a:gd name="connsiteY9825" fmla="*/ 3446186 h 6858000"/>
            <a:gd name="connsiteX9826" fmla="*/ 6508463 w 12192000"/>
            <a:gd name="connsiteY9826" fmla="*/ 3411367 h 6858000"/>
            <a:gd name="connsiteX9827" fmla="*/ 6543288 w 12192000"/>
            <a:gd name="connsiteY9827" fmla="*/ 3376548 h 6858000"/>
            <a:gd name="connsiteX9828" fmla="*/ 6578100 w 12192000"/>
            <a:gd name="connsiteY9828" fmla="*/ 3411367 h 6858000"/>
            <a:gd name="connsiteX9829" fmla="*/ 6543288 w 12192000"/>
            <a:gd name="connsiteY9829" fmla="*/ 3446186 h 6858000"/>
            <a:gd name="connsiteX9830" fmla="*/ 6628181 w 12192000"/>
            <a:gd name="connsiteY9830" fmla="*/ 3446186 h 6858000"/>
            <a:gd name="connsiteX9831" fmla="*/ 6593356 w 12192000"/>
            <a:gd name="connsiteY9831" fmla="*/ 3411367 h 6858000"/>
            <a:gd name="connsiteX9832" fmla="*/ 6628181 w 12192000"/>
            <a:gd name="connsiteY9832" fmla="*/ 3376548 h 6858000"/>
            <a:gd name="connsiteX9833" fmla="*/ 6662994 w 12192000"/>
            <a:gd name="connsiteY9833" fmla="*/ 3411367 h 6858000"/>
            <a:gd name="connsiteX9834" fmla="*/ 6628181 w 12192000"/>
            <a:gd name="connsiteY9834" fmla="*/ 3446186 h 6858000"/>
            <a:gd name="connsiteX9835" fmla="*/ 6713074 w 12192000"/>
            <a:gd name="connsiteY9835" fmla="*/ 3446186 h 6858000"/>
            <a:gd name="connsiteX9836" fmla="*/ 6678248 w 12192000"/>
            <a:gd name="connsiteY9836" fmla="*/ 3411367 h 6858000"/>
            <a:gd name="connsiteX9837" fmla="*/ 6713074 w 12192000"/>
            <a:gd name="connsiteY9837" fmla="*/ 3376548 h 6858000"/>
            <a:gd name="connsiteX9838" fmla="*/ 6747886 w 12192000"/>
            <a:gd name="connsiteY9838" fmla="*/ 3411367 h 6858000"/>
            <a:gd name="connsiteX9839" fmla="*/ 6713074 w 12192000"/>
            <a:gd name="connsiteY9839" fmla="*/ 3446186 h 6858000"/>
            <a:gd name="connsiteX9840" fmla="*/ 6797966 w 12192000"/>
            <a:gd name="connsiteY9840" fmla="*/ 3446186 h 6858000"/>
            <a:gd name="connsiteX9841" fmla="*/ 6763140 w 12192000"/>
            <a:gd name="connsiteY9841" fmla="*/ 3411367 h 6858000"/>
            <a:gd name="connsiteX9842" fmla="*/ 6797966 w 12192000"/>
            <a:gd name="connsiteY9842" fmla="*/ 3376548 h 6858000"/>
            <a:gd name="connsiteX9843" fmla="*/ 6832778 w 12192000"/>
            <a:gd name="connsiteY9843" fmla="*/ 3411367 h 6858000"/>
            <a:gd name="connsiteX9844" fmla="*/ 6797966 w 12192000"/>
            <a:gd name="connsiteY9844" fmla="*/ 3446186 h 6858000"/>
            <a:gd name="connsiteX9845" fmla="*/ 6882858 w 12192000"/>
            <a:gd name="connsiteY9845" fmla="*/ 3446186 h 6858000"/>
            <a:gd name="connsiteX9846" fmla="*/ 6848033 w 12192000"/>
            <a:gd name="connsiteY9846" fmla="*/ 3411367 h 6858000"/>
            <a:gd name="connsiteX9847" fmla="*/ 6882858 w 12192000"/>
            <a:gd name="connsiteY9847" fmla="*/ 3376548 h 6858000"/>
            <a:gd name="connsiteX9848" fmla="*/ 6917670 w 12192000"/>
            <a:gd name="connsiteY9848" fmla="*/ 3411367 h 6858000"/>
            <a:gd name="connsiteX9849" fmla="*/ 6882858 w 12192000"/>
            <a:gd name="connsiteY9849" fmla="*/ 3446186 h 6858000"/>
            <a:gd name="connsiteX9850" fmla="*/ 7052644 w 12192000"/>
            <a:gd name="connsiteY9850" fmla="*/ 3446186 h 6858000"/>
            <a:gd name="connsiteX9851" fmla="*/ 7017818 w 12192000"/>
            <a:gd name="connsiteY9851" fmla="*/ 3411367 h 6858000"/>
            <a:gd name="connsiteX9852" fmla="*/ 7052644 w 12192000"/>
            <a:gd name="connsiteY9852" fmla="*/ 3376548 h 6858000"/>
            <a:gd name="connsiteX9853" fmla="*/ 7087456 w 12192000"/>
            <a:gd name="connsiteY9853" fmla="*/ 3411367 h 6858000"/>
            <a:gd name="connsiteX9854" fmla="*/ 7052644 w 12192000"/>
            <a:gd name="connsiteY9854" fmla="*/ 3446186 h 6858000"/>
            <a:gd name="connsiteX9855" fmla="*/ 7137536 w 12192000"/>
            <a:gd name="connsiteY9855" fmla="*/ 3446186 h 6858000"/>
            <a:gd name="connsiteX9856" fmla="*/ 7102710 w 12192000"/>
            <a:gd name="connsiteY9856" fmla="*/ 3411367 h 6858000"/>
            <a:gd name="connsiteX9857" fmla="*/ 7137536 w 12192000"/>
            <a:gd name="connsiteY9857" fmla="*/ 3376548 h 6858000"/>
            <a:gd name="connsiteX9858" fmla="*/ 7172348 w 12192000"/>
            <a:gd name="connsiteY9858" fmla="*/ 3411367 h 6858000"/>
            <a:gd name="connsiteX9859" fmla="*/ 7137536 w 12192000"/>
            <a:gd name="connsiteY9859" fmla="*/ 3446186 h 6858000"/>
            <a:gd name="connsiteX9860" fmla="*/ 7222428 w 12192000"/>
            <a:gd name="connsiteY9860" fmla="*/ 3446186 h 6858000"/>
            <a:gd name="connsiteX9861" fmla="*/ 7187603 w 12192000"/>
            <a:gd name="connsiteY9861" fmla="*/ 3411367 h 6858000"/>
            <a:gd name="connsiteX9862" fmla="*/ 7222428 w 12192000"/>
            <a:gd name="connsiteY9862" fmla="*/ 3376548 h 6858000"/>
            <a:gd name="connsiteX9863" fmla="*/ 7257240 w 12192000"/>
            <a:gd name="connsiteY9863" fmla="*/ 3411367 h 6858000"/>
            <a:gd name="connsiteX9864" fmla="*/ 7222428 w 12192000"/>
            <a:gd name="connsiteY9864" fmla="*/ 3446186 h 6858000"/>
            <a:gd name="connsiteX9865" fmla="*/ 7307320 w 12192000"/>
            <a:gd name="connsiteY9865" fmla="*/ 3446186 h 6858000"/>
            <a:gd name="connsiteX9866" fmla="*/ 7272495 w 12192000"/>
            <a:gd name="connsiteY9866" fmla="*/ 3411367 h 6858000"/>
            <a:gd name="connsiteX9867" fmla="*/ 7307320 w 12192000"/>
            <a:gd name="connsiteY9867" fmla="*/ 3376548 h 6858000"/>
            <a:gd name="connsiteX9868" fmla="*/ 7342133 w 12192000"/>
            <a:gd name="connsiteY9868" fmla="*/ 3411367 h 6858000"/>
            <a:gd name="connsiteX9869" fmla="*/ 7307320 w 12192000"/>
            <a:gd name="connsiteY9869" fmla="*/ 3446186 h 6858000"/>
            <a:gd name="connsiteX9870" fmla="*/ 7731784 w 12192000"/>
            <a:gd name="connsiteY9870" fmla="*/ 3446186 h 6858000"/>
            <a:gd name="connsiteX9871" fmla="*/ 7696958 w 12192000"/>
            <a:gd name="connsiteY9871" fmla="*/ 3411367 h 6858000"/>
            <a:gd name="connsiteX9872" fmla="*/ 7731784 w 12192000"/>
            <a:gd name="connsiteY9872" fmla="*/ 3376548 h 6858000"/>
            <a:gd name="connsiteX9873" fmla="*/ 7766596 w 12192000"/>
            <a:gd name="connsiteY9873" fmla="*/ 3411367 h 6858000"/>
            <a:gd name="connsiteX9874" fmla="*/ 7731784 w 12192000"/>
            <a:gd name="connsiteY9874" fmla="*/ 3446186 h 6858000"/>
            <a:gd name="connsiteX9875" fmla="*/ 7816676 w 12192000"/>
            <a:gd name="connsiteY9875" fmla="*/ 3446186 h 6858000"/>
            <a:gd name="connsiteX9876" fmla="*/ 7781850 w 12192000"/>
            <a:gd name="connsiteY9876" fmla="*/ 3411367 h 6858000"/>
            <a:gd name="connsiteX9877" fmla="*/ 7816676 w 12192000"/>
            <a:gd name="connsiteY9877" fmla="*/ 3376548 h 6858000"/>
            <a:gd name="connsiteX9878" fmla="*/ 7851488 w 12192000"/>
            <a:gd name="connsiteY9878" fmla="*/ 3411367 h 6858000"/>
            <a:gd name="connsiteX9879" fmla="*/ 7816676 w 12192000"/>
            <a:gd name="connsiteY9879" fmla="*/ 3446186 h 6858000"/>
            <a:gd name="connsiteX9880" fmla="*/ 7901568 w 12192000"/>
            <a:gd name="connsiteY9880" fmla="*/ 3446186 h 6858000"/>
            <a:gd name="connsiteX9881" fmla="*/ 7866743 w 12192000"/>
            <a:gd name="connsiteY9881" fmla="*/ 3411367 h 6858000"/>
            <a:gd name="connsiteX9882" fmla="*/ 7901568 w 12192000"/>
            <a:gd name="connsiteY9882" fmla="*/ 3376548 h 6858000"/>
            <a:gd name="connsiteX9883" fmla="*/ 7936380 w 12192000"/>
            <a:gd name="connsiteY9883" fmla="*/ 3411367 h 6858000"/>
            <a:gd name="connsiteX9884" fmla="*/ 7901568 w 12192000"/>
            <a:gd name="connsiteY9884" fmla="*/ 3446186 h 6858000"/>
            <a:gd name="connsiteX9885" fmla="*/ 7986460 w 12192000"/>
            <a:gd name="connsiteY9885" fmla="*/ 3446186 h 6858000"/>
            <a:gd name="connsiteX9886" fmla="*/ 7951635 w 12192000"/>
            <a:gd name="connsiteY9886" fmla="*/ 3411367 h 6858000"/>
            <a:gd name="connsiteX9887" fmla="*/ 7986460 w 12192000"/>
            <a:gd name="connsiteY9887" fmla="*/ 3376548 h 6858000"/>
            <a:gd name="connsiteX9888" fmla="*/ 8021273 w 12192000"/>
            <a:gd name="connsiteY9888" fmla="*/ 3411367 h 6858000"/>
            <a:gd name="connsiteX9889" fmla="*/ 7986460 w 12192000"/>
            <a:gd name="connsiteY9889" fmla="*/ 3446186 h 6858000"/>
            <a:gd name="connsiteX9890" fmla="*/ 8071353 w 12192000"/>
            <a:gd name="connsiteY9890" fmla="*/ 3446186 h 6858000"/>
            <a:gd name="connsiteX9891" fmla="*/ 8036527 w 12192000"/>
            <a:gd name="connsiteY9891" fmla="*/ 3411367 h 6858000"/>
            <a:gd name="connsiteX9892" fmla="*/ 8071353 w 12192000"/>
            <a:gd name="connsiteY9892" fmla="*/ 3376548 h 6858000"/>
            <a:gd name="connsiteX9893" fmla="*/ 8106165 w 12192000"/>
            <a:gd name="connsiteY9893" fmla="*/ 3411367 h 6858000"/>
            <a:gd name="connsiteX9894" fmla="*/ 8071353 w 12192000"/>
            <a:gd name="connsiteY9894" fmla="*/ 3446186 h 6858000"/>
            <a:gd name="connsiteX9895" fmla="*/ 8156246 w 12192000"/>
            <a:gd name="connsiteY9895" fmla="*/ 3446186 h 6858000"/>
            <a:gd name="connsiteX9896" fmla="*/ 8121420 w 12192000"/>
            <a:gd name="connsiteY9896" fmla="*/ 3411367 h 6858000"/>
            <a:gd name="connsiteX9897" fmla="*/ 8156246 w 12192000"/>
            <a:gd name="connsiteY9897" fmla="*/ 3376548 h 6858000"/>
            <a:gd name="connsiteX9898" fmla="*/ 8191058 w 12192000"/>
            <a:gd name="connsiteY9898" fmla="*/ 3411367 h 6858000"/>
            <a:gd name="connsiteX9899" fmla="*/ 8156246 w 12192000"/>
            <a:gd name="connsiteY9899" fmla="*/ 3446186 h 6858000"/>
            <a:gd name="connsiteX9900" fmla="*/ 8241138 w 12192000"/>
            <a:gd name="connsiteY9900" fmla="*/ 3446186 h 6858000"/>
            <a:gd name="connsiteX9901" fmla="*/ 8206313 w 12192000"/>
            <a:gd name="connsiteY9901" fmla="*/ 3411367 h 6858000"/>
            <a:gd name="connsiteX9902" fmla="*/ 8241138 w 12192000"/>
            <a:gd name="connsiteY9902" fmla="*/ 3376548 h 6858000"/>
            <a:gd name="connsiteX9903" fmla="*/ 8275950 w 12192000"/>
            <a:gd name="connsiteY9903" fmla="*/ 3411367 h 6858000"/>
            <a:gd name="connsiteX9904" fmla="*/ 8241138 w 12192000"/>
            <a:gd name="connsiteY9904" fmla="*/ 3446186 h 6858000"/>
            <a:gd name="connsiteX9905" fmla="*/ 8326030 w 12192000"/>
            <a:gd name="connsiteY9905" fmla="*/ 3446186 h 6858000"/>
            <a:gd name="connsiteX9906" fmla="*/ 8291205 w 12192000"/>
            <a:gd name="connsiteY9906" fmla="*/ 3411367 h 6858000"/>
            <a:gd name="connsiteX9907" fmla="*/ 8326030 w 12192000"/>
            <a:gd name="connsiteY9907" fmla="*/ 3376548 h 6858000"/>
            <a:gd name="connsiteX9908" fmla="*/ 8360843 w 12192000"/>
            <a:gd name="connsiteY9908" fmla="*/ 3411367 h 6858000"/>
            <a:gd name="connsiteX9909" fmla="*/ 8326030 w 12192000"/>
            <a:gd name="connsiteY9909" fmla="*/ 3446186 h 6858000"/>
            <a:gd name="connsiteX9910" fmla="*/ 8410923 w 12192000"/>
            <a:gd name="connsiteY9910" fmla="*/ 3446186 h 6858000"/>
            <a:gd name="connsiteX9911" fmla="*/ 8376097 w 12192000"/>
            <a:gd name="connsiteY9911" fmla="*/ 3411367 h 6858000"/>
            <a:gd name="connsiteX9912" fmla="*/ 8410923 w 12192000"/>
            <a:gd name="connsiteY9912" fmla="*/ 3376548 h 6858000"/>
            <a:gd name="connsiteX9913" fmla="*/ 8445735 w 12192000"/>
            <a:gd name="connsiteY9913" fmla="*/ 3411367 h 6858000"/>
            <a:gd name="connsiteX9914" fmla="*/ 8410923 w 12192000"/>
            <a:gd name="connsiteY9914" fmla="*/ 3446186 h 6858000"/>
            <a:gd name="connsiteX9915" fmla="*/ 8495816 w 12192000"/>
            <a:gd name="connsiteY9915" fmla="*/ 3446186 h 6858000"/>
            <a:gd name="connsiteX9916" fmla="*/ 8460990 w 12192000"/>
            <a:gd name="connsiteY9916" fmla="*/ 3411367 h 6858000"/>
            <a:gd name="connsiteX9917" fmla="*/ 8495816 w 12192000"/>
            <a:gd name="connsiteY9917" fmla="*/ 3376548 h 6858000"/>
            <a:gd name="connsiteX9918" fmla="*/ 8530628 w 12192000"/>
            <a:gd name="connsiteY9918" fmla="*/ 3411367 h 6858000"/>
            <a:gd name="connsiteX9919" fmla="*/ 8495816 w 12192000"/>
            <a:gd name="connsiteY9919" fmla="*/ 3446186 h 6858000"/>
            <a:gd name="connsiteX9920" fmla="*/ 8580708 w 12192000"/>
            <a:gd name="connsiteY9920" fmla="*/ 3446186 h 6858000"/>
            <a:gd name="connsiteX9921" fmla="*/ 8545883 w 12192000"/>
            <a:gd name="connsiteY9921" fmla="*/ 3411367 h 6858000"/>
            <a:gd name="connsiteX9922" fmla="*/ 8580708 w 12192000"/>
            <a:gd name="connsiteY9922" fmla="*/ 3376548 h 6858000"/>
            <a:gd name="connsiteX9923" fmla="*/ 8615520 w 12192000"/>
            <a:gd name="connsiteY9923" fmla="*/ 3411367 h 6858000"/>
            <a:gd name="connsiteX9924" fmla="*/ 8580708 w 12192000"/>
            <a:gd name="connsiteY9924" fmla="*/ 3446186 h 6858000"/>
            <a:gd name="connsiteX9925" fmla="*/ 8665600 w 12192000"/>
            <a:gd name="connsiteY9925" fmla="*/ 3446186 h 6858000"/>
            <a:gd name="connsiteX9926" fmla="*/ 8630775 w 12192000"/>
            <a:gd name="connsiteY9926" fmla="*/ 3411367 h 6858000"/>
            <a:gd name="connsiteX9927" fmla="*/ 8665600 w 12192000"/>
            <a:gd name="connsiteY9927" fmla="*/ 3376548 h 6858000"/>
            <a:gd name="connsiteX9928" fmla="*/ 8700413 w 12192000"/>
            <a:gd name="connsiteY9928" fmla="*/ 3411367 h 6858000"/>
            <a:gd name="connsiteX9929" fmla="*/ 8665600 w 12192000"/>
            <a:gd name="connsiteY9929" fmla="*/ 3446186 h 6858000"/>
            <a:gd name="connsiteX9930" fmla="*/ 8750493 w 12192000"/>
            <a:gd name="connsiteY9930" fmla="*/ 3446186 h 6858000"/>
            <a:gd name="connsiteX9931" fmla="*/ 8715667 w 12192000"/>
            <a:gd name="connsiteY9931" fmla="*/ 3411367 h 6858000"/>
            <a:gd name="connsiteX9932" fmla="*/ 8750493 w 12192000"/>
            <a:gd name="connsiteY9932" fmla="*/ 3376548 h 6858000"/>
            <a:gd name="connsiteX9933" fmla="*/ 8785305 w 12192000"/>
            <a:gd name="connsiteY9933" fmla="*/ 3411367 h 6858000"/>
            <a:gd name="connsiteX9934" fmla="*/ 8750493 w 12192000"/>
            <a:gd name="connsiteY9934" fmla="*/ 3446186 h 6858000"/>
            <a:gd name="connsiteX9935" fmla="*/ 8835386 w 12192000"/>
            <a:gd name="connsiteY9935" fmla="*/ 3446186 h 6858000"/>
            <a:gd name="connsiteX9936" fmla="*/ 8800560 w 12192000"/>
            <a:gd name="connsiteY9936" fmla="*/ 3411367 h 6858000"/>
            <a:gd name="connsiteX9937" fmla="*/ 8835386 w 12192000"/>
            <a:gd name="connsiteY9937" fmla="*/ 3376548 h 6858000"/>
            <a:gd name="connsiteX9938" fmla="*/ 8870198 w 12192000"/>
            <a:gd name="connsiteY9938" fmla="*/ 3411367 h 6858000"/>
            <a:gd name="connsiteX9939" fmla="*/ 8835386 w 12192000"/>
            <a:gd name="connsiteY9939" fmla="*/ 3446186 h 6858000"/>
            <a:gd name="connsiteX9940" fmla="*/ 8920278 w 12192000"/>
            <a:gd name="connsiteY9940" fmla="*/ 3446186 h 6858000"/>
            <a:gd name="connsiteX9941" fmla="*/ 8885453 w 12192000"/>
            <a:gd name="connsiteY9941" fmla="*/ 3411367 h 6858000"/>
            <a:gd name="connsiteX9942" fmla="*/ 8920278 w 12192000"/>
            <a:gd name="connsiteY9942" fmla="*/ 3376548 h 6858000"/>
            <a:gd name="connsiteX9943" fmla="*/ 8955090 w 12192000"/>
            <a:gd name="connsiteY9943" fmla="*/ 3411367 h 6858000"/>
            <a:gd name="connsiteX9944" fmla="*/ 8920278 w 12192000"/>
            <a:gd name="connsiteY9944" fmla="*/ 3446186 h 6858000"/>
            <a:gd name="connsiteX9945" fmla="*/ 9005170 w 12192000"/>
            <a:gd name="connsiteY9945" fmla="*/ 3446186 h 6858000"/>
            <a:gd name="connsiteX9946" fmla="*/ 8970345 w 12192000"/>
            <a:gd name="connsiteY9946" fmla="*/ 3411367 h 6858000"/>
            <a:gd name="connsiteX9947" fmla="*/ 9005170 w 12192000"/>
            <a:gd name="connsiteY9947" fmla="*/ 3376548 h 6858000"/>
            <a:gd name="connsiteX9948" fmla="*/ 9039983 w 12192000"/>
            <a:gd name="connsiteY9948" fmla="*/ 3411367 h 6858000"/>
            <a:gd name="connsiteX9949" fmla="*/ 9005170 w 12192000"/>
            <a:gd name="connsiteY9949" fmla="*/ 3446186 h 6858000"/>
            <a:gd name="connsiteX9950" fmla="*/ 9090063 w 12192000"/>
            <a:gd name="connsiteY9950" fmla="*/ 3446186 h 6858000"/>
            <a:gd name="connsiteX9951" fmla="*/ 9055237 w 12192000"/>
            <a:gd name="connsiteY9951" fmla="*/ 3411367 h 6858000"/>
            <a:gd name="connsiteX9952" fmla="*/ 9090063 w 12192000"/>
            <a:gd name="connsiteY9952" fmla="*/ 3376548 h 6858000"/>
            <a:gd name="connsiteX9953" fmla="*/ 9124875 w 12192000"/>
            <a:gd name="connsiteY9953" fmla="*/ 3411367 h 6858000"/>
            <a:gd name="connsiteX9954" fmla="*/ 9090063 w 12192000"/>
            <a:gd name="connsiteY9954" fmla="*/ 3446186 h 6858000"/>
            <a:gd name="connsiteX9955" fmla="*/ 9174956 w 12192000"/>
            <a:gd name="connsiteY9955" fmla="*/ 3446186 h 6858000"/>
            <a:gd name="connsiteX9956" fmla="*/ 9140130 w 12192000"/>
            <a:gd name="connsiteY9956" fmla="*/ 3411367 h 6858000"/>
            <a:gd name="connsiteX9957" fmla="*/ 9174956 w 12192000"/>
            <a:gd name="connsiteY9957" fmla="*/ 3376548 h 6858000"/>
            <a:gd name="connsiteX9958" fmla="*/ 9209768 w 12192000"/>
            <a:gd name="connsiteY9958" fmla="*/ 3411367 h 6858000"/>
            <a:gd name="connsiteX9959" fmla="*/ 9174956 w 12192000"/>
            <a:gd name="connsiteY9959" fmla="*/ 3446186 h 6858000"/>
            <a:gd name="connsiteX9960" fmla="*/ 9259848 w 12192000"/>
            <a:gd name="connsiteY9960" fmla="*/ 3446186 h 6858000"/>
            <a:gd name="connsiteX9961" fmla="*/ 9225023 w 12192000"/>
            <a:gd name="connsiteY9961" fmla="*/ 3411367 h 6858000"/>
            <a:gd name="connsiteX9962" fmla="*/ 9259848 w 12192000"/>
            <a:gd name="connsiteY9962" fmla="*/ 3376548 h 6858000"/>
            <a:gd name="connsiteX9963" fmla="*/ 9294660 w 12192000"/>
            <a:gd name="connsiteY9963" fmla="*/ 3411367 h 6858000"/>
            <a:gd name="connsiteX9964" fmla="*/ 9259848 w 12192000"/>
            <a:gd name="connsiteY9964" fmla="*/ 3446186 h 6858000"/>
            <a:gd name="connsiteX9965" fmla="*/ 9344740 w 12192000"/>
            <a:gd name="connsiteY9965" fmla="*/ 3446186 h 6858000"/>
            <a:gd name="connsiteX9966" fmla="*/ 9309915 w 12192000"/>
            <a:gd name="connsiteY9966" fmla="*/ 3411367 h 6858000"/>
            <a:gd name="connsiteX9967" fmla="*/ 9344740 w 12192000"/>
            <a:gd name="connsiteY9967" fmla="*/ 3376548 h 6858000"/>
            <a:gd name="connsiteX9968" fmla="*/ 9379553 w 12192000"/>
            <a:gd name="connsiteY9968" fmla="*/ 3411367 h 6858000"/>
            <a:gd name="connsiteX9969" fmla="*/ 9344740 w 12192000"/>
            <a:gd name="connsiteY9969" fmla="*/ 3446186 h 6858000"/>
            <a:gd name="connsiteX9970" fmla="*/ 9429633 w 12192000"/>
            <a:gd name="connsiteY9970" fmla="*/ 3446186 h 6858000"/>
            <a:gd name="connsiteX9971" fmla="*/ 9394807 w 12192000"/>
            <a:gd name="connsiteY9971" fmla="*/ 3411367 h 6858000"/>
            <a:gd name="connsiteX9972" fmla="*/ 9429633 w 12192000"/>
            <a:gd name="connsiteY9972" fmla="*/ 3376548 h 6858000"/>
            <a:gd name="connsiteX9973" fmla="*/ 9464445 w 12192000"/>
            <a:gd name="connsiteY9973" fmla="*/ 3411367 h 6858000"/>
            <a:gd name="connsiteX9974" fmla="*/ 9429633 w 12192000"/>
            <a:gd name="connsiteY9974" fmla="*/ 3446186 h 6858000"/>
            <a:gd name="connsiteX9975" fmla="*/ 9514525 w 12192000"/>
            <a:gd name="connsiteY9975" fmla="*/ 3446186 h 6858000"/>
            <a:gd name="connsiteX9976" fmla="*/ 9479699 w 12192000"/>
            <a:gd name="connsiteY9976" fmla="*/ 3411367 h 6858000"/>
            <a:gd name="connsiteX9977" fmla="*/ 9514525 w 12192000"/>
            <a:gd name="connsiteY9977" fmla="*/ 3376548 h 6858000"/>
            <a:gd name="connsiteX9978" fmla="*/ 9549337 w 12192000"/>
            <a:gd name="connsiteY9978" fmla="*/ 3411367 h 6858000"/>
            <a:gd name="connsiteX9979" fmla="*/ 9514525 w 12192000"/>
            <a:gd name="connsiteY9979" fmla="*/ 3446186 h 6858000"/>
            <a:gd name="connsiteX9980" fmla="*/ 940381 w 12192000"/>
            <a:gd name="connsiteY9980" fmla="*/ 3361326 h 6858000"/>
            <a:gd name="connsiteX9981" fmla="*/ 905562 w 12192000"/>
            <a:gd name="connsiteY9981" fmla="*/ 3326507 h 6858000"/>
            <a:gd name="connsiteX9982" fmla="*/ 940381 w 12192000"/>
            <a:gd name="connsiteY9982" fmla="*/ 3291688 h 6858000"/>
            <a:gd name="connsiteX9983" fmla="*/ 975200 w 12192000"/>
            <a:gd name="connsiteY9983" fmla="*/ 3326507 h 6858000"/>
            <a:gd name="connsiteX9984" fmla="*/ 940381 w 12192000"/>
            <a:gd name="connsiteY9984" fmla="*/ 3361326 h 6858000"/>
            <a:gd name="connsiteX9985" fmla="*/ 2468446 w 12192000"/>
            <a:gd name="connsiteY9985" fmla="*/ 3361326 h 6858000"/>
            <a:gd name="connsiteX9986" fmla="*/ 2433627 w 12192000"/>
            <a:gd name="connsiteY9986" fmla="*/ 3326507 h 6858000"/>
            <a:gd name="connsiteX9987" fmla="*/ 2468446 w 12192000"/>
            <a:gd name="connsiteY9987" fmla="*/ 3291688 h 6858000"/>
            <a:gd name="connsiteX9988" fmla="*/ 2503264 w 12192000"/>
            <a:gd name="connsiteY9988" fmla="*/ 3326507 h 6858000"/>
            <a:gd name="connsiteX9989" fmla="*/ 2468446 w 12192000"/>
            <a:gd name="connsiteY9989" fmla="*/ 3361326 h 6858000"/>
            <a:gd name="connsiteX9990" fmla="*/ 2638231 w 12192000"/>
            <a:gd name="connsiteY9990" fmla="*/ 3361326 h 6858000"/>
            <a:gd name="connsiteX9991" fmla="*/ 2603412 w 12192000"/>
            <a:gd name="connsiteY9991" fmla="*/ 3326507 h 6858000"/>
            <a:gd name="connsiteX9992" fmla="*/ 2638231 w 12192000"/>
            <a:gd name="connsiteY9992" fmla="*/ 3291688 h 6858000"/>
            <a:gd name="connsiteX9993" fmla="*/ 2673050 w 12192000"/>
            <a:gd name="connsiteY9993" fmla="*/ 3326507 h 6858000"/>
            <a:gd name="connsiteX9994" fmla="*/ 2638231 w 12192000"/>
            <a:gd name="connsiteY9994" fmla="*/ 3361326 h 6858000"/>
            <a:gd name="connsiteX9995" fmla="*/ 2723123 w 12192000"/>
            <a:gd name="connsiteY9995" fmla="*/ 3361326 h 6858000"/>
            <a:gd name="connsiteX9996" fmla="*/ 2688304 w 12192000"/>
            <a:gd name="connsiteY9996" fmla="*/ 3326507 h 6858000"/>
            <a:gd name="connsiteX9997" fmla="*/ 2723123 w 12192000"/>
            <a:gd name="connsiteY9997" fmla="*/ 3291688 h 6858000"/>
            <a:gd name="connsiteX9998" fmla="*/ 2757942 w 12192000"/>
            <a:gd name="connsiteY9998" fmla="*/ 3326507 h 6858000"/>
            <a:gd name="connsiteX9999" fmla="*/ 2723123 w 12192000"/>
            <a:gd name="connsiteY9999" fmla="*/ 3361326 h 6858000"/>
            <a:gd name="connsiteX10000" fmla="*/ 2808016 w 12192000"/>
            <a:gd name="connsiteY10000" fmla="*/ 3361326 h 6858000"/>
            <a:gd name="connsiteX10001" fmla="*/ 2773197 w 12192000"/>
            <a:gd name="connsiteY10001" fmla="*/ 3326507 h 6858000"/>
            <a:gd name="connsiteX10002" fmla="*/ 2808016 w 12192000"/>
            <a:gd name="connsiteY10002" fmla="*/ 3291688 h 6858000"/>
            <a:gd name="connsiteX10003" fmla="*/ 2842834 w 12192000"/>
            <a:gd name="connsiteY10003" fmla="*/ 3326507 h 6858000"/>
            <a:gd name="connsiteX10004" fmla="*/ 2808016 w 12192000"/>
            <a:gd name="connsiteY10004" fmla="*/ 3361326 h 6858000"/>
            <a:gd name="connsiteX10005" fmla="*/ 3572048 w 12192000"/>
            <a:gd name="connsiteY10005" fmla="*/ 3361326 h 6858000"/>
            <a:gd name="connsiteX10006" fmla="*/ 3537229 w 12192000"/>
            <a:gd name="connsiteY10006" fmla="*/ 3326507 h 6858000"/>
            <a:gd name="connsiteX10007" fmla="*/ 3572048 w 12192000"/>
            <a:gd name="connsiteY10007" fmla="*/ 3291688 h 6858000"/>
            <a:gd name="connsiteX10008" fmla="*/ 3606867 w 12192000"/>
            <a:gd name="connsiteY10008" fmla="*/ 3326507 h 6858000"/>
            <a:gd name="connsiteX10009" fmla="*/ 3572048 w 12192000"/>
            <a:gd name="connsiteY10009" fmla="*/ 3361326 h 6858000"/>
            <a:gd name="connsiteX10010" fmla="*/ 5439686 w 12192000"/>
            <a:gd name="connsiteY10010" fmla="*/ 3361326 h 6858000"/>
            <a:gd name="connsiteX10011" fmla="*/ 5404860 w 12192000"/>
            <a:gd name="connsiteY10011" fmla="*/ 3326507 h 6858000"/>
            <a:gd name="connsiteX10012" fmla="*/ 5439686 w 12192000"/>
            <a:gd name="connsiteY10012" fmla="*/ 3291688 h 6858000"/>
            <a:gd name="connsiteX10013" fmla="*/ 5474498 w 12192000"/>
            <a:gd name="connsiteY10013" fmla="*/ 3326507 h 6858000"/>
            <a:gd name="connsiteX10014" fmla="*/ 5439686 w 12192000"/>
            <a:gd name="connsiteY10014" fmla="*/ 3361326 h 6858000"/>
            <a:gd name="connsiteX10015" fmla="*/ 5524578 w 12192000"/>
            <a:gd name="connsiteY10015" fmla="*/ 3361326 h 6858000"/>
            <a:gd name="connsiteX10016" fmla="*/ 5489753 w 12192000"/>
            <a:gd name="connsiteY10016" fmla="*/ 3326507 h 6858000"/>
            <a:gd name="connsiteX10017" fmla="*/ 5524578 w 12192000"/>
            <a:gd name="connsiteY10017" fmla="*/ 3291688 h 6858000"/>
            <a:gd name="connsiteX10018" fmla="*/ 5559390 w 12192000"/>
            <a:gd name="connsiteY10018" fmla="*/ 3326507 h 6858000"/>
            <a:gd name="connsiteX10019" fmla="*/ 5524578 w 12192000"/>
            <a:gd name="connsiteY10019" fmla="*/ 3361326 h 6858000"/>
            <a:gd name="connsiteX10020" fmla="*/ 5609471 w 12192000"/>
            <a:gd name="connsiteY10020" fmla="*/ 3361326 h 6858000"/>
            <a:gd name="connsiteX10021" fmla="*/ 5574646 w 12192000"/>
            <a:gd name="connsiteY10021" fmla="*/ 3326507 h 6858000"/>
            <a:gd name="connsiteX10022" fmla="*/ 5609471 w 12192000"/>
            <a:gd name="connsiteY10022" fmla="*/ 3291688 h 6858000"/>
            <a:gd name="connsiteX10023" fmla="*/ 5644284 w 12192000"/>
            <a:gd name="connsiteY10023" fmla="*/ 3326507 h 6858000"/>
            <a:gd name="connsiteX10024" fmla="*/ 5609471 w 12192000"/>
            <a:gd name="connsiteY10024" fmla="*/ 3361326 h 6858000"/>
            <a:gd name="connsiteX10025" fmla="*/ 5694364 w 12192000"/>
            <a:gd name="connsiteY10025" fmla="*/ 3361326 h 6858000"/>
            <a:gd name="connsiteX10026" fmla="*/ 5659538 w 12192000"/>
            <a:gd name="connsiteY10026" fmla="*/ 3326507 h 6858000"/>
            <a:gd name="connsiteX10027" fmla="*/ 5694364 w 12192000"/>
            <a:gd name="connsiteY10027" fmla="*/ 3291688 h 6858000"/>
            <a:gd name="connsiteX10028" fmla="*/ 5729176 w 12192000"/>
            <a:gd name="connsiteY10028" fmla="*/ 3326507 h 6858000"/>
            <a:gd name="connsiteX10029" fmla="*/ 5694364 w 12192000"/>
            <a:gd name="connsiteY10029" fmla="*/ 3361326 h 6858000"/>
            <a:gd name="connsiteX10030" fmla="*/ 5779256 w 12192000"/>
            <a:gd name="connsiteY10030" fmla="*/ 3361326 h 6858000"/>
            <a:gd name="connsiteX10031" fmla="*/ 5744430 w 12192000"/>
            <a:gd name="connsiteY10031" fmla="*/ 3326507 h 6858000"/>
            <a:gd name="connsiteX10032" fmla="*/ 5779256 w 12192000"/>
            <a:gd name="connsiteY10032" fmla="*/ 3291688 h 6858000"/>
            <a:gd name="connsiteX10033" fmla="*/ 5814068 w 12192000"/>
            <a:gd name="connsiteY10033" fmla="*/ 3326507 h 6858000"/>
            <a:gd name="connsiteX10034" fmla="*/ 5779256 w 12192000"/>
            <a:gd name="connsiteY10034" fmla="*/ 3361326 h 6858000"/>
            <a:gd name="connsiteX10035" fmla="*/ 5864148 w 12192000"/>
            <a:gd name="connsiteY10035" fmla="*/ 3361326 h 6858000"/>
            <a:gd name="connsiteX10036" fmla="*/ 5829323 w 12192000"/>
            <a:gd name="connsiteY10036" fmla="*/ 3326507 h 6858000"/>
            <a:gd name="connsiteX10037" fmla="*/ 5864148 w 12192000"/>
            <a:gd name="connsiteY10037" fmla="*/ 3291688 h 6858000"/>
            <a:gd name="connsiteX10038" fmla="*/ 5898960 w 12192000"/>
            <a:gd name="connsiteY10038" fmla="*/ 3326507 h 6858000"/>
            <a:gd name="connsiteX10039" fmla="*/ 5864148 w 12192000"/>
            <a:gd name="connsiteY10039" fmla="*/ 3361326 h 6858000"/>
            <a:gd name="connsiteX10040" fmla="*/ 5949041 w 12192000"/>
            <a:gd name="connsiteY10040" fmla="*/ 3361326 h 6858000"/>
            <a:gd name="connsiteX10041" fmla="*/ 5914216 w 12192000"/>
            <a:gd name="connsiteY10041" fmla="*/ 3326507 h 6858000"/>
            <a:gd name="connsiteX10042" fmla="*/ 5949041 w 12192000"/>
            <a:gd name="connsiteY10042" fmla="*/ 3291688 h 6858000"/>
            <a:gd name="connsiteX10043" fmla="*/ 5983854 w 12192000"/>
            <a:gd name="connsiteY10043" fmla="*/ 3326507 h 6858000"/>
            <a:gd name="connsiteX10044" fmla="*/ 5949041 w 12192000"/>
            <a:gd name="connsiteY10044" fmla="*/ 3361326 h 6858000"/>
            <a:gd name="connsiteX10045" fmla="*/ 6033934 w 12192000"/>
            <a:gd name="connsiteY10045" fmla="*/ 3361326 h 6858000"/>
            <a:gd name="connsiteX10046" fmla="*/ 5999108 w 12192000"/>
            <a:gd name="connsiteY10046" fmla="*/ 3326507 h 6858000"/>
            <a:gd name="connsiteX10047" fmla="*/ 6033934 w 12192000"/>
            <a:gd name="connsiteY10047" fmla="*/ 3291688 h 6858000"/>
            <a:gd name="connsiteX10048" fmla="*/ 6068746 w 12192000"/>
            <a:gd name="connsiteY10048" fmla="*/ 3326507 h 6858000"/>
            <a:gd name="connsiteX10049" fmla="*/ 6033934 w 12192000"/>
            <a:gd name="connsiteY10049" fmla="*/ 3361326 h 6858000"/>
            <a:gd name="connsiteX10050" fmla="*/ 6118826 w 12192000"/>
            <a:gd name="connsiteY10050" fmla="*/ 3361326 h 6858000"/>
            <a:gd name="connsiteX10051" fmla="*/ 6084000 w 12192000"/>
            <a:gd name="connsiteY10051" fmla="*/ 3326507 h 6858000"/>
            <a:gd name="connsiteX10052" fmla="*/ 6118826 w 12192000"/>
            <a:gd name="connsiteY10052" fmla="*/ 3291688 h 6858000"/>
            <a:gd name="connsiteX10053" fmla="*/ 6153638 w 12192000"/>
            <a:gd name="connsiteY10053" fmla="*/ 3326507 h 6858000"/>
            <a:gd name="connsiteX10054" fmla="*/ 6118826 w 12192000"/>
            <a:gd name="connsiteY10054" fmla="*/ 3361326 h 6858000"/>
            <a:gd name="connsiteX10055" fmla="*/ 6203718 w 12192000"/>
            <a:gd name="connsiteY10055" fmla="*/ 3361326 h 6858000"/>
            <a:gd name="connsiteX10056" fmla="*/ 6168893 w 12192000"/>
            <a:gd name="connsiteY10056" fmla="*/ 3326507 h 6858000"/>
            <a:gd name="connsiteX10057" fmla="*/ 6203718 w 12192000"/>
            <a:gd name="connsiteY10057" fmla="*/ 3291688 h 6858000"/>
            <a:gd name="connsiteX10058" fmla="*/ 6238530 w 12192000"/>
            <a:gd name="connsiteY10058" fmla="*/ 3326507 h 6858000"/>
            <a:gd name="connsiteX10059" fmla="*/ 6203718 w 12192000"/>
            <a:gd name="connsiteY10059" fmla="*/ 3361326 h 6858000"/>
            <a:gd name="connsiteX10060" fmla="*/ 6288611 w 12192000"/>
            <a:gd name="connsiteY10060" fmla="*/ 3361326 h 6858000"/>
            <a:gd name="connsiteX10061" fmla="*/ 6253786 w 12192000"/>
            <a:gd name="connsiteY10061" fmla="*/ 3326507 h 6858000"/>
            <a:gd name="connsiteX10062" fmla="*/ 6288611 w 12192000"/>
            <a:gd name="connsiteY10062" fmla="*/ 3291688 h 6858000"/>
            <a:gd name="connsiteX10063" fmla="*/ 6323424 w 12192000"/>
            <a:gd name="connsiteY10063" fmla="*/ 3326507 h 6858000"/>
            <a:gd name="connsiteX10064" fmla="*/ 6288611 w 12192000"/>
            <a:gd name="connsiteY10064" fmla="*/ 3361326 h 6858000"/>
            <a:gd name="connsiteX10065" fmla="*/ 6373504 w 12192000"/>
            <a:gd name="connsiteY10065" fmla="*/ 3361326 h 6858000"/>
            <a:gd name="connsiteX10066" fmla="*/ 6338678 w 12192000"/>
            <a:gd name="connsiteY10066" fmla="*/ 3326507 h 6858000"/>
            <a:gd name="connsiteX10067" fmla="*/ 6373504 w 12192000"/>
            <a:gd name="connsiteY10067" fmla="*/ 3291688 h 6858000"/>
            <a:gd name="connsiteX10068" fmla="*/ 6408316 w 12192000"/>
            <a:gd name="connsiteY10068" fmla="*/ 3326507 h 6858000"/>
            <a:gd name="connsiteX10069" fmla="*/ 6373504 w 12192000"/>
            <a:gd name="connsiteY10069" fmla="*/ 3361326 h 6858000"/>
            <a:gd name="connsiteX10070" fmla="*/ 6458396 w 12192000"/>
            <a:gd name="connsiteY10070" fmla="*/ 3361326 h 6858000"/>
            <a:gd name="connsiteX10071" fmla="*/ 6423570 w 12192000"/>
            <a:gd name="connsiteY10071" fmla="*/ 3326507 h 6858000"/>
            <a:gd name="connsiteX10072" fmla="*/ 6458396 w 12192000"/>
            <a:gd name="connsiteY10072" fmla="*/ 3291688 h 6858000"/>
            <a:gd name="connsiteX10073" fmla="*/ 6493208 w 12192000"/>
            <a:gd name="connsiteY10073" fmla="*/ 3326507 h 6858000"/>
            <a:gd name="connsiteX10074" fmla="*/ 6458396 w 12192000"/>
            <a:gd name="connsiteY10074" fmla="*/ 3361326 h 6858000"/>
            <a:gd name="connsiteX10075" fmla="*/ 6543288 w 12192000"/>
            <a:gd name="connsiteY10075" fmla="*/ 3361326 h 6858000"/>
            <a:gd name="connsiteX10076" fmla="*/ 6508463 w 12192000"/>
            <a:gd name="connsiteY10076" fmla="*/ 3326507 h 6858000"/>
            <a:gd name="connsiteX10077" fmla="*/ 6543288 w 12192000"/>
            <a:gd name="connsiteY10077" fmla="*/ 3291688 h 6858000"/>
            <a:gd name="connsiteX10078" fmla="*/ 6578100 w 12192000"/>
            <a:gd name="connsiteY10078" fmla="*/ 3326507 h 6858000"/>
            <a:gd name="connsiteX10079" fmla="*/ 6543288 w 12192000"/>
            <a:gd name="connsiteY10079" fmla="*/ 3361326 h 6858000"/>
            <a:gd name="connsiteX10080" fmla="*/ 6628181 w 12192000"/>
            <a:gd name="connsiteY10080" fmla="*/ 3361326 h 6858000"/>
            <a:gd name="connsiteX10081" fmla="*/ 6593356 w 12192000"/>
            <a:gd name="connsiteY10081" fmla="*/ 3326507 h 6858000"/>
            <a:gd name="connsiteX10082" fmla="*/ 6628181 w 12192000"/>
            <a:gd name="connsiteY10082" fmla="*/ 3291688 h 6858000"/>
            <a:gd name="connsiteX10083" fmla="*/ 6662994 w 12192000"/>
            <a:gd name="connsiteY10083" fmla="*/ 3326507 h 6858000"/>
            <a:gd name="connsiteX10084" fmla="*/ 6628181 w 12192000"/>
            <a:gd name="connsiteY10084" fmla="*/ 3361326 h 6858000"/>
            <a:gd name="connsiteX10085" fmla="*/ 6713074 w 12192000"/>
            <a:gd name="connsiteY10085" fmla="*/ 3361326 h 6858000"/>
            <a:gd name="connsiteX10086" fmla="*/ 6678248 w 12192000"/>
            <a:gd name="connsiteY10086" fmla="*/ 3326507 h 6858000"/>
            <a:gd name="connsiteX10087" fmla="*/ 6713074 w 12192000"/>
            <a:gd name="connsiteY10087" fmla="*/ 3291688 h 6858000"/>
            <a:gd name="connsiteX10088" fmla="*/ 6747886 w 12192000"/>
            <a:gd name="connsiteY10088" fmla="*/ 3326507 h 6858000"/>
            <a:gd name="connsiteX10089" fmla="*/ 6713074 w 12192000"/>
            <a:gd name="connsiteY10089" fmla="*/ 3361326 h 6858000"/>
            <a:gd name="connsiteX10090" fmla="*/ 6797966 w 12192000"/>
            <a:gd name="connsiteY10090" fmla="*/ 3361326 h 6858000"/>
            <a:gd name="connsiteX10091" fmla="*/ 6763140 w 12192000"/>
            <a:gd name="connsiteY10091" fmla="*/ 3326507 h 6858000"/>
            <a:gd name="connsiteX10092" fmla="*/ 6797966 w 12192000"/>
            <a:gd name="connsiteY10092" fmla="*/ 3291688 h 6858000"/>
            <a:gd name="connsiteX10093" fmla="*/ 6832778 w 12192000"/>
            <a:gd name="connsiteY10093" fmla="*/ 3326507 h 6858000"/>
            <a:gd name="connsiteX10094" fmla="*/ 6797966 w 12192000"/>
            <a:gd name="connsiteY10094" fmla="*/ 3361326 h 6858000"/>
            <a:gd name="connsiteX10095" fmla="*/ 6882858 w 12192000"/>
            <a:gd name="connsiteY10095" fmla="*/ 3361326 h 6858000"/>
            <a:gd name="connsiteX10096" fmla="*/ 6848033 w 12192000"/>
            <a:gd name="connsiteY10096" fmla="*/ 3326507 h 6858000"/>
            <a:gd name="connsiteX10097" fmla="*/ 6882858 w 12192000"/>
            <a:gd name="connsiteY10097" fmla="*/ 3291688 h 6858000"/>
            <a:gd name="connsiteX10098" fmla="*/ 6917670 w 12192000"/>
            <a:gd name="connsiteY10098" fmla="*/ 3326507 h 6858000"/>
            <a:gd name="connsiteX10099" fmla="*/ 6882858 w 12192000"/>
            <a:gd name="connsiteY10099" fmla="*/ 3361326 h 6858000"/>
            <a:gd name="connsiteX10100" fmla="*/ 7137536 w 12192000"/>
            <a:gd name="connsiteY10100" fmla="*/ 3361326 h 6858000"/>
            <a:gd name="connsiteX10101" fmla="*/ 7102710 w 12192000"/>
            <a:gd name="connsiteY10101" fmla="*/ 3326507 h 6858000"/>
            <a:gd name="connsiteX10102" fmla="*/ 7137536 w 12192000"/>
            <a:gd name="connsiteY10102" fmla="*/ 3291688 h 6858000"/>
            <a:gd name="connsiteX10103" fmla="*/ 7172348 w 12192000"/>
            <a:gd name="connsiteY10103" fmla="*/ 3326507 h 6858000"/>
            <a:gd name="connsiteX10104" fmla="*/ 7137536 w 12192000"/>
            <a:gd name="connsiteY10104" fmla="*/ 3361326 h 6858000"/>
            <a:gd name="connsiteX10105" fmla="*/ 7222428 w 12192000"/>
            <a:gd name="connsiteY10105" fmla="*/ 3361326 h 6858000"/>
            <a:gd name="connsiteX10106" fmla="*/ 7187603 w 12192000"/>
            <a:gd name="connsiteY10106" fmla="*/ 3326507 h 6858000"/>
            <a:gd name="connsiteX10107" fmla="*/ 7222428 w 12192000"/>
            <a:gd name="connsiteY10107" fmla="*/ 3291688 h 6858000"/>
            <a:gd name="connsiteX10108" fmla="*/ 7257240 w 12192000"/>
            <a:gd name="connsiteY10108" fmla="*/ 3326507 h 6858000"/>
            <a:gd name="connsiteX10109" fmla="*/ 7222428 w 12192000"/>
            <a:gd name="connsiteY10109" fmla="*/ 3361326 h 6858000"/>
            <a:gd name="connsiteX10110" fmla="*/ 7307320 w 12192000"/>
            <a:gd name="connsiteY10110" fmla="*/ 3361326 h 6858000"/>
            <a:gd name="connsiteX10111" fmla="*/ 7272495 w 12192000"/>
            <a:gd name="connsiteY10111" fmla="*/ 3326507 h 6858000"/>
            <a:gd name="connsiteX10112" fmla="*/ 7307320 w 12192000"/>
            <a:gd name="connsiteY10112" fmla="*/ 3291688 h 6858000"/>
            <a:gd name="connsiteX10113" fmla="*/ 7342133 w 12192000"/>
            <a:gd name="connsiteY10113" fmla="*/ 3326507 h 6858000"/>
            <a:gd name="connsiteX10114" fmla="*/ 7307320 w 12192000"/>
            <a:gd name="connsiteY10114" fmla="*/ 3361326 h 6858000"/>
            <a:gd name="connsiteX10115" fmla="*/ 7392214 w 12192000"/>
            <a:gd name="connsiteY10115" fmla="*/ 3361326 h 6858000"/>
            <a:gd name="connsiteX10116" fmla="*/ 7357388 w 12192000"/>
            <a:gd name="connsiteY10116" fmla="*/ 3326507 h 6858000"/>
            <a:gd name="connsiteX10117" fmla="*/ 7392214 w 12192000"/>
            <a:gd name="connsiteY10117" fmla="*/ 3291688 h 6858000"/>
            <a:gd name="connsiteX10118" fmla="*/ 7427026 w 12192000"/>
            <a:gd name="connsiteY10118" fmla="*/ 3326507 h 6858000"/>
            <a:gd name="connsiteX10119" fmla="*/ 7392214 w 12192000"/>
            <a:gd name="connsiteY10119" fmla="*/ 3361326 h 6858000"/>
            <a:gd name="connsiteX10120" fmla="*/ 7561998 w 12192000"/>
            <a:gd name="connsiteY10120" fmla="*/ 3361326 h 6858000"/>
            <a:gd name="connsiteX10121" fmla="*/ 7527173 w 12192000"/>
            <a:gd name="connsiteY10121" fmla="*/ 3326507 h 6858000"/>
            <a:gd name="connsiteX10122" fmla="*/ 7561998 w 12192000"/>
            <a:gd name="connsiteY10122" fmla="*/ 3291688 h 6858000"/>
            <a:gd name="connsiteX10123" fmla="*/ 7596810 w 12192000"/>
            <a:gd name="connsiteY10123" fmla="*/ 3326507 h 6858000"/>
            <a:gd name="connsiteX10124" fmla="*/ 7561998 w 12192000"/>
            <a:gd name="connsiteY10124" fmla="*/ 3361326 h 6858000"/>
            <a:gd name="connsiteX10125" fmla="*/ 7986460 w 12192000"/>
            <a:gd name="connsiteY10125" fmla="*/ 3361326 h 6858000"/>
            <a:gd name="connsiteX10126" fmla="*/ 7951635 w 12192000"/>
            <a:gd name="connsiteY10126" fmla="*/ 3326507 h 6858000"/>
            <a:gd name="connsiteX10127" fmla="*/ 7986460 w 12192000"/>
            <a:gd name="connsiteY10127" fmla="*/ 3291688 h 6858000"/>
            <a:gd name="connsiteX10128" fmla="*/ 8021273 w 12192000"/>
            <a:gd name="connsiteY10128" fmla="*/ 3326507 h 6858000"/>
            <a:gd name="connsiteX10129" fmla="*/ 7986460 w 12192000"/>
            <a:gd name="connsiteY10129" fmla="*/ 3361326 h 6858000"/>
            <a:gd name="connsiteX10130" fmla="*/ 8071353 w 12192000"/>
            <a:gd name="connsiteY10130" fmla="*/ 3361326 h 6858000"/>
            <a:gd name="connsiteX10131" fmla="*/ 8036527 w 12192000"/>
            <a:gd name="connsiteY10131" fmla="*/ 3326507 h 6858000"/>
            <a:gd name="connsiteX10132" fmla="*/ 8071353 w 12192000"/>
            <a:gd name="connsiteY10132" fmla="*/ 3291688 h 6858000"/>
            <a:gd name="connsiteX10133" fmla="*/ 8106165 w 12192000"/>
            <a:gd name="connsiteY10133" fmla="*/ 3326507 h 6858000"/>
            <a:gd name="connsiteX10134" fmla="*/ 8071353 w 12192000"/>
            <a:gd name="connsiteY10134" fmla="*/ 3361326 h 6858000"/>
            <a:gd name="connsiteX10135" fmla="*/ 8156246 w 12192000"/>
            <a:gd name="connsiteY10135" fmla="*/ 3361326 h 6858000"/>
            <a:gd name="connsiteX10136" fmla="*/ 8121420 w 12192000"/>
            <a:gd name="connsiteY10136" fmla="*/ 3326507 h 6858000"/>
            <a:gd name="connsiteX10137" fmla="*/ 8156246 w 12192000"/>
            <a:gd name="connsiteY10137" fmla="*/ 3291688 h 6858000"/>
            <a:gd name="connsiteX10138" fmla="*/ 8191058 w 12192000"/>
            <a:gd name="connsiteY10138" fmla="*/ 3326507 h 6858000"/>
            <a:gd name="connsiteX10139" fmla="*/ 8156246 w 12192000"/>
            <a:gd name="connsiteY10139" fmla="*/ 3361326 h 6858000"/>
            <a:gd name="connsiteX10140" fmla="*/ 8241138 w 12192000"/>
            <a:gd name="connsiteY10140" fmla="*/ 3361326 h 6858000"/>
            <a:gd name="connsiteX10141" fmla="*/ 8206313 w 12192000"/>
            <a:gd name="connsiteY10141" fmla="*/ 3326507 h 6858000"/>
            <a:gd name="connsiteX10142" fmla="*/ 8241138 w 12192000"/>
            <a:gd name="connsiteY10142" fmla="*/ 3291688 h 6858000"/>
            <a:gd name="connsiteX10143" fmla="*/ 8275950 w 12192000"/>
            <a:gd name="connsiteY10143" fmla="*/ 3326507 h 6858000"/>
            <a:gd name="connsiteX10144" fmla="*/ 8241138 w 12192000"/>
            <a:gd name="connsiteY10144" fmla="*/ 3361326 h 6858000"/>
            <a:gd name="connsiteX10145" fmla="*/ 8326030 w 12192000"/>
            <a:gd name="connsiteY10145" fmla="*/ 3361326 h 6858000"/>
            <a:gd name="connsiteX10146" fmla="*/ 8291205 w 12192000"/>
            <a:gd name="connsiteY10146" fmla="*/ 3326507 h 6858000"/>
            <a:gd name="connsiteX10147" fmla="*/ 8326030 w 12192000"/>
            <a:gd name="connsiteY10147" fmla="*/ 3291688 h 6858000"/>
            <a:gd name="connsiteX10148" fmla="*/ 8360843 w 12192000"/>
            <a:gd name="connsiteY10148" fmla="*/ 3326507 h 6858000"/>
            <a:gd name="connsiteX10149" fmla="*/ 8326030 w 12192000"/>
            <a:gd name="connsiteY10149" fmla="*/ 3361326 h 6858000"/>
            <a:gd name="connsiteX10150" fmla="*/ 8410923 w 12192000"/>
            <a:gd name="connsiteY10150" fmla="*/ 3361326 h 6858000"/>
            <a:gd name="connsiteX10151" fmla="*/ 8376097 w 12192000"/>
            <a:gd name="connsiteY10151" fmla="*/ 3326507 h 6858000"/>
            <a:gd name="connsiteX10152" fmla="*/ 8410923 w 12192000"/>
            <a:gd name="connsiteY10152" fmla="*/ 3291688 h 6858000"/>
            <a:gd name="connsiteX10153" fmla="*/ 8445735 w 12192000"/>
            <a:gd name="connsiteY10153" fmla="*/ 3326507 h 6858000"/>
            <a:gd name="connsiteX10154" fmla="*/ 8410923 w 12192000"/>
            <a:gd name="connsiteY10154" fmla="*/ 3361326 h 6858000"/>
            <a:gd name="connsiteX10155" fmla="*/ 8495816 w 12192000"/>
            <a:gd name="connsiteY10155" fmla="*/ 3361326 h 6858000"/>
            <a:gd name="connsiteX10156" fmla="*/ 8460990 w 12192000"/>
            <a:gd name="connsiteY10156" fmla="*/ 3326507 h 6858000"/>
            <a:gd name="connsiteX10157" fmla="*/ 8495816 w 12192000"/>
            <a:gd name="connsiteY10157" fmla="*/ 3291688 h 6858000"/>
            <a:gd name="connsiteX10158" fmla="*/ 8530628 w 12192000"/>
            <a:gd name="connsiteY10158" fmla="*/ 3326507 h 6858000"/>
            <a:gd name="connsiteX10159" fmla="*/ 8495816 w 12192000"/>
            <a:gd name="connsiteY10159" fmla="*/ 3361326 h 6858000"/>
            <a:gd name="connsiteX10160" fmla="*/ 8580708 w 12192000"/>
            <a:gd name="connsiteY10160" fmla="*/ 3361326 h 6858000"/>
            <a:gd name="connsiteX10161" fmla="*/ 8545883 w 12192000"/>
            <a:gd name="connsiteY10161" fmla="*/ 3326507 h 6858000"/>
            <a:gd name="connsiteX10162" fmla="*/ 8580708 w 12192000"/>
            <a:gd name="connsiteY10162" fmla="*/ 3291688 h 6858000"/>
            <a:gd name="connsiteX10163" fmla="*/ 8615520 w 12192000"/>
            <a:gd name="connsiteY10163" fmla="*/ 3326507 h 6858000"/>
            <a:gd name="connsiteX10164" fmla="*/ 8580708 w 12192000"/>
            <a:gd name="connsiteY10164" fmla="*/ 3361326 h 6858000"/>
            <a:gd name="connsiteX10165" fmla="*/ 8665600 w 12192000"/>
            <a:gd name="connsiteY10165" fmla="*/ 3361326 h 6858000"/>
            <a:gd name="connsiteX10166" fmla="*/ 8630775 w 12192000"/>
            <a:gd name="connsiteY10166" fmla="*/ 3326507 h 6858000"/>
            <a:gd name="connsiteX10167" fmla="*/ 8665600 w 12192000"/>
            <a:gd name="connsiteY10167" fmla="*/ 3291688 h 6858000"/>
            <a:gd name="connsiteX10168" fmla="*/ 8700413 w 12192000"/>
            <a:gd name="connsiteY10168" fmla="*/ 3326507 h 6858000"/>
            <a:gd name="connsiteX10169" fmla="*/ 8665600 w 12192000"/>
            <a:gd name="connsiteY10169" fmla="*/ 3361326 h 6858000"/>
            <a:gd name="connsiteX10170" fmla="*/ 8750493 w 12192000"/>
            <a:gd name="connsiteY10170" fmla="*/ 3361326 h 6858000"/>
            <a:gd name="connsiteX10171" fmla="*/ 8715667 w 12192000"/>
            <a:gd name="connsiteY10171" fmla="*/ 3326507 h 6858000"/>
            <a:gd name="connsiteX10172" fmla="*/ 8750493 w 12192000"/>
            <a:gd name="connsiteY10172" fmla="*/ 3291688 h 6858000"/>
            <a:gd name="connsiteX10173" fmla="*/ 8785305 w 12192000"/>
            <a:gd name="connsiteY10173" fmla="*/ 3326507 h 6858000"/>
            <a:gd name="connsiteX10174" fmla="*/ 8750493 w 12192000"/>
            <a:gd name="connsiteY10174" fmla="*/ 3361326 h 6858000"/>
            <a:gd name="connsiteX10175" fmla="*/ 8835386 w 12192000"/>
            <a:gd name="connsiteY10175" fmla="*/ 3361326 h 6858000"/>
            <a:gd name="connsiteX10176" fmla="*/ 8800560 w 12192000"/>
            <a:gd name="connsiteY10176" fmla="*/ 3326507 h 6858000"/>
            <a:gd name="connsiteX10177" fmla="*/ 8835386 w 12192000"/>
            <a:gd name="connsiteY10177" fmla="*/ 3291688 h 6858000"/>
            <a:gd name="connsiteX10178" fmla="*/ 8870198 w 12192000"/>
            <a:gd name="connsiteY10178" fmla="*/ 3326507 h 6858000"/>
            <a:gd name="connsiteX10179" fmla="*/ 8835386 w 12192000"/>
            <a:gd name="connsiteY10179" fmla="*/ 3361326 h 6858000"/>
            <a:gd name="connsiteX10180" fmla="*/ 8920278 w 12192000"/>
            <a:gd name="connsiteY10180" fmla="*/ 3361326 h 6858000"/>
            <a:gd name="connsiteX10181" fmla="*/ 8885453 w 12192000"/>
            <a:gd name="connsiteY10181" fmla="*/ 3326507 h 6858000"/>
            <a:gd name="connsiteX10182" fmla="*/ 8920278 w 12192000"/>
            <a:gd name="connsiteY10182" fmla="*/ 3291688 h 6858000"/>
            <a:gd name="connsiteX10183" fmla="*/ 8955090 w 12192000"/>
            <a:gd name="connsiteY10183" fmla="*/ 3326507 h 6858000"/>
            <a:gd name="connsiteX10184" fmla="*/ 8920278 w 12192000"/>
            <a:gd name="connsiteY10184" fmla="*/ 3361326 h 6858000"/>
            <a:gd name="connsiteX10185" fmla="*/ 9005170 w 12192000"/>
            <a:gd name="connsiteY10185" fmla="*/ 3361326 h 6858000"/>
            <a:gd name="connsiteX10186" fmla="*/ 8970345 w 12192000"/>
            <a:gd name="connsiteY10186" fmla="*/ 3326507 h 6858000"/>
            <a:gd name="connsiteX10187" fmla="*/ 9005170 w 12192000"/>
            <a:gd name="connsiteY10187" fmla="*/ 3291688 h 6858000"/>
            <a:gd name="connsiteX10188" fmla="*/ 9039983 w 12192000"/>
            <a:gd name="connsiteY10188" fmla="*/ 3326507 h 6858000"/>
            <a:gd name="connsiteX10189" fmla="*/ 9005170 w 12192000"/>
            <a:gd name="connsiteY10189" fmla="*/ 3361326 h 6858000"/>
            <a:gd name="connsiteX10190" fmla="*/ 9090063 w 12192000"/>
            <a:gd name="connsiteY10190" fmla="*/ 3361326 h 6858000"/>
            <a:gd name="connsiteX10191" fmla="*/ 9055237 w 12192000"/>
            <a:gd name="connsiteY10191" fmla="*/ 3326507 h 6858000"/>
            <a:gd name="connsiteX10192" fmla="*/ 9090063 w 12192000"/>
            <a:gd name="connsiteY10192" fmla="*/ 3291688 h 6858000"/>
            <a:gd name="connsiteX10193" fmla="*/ 9124875 w 12192000"/>
            <a:gd name="connsiteY10193" fmla="*/ 3326507 h 6858000"/>
            <a:gd name="connsiteX10194" fmla="*/ 9090063 w 12192000"/>
            <a:gd name="connsiteY10194" fmla="*/ 3361326 h 6858000"/>
            <a:gd name="connsiteX10195" fmla="*/ 9174956 w 12192000"/>
            <a:gd name="connsiteY10195" fmla="*/ 3361326 h 6858000"/>
            <a:gd name="connsiteX10196" fmla="*/ 9140130 w 12192000"/>
            <a:gd name="connsiteY10196" fmla="*/ 3326507 h 6858000"/>
            <a:gd name="connsiteX10197" fmla="*/ 9174956 w 12192000"/>
            <a:gd name="connsiteY10197" fmla="*/ 3291688 h 6858000"/>
            <a:gd name="connsiteX10198" fmla="*/ 9209768 w 12192000"/>
            <a:gd name="connsiteY10198" fmla="*/ 3326507 h 6858000"/>
            <a:gd name="connsiteX10199" fmla="*/ 9174956 w 12192000"/>
            <a:gd name="connsiteY10199" fmla="*/ 3361326 h 6858000"/>
            <a:gd name="connsiteX10200" fmla="*/ 9259848 w 12192000"/>
            <a:gd name="connsiteY10200" fmla="*/ 3361326 h 6858000"/>
            <a:gd name="connsiteX10201" fmla="*/ 9225023 w 12192000"/>
            <a:gd name="connsiteY10201" fmla="*/ 3326507 h 6858000"/>
            <a:gd name="connsiteX10202" fmla="*/ 9259848 w 12192000"/>
            <a:gd name="connsiteY10202" fmla="*/ 3291688 h 6858000"/>
            <a:gd name="connsiteX10203" fmla="*/ 9294660 w 12192000"/>
            <a:gd name="connsiteY10203" fmla="*/ 3326507 h 6858000"/>
            <a:gd name="connsiteX10204" fmla="*/ 9259848 w 12192000"/>
            <a:gd name="connsiteY10204" fmla="*/ 3361326 h 6858000"/>
            <a:gd name="connsiteX10205" fmla="*/ 9344740 w 12192000"/>
            <a:gd name="connsiteY10205" fmla="*/ 3361326 h 6858000"/>
            <a:gd name="connsiteX10206" fmla="*/ 9309915 w 12192000"/>
            <a:gd name="connsiteY10206" fmla="*/ 3326507 h 6858000"/>
            <a:gd name="connsiteX10207" fmla="*/ 9344740 w 12192000"/>
            <a:gd name="connsiteY10207" fmla="*/ 3291688 h 6858000"/>
            <a:gd name="connsiteX10208" fmla="*/ 9379553 w 12192000"/>
            <a:gd name="connsiteY10208" fmla="*/ 3326507 h 6858000"/>
            <a:gd name="connsiteX10209" fmla="*/ 9344740 w 12192000"/>
            <a:gd name="connsiteY10209" fmla="*/ 3361326 h 6858000"/>
            <a:gd name="connsiteX10210" fmla="*/ 9429633 w 12192000"/>
            <a:gd name="connsiteY10210" fmla="*/ 3361326 h 6858000"/>
            <a:gd name="connsiteX10211" fmla="*/ 9394807 w 12192000"/>
            <a:gd name="connsiteY10211" fmla="*/ 3326507 h 6858000"/>
            <a:gd name="connsiteX10212" fmla="*/ 9429633 w 12192000"/>
            <a:gd name="connsiteY10212" fmla="*/ 3291688 h 6858000"/>
            <a:gd name="connsiteX10213" fmla="*/ 9464445 w 12192000"/>
            <a:gd name="connsiteY10213" fmla="*/ 3326507 h 6858000"/>
            <a:gd name="connsiteX10214" fmla="*/ 9429633 w 12192000"/>
            <a:gd name="connsiteY10214" fmla="*/ 3361326 h 6858000"/>
            <a:gd name="connsiteX10215" fmla="*/ 9599418 w 12192000"/>
            <a:gd name="connsiteY10215" fmla="*/ 3361326 h 6858000"/>
            <a:gd name="connsiteX10216" fmla="*/ 9564593 w 12192000"/>
            <a:gd name="connsiteY10216" fmla="*/ 3326507 h 6858000"/>
            <a:gd name="connsiteX10217" fmla="*/ 9599418 w 12192000"/>
            <a:gd name="connsiteY10217" fmla="*/ 3291688 h 6858000"/>
            <a:gd name="connsiteX10218" fmla="*/ 9634230 w 12192000"/>
            <a:gd name="connsiteY10218" fmla="*/ 3326507 h 6858000"/>
            <a:gd name="connsiteX10219" fmla="*/ 9599418 w 12192000"/>
            <a:gd name="connsiteY10219" fmla="*/ 3361326 h 6858000"/>
            <a:gd name="connsiteX10220" fmla="*/ 1025273 w 12192000"/>
            <a:gd name="connsiteY10220" fmla="*/ 3276466 h 6858000"/>
            <a:gd name="connsiteX10221" fmla="*/ 990454 w 12192000"/>
            <a:gd name="connsiteY10221" fmla="*/ 3241647 h 6858000"/>
            <a:gd name="connsiteX10222" fmla="*/ 1025273 w 12192000"/>
            <a:gd name="connsiteY10222" fmla="*/ 3206829 h 6858000"/>
            <a:gd name="connsiteX10223" fmla="*/ 1060092 w 12192000"/>
            <a:gd name="connsiteY10223" fmla="*/ 3241647 h 6858000"/>
            <a:gd name="connsiteX10224" fmla="*/ 1025273 w 12192000"/>
            <a:gd name="connsiteY10224" fmla="*/ 3276466 h 6858000"/>
            <a:gd name="connsiteX10225" fmla="*/ 2638231 w 12192000"/>
            <a:gd name="connsiteY10225" fmla="*/ 3276466 h 6858000"/>
            <a:gd name="connsiteX10226" fmla="*/ 2603412 w 12192000"/>
            <a:gd name="connsiteY10226" fmla="*/ 3241647 h 6858000"/>
            <a:gd name="connsiteX10227" fmla="*/ 2638231 w 12192000"/>
            <a:gd name="connsiteY10227" fmla="*/ 3206829 h 6858000"/>
            <a:gd name="connsiteX10228" fmla="*/ 2673050 w 12192000"/>
            <a:gd name="connsiteY10228" fmla="*/ 3241647 h 6858000"/>
            <a:gd name="connsiteX10229" fmla="*/ 2638231 w 12192000"/>
            <a:gd name="connsiteY10229" fmla="*/ 3276466 h 6858000"/>
            <a:gd name="connsiteX10230" fmla="*/ 2723123 w 12192000"/>
            <a:gd name="connsiteY10230" fmla="*/ 3276466 h 6858000"/>
            <a:gd name="connsiteX10231" fmla="*/ 2688304 w 12192000"/>
            <a:gd name="connsiteY10231" fmla="*/ 3241647 h 6858000"/>
            <a:gd name="connsiteX10232" fmla="*/ 2723123 w 12192000"/>
            <a:gd name="connsiteY10232" fmla="*/ 3206829 h 6858000"/>
            <a:gd name="connsiteX10233" fmla="*/ 2757942 w 12192000"/>
            <a:gd name="connsiteY10233" fmla="*/ 3241647 h 6858000"/>
            <a:gd name="connsiteX10234" fmla="*/ 2723123 w 12192000"/>
            <a:gd name="connsiteY10234" fmla="*/ 3276466 h 6858000"/>
            <a:gd name="connsiteX10235" fmla="*/ 2808016 w 12192000"/>
            <a:gd name="connsiteY10235" fmla="*/ 3276466 h 6858000"/>
            <a:gd name="connsiteX10236" fmla="*/ 2773197 w 12192000"/>
            <a:gd name="connsiteY10236" fmla="*/ 3241647 h 6858000"/>
            <a:gd name="connsiteX10237" fmla="*/ 2808016 w 12192000"/>
            <a:gd name="connsiteY10237" fmla="*/ 3206829 h 6858000"/>
            <a:gd name="connsiteX10238" fmla="*/ 2842834 w 12192000"/>
            <a:gd name="connsiteY10238" fmla="*/ 3241647 h 6858000"/>
            <a:gd name="connsiteX10239" fmla="*/ 2808016 w 12192000"/>
            <a:gd name="connsiteY10239" fmla="*/ 3276466 h 6858000"/>
            <a:gd name="connsiteX10240" fmla="*/ 3147586 w 12192000"/>
            <a:gd name="connsiteY10240" fmla="*/ 3276466 h 6858000"/>
            <a:gd name="connsiteX10241" fmla="*/ 3112767 w 12192000"/>
            <a:gd name="connsiteY10241" fmla="*/ 3241647 h 6858000"/>
            <a:gd name="connsiteX10242" fmla="*/ 3147586 w 12192000"/>
            <a:gd name="connsiteY10242" fmla="*/ 3206829 h 6858000"/>
            <a:gd name="connsiteX10243" fmla="*/ 3182404 w 12192000"/>
            <a:gd name="connsiteY10243" fmla="*/ 3241647 h 6858000"/>
            <a:gd name="connsiteX10244" fmla="*/ 3147586 w 12192000"/>
            <a:gd name="connsiteY10244" fmla="*/ 3276466 h 6858000"/>
            <a:gd name="connsiteX10245" fmla="*/ 3317371 w 12192000"/>
            <a:gd name="connsiteY10245" fmla="*/ 3276466 h 6858000"/>
            <a:gd name="connsiteX10246" fmla="*/ 3282552 w 12192000"/>
            <a:gd name="connsiteY10246" fmla="*/ 3241647 h 6858000"/>
            <a:gd name="connsiteX10247" fmla="*/ 3317371 w 12192000"/>
            <a:gd name="connsiteY10247" fmla="*/ 3206829 h 6858000"/>
            <a:gd name="connsiteX10248" fmla="*/ 3352190 w 12192000"/>
            <a:gd name="connsiteY10248" fmla="*/ 3241647 h 6858000"/>
            <a:gd name="connsiteX10249" fmla="*/ 3317371 w 12192000"/>
            <a:gd name="connsiteY10249" fmla="*/ 3276466 h 6858000"/>
            <a:gd name="connsiteX10250" fmla="*/ 3402263 w 12192000"/>
            <a:gd name="connsiteY10250" fmla="*/ 3276466 h 6858000"/>
            <a:gd name="connsiteX10251" fmla="*/ 3367444 w 12192000"/>
            <a:gd name="connsiteY10251" fmla="*/ 3241647 h 6858000"/>
            <a:gd name="connsiteX10252" fmla="*/ 3402263 w 12192000"/>
            <a:gd name="connsiteY10252" fmla="*/ 3206829 h 6858000"/>
            <a:gd name="connsiteX10253" fmla="*/ 3437082 w 12192000"/>
            <a:gd name="connsiteY10253" fmla="*/ 3241647 h 6858000"/>
            <a:gd name="connsiteX10254" fmla="*/ 3402263 w 12192000"/>
            <a:gd name="connsiteY10254" fmla="*/ 3276466 h 6858000"/>
            <a:gd name="connsiteX10255" fmla="*/ 3487156 w 12192000"/>
            <a:gd name="connsiteY10255" fmla="*/ 3276466 h 6858000"/>
            <a:gd name="connsiteX10256" fmla="*/ 3452337 w 12192000"/>
            <a:gd name="connsiteY10256" fmla="*/ 3241647 h 6858000"/>
            <a:gd name="connsiteX10257" fmla="*/ 3487156 w 12192000"/>
            <a:gd name="connsiteY10257" fmla="*/ 3206829 h 6858000"/>
            <a:gd name="connsiteX10258" fmla="*/ 3521974 w 12192000"/>
            <a:gd name="connsiteY10258" fmla="*/ 3241647 h 6858000"/>
            <a:gd name="connsiteX10259" fmla="*/ 3487156 w 12192000"/>
            <a:gd name="connsiteY10259" fmla="*/ 3276466 h 6858000"/>
            <a:gd name="connsiteX10260" fmla="*/ 5354794 w 12192000"/>
            <a:gd name="connsiteY10260" fmla="*/ 3276466 h 6858000"/>
            <a:gd name="connsiteX10261" fmla="*/ 5319968 w 12192000"/>
            <a:gd name="connsiteY10261" fmla="*/ 3241647 h 6858000"/>
            <a:gd name="connsiteX10262" fmla="*/ 5354794 w 12192000"/>
            <a:gd name="connsiteY10262" fmla="*/ 3206829 h 6858000"/>
            <a:gd name="connsiteX10263" fmla="*/ 5389606 w 12192000"/>
            <a:gd name="connsiteY10263" fmla="*/ 3241647 h 6858000"/>
            <a:gd name="connsiteX10264" fmla="*/ 5354794 w 12192000"/>
            <a:gd name="connsiteY10264" fmla="*/ 3276466 h 6858000"/>
            <a:gd name="connsiteX10265" fmla="*/ 5439686 w 12192000"/>
            <a:gd name="connsiteY10265" fmla="*/ 3276466 h 6858000"/>
            <a:gd name="connsiteX10266" fmla="*/ 5404860 w 12192000"/>
            <a:gd name="connsiteY10266" fmla="*/ 3241647 h 6858000"/>
            <a:gd name="connsiteX10267" fmla="*/ 5439686 w 12192000"/>
            <a:gd name="connsiteY10267" fmla="*/ 3206829 h 6858000"/>
            <a:gd name="connsiteX10268" fmla="*/ 5474498 w 12192000"/>
            <a:gd name="connsiteY10268" fmla="*/ 3241647 h 6858000"/>
            <a:gd name="connsiteX10269" fmla="*/ 5439686 w 12192000"/>
            <a:gd name="connsiteY10269" fmla="*/ 3276466 h 6858000"/>
            <a:gd name="connsiteX10270" fmla="*/ 5524578 w 12192000"/>
            <a:gd name="connsiteY10270" fmla="*/ 3276466 h 6858000"/>
            <a:gd name="connsiteX10271" fmla="*/ 5489753 w 12192000"/>
            <a:gd name="connsiteY10271" fmla="*/ 3241647 h 6858000"/>
            <a:gd name="connsiteX10272" fmla="*/ 5524578 w 12192000"/>
            <a:gd name="connsiteY10272" fmla="*/ 3206829 h 6858000"/>
            <a:gd name="connsiteX10273" fmla="*/ 5559390 w 12192000"/>
            <a:gd name="connsiteY10273" fmla="*/ 3241647 h 6858000"/>
            <a:gd name="connsiteX10274" fmla="*/ 5524578 w 12192000"/>
            <a:gd name="connsiteY10274" fmla="*/ 3276466 h 6858000"/>
            <a:gd name="connsiteX10275" fmla="*/ 5609471 w 12192000"/>
            <a:gd name="connsiteY10275" fmla="*/ 3276466 h 6858000"/>
            <a:gd name="connsiteX10276" fmla="*/ 5574646 w 12192000"/>
            <a:gd name="connsiteY10276" fmla="*/ 3241647 h 6858000"/>
            <a:gd name="connsiteX10277" fmla="*/ 5609471 w 12192000"/>
            <a:gd name="connsiteY10277" fmla="*/ 3206829 h 6858000"/>
            <a:gd name="connsiteX10278" fmla="*/ 5644284 w 12192000"/>
            <a:gd name="connsiteY10278" fmla="*/ 3241647 h 6858000"/>
            <a:gd name="connsiteX10279" fmla="*/ 5609471 w 12192000"/>
            <a:gd name="connsiteY10279" fmla="*/ 3276466 h 6858000"/>
            <a:gd name="connsiteX10280" fmla="*/ 5694364 w 12192000"/>
            <a:gd name="connsiteY10280" fmla="*/ 3276466 h 6858000"/>
            <a:gd name="connsiteX10281" fmla="*/ 5659538 w 12192000"/>
            <a:gd name="connsiteY10281" fmla="*/ 3241647 h 6858000"/>
            <a:gd name="connsiteX10282" fmla="*/ 5694364 w 12192000"/>
            <a:gd name="connsiteY10282" fmla="*/ 3206829 h 6858000"/>
            <a:gd name="connsiteX10283" fmla="*/ 5729176 w 12192000"/>
            <a:gd name="connsiteY10283" fmla="*/ 3241647 h 6858000"/>
            <a:gd name="connsiteX10284" fmla="*/ 5694364 w 12192000"/>
            <a:gd name="connsiteY10284" fmla="*/ 3276466 h 6858000"/>
            <a:gd name="connsiteX10285" fmla="*/ 5779256 w 12192000"/>
            <a:gd name="connsiteY10285" fmla="*/ 3276466 h 6858000"/>
            <a:gd name="connsiteX10286" fmla="*/ 5744430 w 12192000"/>
            <a:gd name="connsiteY10286" fmla="*/ 3241647 h 6858000"/>
            <a:gd name="connsiteX10287" fmla="*/ 5779256 w 12192000"/>
            <a:gd name="connsiteY10287" fmla="*/ 3206829 h 6858000"/>
            <a:gd name="connsiteX10288" fmla="*/ 5814068 w 12192000"/>
            <a:gd name="connsiteY10288" fmla="*/ 3241647 h 6858000"/>
            <a:gd name="connsiteX10289" fmla="*/ 5779256 w 12192000"/>
            <a:gd name="connsiteY10289" fmla="*/ 3276466 h 6858000"/>
            <a:gd name="connsiteX10290" fmla="*/ 5864148 w 12192000"/>
            <a:gd name="connsiteY10290" fmla="*/ 3276466 h 6858000"/>
            <a:gd name="connsiteX10291" fmla="*/ 5829323 w 12192000"/>
            <a:gd name="connsiteY10291" fmla="*/ 3241647 h 6858000"/>
            <a:gd name="connsiteX10292" fmla="*/ 5864148 w 12192000"/>
            <a:gd name="connsiteY10292" fmla="*/ 3206829 h 6858000"/>
            <a:gd name="connsiteX10293" fmla="*/ 5898960 w 12192000"/>
            <a:gd name="connsiteY10293" fmla="*/ 3241647 h 6858000"/>
            <a:gd name="connsiteX10294" fmla="*/ 5864148 w 12192000"/>
            <a:gd name="connsiteY10294" fmla="*/ 3276466 h 6858000"/>
            <a:gd name="connsiteX10295" fmla="*/ 5949041 w 12192000"/>
            <a:gd name="connsiteY10295" fmla="*/ 3276466 h 6858000"/>
            <a:gd name="connsiteX10296" fmla="*/ 5914216 w 12192000"/>
            <a:gd name="connsiteY10296" fmla="*/ 3241647 h 6858000"/>
            <a:gd name="connsiteX10297" fmla="*/ 5949041 w 12192000"/>
            <a:gd name="connsiteY10297" fmla="*/ 3206829 h 6858000"/>
            <a:gd name="connsiteX10298" fmla="*/ 5983854 w 12192000"/>
            <a:gd name="connsiteY10298" fmla="*/ 3241647 h 6858000"/>
            <a:gd name="connsiteX10299" fmla="*/ 5949041 w 12192000"/>
            <a:gd name="connsiteY10299" fmla="*/ 3276466 h 6858000"/>
            <a:gd name="connsiteX10300" fmla="*/ 6033934 w 12192000"/>
            <a:gd name="connsiteY10300" fmla="*/ 3276466 h 6858000"/>
            <a:gd name="connsiteX10301" fmla="*/ 5999108 w 12192000"/>
            <a:gd name="connsiteY10301" fmla="*/ 3241647 h 6858000"/>
            <a:gd name="connsiteX10302" fmla="*/ 6033934 w 12192000"/>
            <a:gd name="connsiteY10302" fmla="*/ 3206829 h 6858000"/>
            <a:gd name="connsiteX10303" fmla="*/ 6068746 w 12192000"/>
            <a:gd name="connsiteY10303" fmla="*/ 3241647 h 6858000"/>
            <a:gd name="connsiteX10304" fmla="*/ 6033934 w 12192000"/>
            <a:gd name="connsiteY10304" fmla="*/ 3276466 h 6858000"/>
            <a:gd name="connsiteX10305" fmla="*/ 6118826 w 12192000"/>
            <a:gd name="connsiteY10305" fmla="*/ 3276466 h 6858000"/>
            <a:gd name="connsiteX10306" fmla="*/ 6084000 w 12192000"/>
            <a:gd name="connsiteY10306" fmla="*/ 3241647 h 6858000"/>
            <a:gd name="connsiteX10307" fmla="*/ 6118826 w 12192000"/>
            <a:gd name="connsiteY10307" fmla="*/ 3206829 h 6858000"/>
            <a:gd name="connsiteX10308" fmla="*/ 6153638 w 12192000"/>
            <a:gd name="connsiteY10308" fmla="*/ 3241647 h 6858000"/>
            <a:gd name="connsiteX10309" fmla="*/ 6118826 w 12192000"/>
            <a:gd name="connsiteY10309" fmla="*/ 3276466 h 6858000"/>
            <a:gd name="connsiteX10310" fmla="*/ 6203718 w 12192000"/>
            <a:gd name="connsiteY10310" fmla="*/ 3276466 h 6858000"/>
            <a:gd name="connsiteX10311" fmla="*/ 6168893 w 12192000"/>
            <a:gd name="connsiteY10311" fmla="*/ 3241647 h 6858000"/>
            <a:gd name="connsiteX10312" fmla="*/ 6203718 w 12192000"/>
            <a:gd name="connsiteY10312" fmla="*/ 3206829 h 6858000"/>
            <a:gd name="connsiteX10313" fmla="*/ 6238530 w 12192000"/>
            <a:gd name="connsiteY10313" fmla="*/ 3241647 h 6858000"/>
            <a:gd name="connsiteX10314" fmla="*/ 6203718 w 12192000"/>
            <a:gd name="connsiteY10314" fmla="*/ 3276466 h 6858000"/>
            <a:gd name="connsiteX10315" fmla="*/ 6288611 w 12192000"/>
            <a:gd name="connsiteY10315" fmla="*/ 3276466 h 6858000"/>
            <a:gd name="connsiteX10316" fmla="*/ 6253786 w 12192000"/>
            <a:gd name="connsiteY10316" fmla="*/ 3241647 h 6858000"/>
            <a:gd name="connsiteX10317" fmla="*/ 6288611 w 12192000"/>
            <a:gd name="connsiteY10317" fmla="*/ 3206829 h 6858000"/>
            <a:gd name="connsiteX10318" fmla="*/ 6323424 w 12192000"/>
            <a:gd name="connsiteY10318" fmla="*/ 3241647 h 6858000"/>
            <a:gd name="connsiteX10319" fmla="*/ 6288611 w 12192000"/>
            <a:gd name="connsiteY10319" fmla="*/ 3276466 h 6858000"/>
            <a:gd name="connsiteX10320" fmla="*/ 6373504 w 12192000"/>
            <a:gd name="connsiteY10320" fmla="*/ 3276466 h 6858000"/>
            <a:gd name="connsiteX10321" fmla="*/ 6338678 w 12192000"/>
            <a:gd name="connsiteY10321" fmla="*/ 3241647 h 6858000"/>
            <a:gd name="connsiteX10322" fmla="*/ 6373504 w 12192000"/>
            <a:gd name="connsiteY10322" fmla="*/ 3206829 h 6858000"/>
            <a:gd name="connsiteX10323" fmla="*/ 6408316 w 12192000"/>
            <a:gd name="connsiteY10323" fmla="*/ 3241647 h 6858000"/>
            <a:gd name="connsiteX10324" fmla="*/ 6373504 w 12192000"/>
            <a:gd name="connsiteY10324" fmla="*/ 3276466 h 6858000"/>
            <a:gd name="connsiteX10325" fmla="*/ 6458396 w 12192000"/>
            <a:gd name="connsiteY10325" fmla="*/ 3276466 h 6858000"/>
            <a:gd name="connsiteX10326" fmla="*/ 6423570 w 12192000"/>
            <a:gd name="connsiteY10326" fmla="*/ 3241647 h 6858000"/>
            <a:gd name="connsiteX10327" fmla="*/ 6458396 w 12192000"/>
            <a:gd name="connsiteY10327" fmla="*/ 3206829 h 6858000"/>
            <a:gd name="connsiteX10328" fmla="*/ 6493208 w 12192000"/>
            <a:gd name="connsiteY10328" fmla="*/ 3241647 h 6858000"/>
            <a:gd name="connsiteX10329" fmla="*/ 6458396 w 12192000"/>
            <a:gd name="connsiteY10329" fmla="*/ 3276466 h 6858000"/>
            <a:gd name="connsiteX10330" fmla="*/ 6543288 w 12192000"/>
            <a:gd name="connsiteY10330" fmla="*/ 3276466 h 6858000"/>
            <a:gd name="connsiteX10331" fmla="*/ 6508463 w 12192000"/>
            <a:gd name="connsiteY10331" fmla="*/ 3241647 h 6858000"/>
            <a:gd name="connsiteX10332" fmla="*/ 6543288 w 12192000"/>
            <a:gd name="connsiteY10332" fmla="*/ 3206829 h 6858000"/>
            <a:gd name="connsiteX10333" fmla="*/ 6578100 w 12192000"/>
            <a:gd name="connsiteY10333" fmla="*/ 3241647 h 6858000"/>
            <a:gd name="connsiteX10334" fmla="*/ 6543288 w 12192000"/>
            <a:gd name="connsiteY10334" fmla="*/ 3276466 h 6858000"/>
            <a:gd name="connsiteX10335" fmla="*/ 6628181 w 12192000"/>
            <a:gd name="connsiteY10335" fmla="*/ 3276466 h 6858000"/>
            <a:gd name="connsiteX10336" fmla="*/ 6593356 w 12192000"/>
            <a:gd name="connsiteY10336" fmla="*/ 3241647 h 6858000"/>
            <a:gd name="connsiteX10337" fmla="*/ 6628181 w 12192000"/>
            <a:gd name="connsiteY10337" fmla="*/ 3206829 h 6858000"/>
            <a:gd name="connsiteX10338" fmla="*/ 6662994 w 12192000"/>
            <a:gd name="connsiteY10338" fmla="*/ 3241647 h 6858000"/>
            <a:gd name="connsiteX10339" fmla="*/ 6628181 w 12192000"/>
            <a:gd name="connsiteY10339" fmla="*/ 3276466 h 6858000"/>
            <a:gd name="connsiteX10340" fmla="*/ 6713074 w 12192000"/>
            <a:gd name="connsiteY10340" fmla="*/ 3276466 h 6858000"/>
            <a:gd name="connsiteX10341" fmla="*/ 6678248 w 12192000"/>
            <a:gd name="connsiteY10341" fmla="*/ 3241647 h 6858000"/>
            <a:gd name="connsiteX10342" fmla="*/ 6713074 w 12192000"/>
            <a:gd name="connsiteY10342" fmla="*/ 3206829 h 6858000"/>
            <a:gd name="connsiteX10343" fmla="*/ 6747886 w 12192000"/>
            <a:gd name="connsiteY10343" fmla="*/ 3241647 h 6858000"/>
            <a:gd name="connsiteX10344" fmla="*/ 6713074 w 12192000"/>
            <a:gd name="connsiteY10344" fmla="*/ 3276466 h 6858000"/>
            <a:gd name="connsiteX10345" fmla="*/ 6797966 w 12192000"/>
            <a:gd name="connsiteY10345" fmla="*/ 3276466 h 6858000"/>
            <a:gd name="connsiteX10346" fmla="*/ 6763140 w 12192000"/>
            <a:gd name="connsiteY10346" fmla="*/ 3241647 h 6858000"/>
            <a:gd name="connsiteX10347" fmla="*/ 6797966 w 12192000"/>
            <a:gd name="connsiteY10347" fmla="*/ 3206829 h 6858000"/>
            <a:gd name="connsiteX10348" fmla="*/ 6832778 w 12192000"/>
            <a:gd name="connsiteY10348" fmla="*/ 3241647 h 6858000"/>
            <a:gd name="connsiteX10349" fmla="*/ 6797966 w 12192000"/>
            <a:gd name="connsiteY10349" fmla="*/ 3276466 h 6858000"/>
            <a:gd name="connsiteX10350" fmla="*/ 6882858 w 12192000"/>
            <a:gd name="connsiteY10350" fmla="*/ 3276466 h 6858000"/>
            <a:gd name="connsiteX10351" fmla="*/ 6848033 w 12192000"/>
            <a:gd name="connsiteY10351" fmla="*/ 3241647 h 6858000"/>
            <a:gd name="connsiteX10352" fmla="*/ 6882858 w 12192000"/>
            <a:gd name="connsiteY10352" fmla="*/ 3206829 h 6858000"/>
            <a:gd name="connsiteX10353" fmla="*/ 6917670 w 12192000"/>
            <a:gd name="connsiteY10353" fmla="*/ 3241647 h 6858000"/>
            <a:gd name="connsiteX10354" fmla="*/ 6882858 w 12192000"/>
            <a:gd name="connsiteY10354" fmla="*/ 3276466 h 6858000"/>
            <a:gd name="connsiteX10355" fmla="*/ 6967750 w 12192000"/>
            <a:gd name="connsiteY10355" fmla="*/ 3276466 h 6858000"/>
            <a:gd name="connsiteX10356" fmla="*/ 6932925 w 12192000"/>
            <a:gd name="connsiteY10356" fmla="*/ 3241647 h 6858000"/>
            <a:gd name="connsiteX10357" fmla="*/ 6967750 w 12192000"/>
            <a:gd name="connsiteY10357" fmla="*/ 3206829 h 6858000"/>
            <a:gd name="connsiteX10358" fmla="*/ 7002563 w 12192000"/>
            <a:gd name="connsiteY10358" fmla="*/ 3241647 h 6858000"/>
            <a:gd name="connsiteX10359" fmla="*/ 6967750 w 12192000"/>
            <a:gd name="connsiteY10359" fmla="*/ 3276466 h 6858000"/>
            <a:gd name="connsiteX10360" fmla="*/ 7137536 w 12192000"/>
            <a:gd name="connsiteY10360" fmla="*/ 3276466 h 6858000"/>
            <a:gd name="connsiteX10361" fmla="*/ 7102710 w 12192000"/>
            <a:gd name="connsiteY10361" fmla="*/ 3241647 h 6858000"/>
            <a:gd name="connsiteX10362" fmla="*/ 7137536 w 12192000"/>
            <a:gd name="connsiteY10362" fmla="*/ 3206829 h 6858000"/>
            <a:gd name="connsiteX10363" fmla="*/ 7172348 w 12192000"/>
            <a:gd name="connsiteY10363" fmla="*/ 3241647 h 6858000"/>
            <a:gd name="connsiteX10364" fmla="*/ 7137536 w 12192000"/>
            <a:gd name="connsiteY10364" fmla="*/ 3276466 h 6858000"/>
            <a:gd name="connsiteX10365" fmla="*/ 7222428 w 12192000"/>
            <a:gd name="connsiteY10365" fmla="*/ 3276466 h 6858000"/>
            <a:gd name="connsiteX10366" fmla="*/ 7187603 w 12192000"/>
            <a:gd name="connsiteY10366" fmla="*/ 3241647 h 6858000"/>
            <a:gd name="connsiteX10367" fmla="*/ 7222428 w 12192000"/>
            <a:gd name="connsiteY10367" fmla="*/ 3206829 h 6858000"/>
            <a:gd name="connsiteX10368" fmla="*/ 7257240 w 12192000"/>
            <a:gd name="connsiteY10368" fmla="*/ 3241647 h 6858000"/>
            <a:gd name="connsiteX10369" fmla="*/ 7222428 w 12192000"/>
            <a:gd name="connsiteY10369" fmla="*/ 3276466 h 6858000"/>
            <a:gd name="connsiteX10370" fmla="*/ 7307320 w 12192000"/>
            <a:gd name="connsiteY10370" fmla="*/ 3276466 h 6858000"/>
            <a:gd name="connsiteX10371" fmla="*/ 7272495 w 12192000"/>
            <a:gd name="connsiteY10371" fmla="*/ 3241647 h 6858000"/>
            <a:gd name="connsiteX10372" fmla="*/ 7307320 w 12192000"/>
            <a:gd name="connsiteY10372" fmla="*/ 3206829 h 6858000"/>
            <a:gd name="connsiteX10373" fmla="*/ 7342133 w 12192000"/>
            <a:gd name="connsiteY10373" fmla="*/ 3241647 h 6858000"/>
            <a:gd name="connsiteX10374" fmla="*/ 7307320 w 12192000"/>
            <a:gd name="connsiteY10374" fmla="*/ 3276466 h 6858000"/>
            <a:gd name="connsiteX10375" fmla="*/ 7392214 w 12192000"/>
            <a:gd name="connsiteY10375" fmla="*/ 3276466 h 6858000"/>
            <a:gd name="connsiteX10376" fmla="*/ 7357388 w 12192000"/>
            <a:gd name="connsiteY10376" fmla="*/ 3241647 h 6858000"/>
            <a:gd name="connsiteX10377" fmla="*/ 7392214 w 12192000"/>
            <a:gd name="connsiteY10377" fmla="*/ 3206829 h 6858000"/>
            <a:gd name="connsiteX10378" fmla="*/ 7427026 w 12192000"/>
            <a:gd name="connsiteY10378" fmla="*/ 3241647 h 6858000"/>
            <a:gd name="connsiteX10379" fmla="*/ 7392214 w 12192000"/>
            <a:gd name="connsiteY10379" fmla="*/ 3276466 h 6858000"/>
            <a:gd name="connsiteX10380" fmla="*/ 7477106 w 12192000"/>
            <a:gd name="connsiteY10380" fmla="*/ 3276466 h 6858000"/>
            <a:gd name="connsiteX10381" fmla="*/ 7442280 w 12192000"/>
            <a:gd name="connsiteY10381" fmla="*/ 3241647 h 6858000"/>
            <a:gd name="connsiteX10382" fmla="*/ 7477106 w 12192000"/>
            <a:gd name="connsiteY10382" fmla="*/ 3206829 h 6858000"/>
            <a:gd name="connsiteX10383" fmla="*/ 7511918 w 12192000"/>
            <a:gd name="connsiteY10383" fmla="*/ 3241647 h 6858000"/>
            <a:gd name="connsiteX10384" fmla="*/ 7477106 w 12192000"/>
            <a:gd name="connsiteY10384" fmla="*/ 3276466 h 6858000"/>
            <a:gd name="connsiteX10385" fmla="*/ 7561998 w 12192000"/>
            <a:gd name="connsiteY10385" fmla="*/ 3276466 h 6858000"/>
            <a:gd name="connsiteX10386" fmla="*/ 7527173 w 12192000"/>
            <a:gd name="connsiteY10386" fmla="*/ 3241647 h 6858000"/>
            <a:gd name="connsiteX10387" fmla="*/ 7561998 w 12192000"/>
            <a:gd name="connsiteY10387" fmla="*/ 3206829 h 6858000"/>
            <a:gd name="connsiteX10388" fmla="*/ 7596810 w 12192000"/>
            <a:gd name="connsiteY10388" fmla="*/ 3241647 h 6858000"/>
            <a:gd name="connsiteX10389" fmla="*/ 7561998 w 12192000"/>
            <a:gd name="connsiteY10389" fmla="*/ 3276466 h 6858000"/>
            <a:gd name="connsiteX10390" fmla="*/ 7646890 w 12192000"/>
            <a:gd name="connsiteY10390" fmla="*/ 3276466 h 6858000"/>
            <a:gd name="connsiteX10391" fmla="*/ 7612065 w 12192000"/>
            <a:gd name="connsiteY10391" fmla="*/ 3241647 h 6858000"/>
            <a:gd name="connsiteX10392" fmla="*/ 7646890 w 12192000"/>
            <a:gd name="connsiteY10392" fmla="*/ 3206829 h 6858000"/>
            <a:gd name="connsiteX10393" fmla="*/ 7681703 w 12192000"/>
            <a:gd name="connsiteY10393" fmla="*/ 3241647 h 6858000"/>
            <a:gd name="connsiteX10394" fmla="*/ 7646890 w 12192000"/>
            <a:gd name="connsiteY10394" fmla="*/ 3276466 h 6858000"/>
            <a:gd name="connsiteX10395" fmla="*/ 8071353 w 12192000"/>
            <a:gd name="connsiteY10395" fmla="*/ 3276466 h 6858000"/>
            <a:gd name="connsiteX10396" fmla="*/ 8036527 w 12192000"/>
            <a:gd name="connsiteY10396" fmla="*/ 3241647 h 6858000"/>
            <a:gd name="connsiteX10397" fmla="*/ 8071353 w 12192000"/>
            <a:gd name="connsiteY10397" fmla="*/ 3206829 h 6858000"/>
            <a:gd name="connsiteX10398" fmla="*/ 8106165 w 12192000"/>
            <a:gd name="connsiteY10398" fmla="*/ 3241647 h 6858000"/>
            <a:gd name="connsiteX10399" fmla="*/ 8071353 w 12192000"/>
            <a:gd name="connsiteY10399" fmla="*/ 3276466 h 6858000"/>
            <a:gd name="connsiteX10400" fmla="*/ 8156246 w 12192000"/>
            <a:gd name="connsiteY10400" fmla="*/ 3276466 h 6858000"/>
            <a:gd name="connsiteX10401" fmla="*/ 8121420 w 12192000"/>
            <a:gd name="connsiteY10401" fmla="*/ 3241647 h 6858000"/>
            <a:gd name="connsiteX10402" fmla="*/ 8156246 w 12192000"/>
            <a:gd name="connsiteY10402" fmla="*/ 3206829 h 6858000"/>
            <a:gd name="connsiteX10403" fmla="*/ 8191058 w 12192000"/>
            <a:gd name="connsiteY10403" fmla="*/ 3241647 h 6858000"/>
            <a:gd name="connsiteX10404" fmla="*/ 8156246 w 12192000"/>
            <a:gd name="connsiteY10404" fmla="*/ 3276466 h 6858000"/>
            <a:gd name="connsiteX10405" fmla="*/ 8241138 w 12192000"/>
            <a:gd name="connsiteY10405" fmla="*/ 3276466 h 6858000"/>
            <a:gd name="connsiteX10406" fmla="*/ 8206313 w 12192000"/>
            <a:gd name="connsiteY10406" fmla="*/ 3241647 h 6858000"/>
            <a:gd name="connsiteX10407" fmla="*/ 8241138 w 12192000"/>
            <a:gd name="connsiteY10407" fmla="*/ 3206829 h 6858000"/>
            <a:gd name="connsiteX10408" fmla="*/ 8275950 w 12192000"/>
            <a:gd name="connsiteY10408" fmla="*/ 3241647 h 6858000"/>
            <a:gd name="connsiteX10409" fmla="*/ 8241138 w 12192000"/>
            <a:gd name="connsiteY10409" fmla="*/ 3276466 h 6858000"/>
            <a:gd name="connsiteX10410" fmla="*/ 8326030 w 12192000"/>
            <a:gd name="connsiteY10410" fmla="*/ 3276466 h 6858000"/>
            <a:gd name="connsiteX10411" fmla="*/ 8291205 w 12192000"/>
            <a:gd name="connsiteY10411" fmla="*/ 3241647 h 6858000"/>
            <a:gd name="connsiteX10412" fmla="*/ 8326030 w 12192000"/>
            <a:gd name="connsiteY10412" fmla="*/ 3206829 h 6858000"/>
            <a:gd name="connsiteX10413" fmla="*/ 8360843 w 12192000"/>
            <a:gd name="connsiteY10413" fmla="*/ 3241647 h 6858000"/>
            <a:gd name="connsiteX10414" fmla="*/ 8326030 w 12192000"/>
            <a:gd name="connsiteY10414" fmla="*/ 3276466 h 6858000"/>
            <a:gd name="connsiteX10415" fmla="*/ 8410923 w 12192000"/>
            <a:gd name="connsiteY10415" fmla="*/ 3276466 h 6858000"/>
            <a:gd name="connsiteX10416" fmla="*/ 8376097 w 12192000"/>
            <a:gd name="connsiteY10416" fmla="*/ 3241647 h 6858000"/>
            <a:gd name="connsiteX10417" fmla="*/ 8410923 w 12192000"/>
            <a:gd name="connsiteY10417" fmla="*/ 3206829 h 6858000"/>
            <a:gd name="connsiteX10418" fmla="*/ 8445735 w 12192000"/>
            <a:gd name="connsiteY10418" fmla="*/ 3241647 h 6858000"/>
            <a:gd name="connsiteX10419" fmla="*/ 8410923 w 12192000"/>
            <a:gd name="connsiteY10419" fmla="*/ 3276466 h 6858000"/>
            <a:gd name="connsiteX10420" fmla="*/ 8495816 w 12192000"/>
            <a:gd name="connsiteY10420" fmla="*/ 3276466 h 6858000"/>
            <a:gd name="connsiteX10421" fmla="*/ 8460990 w 12192000"/>
            <a:gd name="connsiteY10421" fmla="*/ 3241647 h 6858000"/>
            <a:gd name="connsiteX10422" fmla="*/ 8495816 w 12192000"/>
            <a:gd name="connsiteY10422" fmla="*/ 3206829 h 6858000"/>
            <a:gd name="connsiteX10423" fmla="*/ 8530628 w 12192000"/>
            <a:gd name="connsiteY10423" fmla="*/ 3241647 h 6858000"/>
            <a:gd name="connsiteX10424" fmla="*/ 8495816 w 12192000"/>
            <a:gd name="connsiteY10424" fmla="*/ 3276466 h 6858000"/>
            <a:gd name="connsiteX10425" fmla="*/ 8835386 w 12192000"/>
            <a:gd name="connsiteY10425" fmla="*/ 3276466 h 6858000"/>
            <a:gd name="connsiteX10426" fmla="*/ 8800560 w 12192000"/>
            <a:gd name="connsiteY10426" fmla="*/ 3241647 h 6858000"/>
            <a:gd name="connsiteX10427" fmla="*/ 8835386 w 12192000"/>
            <a:gd name="connsiteY10427" fmla="*/ 3206829 h 6858000"/>
            <a:gd name="connsiteX10428" fmla="*/ 8870198 w 12192000"/>
            <a:gd name="connsiteY10428" fmla="*/ 3241647 h 6858000"/>
            <a:gd name="connsiteX10429" fmla="*/ 8835386 w 12192000"/>
            <a:gd name="connsiteY10429" fmla="*/ 3276466 h 6858000"/>
            <a:gd name="connsiteX10430" fmla="*/ 8920278 w 12192000"/>
            <a:gd name="connsiteY10430" fmla="*/ 3276466 h 6858000"/>
            <a:gd name="connsiteX10431" fmla="*/ 8885453 w 12192000"/>
            <a:gd name="connsiteY10431" fmla="*/ 3241647 h 6858000"/>
            <a:gd name="connsiteX10432" fmla="*/ 8920278 w 12192000"/>
            <a:gd name="connsiteY10432" fmla="*/ 3206829 h 6858000"/>
            <a:gd name="connsiteX10433" fmla="*/ 8955090 w 12192000"/>
            <a:gd name="connsiteY10433" fmla="*/ 3241647 h 6858000"/>
            <a:gd name="connsiteX10434" fmla="*/ 8920278 w 12192000"/>
            <a:gd name="connsiteY10434" fmla="*/ 3276466 h 6858000"/>
            <a:gd name="connsiteX10435" fmla="*/ 9005170 w 12192000"/>
            <a:gd name="connsiteY10435" fmla="*/ 3276466 h 6858000"/>
            <a:gd name="connsiteX10436" fmla="*/ 8970345 w 12192000"/>
            <a:gd name="connsiteY10436" fmla="*/ 3241647 h 6858000"/>
            <a:gd name="connsiteX10437" fmla="*/ 9005170 w 12192000"/>
            <a:gd name="connsiteY10437" fmla="*/ 3206829 h 6858000"/>
            <a:gd name="connsiteX10438" fmla="*/ 9039983 w 12192000"/>
            <a:gd name="connsiteY10438" fmla="*/ 3241647 h 6858000"/>
            <a:gd name="connsiteX10439" fmla="*/ 9005170 w 12192000"/>
            <a:gd name="connsiteY10439" fmla="*/ 3276466 h 6858000"/>
            <a:gd name="connsiteX10440" fmla="*/ 9090063 w 12192000"/>
            <a:gd name="connsiteY10440" fmla="*/ 3276466 h 6858000"/>
            <a:gd name="connsiteX10441" fmla="*/ 9055237 w 12192000"/>
            <a:gd name="connsiteY10441" fmla="*/ 3241647 h 6858000"/>
            <a:gd name="connsiteX10442" fmla="*/ 9090063 w 12192000"/>
            <a:gd name="connsiteY10442" fmla="*/ 3206829 h 6858000"/>
            <a:gd name="connsiteX10443" fmla="*/ 9124875 w 12192000"/>
            <a:gd name="connsiteY10443" fmla="*/ 3241647 h 6858000"/>
            <a:gd name="connsiteX10444" fmla="*/ 9090063 w 12192000"/>
            <a:gd name="connsiteY10444" fmla="*/ 3276466 h 6858000"/>
            <a:gd name="connsiteX10445" fmla="*/ 2638231 w 12192000"/>
            <a:gd name="connsiteY10445" fmla="*/ 3191606 h 6858000"/>
            <a:gd name="connsiteX10446" fmla="*/ 2603412 w 12192000"/>
            <a:gd name="connsiteY10446" fmla="*/ 3156788 h 6858000"/>
            <a:gd name="connsiteX10447" fmla="*/ 2638231 w 12192000"/>
            <a:gd name="connsiteY10447" fmla="*/ 3121969 h 6858000"/>
            <a:gd name="connsiteX10448" fmla="*/ 2673050 w 12192000"/>
            <a:gd name="connsiteY10448" fmla="*/ 3156788 h 6858000"/>
            <a:gd name="connsiteX10449" fmla="*/ 2638231 w 12192000"/>
            <a:gd name="connsiteY10449" fmla="*/ 3191606 h 6858000"/>
            <a:gd name="connsiteX10450" fmla="*/ 2723123 w 12192000"/>
            <a:gd name="connsiteY10450" fmla="*/ 3191606 h 6858000"/>
            <a:gd name="connsiteX10451" fmla="*/ 2688304 w 12192000"/>
            <a:gd name="connsiteY10451" fmla="*/ 3156788 h 6858000"/>
            <a:gd name="connsiteX10452" fmla="*/ 2723123 w 12192000"/>
            <a:gd name="connsiteY10452" fmla="*/ 3121969 h 6858000"/>
            <a:gd name="connsiteX10453" fmla="*/ 2757942 w 12192000"/>
            <a:gd name="connsiteY10453" fmla="*/ 3156788 h 6858000"/>
            <a:gd name="connsiteX10454" fmla="*/ 2723123 w 12192000"/>
            <a:gd name="connsiteY10454" fmla="*/ 3191606 h 6858000"/>
            <a:gd name="connsiteX10455" fmla="*/ 2808016 w 12192000"/>
            <a:gd name="connsiteY10455" fmla="*/ 3191606 h 6858000"/>
            <a:gd name="connsiteX10456" fmla="*/ 2773197 w 12192000"/>
            <a:gd name="connsiteY10456" fmla="*/ 3156788 h 6858000"/>
            <a:gd name="connsiteX10457" fmla="*/ 2808016 w 12192000"/>
            <a:gd name="connsiteY10457" fmla="*/ 3121969 h 6858000"/>
            <a:gd name="connsiteX10458" fmla="*/ 2842834 w 12192000"/>
            <a:gd name="connsiteY10458" fmla="*/ 3156788 h 6858000"/>
            <a:gd name="connsiteX10459" fmla="*/ 2808016 w 12192000"/>
            <a:gd name="connsiteY10459" fmla="*/ 3191606 h 6858000"/>
            <a:gd name="connsiteX10460" fmla="*/ 3062693 w 12192000"/>
            <a:gd name="connsiteY10460" fmla="*/ 3191606 h 6858000"/>
            <a:gd name="connsiteX10461" fmla="*/ 3027874 w 12192000"/>
            <a:gd name="connsiteY10461" fmla="*/ 3156788 h 6858000"/>
            <a:gd name="connsiteX10462" fmla="*/ 3062693 w 12192000"/>
            <a:gd name="connsiteY10462" fmla="*/ 3121969 h 6858000"/>
            <a:gd name="connsiteX10463" fmla="*/ 3097512 w 12192000"/>
            <a:gd name="connsiteY10463" fmla="*/ 3156788 h 6858000"/>
            <a:gd name="connsiteX10464" fmla="*/ 3062693 w 12192000"/>
            <a:gd name="connsiteY10464" fmla="*/ 3191606 h 6858000"/>
            <a:gd name="connsiteX10465" fmla="*/ 3656941 w 12192000"/>
            <a:gd name="connsiteY10465" fmla="*/ 3191606 h 6858000"/>
            <a:gd name="connsiteX10466" fmla="*/ 3622122 w 12192000"/>
            <a:gd name="connsiteY10466" fmla="*/ 3156788 h 6858000"/>
            <a:gd name="connsiteX10467" fmla="*/ 3656941 w 12192000"/>
            <a:gd name="connsiteY10467" fmla="*/ 3121969 h 6858000"/>
            <a:gd name="connsiteX10468" fmla="*/ 3691760 w 12192000"/>
            <a:gd name="connsiteY10468" fmla="*/ 3156788 h 6858000"/>
            <a:gd name="connsiteX10469" fmla="*/ 3656941 w 12192000"/>
            <a:gd name="connsiteY10469" fmla="*/ 3191606 h 6858000"/>
            <a:gd name="connsiteX10470" fmla="*/ 3826726 w 12192000"/>
            <a:gd name="connsiteY10470" fmla="*/ 3191606 h 6858000"/>
            <a:gd name="connsiteX10471" fmla="*/ 3791907 w 12192000"/>
            <a:gd name="connsiteY10471" fmla="*/ 3156788 h 6858000"/>
            <a:gd name="connsiteX10472" fmla="*/ 3826726 w 12192000"/>
            <a:gd name="connsiteY10472" fmla="*/ 3121969 h 6858000"/>
            <a:gd name="connsiteX10473" fmla="*/ 3861544 w 12192000"/>
            <a:gd name="connsiteY10473" fmla="*/ 3156788 h 6858000"/>
            <a:gd name="connsiteX10474" fmla="*/ 3826726 w 12192000"/>
            <a:gd name="connsiteY10474" fmla="*/ 3191606 h 6858000"/>
            <a:gd name="connsiteX10475" fmla="*/ 5354794 w 12192000"/>
            <a:gd name="connsiteY10475" fmla="*/ 3191606 h 6858000"/>
            <a:gd name="connsiteX10476" fmla="*/ 5319968 w 12192000"/>
            <a:gd name="connsiteY10476" fmla="*/ 3156788 h 6858000"/>
            <a:gd name="connsiteX10477" fmla="*/ 5354794 w 12192000"/>
            <a:gd name="connsiteY10477" fmla="*/ 3121969 h 6858000"/>
            <a:gd name="connsiteX10478" fmla="*/ 5389606 w 12192000"/>
            <a:gd name="connsiteY10478" fmla="*/ 3156788 h 6858000"/>
            <a:gd name="connsiteX10479" fmla="*/ 5354794 w 12192000"/>
            <a:gd name="connsiteY10479" fmla="*/ 3191606 h 6858000"/>
            <a:gd name="connsiteX10480" fmla="*/ 5439686 w 12192000"/>
            <a:gd name="connsiteY10480" fmla="*/ 3191606 h 6858000"/>
            <a:gd name="connsiteX10481" fmla="*/ 5404860 w 12192000"/>
            <a:gd name="connsiteY10481" fmla="*/ 3156788 h 6858000"/>
            <a:gd name="connsiteX10482" fmla="*/ 5439686 w 12192000"/>
            <a:gd name="connsiteY10482" fmla="*/ 3121969 h 6858000"/>
            <a:gd name="connsiteX10483" fmla="*/ 5474498 w 12192000"/>
            <a:gd name="connsiteY10483" fmla="*/ 3156788 h 6858000"/>
            <a:gd name="connsiteX10484" fmla="*/ 5439686 w 12192000"/>
            <a:gd name="connsiteY10484" fmla="*/ 3191606 h 6858000"/>
            <a:gd name="connsiteX10485" fmla="*/ 5524578 w 12192000"/>
            <a:gd name="connsiteY10485" fmla="*/ 3191606 h 6858000"/>
            <a:gd name="connsiteX10486" fmla="*/ 5489753 w 12192000"/>
            <a:gd name="connsiteY10486" fmla="*/ 3156788 h 6858000"/>
            <a:gd name="connsiteX10487" fmla="*/ 5524578 w 12192000"/>
            <a:gd name="connsiteY10487" fmla="*/ 3121969 h 6858000"/>
            <a:gd name="connsiteX10488" fmla="*/ 5559390 w 12192000"/>
            <a:gd name="connsiteY10488" fmla="*/ 3156788 h 6858000"/>
            <a:gd name="connsiteX10489" fmla="*/ 5524578 w 12192000"/>
            <a:gd name="connsiteY10489" fmla="*/ 3191606 h 6858000"/>
            <a:gd name="connsiteX10490" fmla="*/ 5609471 w 12192000"/>
            <a:gd name="connsiteY10490" fmla="*/ 3191606 h 6858000"/>
            <a:gd name="connsiteX10491" fmla="*/ 5574646 w 12192000"/>
            <a:gd name="connsiteY10491" fmla="*/ 3156788 h 6858000"/>
            <a:gd name="connsiteX10492" fmla="*/ 5609471 w 12192000"/>
            <a:gd name="connsiteY10492" fmla="*/ 3121969 h 6858000"/>
            <a:gd name="connsiteX10493" fmla="*/ 5644284 w 12192000"/>
            <a:gd name="connsiteY10493" fmla="*/ 3156788 h 6858000"/>
            <a:gd name="connsiteX10494" fmla="*/ 5609471 w 12192000"/>
            <a:gd name="connsiteY10494" fmla="*/ 3191606 h 6858000"/>
            <a:gd name="connsiteX10495" fmla="*/ 5694364 w 12192000"/>
            <a:gd name="connsiteY10495" fmla="*/ 3191606 h 6858000"/>
            <a:gd name="connsiteX10496" fmla="*/ 5659538 w 12192000"/>
            <a:gd name="connsiteY10496" fmla="*/ 3156788 h 6858000"/>
            <a:gd name="connsiteX10497" fmla="*/ 5694364 w 12192000"/>
            <a:gd name="connsiteY10497" fmla="*/ 3121969 h 6858000"/>
            <a:gd name="connsiteX10498" fmla="*/ 5729176 w 12192000"/>
            <a:gd name="connsiteY10498" fmla="*/ 3156788 h 6858000"/>
            <a:gd name="connsiteX10499" fmla="*/ 5694364 w 12192000"/>
            <a:gd name="connsiteY10499" fmla="*/ 3191606 h 6858000"/>
            <a:gd name="connsiteX10500" fmla="*/ 5779256 w 12192000"/>
            <a:gd name="connsiteY10500" fmla="*/ 3191606 h 6858000"/>
            <a:gd name="connsiteX10501" fmla="*/ 5744430 w 12192000"/>
            <a:gd name="connsiteY10501" fmla="*/ 3156788 h 6858000"/>
            <a:gd name="connsiteX10502" fmla="*/ 5779256 w 12192000"/>
            <a:gd name="connsiteY10502" fmla="*/ 3121969 h 6858000"/>
            <a:gd name="connsiteX10503" fmla="*/ 5814068 w 12192000"/>
            <a:gd name="connsiteY10503" fmla="*/ 3156788 h 6858000"/>
            <a:gd name="connsiteX10504" fmla="*/ 5779256 w 12192000"/>
            <a:gd name="connsiteY10504" fmla="*/ 3191606 h 6858000"/>
            <a:gd name="connsiteX10505" fmla="*/ 5864148 w 12192000"/>
            <a:gd name="connsiteY10505" fmla="*/ 3191606 h 6858000"/>
            <a:gd name="connsiteX10506" fmla="*/ 5829323 w 12192000"/>
            <a:gd name="connsiteY10506" fmla="*/ 3156788 h 6858000"/>
            <a:gd name="connsiteX10507" fmla="*/ 5864148 w 12192000"/>
            <a:gd name="connsiteY10507" fmla="*/ 3121969 h 6858000"/>
            <a:gd name="connsiteX10508" fmla="*/ 5898960 w 12192000"/>
            <a:gd name="connsiteY10508" fmla="*/ 3156788 h 6858000"/>
            <a:gd name="connsiteX10509" fmla="*/ 5864148 w 12192000"/>
            <a:gd name="connsiteY10509" fmla="*/ 3191606 h 6858000"/>
            <a:gd name="connsiteX10510" fmla="*/ 5949041 w 12192000"/>
            <a:gd name="connsiteY10510" fmla="*/ 3191606 h 6858000"/>
            <a:gd name="connsiteX10511" fmla="*/ 5914216 w 12192000"/>
            <a:gd name="connsiteY10511" fmla="*/ 3156788 h 6858000"/>
            <a:gd name="connsiteX10512" fmla="*/ 5949041 w 12192000"/>
            <a:gd name="connsiteY10512" fmla="*/ 3121969 h 6858000"/>
            <a:gd name="connsiteX10513" fmla="*/ 5983854 w 12192000"/>
            <a:gd name="connsiteY10513" fmla="*/ 3156788 h 6858000"/>
            <a:gd name="connsiteX10514" fmla="*/ 5949041 w 12192000"/>
            <a:gd name="connsiteY10514" fmla="*/ 3191606 h 6858000"/>
            <a:gd name="connsiteX10515" fmla="*/ 6033934 w 12192000"/>
            <a:gd name="connsiteY10515" fmla="*/ 3191606 h 6858000"/>
            <a:gd name="connsiteX10516" fmla="*/ 5999108 w 12192000"/>
            <a:gd name="connsiteY10516" fmla="*/ 3156788 h 6858000"/>
            <a:gd name="connsiteX10517" fmla="*/ 6033934 w 12192000"/>
            <a:gd name="connsiteY10517" fmla="*/ 3121969 h 6858000"/>
            <a:gd name="connsiteX10518" fmla="*/ 6068746 w 12192000"/>
            <a:gd name="connsiteY10518" fmla="*/ 3156788 h 6858000"/>
            <a:gd name="connsiteX10519" fmla="*/ 6033934 w 12192000"/>
            <a:gd name="connsiteY10519" fmla="*/ 3191606 h 6858000"/>
            <a:gd name="connsiteX10520" fmla="*/ 6118826 w 12192000"/>
            <a:gd name="connsiteY10520" fmla="*/ 3191606 h 6858000"/>
            <a:gd name="connsiteX10521" fmla="*/ 6084000 w 12192000"/>
            <a:gd name="connsiteY10521" fmla="*/ 3156788 h 6858000"/>
            <a:gd name="connsiteX10522" fmla="*/ 6118826 w 12192000"/>
            <a:gd name="connsiteY10522" fmla="*/ 3121969 h 6858000"/>
            <a:gd name="connsiteX10523" fmla="*/ 6153638 w 12192000"/>
            <a:gd name="connsiteY10523" fmla="*/ 3156788 h 6858000"/>
            <a:gd name="connsiteX10524" fmla="*/ 6118826 w 12192000"/>
            <a:gd name="connsiteY10524" fmla="*/ 3191606 h 6858000"/>
            <a:gd name="connsiteX10525" fmla="*/ 6203718 w 12192000"/>
            <a:gd name="connsiteY10525" fmla="*/ 3191606 h 6858000"/>
            <a:gd name="connsiteX10526" fmla="*/ 6168893 w 12192000"/>
            <a:gd name="connsiteY10526" fmla="*/ 3156788 h 6858000"/>
            <a:gd name="connsiteX10527" fmla="*/ 6203718 w 12192000"/>
            <a:gd name="connsiteY10527" fmla="*/ 3121969 h 6858000"/>
            <a:gd name="connsiteX10528" fmla="*/ 6238530 w 12192000"/>
            <a:gd name="connsiteY10528" fmla="*/ 3156788 h 6858000"/>
            <a:gd name="connsiteX10529" fmla="*/ 6203718 w 12192000"/>
            <a:gd name="connsiteY10529" fmla="*/ 3191606 h 6858000"/>
            <a:gd name="connsiteX10530" fmla="*/ 6288611 w 12192000"/>
            <a:gd name="connsiteY10530" fmla="*/ 3191606 h 6858000"/>
            <a:gd name="connsiteX10531" fmla="*/ 6253786 w 12192000"/>
            <a:gd name="connsiteY10531" fmla="*/ 3156788 h 6858000"/>
            <a:gd name="connsiteX10532" fmla="*/ 6288611 w 12192000"/>
            <a:gd name="connsiteY10532" fmla="*/ 3121969 h 6858000"/>
            <a:gd name="connsiteX10533" fmla="*/ 6323424 w 12192000"/>
            <a:gd name="connsiteY10533" fmla="*/ 3156788 h 6858000"/>
            <a:gd name="connsiteX10534" fmla="*/ 6288611 w 12192000"/>
            <a:gd name="connsiteY10534" fmla="*/ 3191606 h 6858000"/>
            <a:gd name="connsiteX10535" fmla="*/ 6373504 w 12192000"/>
            <a:gd name="connsiteY10535" fmla="*/ 3191606 h 6858000"/>
            <a:gd name="connsiteX10536" fmla="*/ 6338678 w 12192000"/>
            <a:gd name="connsiteY10536" fmla="*/ 3156788 h 6858000"/>
            <a:gd name="connsiteX10537" fmla="*/ 6373504 w 12192000"/>
            <a:gd name="connsiteY10537" fmla="*/ 3121969 h 6858000"/>
            <a:gd name="connsiteX10538" fmla="*/ 6408316 w 12192000"/>
            <a:gd name="connsiteY10538" fmla="*/ 3156788 h 6858000"/>
            <a:gd name="connsiteX10539" fmla="*/ 6373504 w 12192000"/>
            <a:gd name="connsiteY10539" fmla="*/ 3191606 h 6858000"/>
            <a:gd name="connsiteX10540" fmla="*/ 6458396 w 12192000"/>
            <a:gd name="connsiteY10540" fmla="*/ 3191606 h 6858000"/>
            <a:gd name="connsiteX10541" fmla="*/ 6423570 w 12192000"/>
            <a:gd name="connsiteY10541" fmla="*/ 3156788 h 6858000"/>
            <a:gd name="connsiteX10542" fmla="*/ 6458396 w 12192000"/>
            <a:gd name="connsiteY10542" fmla="*/ 3121969 h 6858000"/>
            <a:gd name="connsiteX10543" fmla="*/ 6493208 w 12192000"/>
            <a:gd name="connsiteY10543" fmla="*/ 3156788 h 6858000"/>
            <a:gd name="connsiteX10544" fmla="*/ 6458396 w 12192000"/>
            <a:gd name="connsiteY10544" fmla="*/ 3191606 h 6858000"/>
            <a:gd name="connsiteX10545" fmla="*/ 6543288 w 12192000"/>
            <a:gd name="connsiteY10545" fmla="*/ 3191606 h 6858000"/>
            <a:gd name="connsiteX10546" fmla="*/ 6508463 w 12192000"/>
            <a:gd name="connsiteY10546" fmla="*/ 3156788 h 6858000"/>
            <a:gd name="connsiteX10547" fmla="*/ 6543288 w 12192000"/>
            <a:gd name="connsiteY10547" fmla="*/ 3121969 h 6858000"/>
            <a:gd name="connsiteX10548" fmla="*/ 6578100 w 12192000"/>
            <a:gd name="connsiteY10548" fmla="*/ 3156788 h 6858000"/>
            <a:gd name="connsiteX10549" fmla="*/ 6543288 w 12192000"/>
            <a:gd name="connsiteY10549" fmla="*/ 3191606 h 6858000"/>
            <a:gd name="connsiteX10550" fmla="*/ 6628181 w 12192000"/>
            <a:gd name="connsiteY10550" fmla="*/ 3191606 h 6858000"/>
            <a:gd name="connsiteX10551" fmla="*/ 6593356 w 12192000"/>
            <a:gd name="connsiteY10551" fmla="*/ 3156788 h 6858000"/>
            <a:gd name="connsiteX10552" fmla="*/ 6628181 w 12192000"/>
            <a:gd name="connsiteY10552" fmla="*/ 3121969 h 6858000"/>
            <a:gd name="connsiteX10553" fmla="*/ 6662994 w 12192000"/>
            <a:gd name="connsiteY10553" fmla="*/ 3156788 h 6858000"/>
            <a:gd name="connsiteX10554" fmla="*/ 6628181 w 12192000"/>
            <a:gd name="connsiteY10554" fmla="*/ 3191606 h 6858000"/>
            <a:gd name="connsiteX10555" fmla="*/ 6713074 w 12192000"/>
            <a:gd name="connsiteY10555" fmla="*/ 3191606 h 6858000"/>
            <a:gd name="connsiteX10556" fmla="*/ 6678248 w 12192000"/>
            <a:gd name="connsiteY10556" fmla="*/ 3156788 h 6858000"/>
            <a:gd name="connsiteX10557" fmla="*/ 6713074 w 12192000"/>
            <a:gd name="connsiteY10557" fmla="*/ 3121969 h 6858000"/>
            <a:gd name="connsiteX10558" fmla="*/ 6747886 w 12192000"/>
            <a:gd name="connsiteY10558" fmla="*/ 3156788 h 6858000"/>
            <a:gd name="connsiteX10559" fmla="*/ 6713074 w 12192000"/>
            <a:gd name="connsiteY10559" fmla="*/ 3191606 h 6858000"/>
            <a:gd name="connsiteX10560" fmla="*/ 6797966 w 12192000"/>
            <a:gd name="connsiteY10560" fmla="*/ 3191606 h 6858000"/>
            <a:gd name="connsiteX10561" fmla="*/ 6763140 w 12192000"/>
            <a:gd name="connsiteY10561" fmla="*/ 3156788 h 6858000"/>
            <a:gd name="connsiteX10562" fmla="*/ 6797966 w 12192000"/>
            <a:gd name="connsiteY10562" fmla="*/ 3121969 h 6858000"/>
            <a:gd name="connsiteX10563" fmla="*/ 6832778 w 12192000"/>
            <a:gd name="connsiteY10563" fmla="*/ 3156788 h 6858000"/>
            <a:gd name="connsiteX10564" fmla="*/ 6797966 w 12192000"/>
            <a:gd name="connsiteY10564" fmla="*/ 3191606 h 6858000"/>
            <a:gd name="connsiteX10565" fmla="*/ 6882858 w 12192000"/>
            <a:gd name="connsiteY10565" fmla="*/ 3191606 h 6858000"/>
            <a:gd name="connsiteX10566" fmla="*/ 6848033 w 12192000"/>
            <a:gd name="connsiteY10566" fmla="*/ 3156788 h 6858000"/>
            <a:gd name="connsiteX10567" fmla="*/ 6882858 w 12192000"/>
            <a:gd name="connsiteY10567" fmla="*/ 3121969 h 6858000"/>
            <a:gd name="connsiteX10568" fmla="*/ 6917670 w 12192000"/>
            <a:gd name="connsiteY10568" fmla="*/ 3156788 h 6858000"/>
            <a:gd name="connsiteX10569" fmla="*/ 6882858 w 12192000"/>
            <a:gd name="connsiteY10569" fmla="*/ 3191606 h 6858000"/>
            <a:gd name="connsiteX10570" fmla="*/ 6967750 w 12192000"/>
            <a:gd name="connsiteY10570" fmla="*/ 3191606 h 6858000"/>
            <a:gd name="connsiteX10571" fmla="*/ 6932925 w 12192000"/>
            <a:gd name="connsiteY10571" fmla="*/ 3156788 h 6858000"/>
            <a:gd name="connsiteX10572" fmla="*/ 6967750 w 12192000"/>
            <a:gd name="connsiteY10572" fmla="*/ 3121969 h 6858000"/>
            <a:gd name="connsiteX10573" fmla="*/ 7002563 w 12192000"/>
            <a:gd name="connsiteY10573" fmla="*/ 3156788 h 6858000"/>
            <a:gd name="connsiteX10574" fmla="*/ 6967750 w 12192000"/>
            <a:gd name="connsiteY10574" fmla="*/ 3191606 h 6858000"/>
            <a:gd name="connsiteX10575" fmla="*/ 7222428 w 12192000"/>
            <a:gd name="connsiteY10575" fmla="*/ 3191606 h 6858000"/>
            <a:gd name="connsiteX10576" fmla="*/ 7187603 w 12192000"/>
            <a:gd name="connsiteY10576" fmla="*/ 3156788 h 6858000"/>
            <a:gd name="connsiteX10577" fmla="*/ 7222428 w 12192000"/>
            <a:gd name="connsiteY10577" fmla="*/ 3121969 h 6858000"/>
            <a:gd name="connsiteX10578" fmla="*/ 7257240 w 12192000"/>
            <a:gd name="connsiteY10578" fmla="*/ 3156788 h 6858000"/>
            <a:gd name="connsiteX10579" fmla="*/ 7222428 w 12192000"/>
            <a:gd name="connsiteY10579" fmla="*/ 3191606 h 6858000"/>
            <a:gd name="connsiteX10580" fmla="*/ 7307320 w 12192000"/>
            <a:gd name="connsiteY10580" fmla="*/ 3191606 h 6858000"/>
            <a:gd name="connsiteX10581" fmla="*/ 7272495 w 12192000"/>
            <a:gd name="connsiteY10581" fmla="*/ 3156788 h 6858000"/>
            <a:gd name="connsiteX10582" fmla="*/ 7307320 w 12192000"/>
            <a:gd name="connsiteY10582" fmla="*/ 3121969 h 6858000"/>
            <a:gd name="connsiteX10583" fmla="*/ 7342133 w 12192000"/>
            <a:gd name="connsiteY10583" fmla="*/ 3156788 h 6858000"/>
            <a:gd name="connsiteX10584" fmla="*/ 7307320 w 12192000"/>
            <a:gd name="connsiteY10584" fmla="*/ 3191606 h 6858000"/>
            <a:gd name="connsiteX10585" fmla="*/ 7392214 w 12192000"/>
            <a:gd name="connsiteY10585" fmla="*/ 3191606 h 6858000"/>
            <a:gd name="connsiteX10586" fmla="*/ 7357388 w 12192000"/>
            <a:gd name="connsiteY10586" fmla="*/ 3156788 h 6858000"/>
            <a:gd name="connsiteX10587" fmla="*/ 7392214 w 12192000"/>
            <a:gd name="connsiteY10587" fmla="*/ 3121969 h 6858000"/>
            <a:gd name="connsiteX10588" fmla="*/ 7427026 w 12192000"/>
            <a:gd name="connsiteY10588" fmla="*/ 3156788 h 6858000"/>
            <a:gd name="connsiteX10589" fmla="*/ 7392214 w 12192000"/>
            <a:gd name="connsiteY10589" fmla="*/ 3191606 h 6858000"/>
            <a:gd name="connsiteX10590" fmla="*/ 7477106 w 12192000"/>
            <a:gd name="connsiteY10590" fmla="*/ 3191606 h 6858000"/>
            <a:gd name="connsiteX10591" fmla="*/ 7442280 w 12192000"/>
            <a:gd name="connsiteY10591" fmla="*/ 3156788 h 6858000"/>
            <a:gd name="connsiteX10592" fmla="*/ 7477106 w 12192000"/>
            <a:gd name="connsiteY10592" fmla="*/ 3121969 h 6858000"/>
            <a:gd name="connsiteX10593" fmla="*/ 7511918 w 12192000"/>
            <a:gd name="connsiteY10593" fmla="*/ 3156788 h 6858000"/>
            <a:gd name="connsiteX10594" fmla="*/ 7477106 w 12192000"/>
            <a:gd name="connsiteY10594" fmla="*/ 3191606 h 6858000"/>
            <a:gd name="connsiteX10595" fmla="*/ 7561998 w 12192000"/>
            <a:gd name="connsiteY10595" fmla="*/ 3191606 h 6858000"/>
            <a:gd name="connsiteX10596" fmla="*/ 7527173 w 12192000"/>
            <a:gd name="connsiteY10596" fmla="*/ 3156788 h 6858000"/>
            <a:gd name="connsiteX10597" fmla="*/ 7561998 w 12192000"/>
            <a:gd name="connsiteY10597" fmla="*/ 3121969 h 6858000"/>
            <a:gd name="connsiteX10598" fmla="*/ 7596810 w 12192000"/>
            <a:gd name="connsiteY10598" fmla="*/ 3156788 h 6858000"/>
            <a:gd name="connsiteX10599" fmla="*/ 7561998 w 12192000"/>
            <a:gd name="connsiteY10599" fmla="*/ 3191606 h 6858000"/>
            <a:gd name="connsiteX10600" fmla="*/ 8156246 w 12192000"/>
            <a:gd name="connsiteY10600" fmla="*/ 3191606 h 6858000"/>
            <a:gd name="connsiteX10601" fmla="*/ 8121420 w 12192000"/>
            <a:gd name="connsiteY10601" fmla="*/ 3156788 h 6858000"/>
            <a:gd name="connsiteX10602" fmla="*/ 8156246 w 12192000"/>
            <a:gd name="connsiteY10602" fmla="*/ 3121969 h 6858000"/>
            <a:gd name="connsiteX10603" fmla="*/ 8191058 w 12192000"/>
            <a:gd name="connsiteY10603" fmla="*/ 3156788 h 6858000"/>
            <a:gd name="connsiteX10604" fmla="*/ 8156246 w 12192000"/>
            <a:gd name="connsiteY10604" fmla="*/ 3191606 h 6858000"/>
            <a:gd name="connsiteX10605" fmla="*/ 8241138 w 12192000"/>
            <a:gd name="connsiteY10605" fmla="*/ 3191606 h 6858000"/>
            <a:gd name="connsiteX10606" fmla="*/ 8206313 w 12192000"/>
            <a:gd name="connsiteY10606" fmla="*/ 3156788 h 6858000"/>
            <a:gd name="connsiteX10607" fmla="*/ 8241138 w 12192000"/>
            <a:gd name="connsiteY10607" fmla="*/ 3121969 h 6858000"/>
            <a:gd name="connsiteX10608" fmla="*/ 8275950 w 12192000"/>
            <a:gd name="connsiteY10608" fmla="*/ 3156788 h 6858000"/>
            <a:gd name="connsiteX10609" fmla="*/ 8241138 w 12192000"/>
            <a:gd name="connsiteY10609" fmla="*/ 3191606 h 6858000"/>
            <a:gd name="connsiteX10610" fmla="*/ 8326030 w 12192000"/>
            <a:gd name="connsiteY10610" fmla="*/ 3191606 h 6858000"/>
            <a:gd name="connsiteX10611" fmla="*/ 8291205 w 12192000"/>
            <a:gd name="connsiteY10611" fmla="*/ 3156788 h 6858000"/>
            <a:gd name="connsiteX10612" fmla="*/ 8326030 w 12192000"/>
            <a:gd name="connsiteY10612" fmla="*/ 3121969 h 6858000"/>
            <a:gd name="connsiteX10613" fmla="*/ 8360843 w 12192000"/>
            <a:gd name="connsiteY10613" fmla="*/ 3156788 h 6858000"/>
            <a:gd name="connsiteX10614" fmla="*/ 8326030 w 12192000"/>
            <a:gd name="connsiteY10614" fmla="*/ 3191606 h 6858000"/>
            <a:gd name="connsiteX10615" fmla="*/ 8410923 w 12192000"/>
            <a:gd name="connsiteY10615" fmla="*/ 3191606 h 6858000"/>
            <a:gd name="connsiteX10616" fmla="*/ 8376097 w 12192000"/>
            <a:gd name="connsiteY10616" fmla="*/ 3156788 h 6858000"/>
            <a:gd name="connsiteX10617" fmla="*/ 8410923 w 12192000"/>
            <a:gd name="connsiteY10617" fmla="*/ 3121969 h 6858000"/>
            <a:gd name="connsiteX10618" fmla="*/ 8445735 w 12192000"/>
            <a:gd name="connsiteY10618" fmla="*/ 3156788 h 6858000"/>
            <a:gd name="connsiteX10619" fmla="*/ 8410923 w 12192000"/>
            <a:gd name="connsiteY10619" fmla="*/ 3191606 h 6858000"/>
            <a:gd name="connsiteX10620" fmla="*/ 8835386 w 12192000"/>
            <a:gd name="connsiteY10620" fmla="*/ 3191606 h 6858000"/>
            <a:gd name="connsiteX10621" fmla="*/ 8800560 w 12192000"/>
            <a:gd name="connsiteY10621" fmla="*/ 3156788 h 6858000"/>
            <a:gd name="connsiteX10622" fmla="*/ 8835386 w 12192000"/>
            <a:gd name="connsiteY10622" fmla="*/ 3121969 h 6858000"/>
            <a:gd name="connsiteX10623" fmla="*/ 8870198 w 12192000"/>
            <a:gd name="connsiteY10623" fmla="*/ 3156788 h 6858000"/>
            <a:gd name="connsiteX10624" fmla="*/ 8835386 w 12192000"/>
            <a:gd name="connsiteY10624" fmla="*/ 3191606 h 6858000"/>
            <a:gd name="connsiteX10625" fmla="*/ 8920278 w 12192000"/>
            <a:gd name="connsiteY10625" fmla="*/ 3191606 h 6858000"/>
            <a:gd name="connsiteX10626" fmla="*/ 8885453 w 12192000"/>
            <a:gd name="connsiteY10626" fmla="*/ 3156788 h 6858000"/>
            <a:gd name="connsiteX10627" fmla="*/ 8920278 w 12192000"/>
            <a:gd name="connsiteY10627" fmla="*/ 3121969 h 6858000"/>
            <a:gd name="connsiteX10628" fmla="*/ 8955090 w 12192000"/>
            <a:gd name="connsiteY10628" fmla="*/ 3156788 h 6858000"/>
            <a:gd name="connsiteX10629" fmla="*/ 8920278 w 12192000"/>
            <a:gd name="connsiteY10629" fmla="*/ 3191606 h 6858000"/>
            <a:gd name="connsiteX10630" fmla="*/ 9005170 w 12192000"/>
            <a:gd name="connsiteY10630" fmla="*/ 3191606 h 6858000"/>
            <a:gd name="connsiteX10631" fmla="*/ 8970345 w 12192000"/>
            <a:gd name="connsiteY10631" fmla="*/ 3156788 h 6858000"/>
            <a:gd name="connsiteX10632" fmla="*/ 9005170 w 12192000"/>
            <a:gd name="connsiteY10632" fmla="*/ 3121969 h 6858000"/>
            <a:gd name="connsiteX10633" fmla="*/ 9039983 w 12192000"/>
            <a:gd name="connsiteY10633" fmla="*/ 3156788 h 6858000"/>
            <a:gd name="connsiteX10634" fmla="*/ 9005170 w 12192000"/>
            <a:gd name="connsiteY10634" fmla="*/ 3191606 h 6858000"/>
            <a:gd name="connsiteX10635" fmla="*/ 9090063 w 12192000"/>
            <a:gd name="connsiteY10635" fmla="*/ 3191606 h 6858000"/>
            <a:gd name="connsiteX10636" fmla="*/ 9055237 w 12192000"/>
            <a:gd name="connsiteY10636" fmla="*/ 3156788 h 6858000"/>
            <a:gd name="connsiteX10637" fmla="*/ 9090063 w 12192000"/>
            <a:gd name="connsiteY10637" fmla="*/ 3121969 h 6858000"/>
            <a:gd name="connsiteX10638" fmla="*/ 9124875 w 12192000"/>
            <a:gd name="connsiteY10638" fmla="*/ 3156788 h 6858000"/>
            <a:gd name="connsiteX10639" fmla="*/ 9090063 w 12192000"/>
            <a:gd name="connsiteY10639" fmla="*/ 3191606 h 6858000"/>
            <a:gd name="connsiteX10640" fmla="*/ 9344740 w 12192000"/>
            <a:gd name="connsiteY10640" fmla="*/ 3191606 h 6858000"/>
            <a:gd name="connsiteX10641" fmla="*/ 9309915 w 12192000"/>
            <a:gd name="connsiteY10641" fmla="*/ 3156788 h 6858000"/>
            <a:gd name="connsiteX10642" fmla="*/ 9344740 w 12192000"/>
            <a:gd name="connsiteY10642" fmla="*/ 3121969 h 6858000"/>
            <a:gd name="connsiteX10643" fmla="*/ 9379553 w 12192000"/>
            <a:gd name="connsiteY10643" fmla="*/ 3156788 h 6858000"/>
            <a:gd name="connsiteX10644" fmla="*/ 9344740 w 12192000"/>
            <a:gd name="connsiteY10644" fmla="*/ 3191606 h 6858000"/>
            <a:gd name="connsiteX10645" fmla="*/ 2808016 w 12192000"/>
            <a:gd name="connsiteY10645" fmla="*/ 3106746 h 6858000"/>
            <a:gd name="connsiteX10646" fmla="*/ 2773197 w 12192000"/>
            <a:gd name="connsiteY10646" fmla="*/ 3071927 h 6858000"/>
            <a:gd name="connsiteX10647" fmla="*/ 2808016 w 12192000"/>
            <a:gd name="connsiteY10647" fmla="*/ 3037108 h 6858000"/>
            <a:gd name="connsiteX10648" fmla="*/ 2842834 w 12192000"/>
            <a:gd name="connsiteY10648" fmla="*/ 3071927 h 6858000"/>
            <a:gd name="connsiteX10649" fmla="*/ 2808016 w 12192000"/>
            <a:gd name="connsiteY10649" fmla="*/ 3106746 h 6858000"/>
            <a:gd name="connsiteX10650" fmla="*/ 2892908 w 12192000"/>
            <a:gd name="connsiteY10650" fmla="*/ 3106746 h 6858000"/>
            <a:gd name="connsiteX10651" fmla="*/ 2858089 w 12192000"/>
            <a:gd name="connsiteY10651" fmla="*/ 3071927 h 6858000"/>
            <a:gd name="connsiteX10652" fmla="*/ 2892908 w 12192000"/>
            <a:gd name="connsiteY10652" fmla="*/ 3037108 h 6858000"/>
            <a:gd name="connsiteX10653" fmla="*/ 2927727 w 12192000"/>
            <a:gd name="connsiteY10653" fmla="*/ 3071927 h 6858000"/>
            <a:gd name="connsiteX10654" fmla="*/ 2892908 w 12192000"/>
            <a:gd name="connsiteY10654" fmla="*/ 3106746 h 6858000"/>
            <a:gd name="connsiteX10655" fmla="*/ 2977801 w 12192000"/>
            <a:gd name="connsiteY10655" fmla="*/ 3106746 h 6858000"/>
            <a:gd name="connsiteX10656" fmla="*/ 2942982 w 12192000"/>
            <a:gd name="connsiteY10656" fmla="*/ 3071927 h 6858000"/>
            <a:gd name="connsiteX10657" fmla="*/ 2977801 w 12192000"/>
            <a:gd name="connsiteY10657" fmla="*/ 3037108 h 6858000"/>
            <a:gd name="connsiteX10658" fmla="*/ 3012620 w 12192000"/>
            <a:gd name="connsiteY10658" fmla="*/ 3071927 h 6858000"/>
            <a:gd name="connsiteX10659" fmla="*/ 2977801 w 12192000"/>
            <a:gd name="connsiteY10659" fmla="*/ 3106746 h 6858000"/>
            <a:gd name="connsiteX10660" fmla="*/ 3062693 w 12192000"/>
            <a:gd name="connsiteY10660" fmla="*/ 3106746 h 6858000"/>
            <a:gd name="connsiteX10661" fmla="*/ 3027874 w 12192000"/>
            <a:gd name="connsiteY10661" fmla="*/ 3071927 h 6858000"/>
            <a:gd name="connsiteX10662" fmla="*/ 3062693 w 12192000"/>
            <a:gd name="connsiteY10662" fmla="*/ 3037108 h 6858000"/>
            <a:gd name="connsiteX10663" fmla="*/ 3097512 w 12192000"/>
            <a:gd name="connsiteY10663" fmla="*/ 3071927 h 6858000"/>
            <a:gd name="connsiteX10664" fmla="*/ 3062693 w 12192000"/>
            <a:gd name="connsiteY10664" fmla="*/ 3106746 h 6858000"/>
            <a:gd name="connsiteX10665" fmla="*/ 5439686 w 12192000"/>
            <a:gd name="connsiteY10665" fmla="*/ 3106746 h 6858000"/>
            <a:gd name="connsiteX10666" fmla="*/ 5404860 w 12192000"/>
            <a:gd name="connsiteY10666" fmla="*/ 3071927 h 6858000"/>
            <a:gd name="connsiteX10667" fmla="*/ 5439686 w 12192000"/>
            <a:gd name="connsiteY10667" fmla="*/ 3037108 h 6858000"/>
            <a:gd name="connsiteX10668" fmla="*/ 5474498 w 12192000"/>
            <a:gd name="connsiteY10668" fmla="*/ 3071927 h 6858000"/>
            <a:gd name="connsiteX10669" fmla="*/ 5439686 w 12192000"/>
            <a:gd name="connsiteY10669" fmla="*/ 3106746 h 6858000"/>
            <a:gd name="connsiteX10670" fmla="*/ 5524578 w 12192000"/>
            <a:gd name="connsiteY10670" fmla="*/ 3106746 h 6858000"/>
            <a:gd name="connsiteX10671" fmla="*/ 5489753 w 12192000"/>
            <a:gd name="connsiteY10671" fmla="*/ 3071927 h 6858000"/>
            <a:gd name="connsiteX10672" fmla="*/ 5524578 w 12192000"/>
            <a:gd name="connsiteY10672" fmla="*/ 3037108 h 6858000"/>
            <a:gd name="connsiteX10673" fmla="*/ 5559390 w 12192000"/>
            <a:gd name="connsiteY10673" fmla="*/ 3071927 h 6858000"/>
            <a:gd name="connsiteX10674" fmla="*/ 5524578 w 12192000"/>
            <a:gd name="connsiteY10674" fmla="*/ 3106746 h 6858000"/>
            <a:gd name="connsiteX10675" fmla="*/ 5609471 w 12192000"/>
            <a:gd name="connsiteY10675" fmla="*/ 3106746 h 6858000"/>
            <a:gd name="connsiteX10676" fmla="*/ 5574646 w 12192000"/>
            <a:gd name="connsiteY10676" fmla="*/ 3071927 h 6858000"/>
            <a:gd name="connsiteX10677" fmla="*/ 5609471 w 12192000"/>
            <a:gd name="connsiteY10677" fmla="*/ 3037108 h 6858000"/>
            <a:gd name="connsiteX10678" fmla="*/ 5644284 w 12192000"/>
            <a:gd name="connsiteY10678" fmla="*/ 3071927 h 6858000"/>
            <a:gd name="connsiteX10679" fmla="*/ 5609471 w 12192000"/>
            <a:gd name="connsiteY10679" fmla="*/ 3106746 h 6858000"/>
            <a:gd name="connsiteX10680" fmla="*/ 5694364 w 12192000"/>
            <a:gd name="connsiteY10680" fmla="*/ 3106746 h 6858000"/>
            <a:gd name="connsiteX10681" fmla="*/ 5659538 w 12192000"/>
            <a:gd name="connsiteY10681" fmla="*/ 3071927 h 6858000"/>
            <a:gd name="connsiteX10682" fmla="*/ 5694364 w 12192000"/>
            <a:gd name="connsiteY10682" fmla="*/ 3037108 h 6858000"/>
            <a:gd name="connsiteX10683" fmla="*/ 5729176 w 12192000"/>
            <a:gd name="connsiteY10683" fmla="*/ 3071927 h 6858000"/>
            <a:gd name="connsiteX10684" fmla="*/ 5694364 w 12192000"/>
            <a:gd name="connsiteY10684" fmla="*/ 3106746 h 6858000"/>
            <a:gd name="connsiteX10685" fmla="*/ 5779256 w 12192000"/>
            <a:gd name="connsiteY10685" fmla="*/ 3106746 h 6858000"/>
            <a:gd name="connsiteX10686" fmla="*/ 5744430 w 12192000"/>
            <a:gd name="connsiteY10686" fmla="*/ 3071927 h 6858000"/>
            <a:gd name="connsiteX10687" fmla="*/ 5779256 w 12192000"/>
            <a:gd name="connsiteY10687" fmla="*/ 3037108 h 6858000"/>
            <a:gd name="connsiteX10688" fmla="*/ 5814068 w 12192000"/>
            <a:gd name="connsiteY10688" fmla="*/ 3071927 h 6858000"/>
            <a:gd name="connsiteX10689" fmla="*/ 5779256 w 12192000"/>
            <a:gd name="connsiteY10689" fmla="*/ 3106746 h 6858000"/>
            <a:gd name="connsiteX10690" fmla="*/ 5864148 w 12192000"/>
            <a:gd name="connsiteY10690" fmla="*/ 3106746 h 6858000"/>
            <a:gd name="connsiteX10691" fmla="*/ 5829323 w 12192000"/>
            <a:gd name="connsiteY10691" fmla="*/ 3071927 h 6858000"/>
            <a:gd name="connsiteX10692" fmla="*/ 5864148 w 12192000"/>
            <a:gd name="connsiteY10692" fmla="*/ 3037108 h 6858000"/>
            <a:gd name="connsiteX10693" fmla="*/ 5898960 w 12192000"/>
            <a:gd name="connsiteY10693" fmla="*/ 3071927 h 6858000"/>
            <a:gd name="connsiteX10694" fmla="*/ 5864148 w 12192000"/>
            <a:gd name="connsiteY10694" fmla="*/ 3106746 h 6858000"/>
            <a:gd name="connsiteX10695" fmla="*/ 5949041 w 12192000"/>
            <a:gd name="connsiteY10695" fmla="*/ 3106746 h 6858000"/>
            <a:gd name="connsiteX10696" fmla="*/ 5914216 w 12192000"/>
            <a:gd name="connsiteY10696" fmla="*/ 3071927 h 6858000"/>
            <a:gd name="connsiteX10697" fmla="*/ 5949041 w 12192000"/>
            <a:gd name="connsiteY10697" fmla="*/ 3037108 h 6858000"/>
            <a:gd name="connsiteX10698" fmla="*/ 5983854 w 12192000"/>
            <a:gd name="connsiteY10698" fmla="*/ 3071927 h 6858000"/>
            <a:gd name="connsiteX10699" fmla="*/ 5949041 w 12192000"/>
            <a:gd name="connsiteY10699" fmla="*/ 3106746 h 6858000"/>
            <a:gd name="connsiteX10700" fmla="*/ 6033934 w 12192000"/>
            <a:gd name="connsiteY10700" fmla="*/ 3106746 h 6858000"/>
            <a:gd name="connsiteX10701" fmla="*/ 5999108 w 12192000"/>
            <a:gd name="connsiteY10701" fmla="*/ 3071927 h 6858000"/>
            <a:gd name="connsiteX10702" fmla="*/ 6033934 w 12192000"/>
            <a:gd name="connsiteY10702" fmla="*/ 3037108 h 6858000"/>
            <a:gd name="connsiteX10703" fmla="*/ 6068746 w 12192000"/>
            <a:gd name="connsiteY10703" fmla="*/ 3071927 h 6858000"/>
            <a:gd name="connsiteX10704" fmla="*/ 6033934 w 12192000"/>
            <a:gd name="connsiteY10704" fmla="*/ 3106746 h 6858000"/>
            <a:gd name="connsiteX10705" fmla="*/ 6118826 w 12192000"/>
            <a:gd name="connsiteY10705" fmla="*/ 3106746 h 6858000"/>
            <a:gd name="connsiteX10706" fmla="*/ 6084000 w 12192000"/>
            <a:gd name="connsiteY10706" fmla="*/ 3071927 h 6858000"/>
            <a:gd name="connsiteX10707" fmla="*/ 6118826 w 12192000"/>
            <a:gd name="connsiteY10707" fmla="*/ 3037108 h 6858000"/>
            <a:gd name="connsiteX10708" fmla="*/ 6153638 w 12192000"/>
            <a:gd name="connsiteY10708" fmla="*/ 3071927 h 6858000"/>
            <a:gd name="connsiteX10709" fmla="*/ 6118826 w 12192000"/>
            <a:gd name="connsiteY10709" fmla="*/ 3106746 h 6858000"/>
            <a:gd name="connsiteX10710" fmla="*/ 6203718 w 12192000"/>
            <a:gd name="connsiteY10710" fmla="*/ 3106746 h 6858000"/>
            <a:gd name="connsiteX10711" fmla="*/ 6168893 w 12192000"/>
            <a:gd name="connsiteY10711" fmla="*/ 3071927 h 6858000"/>
            <a:gd name="connsiteX10712" fmla="*/ 6203718 w 12192000"/>
            <a:gd name="connsiteY10712" fmla="*/ 3037108 h 6858000"/>
            <a:gd name="connsiteX10713" fmla="*/ 6238530 w 12192000"/>
            <a:gd name="connsiteY10713" fmla="*/ 3071927 h 6858000"/>
            <a:gd name="connsiteX10714" fmla="*/ 6203718 w 12192000"/>
            <a:gd name="connsiteY10714" fmla="*/ 3106746 h 6858000"/>
            <a:gd name="connsiteX10715" fmla="*/ 6288611 w 12192000"/>
            <a:gd name="connsiteY10715" fmla="*/ 3106746 h 6858000"/>
            <a:gd name="connsiteX10716" fmla="*/ 6253786 w 12192000"/>
            <a:gd name="connsiteY10716" fmla="*/ 3071927 h 6858000"/>
            <a:gd name="connsiteX10717" fmla="*/ 6288611 w 12192000"/>
            <a:gd name="connsiteY10717" fmla="*/ 3037108 h 6858000"/>
            <a:gd name="connsiteX10718" fmla="*/ 6323424 w 12192000"/>
            <a:gd name="connsiteY10718" fmla="*/ 3071927 h 6858000"/>
            <a:gd name="connsiteX10719" fmla="*/ 6288611 w 12192000"/>
            <a:gd name="connsiteY10719" fmla="*/ 3106746 h 6858000"/>
            <a:gd name="connsiteX10720" fmla="*/ 6373504 w 12192000"/>
            <a:gd name="connsiteY10720" fmla="*/ 3106746 h 6858000"/>
            <a:gd name="connsiteX10721" fmla="*/ 6338678 w 12192000"/>
            <a:gd name="connsiteY10721" fmla="*/ 3071927 h 6858000"/>
            <a:gd name="connsiteX10722" fmla="*/ 6373504 w 12192000"/>
            <a:gd name="connsiteY10722" fmla="*/ 3037108 h 6858000"/>
            <a:gd name="connsiteX10723" fmla="*/ 6408316 w 12192000"/>
            <a:gd name="connsiteY10723" fmla="*/ 3071927 h 6858000"/>
            <a:gd name="connsiteX10724" fmla="*/ 6373504 w 12192000"/>
            <a:gd name="connsiteY10724" fmla="*/ 3106746 h 6858000"/>
            <a:gd name="connsiteX10725" fmla="*/ 6458396 w 12192000"/>
            <a:gd name="connsiteY10725" fmla="*/ 3106746 h 6858000"/>
            <a:gd name="connsiteX10726" fmla="*/ 6423570 w 12192000"/>
            <a:gd name="connsiteY10726" fmla="*/ 3071927 h 6858000"/>
            <a:gd name="connsiteX10727" fmla="*/ 6458396 w 12192000"/>
            <a:gd name="connsiteY10727" fmla="*/ 3037108 h 6858000"/>
            <a:gd name="connsiteX10728" fmla="*/ 6493208 w 12192000"/>
            <a:gd name="connsiteY10728" fmla="*/ 3071927 h 6858000"/>
            <a:gd name="connsiteX10729" fmla="*/ 6458396 w 12192000"/>
            <a:gd name="connsiteY10729" fmla="*/ 3106746 h 6858000"/>
            <a:gd name="connsiteX10730" fmla="*/ 6543288 w 12192000"/>
            <a:gd name="connsiteY10730" fmla="*/ 3106746 h 6858000"/>
            <a:gd name="connsiteX10731" fmla="*/ 6508463 w 12192000"/>
            <a:gd name="connsiteY10731" fmla="*/ 3071927 h 6858000"/>
            <a:gd name="connsiteX10732" fmla="*/ 6543288 w 12192000"/>
            <a:gd name="connsiteY10732" fmla="*/ 3037108 h 6858000"/>
            <a:gd name="connsiteX10733" fmla="*/ 6578100 w 12192000"/>
            <a:gd name="connsiteY10733" fmla="*/ 3071927 h 6858000"/>
            <a:gd name="connsiteX10734" fmla="*/ 6543288 w 12192000"/>
            <a:gd name="connsiteY10734" fmla="*/ 3106746 h 6858000"/>
            <a:gd name="connsiteX10735" fmla="*/ 6628181 w 12192000"/>
            <a:gd name="connsiteY10735" fmla="*/ 3106746 h 6858000"/>
            <a:gd name="connsiteX10736" fmla="*/ 6593356 w 12192000"/>
            <a:gd name="connsiteY10736" fmla="*/ 3071927 h 6858000"/>
            <a:gd name="connsiteX10737" fmla="*/ 6628181 w 12192000"/>
            <a:gd name="connsiteY10737" fmla="*/ 3037108 h 6858000"/>
            <a:gd name="connsiteX10738" fmla="*/ 6662994 w 12192000"/>
            <a:gd name="connsiteY10738" fmla="*/ 3071927 h 6858000"/>
            <a:gd name="connsiteX10739" fmla="*/ 6628181 w 12192000"/>
            <a:gd name="connsiteY10739" fmla="*/ 3106746 h 6858000"/>
            <a:gd name="connsiteX10740" fmla="*/ 6713074 w 12192000"/>
            <a:gd name="connsiteY10740" fmla="*/ 3106746 h 6858000"/>
            <a:gd name="connsiteX10741" fmla="*/ 6678248 w 12192000"/>
            <a:gd name="connsiteY10741" fmla="*/ 3071927 h 6858000"/>
            <a:gd name="connsiteX10742" fmla="*/ 6713074 w 12192000"/>
            <a:gd name="connsiteY10742" fmla="*/ 3037108 h 6858000"/>
            <a:gd name="connsiteX10743" fmla="*/ 6747886 w 12192000"/>
            <a:gd name="connsiteY10743" fmla="*/ 3071927 h 6858000"/>
            <a:gd name="connsiteX10744" fmla="*/ 6713074 w 12192000"/>
            <a:gd name="connsiteY10744" fmla="*/ 3106746 h 6858000"/>
            <a:gd name="connsiteX10745" fmla="*/ 6797966 w 12192000"/>
            <a:gd name="connsiteY10745" fmla="*/ 3106746 h 6858000"/>
            <a:gd name="connsiteX10746" fmla="*/ 6763140 w 12192000"/>
            <a:gd name="connsiteY10746" fmla="*/ 3071927 h 6858000"/>
            <a:gd name="connsiteX10747" fmla="*/ 6797966 w 12192000"/>
            <a:gd name="connsiteY10747" fmla="*/ 3037108 h 6858000"/>
            <a:gd name="connsiteX10748" fmla="*/ 6832778 w 12192000"/>
            <a:gd name="connsiteY10748" fmla="*/ 3071927 h 6858000"/>
            <a:gd name="connsiteX10749" fmla="*/ 6797966 w 12192000"/>
            <a:gd name="connsiteY10749" fmla="*/ 3106746 h 6858000"/>
            <a:gd name="connsiteX10750" fmla="*/ 6882858 w 12192000"/>
            <a:gd name="connsiteY10750" fmla="*/ 3106746 h 6858000"/>
            <a:gd name="connsiteX10751" fmla="*/ 6848033 w 12192000"/>
            <a:gd name="connsiteY10751" fmla="*/ 3071927 h 6858000"/>
            <a:gd name="connsiteX10752" fmla="*/ 6882858 w 12192000"/>
            <a:gd name="connsiteY10752" fmla="*/ 3037108 h 6858000"/>
            <a:gd name="connsiteX10753" fmla="*/ 6917670 w 12192000"/>
            <a:gd name="connsiteY10753" fmla="*/ 3071927 h 6858000"/>
            <a:gd name="connsiteX10754" fmla="*/ 6882858 w 12192000"/>
            <a:gd name="connsiteY10754" fmla="*/ 3106746 h 6858000"/>
            <a:gd name="connsiteX10755" fmla="*/ 6967750 w 12192000"/>
            <a:gd name="connsiteY10755" fmla="*/ 3106746 h 6858000"/>
            <a:gd name="connsiteX10756" fmla="*/ 6932925 w 12192000"/>
            <a:gd name="connsiteY10756" fmla="*/ 3071927 h 6858000"/>
            <a:gd name="connsiteX10757" fmla="*/ 6967750 w 12192000"/>
            <a:gd name="connsiteY10757" fmla="*/ 3037108 h 6858000"/>
            <a:gd name="connsiteX10758" fmla="*/ 7002563 w 12192000"/>
            <a:gd name="connsiteY10758" fmla="*/ 3071927 h 6858000"/>
            <a:gd name="connsiteX10759" fmla="*/ 6967750 w 12192000"/>
            <a:gd name="connsiteY10759" fmla="*/ 3106746 h 6858000"/>
            <a:gd name="connsiteX10760" fmla="*/ 7052644 w 12192000"/>
            <a:gd name="connsiteY10760" fmla="*/ 3106746 h 6858000"/>
            <a:gd name="connsiteX10761" fmla="*/ 7017818 w 12192000"/>
            <a:gd name="connsiteY10761" fmla="*/ 3071927 h 6858000"/>
            <a:gd name="connsiteX10762" fmla="*/ 7052644 w 12192000"/>
            <a:gd name="connsiteY10762" fmla="*/ 3037108 h 6858000"/>
            <a:gd name="connsiteX10763" fmla="*/ 7087456 w 12192000"/>
            <a:gd name="connsiteY10763" fmla="*/ 3071927 h 6858000"/>
            <a:gd name="connsiteX10764" fmla="*/ 7052644 w 12192000"/>
            <a:gd name="connsiteY10764" fmla="*/ 3106746 h 6858000"/>
            <a:gd name="connsiteX10765" fmla="*/ 7307320 w 12192000"/>
            <a:gd name="connsiteY10765" fmla="*/ 3106746 h 6858000"/>
            <a:gd name="connsiteX10766" fmla="*/ 7272495 w 12192000"/>
            <a:gd name="connsiteY10766" fmla="*/ 3071927 h 6858000"/>
            <a:gd name="connsiteX10767" fmla="*/ 7307320 w 12192000"/>
            <a:gd name="connsiteY10767" fmla="*/ 3037108 h 6858000"/>
            <a:gd name="connsiteX10768" fmla="*/ 7342133 w 12192000"/>
            <a:gd name="connsiteY10768" fmla="*/ 3071927 h 6858000"/>
            <a:gd name="connsiteX10769" fmla="*/ 7307320 w 12192000"/>
            <a:gd name="connsiteY10769" fmla="*/ 3106746 h 6858000"/>
            <a:gd name="connsiteX10770" fmla="*/ 7392214 w 12192000"/>
            <a:gd name="connsiteY10770" fmla="*/ 3106746 h 6858000"/>
            <a:gd name="connsiteX10771" fmla="*/ 7357388 w 12192000"/>
            <a:gd name="connsiteY10771" fmla="*/ 3071927 h 6858000"/>
            <a:gd name="connsiteX10772" fmla="*/ 7392214 w 12192000"/>
            <a:gd name="connsiteY10772" fmla="*/ 3037108 h 6858000"/>
            <a:gd name="connsiteX10773" fmla="*/ 7427026 w 12192000"/>
            <a:gd name="connsiteY10773" fmla="*/ 3071927 h 6858000"/>
            <a:gd name="connsiteX10774" fmla="*/ 7392214 w 12192000"/>
            <a:gd name="connsiteY10774" fmla="*/ 3106746 h 6858000"/>
            <a:gd name="connsiteX10775" fmla="*/ 7477106 w 12192000"/>
            <a:gd name="connsiteY10775" fmla="*/ 3106746 h 6858000"/>
            <a:gd name="connsiteX10776" fmla="*/ 7442280 w 12192000"/>
            <a:gd name="connsiteY10776" fmla="*/ 3071927 h 6858000"/>
            <a:gd name="connsiteX10777" fmla="*/ 7477106 w 12192000"/>
            <a:gd name="connsiteY10777" fmla="*/ 3037108 h 6858000"/>
            <a:gd name="connsiteX10778" fmla="*/ 7511918 w 12192000"/>
            <a:gd name="connsiteY10778" fmla="*/ 3071927 h 6858000"/>
            <a:gd name="connsiteX10779" fmla="*/ 7477106 w 12192000"/>
            <a:gd name="connsiteY10779" fmla="*/ 3106746 h 6858000"/>
            <a:gd name="connsiteX10780" fmla="*/ 8241138 w 12192000"/>
            <a:gd name="connsiteY10780" fmla="*/ 3106746 h 6858000"/>
            <a:gd name="connsiteX10781" fmla="*/ 8206313 w 12192000"/>
            <a:gd name="connsiteY10781" fmla="*/ 3071927 h 6858000"/>
            <a:gd name="connsiteX10782" fmla="*/ 8241138 w 12192000"/>
            <a:gd name="connsiteY10782" fmla="*/ 3037108 h 6858000"/>
            <a:gd name="connsiteX10783" fmla="*/ 8275950 w 12192000"/>
            <a:gd name="connsiteY10783" fmla="*/ 3071927 h 6858000"/>
            <a:gd name="connsiteX10784" fmla="*/ 8241138 w 12192000"/>
            <a:gd name="connsiteY10784" fmla="*/ 3106746 h 6858000"/>
            <a:gd name="connsiteX10785" fmla="*/ 8326030 w 12192000"/>
            <a:gd name="connsiteY10785" fmla="*/ 3106746 h 6858000"/>
            <a:gd name="connsiteX10786" fmla="*/ 8291205 w 12192000"/>
            <a:gd name="connsiteY10786" fmla="*/ 3071927 h 6858000"/>
            <a:gd name="connsiteX10787" fmla="*/ 8326030 w 12192000"/>
            <a:gd name="connsiteY10787" fmla="*/ 3037108 h 6858000"/>
            <a:gd name="connsiteX10788" fmla="*/ 8360843 w 12192000"/>
            <a:gd name="connsiteY10788" fmla="*/ 3071927 h 6858000"/>
            <a:gd name="connsiteX10789" fmla="*/ 8326030 w 12192000"/>
            <a:gd name="connsiteY10789" fmla="*/ 3106746 h 6858000"/>
            <a:gd name="connsiteX10790" fmla="*/ 9005170 w 12192000"/>
            <a:gd name="connsiteY10790" fmla="*/ 3106746 h 6858000"/>
            <a:gd name="connsiteX10791" fmla="*/ 8970345 w 12192000"/>
            <a:gd name="connsiteY10791" fmla="*/ 3071927 h 6858000"/>
            <a:gd name="connsiteX10792" fmla="*/ 9005170 w 12192000"/>
            <a:gd name="connsiteY10792" fmla="*/ 3037108 h 6858000"/>
            <a:gd name="connsiteX10793" fmla="*/ 9039983 w 12192000"/>
            <a:gd name="connsiteY10793" fmla="*/ 3071927 h 6858000"/>
            <a:gd name="connsiteX10794" fmla="*/ 9005170 w 12192000"/>
            <a:gd name="connsiteY10794" fmla="*/ 3106746 h 6858000"/>
            <a:gd name="connsiteX10795" fmla="*/ 9090063 w 12192000"/>
            <a:gd name="connsiteY10795" fmla="*/ 3106746 h 6858000"/>
            <a:gd name="connsiteX10796" fmla="*/ 9055237 w 12192000"/>
            <a:gd name="connsiteY10796" fmla="*/ 3071927 h 6858000"/>
            <a:gd name="connsiteX10797" fmla="*/ 9090063 w 12192000"/>
            <a:gd name="connsiteY10797" fmla="*/ 3037108 h 6858000"/>
            <a:gd name="connsiteX10798" fmla="*/ 9124875 w 12192000"/>
            <a:gd name="connsiteY10798" fmla="*/ 3071927 h 6858000"/>
            <a:gd name="connsiteX10799" fmla="*/ 9090063 w 12192000"/>
            <a:gd name="connsiteY10799" fmla="*/ 3106746 h 6858000"/>
            <a:gd name="connsiteX10800" fmla="*/ 9174956 w 12192000"/>
            <a:gd name="connsiteY10800" fmla="*/ 3106746 h 6858000"/>
            <a:gd name="connsiteX10801" fmla="*/ 9140130 w 12192000"/>
            <a:gd name="connsiteY10801" fmla="*/ 3071927 h 6858000"/>
            <a:gd name="connsiteX10802" fmla="*/ 9174956 w 12192000"/>
            <a:gd name="connsiteY10802" fmla="*/ 3037108 h 6858000"/>
            <a:gd name="connsiteX10803" fmla="*/ 9209768 w 12192000"/>
            <a:gd name="connsiteY10803" fmla="*/ 3071927 h 6858000"/>
            <a:gd name="connsiteX10804" fmla="*/ 9174956 w 12192000"/>
            <a:gd name="connsiteY10804" fmla="*/ 3106746 h 6858000"/>
            <a:gd name="connsiteX10805" fmla="*/ 9684310 w 12192000"/>
            <a:gd name="connsiteY10805" fmla="*/ 3106746 h 6858000"/>
            <a:gd name="connsiteX10806" fmla="*/ 9649485 w 12192000"/>
            <a:gd name="connsiteY10806" fmla="*/ 3071927 h 6858000"/>
            <a:gd name="connsiteX10807" fmla="*/ 9684310 w 12192000"/>
            <a:gd name="connsiteY10807" fmla="*/ 3037108 h 6858000"/>
            <a:gd name="connsiteX10808" fmla="*/ 9719123 w 12192000"/>
            <a:gd name="connsiteY10808" fmla="*/ 3071927 h 6858000"/>
            <a:gd name="connsiteX10809" fmla="*/ 9684310 w 12192000"/>
            <a:gd name="connsiteY10809" fmla="*/ 3106746 h 6858000"/>
            <a:gd name="connsiteX10810" fmla="*/ 3062693 w 12192000"/>
            <a:gd name="connsiteY10810" fmla="*/ 3021886 h 6858000"/>
            <a:gd name="connsiteX10811" fmla="*/ 3027874 w 12192000"/>
            <a:gd name="connsiteY10811" fmla="*/ 2987067 h 6858000"/>
            <a:gd name="connsiteX10812" fmla="*/ 3062693 w 12192000"/>
            <a:gd name="connsiteY10812" fmla="*/ 2952248 h 6858000"/>
            <a:gd name="connsiteX10813" fmla="*/ 3097512 w 12192000"/>
            <a:gd name="connsiteY10813" fmla="*/ 2987067 h 6858000"/>
            <a:gd name="connsiteX10814" fmla="*/ 3062693 w 12192000"/>
            <a:gd name="connsiteY10814" fmla="*/ 3021886 h 6858000"/>
            <a:gd name="connsiteX10815" fmla="*/ 3147586 w 12192000"/>
            <a:gd name="connsiteY10815" fmla="*/ 3021886 h 6858000"/>
            <a:gd name="connsiteX10816" fmla="*/ 3112767 w 12192000"/>
            <a:gd name="connsiteY10816" fmla="*/ 2987067 h 6858000"/>
            <a:gd name="connsiteX10817" fmla="*/ 3147586 w 12192000"/>
            <a:gd name="connsiteY10817" fmla="*/ 2952248 h 6858000"/>
            <a:gd name="connsiteX10818" fmla="*/ 3182404 w 12192000"/>
            <a:gd name="connsiteY10818" fmla="*/ 2987067 h 6858000"/>
            <a:gd name="connsiteX10819" fmla="*/ 3147586 w 12192000"/>
            <a:gd name="connsiteY10819" fmla="*/ 3021886 h 6858000"/>
            <a:gd name="connsiteX10820" fmla="*/ 3232478 w 12192000"/>
            <a:gd name="connsiteY10820" fmla="*/ 3021886 h 6858000"/>
            <a:gd name="connsiteX10821" fmla="*/ 3197659 w 12192000"/>
            <a:gd name="connsiteY10821" fmla="*/ 2987067 h 6858000"/>
            <a:gd name="connsiteX10822" fmla="*/ 3232478 w 12192000"/>
            <a:gd name="connsiteY10822" fmla="*/ 2952248 h 6858000"/>
            <a:gd name="connsiteX10823" fmla="*/ 3267297 w 12192000"/>
            <a:gd name="connsiteY10823" fmla="*/ 2987067 h 6858000"/>
            <a:gd name="connsiteX10824" fmla="*/ 3232478 w 12192000"/>
            <a:gd name="connsiteY10824" fmla="*/ 3021886 h 6858000"/>
            <a:gd name="connsiteX10825" fmla="*/ 5354794 w 12192000"/>
            <a:gd name="connsiteY10825" fmla="*/ 3021886 h 6858000"/>
            <a:gd name="connsiteX10826" fmla="*/ 5319968 w 12192000"/>
            <a:gd name="connsiteY10826" fmla="*/ 2987067 h 6858000"/>
            <a:gd name="connsiteX10827" fmla="*/ 5354794 w 12192000"/>
            <a:gd name="connsiteY10827" fmla="*/ 2952248 h 6858000"/>
            <a:gd name="connsiteX10828" fmla="*/ 5389606 w 12192000"/>
            <a:gd name="connsiteY10828" fmla="*/ 2987067 h 6858000"/>
            <a:gd name="connsiteX10829" fmla="*/ 5354794 w 12192000"/>
            <a:gd name="connsiteY10829" fmla="*/ 3021886 h 6858000"/>
            <a:gd name="connsiteX10830" fmla="*/ 5439686 w 12192000"/>
            <a:gd name="connsiteY10830" fmla="*/ 3021886 h 6858000"/>
            <a:gd name="connsiteX10831" fmla="*/ 5404860 w 12192000"/>
            <a:gd name="connsiteY10831" fmla="*/ 2987067 h 6858000"/>
            <a:gd name="connsiteX10832" fmla="*/ 5439686 w 12192000"/>
            <a:gd name="connsiteY10832" fmla="*/ 2952248 h 6858000"/>
            <a:gd name="connsiteX10833" fmla="*/ 5474498 w 12192000"/>
            <a:gd name="connsiteY10833" fmla="*/ 2987067 h 6858000"/>
            <a:gd name="connsiteX10834" fmla="*/ 5439686 w 12192000"/>
            <a:gd name="connsiteY10834" fmla="*/ 3021886 h 6858000"/>
            <a:gd name="connsiteX10835" fmla="*/ 5524578 w 12192000"/>
            <a:gd name="connsiteY10835" fmla="*/ 3021886 h 6858000"/>
            <a:gd name="connsiteX10836" fmla="*/ 5489753 w 12192000"/>
            <a:gd name="connsiteY10836" fmla="*/ 2987067 h 6858000"/>
            <a:gd name="connsiteX10837" fmla="*/ 5524578 w 12192000"/>
            <a:gd name="connsiteY10837" fmla="*/ 2952248 h 6858000"/>
            <a:gd name="connsiteX10838" fmla="*/ 5559390 w 12192000"/>
            <a:gd name="connsiteY10838" fmla="*/ 2987067 h 6858000"/>
            <a:gd name="connsiteX10839" fmla="*/ 5524578 w 12192000"/>
            <a:gd name="connsiteY10839" fmla="*/ 3021886 h 6858000"/>
            <a:gd name="connsiteX10840" fmla="*/ 5609471 w 12192000"/>
            <a:gd name="connsiteY10840" fmla="*/ 3021886 h 6858000"/>
            <a:gd name="connsiteX10841" fmla="*/ 5574646 w 12192000"/>
            <a:gd name="connsiteY10841" fmla="*/ 2987067 h 6858000"/>
            <a:gd name="connsiteX10842" fmla="*/ 5609471 w 12192000"/>
            <a:gd name="connsiteY10842" fmla="*/ 2952248 h 6858000"/>
            <a:gd name="connsiteX10843" fmla="*/ 5644284 w 12192000"/>
            <a:gd name="connsiteY10843" fmla="*/ 2987067 h 6858000"/>
            <a:gd name="connsiteX10844" fmla="*/ 5609471 w 12192000"/>
            <a:gd name="connsiteY10844" fmla="*/ 3021886 h 6858000"/>
            <a:gd name="connsiteX10845" fmla="*/ 5694364 w 12192000"/>
            <a:gd name="connsiteY10845" fmla="*/ 3021886 h 6858000"/>
            <a:gd name="connsiteX10846" fmla="*/ 5659538 w 12192000"/>
            <a:gd name="connsiteY10846" fmla="*/ 2987067 h 6858000"/>
            <a:gd name="connsiteX10847" fmla="*/ 5694364 w 12192000"/>
            <a:gd name="connsiteY10847" fmla="*/ 2952248 h 6858000"/>
            <a:gd name="connsiteX10848" fmla="*/ 5729176 w 12192000"/>
            <a:gd name="connsiteY10848" fmla="*/ 2987067 h 6858000"/>
            <a:gd name="connsiteX10849" fmla="*/ 5694364 w 12192000"/>
            <a:gd name="connsiteY10849" fmla="*/ 3021886 h 6858000"/>
            <a:gd name="connsiteX10850" fmla="*/ 5779256 w 12192000"/>
            <a:gd name="connsiteY10850" fmla="*/ 3021886 h 6858000"/>
            <a:gd name="connsiteX10851" fmla="*/ 5744430 w 12192000"/>
            <a:gd name="connsiteY10851" fmla="*/ 2987067 h 6858000"/>
            <a:gd name="connsiteX10852" fmla="*/ 5779256 w 12192000"/>
            <a:gd name="connsiteY10852" fmla="*/ 2952248 h 6858000"/>
            <a:gd name="connsiteX10853" fmla="*/ 5814068 w 12192000"/>
            <a:gd name="connsiteY10853" fmla="*/ 2987067 h 6858000"/>
            <a:gd name="connsiteX10854" fmla="*/ 5779256 w 12192000"/>
            <a:gd name="connsiteY10854" fmla="*/ 3021886 h 6858000"/>
            <a:gd name="connsiteX10855" fmla="*/ 5864148 w 12192000"/>
            <a:gd name="connsiteY10855" fmla="*/ 3021886 h 6858000"/>
            <a:gd name="connsiteX10856" fmla="*/ 5829323 w 12192000"/>
            <a:gd name="connsiteY10856" fmla="*/ 2987067 h 6858000"/>
            <a:gd name="connsiteX10857" fmla="*/ 5864148 w 12192000"/>
            <a:gd name="connsiteY10857" fmla="*/ 2952248 h 6858000"/>
            <a:gd name="connsiteX10858" fmla="*/ 5898960 w 12192000"/>
            <a:gd name="connsiteY10858" fmla="*/ 2987067 h 6858000"/>
            <a:gd name="connsiteX10859" fmla="*/ 5864148 w 12192000"/>
            <a:gd name="connsiteY10859" fmla="*/ 3021886 h 6858000"/>
            <a:gd name="connsiteX10860" fmla="*/ 5949041 w 12192000"/>
            <a:gd name="connsiteY10860" fmla="*/ 3021886 h 6858000"/>
            <a:gd name="connsiteX10861" fmla="*/ 5914216 w 12192000"/>
            <a:gd name="connsiteY10861" fmla="*/ 2987067 h 6858000"/>
            <a:gd name="connsiteX10862" fmla="*/ 5949041 w 12192000"/>
            <a:gd name="connsiteY10862" fmla="*/ 2952248 h 6858000"/>
            <a:gd name="connsiteX10863" fmla="*/ 5983854 w 12192000"/>
            <a:gd name="connsiteY10863" fmla="*/ 2987067 h 6858000"/>
            <a:gd name="connsiteX10864" fmla="*/ 5949041 w 12192000"/>
            <a:gd name="connsiteY10864" fmla="*/ 3021886 h 6858000"/>
            <a:gd name="connsiteX10865" fmla="*/ 6033934 w 12192000"/>
            <a:gd name="connsiteY10865" fmla="*/ 3021886 h 6858000"/>
            <a:gd name="connsiteX10866" fmla="*/ 5999108 w 12192000"/>
            <a:gd name="connsiteY10866" fmla="*/ 2987067 h 6858000"/>
            <a:gd name="connsiteX10867" fmla="*/ 6033934 w 12192000"/>
            <a:gd name="connsiteY10867" fmla="*/ 2952248 h 6858000"/>
            <a:gd name="connsiteX10868" fmla="*/ 6068746 w 12192000"/>
            <a:gd name="connsiteY10868" fmla="*/ 2987067 h 6858000"/>
            <a:gd name="connsiteX10869" fmla="*/ 6033934 w 12192000"/>
            <a:gd name="connsiteY10869" fmla="*/ 3021886 h 6858000"/>
            <a:gd name="connsiteX10870" fmla="*/ 6118826 w 12192000"/>
            <a:gd name="connsiteY10870" fmla="*/ 3021886 h 6858000"/>
            <a:gd name="connsiteX10871" fmla="*/ 6084000 w 12192000"/>
            <a:gd name="connsiteY10871" fmla="*/ 2987067 h 6858000"/>
            <a:gd name="connsiteX10872" fmla="*/ 6118826 w 12192000"/>
            <a:gd name="connsiteY10872" fmla="*/ 2952248 h 6858000"/>
            <a:gd name="connsiteX10873" fmla="*/ 6153638 w 12192000"/>
            <a:gd name="connsiteY10873" fmla="*/ 2987067 h 6858000"/>
            <a:gd name="connsiteX10874" fmla="*/ 6118826 w 12192000"/>
            <a:gd name="connsiteY10874" fmla="*/ 3021886 h 6858000"/>
            <a:gd name="connsiteX10875" fmla="*/ 6203718 w 12192000"/>
            <a:gd name="connsiteY10875" fmla="*/ 3021886 h 6858000"/>
            <a:gd name="connsiteX10876" fmla="*/ 6168893 w 12192000"/>
            <a:gd name="connsiteY10876" fmla="*/ 2987067 h 6858000"/>
            <a:gd name="connsiteX10877" fmla="*/ 6203718 w 12192000"/>
            <a:gd name="connsiteY10877" fmla="*/ 2952248 h 6858000"/>
            <a:gd name="connsiteX10878" fmla="*/ 6238530 w 12192000"/>
            <a:gd name="connsiteY10878" fmla="*/ 2987067 h 6858000"/>
            <a:gd name="connsiteX10879" fmla="*/ 6203718 w 12192000"/>
            <a:gd name="connsiteY10879" fmla="*/ 3021886 h 6858000"/>
            <a:gd name="connsiteX10880" fmla="*/ 6288611 w 12192000"/>
            <a:gd name="connsiteY10880" fmla="*/ 3021886 h 6858000"/>
            <a:gd name="connsiteX10881" fmla="*/ 6253786 w 12192000"/>
            <a:gd name="connsiteY10881" fmla="*/ 2987067 h 6858000"/>
            <a:gd name="connsiteX10882" fmla="*/ 6288611 w 12192000"/>
            <a:gd name="connsiteY10882" fmla="*/ 2952248 h 6858000"/>
            <a:gd name="connsiteX10883" fmla="*/ 6323424 w 12192000"/>
            <a:gd name="connsiteY10883" fmla="*/ 2987067 h 6858000"/>
            <a:gd name="connsiteX10884" fmla="*/ 6288611 w 12192000"/>
            <a:gd name="connsiteY10884" fmla="*/ 3021886 h 6858000"/>
            <a:gd name="connsiteX10885" fmla="*/ 6373504 w 12192000"/>
            <a:gd name="connsiteY10885" fmla="*/ 3021886 h 6858000"/>
            <a:gd name="connsiteX10886" fmla="*/ 6338678 w 12192000"/>
            <a:gd name="connsiteY10886" fmla="*/ 2987067 h 6858000"/>
            <a:gd name="connsiteX10887" fmla="*/ 6373504 w 12192000"/>
            <a:gd name="connsiteY10887" fmla="*/ 2952248 h 6858000"/>
            <a:gd name="connsiteX10888" fmla="*/ 6408316 w 12192000"/>
            <a:gd name="connsiteY10888" fmla="*/ 2987067 h 6858000"/>
            <a:gd name="connsiteX10889" fmla="*/ 6373504 w 12192000"/>
            <a:gd name="connsiteY10889" fmla="*/ 3021886 h 6858000"/>
            <a:gd name="connsiteX10890" fmla="*/ 6458396 w 12192000"/>
            <a:gd name="connsiteY10890" fmla="*/ 3021886 h 6858000"/>
            <a:gd name="connsiteX10891" fmla="*/ 6423570 w 12192000"/>
            <a:gd name="connsiteY10891" fmla="*/ 2987067 h 6858000"/>
            <a:gd name="connsiteX10892" fmla="*/ 6458396 w 12192000"/>
            <a:gd name="connsiteY10892" fmla="*/ 2952248 h 6858000"/>
            <a:gd name="connsiteX10893" fmla="*/ 6493208 w 12192000"/>
            <a:gd name="connsiteY10893" fmla="*/ 2987067 h 6858000"/>
            <a:gd name="connsiteX10894" fmla="*/ 6458396 w 12192000"/>
            <a:gd name="connsiteY10894" fmla="*/ 3021886 h 6858000"/>
            <a:gd name="connsiteX10895" fmla="*/ 6543288 w 12192000"/>
            <a:gd name="connsiteY10895" fmla="*/ 3021886 h 6858000"/>
            <a:gd name="connsiteX10896" fmla="*/ 6508463 w 12192000"/>
            <a:gd name="connsiteY10896" fmla="*/ 2987067 h 6858000"/>
            <a:gd name="connsiteX10897" fmla="*/ 6543288 w 12192000"/>
            <a:gd name="connsiteY10897" fmla="*/ 2952248 h 6858000"/>
            <a:gd name="connsiteX10898" fmla="*/ 6578100 w 12192000"/>
            <a:gd name="connsiteY10898" fmla="*/ 2987067 h 6858000"/>
            <a:gd name="connsiteX10899" fmla="*/ 6543288 w 12192000"/>
            <a:gd name="connsiteY10899" fmla="*/ 3021886 h 6858000"/>
            <a:gd name="connsiteX10900" fmla="*/ 6628181 w 12192000"/>
            <a:gd name="connsiteY10900" fmla="*/ 3021886 h 6858000"/>
            <a:gd name="connsiteX10901" fmla="*/ 6593356 w 12192000"/>
            <a:gd name="connsiteY10901" fmla="*/ 2987067 h 6858000"/>
            <a:gd name="connsiteX10902" fmla="*/ 6628181 w 12192000"/>
            <a:gd name="connsiteY10902" fmla="*/ 2952248 h 6858000"/>
            <a:gd name="connsiteX10903" fmla="*/ 6662994 w 12192000"/>
            <a:gd name="connsiteY10903" fmla="*/ 2987067 h 6858000"/>
            <a:gd name="connsiteX10904" fmla="*/ 6628181 w 12192000"/>
            <a:gd name="connsiteY10904" fmla="*/ 3021886 h 6858000"/>
            <a:gd name="connsiteX10905" fmla="*/ 6713074 w 12192000"/>
            <a:gd name="connsiteY10905" fmla="*/ 3021886 h 6858000"/>
            <a:gd name="connsiteX10906" fmla="*/ 6678248 w 12192000"/>
            <a:gd name="connsiteY10906" fmla="*/ 2987067 h 6858000"/>
            <a:gd name="connsiteX10907" fmla="*/ 6713074 w 12192000"/>
            <a:gd name="connsiteY10907" fmla="*/ 2952248 h 6858000"/>
            <a:gd name="connsiteX10908" fmla="*/ 6747886 w 12192000"/>
            <a:gd name="connsiteY10908" fmla="*/ 2987067 h 6858000"/>
            <a:gd name="connsiteX10909" fmla="*/ 6713074 w 12192000"/>
            <a:gd name="connsiteY10909" fmla="*/ 3021886 h 6858000"/>
            <a:gd name="connsiteX10910" fmla="*/ 6797966 w 12192000"/>
            <a:gd name="connsiteY10910" fmla="*/ 3021886 h 6858000"/>
            <a:gd name="connsiteX10911" fmla="*/ 6763140 w 12192000"/>
            <a:gd name="connsiteY10911" fmla="*/ 2987067 h 6858000"/>
            <a:gd name="connsiteX10912" fmla="*/ 6797966 w 12192000"/>
            <a:gd name="connsiteY10912" fmla="*/ 2952248 h 6858000"/>
            <a:gd name="connsiteX10913" fmla="*/ 6832778 w 12192000"/>
            <a:gd name="connsiteY10913" fmla="*/ 2987067 h 6858000"/>
            <a:gd name="connsiteX10914" fmla="*/ 6797966 w 12192000"/>
            <a:gd name="connsiteY10914" fmla="*/ 3021886 h 6858000"/>
            <a:gd name="connsiteX10915" fmla="*/ 6882858 w 12192000"/>
            <a:gd name="connsiteY10915" fmla="*/ 3021886 h 6858000"/>
            <a:gd name="connsiteX10916" fmla="*/ 6848033 w 12192000"/>
            <a:gd name="connsiteY10916" fmla="*/ 2987067 h 6858000"/>
            <a:gd name="connsiteX10917" fmla="*/ 6882858 w 12192000"/>
            <a:gd name="connsiteY10917" fmla="*/ 2952248 h 6858000"/>
            <a:gd name="connsiteX10918" fmla="*/ 6917670 w 12192000"/>
            <a:gd name="connsiteY10918" fmla="*/ 2987067 h 6858000"/>
            <a:gd name="connsiteX10919" fmla="*/ 6882858 w 12192000"/>
            <a:gd name="connsiteY10919" fmla="*/ 3021886 h 6858000"/>
            <a:gd name="connsiteX10920" fmla="*/ 6967750 w 12192000"/>
            <a:gd name="connsiteY10920" fmla="*/ 3021886 h 6858000"/>
            <a:gd name="connsiteX10921" fmla="*/ 6932925 w 12192000"/>
            <a:gd name="connsiteY10921" fmla="*/ 2987067 h 6858000"/>
            <a:gd name="connsiteX10922" fmla="*/ 6967750 w 12192000"/>
            <a:gd name="connsiteY10922" fmla="*/ 2952248 h 6858000"/>
            <a:gd name="connsiteX10923" fmla="*/ 7002563 w 12192000"/>
            <a:gd name="connsiteY10923" fmla="*/ 2987067 h 6858000"/>
            <a:gd name="connsiteX10924" fmla="*/ 6967750 w 12192000"/>
            <a:gd name="connsiteY10924" fmla="*/ 3021886 h 6858000"/>
            <a:gd name="connsiteX10925" fmla="*/ 7052644 w 12192000"/>
            <a:gd name="connsiteY10925" fmla="*/ 3021886 h 6858000"/>
            <a:gd name="connsiteX10926" fmla="*/ 7017818 w 12192000"/>
            <a:gd name="connsiteY10926" fmla="*/ 2987067 h 6858000"/>
            <a:gd name="connsiteX10927" fmla="*/ 7052644 w 12192000"/>
            <a:gd name="connsiteY10927" fmla="*/ 2952248 h 6858000"/>
            <a:gd name="connsiteX10928" fmla="*/ 7087456 w 12192000"/>
            <a:gd name="connsiteY10928" fmla="*/ 2987067 h 6858000"/>
            <a:gd name="connsiteX10929" fmla="*/ 7052644 w 12192000"/>
            <a:gd name="connsiteY10929" fmla="*/ 3021886 h 6858000"/>
            <a:gd name="connsiteX10930" fmla="*/ 7222428 w 12192000"/>
            <a:gd name="connsiteY10930" fmla="*/ 3021886 h 6858000"/>
            <a:gd name="connsiteX10931" fmla="*/ 7187603 w 12192000"/>
            <a:gd name="connsiteY10931" fmla="*/ 2987067 h 6858000"/>
            <a:gd name="connsiteX10932" fmla="*/ 7222428 w 12192000"/>
            <a:gd name="connsiteY10932" fmla="*/ 2952248 h 6858000"/>
            <a:gd name="connsiteX10933" fmla="*/ 7257240 w 12192000"/>
            <a:gd name="connsiteY10933" fmla="*/ 2987067 h 6858000"/>
            <a:gd name="connsiteX10934" fmla="*/ 7222428 w 12192000"/>
            <a:gd name="connsiteY10934" fmla="*/ 3021886 h 6858000"/>
            <a:gd name="connsiteX10935" fmla="*/ 8241138 w 12192000"/>
            <a:gd name="connsiteY10935" fmla="*/ 3021886 h 6858000"/>
            <a:gd name="connsiteX10936" fmla="*/ 8206313 w 12192000"/>
            <a:gd name="connsiteY10936" fmla="*/ 2987067 h 6858000"/>
            <a:gd name="connsiteX10937" fmla="*/ 8241138 w 12192000"/>
            <a:gd name="connsiteY10937" fmla="*/ 2952248 h 6858000"/>
            <a:gd name="connsiteX10938" fmla="*/ 8275950 w 12192000"/>
            <a:gd name="connsiteY10938" fmla="*/ 2987067 h 6858000"/>
            <a:gd name="connsiteX10939" fmla="*/ 8241138 w 12192000"/>
            <a:gd name="connsiteY10939" fmla="*/ 3021886 h 6858000"/>
            <a:gd name="connsiteX10940" fmla="*/ 8326030 w 12192000"/>
            <a:gd name="connsiteY10940" fmla="*/ 3021886 h 6858000"/>
            <a:gd name="connsiteX10941" fmla="*/ 8291205 w 12192000"/>
            <a:gd name="connsiteY10941" fmla="*/ 2987067 h 6858000"/>
            <a:gd name="connsiteX10942" fmla="*/ 8326030 w 12192000"/>
            <a:gd name="connsiteY10942" fmla="*/ 2952248 h 6858000"/>
            <a:gd name="connsiteX10943" fmla="*/ 8360843 w 12192000"/>
            <a:gd name="connsiteY10943" fmla="*/ 2987067 h 6858000"/>
            <a:gd name="connsiteX10944" fmla="*/ 8326030 w 12192000"/>
            <a:gd name="connsiteY10944" fmla="*/ 3021886 h 6858000"/>
            <a:gd name="connsiteX10945" fmla="*/ 9090063 w 12192000"/>
            <a:gd name="connsiteY10945" fmla="*/ 3021886 h 6858000"/>
            <a:gd name="connsiteX10946" fmla="*/ 9055237 w 12192000"/>
            <a:gd name="connsiteY10946" fmla="*/ 2987067 h 6858000"/>
            <a:gd name="connsiteX10947" fmla="*/ 9090063 w 12192000"/>
            <a:gd name="connsiteY10947" fmla="*/ 2952248 h 6858000"/>
            <a:gd name="connsiteX10948" fmla="*/ 9124875 w 12192000"/>
            <a:gd name="connsiteY10948" fmla="*/ 2987067 h 6858000"/>
            <a:gd name="connsiteX10949" fmla="*/ 9090063 w 12192000"/>
            <a:gd name="connsiteY10949" fmla="*/ 3021886 h 6858000"/>
            <a:gd name="connsiteX10950" fmla="*/ 9174956 w 12192000"/>
            <a:gd name="connsiteY10950" fmla="*/ 3021886 h 6858000"/>
            <a:gd name="connsiteX10951" fmla="*/ 9140130 w 12192000"/>
            <a:gd name="connsiteY10951" fmla="*/ 2987067 h 6858000"/>
            <a:gd name="connsiteX10952" fmla="*/ 9174956 w 12192000"/>
            <a:gd name="connsiteY10952" fmla="*/ 2952248 h 6858000"/>
            <a:gd name="connsiteX10953" fmla="*/ 9209768 w 12192000"/>
            <a:gd name="connsiteY10953" fmla="*/ 2987067 h 6858000"/>
            <a:gd name="connsiteX10954" fmla="*/ 9174956 w 12192000"/>
            <a:gd name="connsiteY10954" fmla="*/ 3021886 h 6858000"/>
            <a:gd name="connsiteX10955" fmla="*/ 9259848 w 12192000"/>
            <a:gd name="connsiteY10955" fmla="*/ 3021886 h 6858000"/>
            <a:gd name="connsiteX10956" fmla="*/ 9225023 w 12192000"/>
            <a:gd name="connsiteY10956" fmla="*/ 2987067 h 6858000"/>
            <a:gd name="connsiteX10957" fmla="*/ 9259848 w 12192000"/>
            <a:gd name="connsiteY10957" fmla="*/ 2952248 h 6858000"/>
            <a:gd name="connsiteX10958" fmla="*/ 9294660 w 12192000"/>
            <a:gd name="connsiteY10958" fmla="*/ 2987067 h 6858000"/>
            <a:gd name="connsiteX10959" fmla="*/ 9259848 w 12192000"/>
            <a:gd name="connsiteY10959" fmla="*/ 3021886 h 6858000"/>
            <a:gd name="connsiteX10960" fmla="*/ 9684310 w 12192000"/>
            <a:gd name="connsiteY10960" fmla="*/ 3021886 h 6858000"/>
            <a:gd name="connsiteX10961" fmla="*/ 9649485 w 12192000"/>
            <a:gd name="connsiteY10961" fmla="*/ 2987067 h 6858000"/>
            <a:gd name="connsiteX10962" fmla="*/ 9684310 w 12192000"/>
            <a:gd name="connsiteY10962" fmla="*/ 2952248 h 6858000"/>
            <a:gd name="connsiteX10963" fmla="*/ 9719123 w 12192000"/>
            <a:gd name="connsiteY10963" fmla="*/ 2987067 h 6858000"/>
            <a:gd name="connsiteX10964" fmla="*/ 9684310 w 12192000"/>
            <a:gd name="connsiteY10964" fmla="*/ 3021886 h 6858000"/>
            <a:gd name="connsiteX10965" fmla="*/ 3232478 w 12192000"/>
            <a:gd name="connsiteY10965" fmla="*/ 2937026 h 6858000"/>
            <a:gd name="connsiteX10966" fmla="*/ 3197659 w 12192000"/>
            <a:gd name="connsiteY10966" fmla="*/ 2902207 h 6858000"/>
            <a:gd name="connsiteX10967" fmla="*/ 3232478 w 12192000"/>
            <a:gd name="connsiteY10967" fmla="*/ 2867389 h 6858000"/>
            <a:gd name="connsiteX10968" fmla="*/ 3267297 w 12192000"/>
            <a:gd name="connsiteY10968" fmla="*/ 2902207 h 6858000"/>
            <a:gd name="connsiteX10969" fmla="*/ 3232478 w 12192000"/>
            <a:gd name="connsiteY10969" fmla="*/ 2937026 h 6858000"/>
            <a:gd name="connsiteX10970" fmla="*/ 3572048 w 12192000"/>
            <a:gd name="connsiteY10970" fmla="*/ 2937026 h 6858000"/>
            <a:gd name="connsiteX10971" fmla="*/ 3537229 w 12192000"/>
            <a:gd name="connsiteY10971" fmla="*/ 2902207 h 6858000"/>
            <a:gd name="connsiteX10972" fmla="*/ 3572048 w 12192000"/>
            <a:gd name="connsiteY10972" fmla="*/ 2867389 h 6858000"/>
            <a:gd name="connsiteX10973" fmla="*/ 3606867 w 12192000"/>
            <a:gd name="connsiteY10973" fmla="*/ 2902207 h 6858000"/>
            <a:gd name="connsiteX10974" fmla="*/ 3572048 w 12192000"/>
            <a:gd name="connsiteY10974" fmla="*/ 2937026 h 6858000"/>
            <a:gd name="connsiteX10975" fmla="*/ 5439686 w 12192000"/>
            <a:gd name="connsiteY10975" fmla="*/ 2937026 h 6858000"/>
            <a:gd name="connsiteX10976" fmla="*/ 5404860 w 12192000"/>
            <a:gd name="connsiteY10976" fmla="*/ 2902207 h 6858000"/>
            <a:gd name="connsiteX10977" fmla="*/ 5439686 w 12192000"/>
            <a:gd name="connsiteY10977" fmla="*/ 2867389 h 6858000"/>
            <a:gd name="connsiteX10978" fmla="*/ 5474498 w 12192000"/>
            <a:gd name="connsiteY10978" fmla="*/ 2902207 h 6858000"/>
            <a:gd name="connsiteX10979" fmla="*/ 5439686 w 12192000"/>
            <a:gd name="connsiteY10979" fmla="*/ 2937026 h 6858000"/>
            <a:gd name="connsiteX10980" fmla="*/ 5524578 w 12192000"/>
            <a:gd name="connsiteY10980" fmla="*/ 2937026 h 6858000"/>
            <a:gd name="connsiteX10981" fmla="*/ 5489753 w 12192000"/>
            <a:gd name="connsiteY10981" fmla="*/ 2902207 h 6858000"/>
            <a:gd name="connsiteX10982" fmla="*/ 5524578 w 12192000"/>
            <a:gd name="connsiteY10982" fmla="*/ 2867389 h 6858000"/>
            <a:gd name="connsiteX10983" fmla="*/ 5559390 w 12192000"/>
            <a:gd name="connsiteY10983" fmla="*/ 2902207 h 6858000"/>
            <a:gd name="connsiteX10984" fmla="*/ 5524578 w 12192000"/>
            <a:gd name="connsiteY10984" fmla="*/ 2937026 h 6858000"/>
            <a:gd name="connsiteX10985" fmla="*/ 5609471 w 12192000"/>
            <a:gd name="connsiteY10985" fmla="*/ 2937026 h 6858000"/>
            <a:gd name="connsiteX10986" fmla="*/ 5574646 w 12192000"/>
            <a:gd name="connsiteY10986" fmla="*/ 2902207 h 6858000"/>
            <a:gd name="connsiteX10987" fmla="*/ 5609471 w 12192000"/>
            <a:gd name="connsiteY10987" fmla="*/ 2867389 h 6858000"/>
            <a:gd name="connsiteX10988" fmla="*/ 5644284 w 12192000"/>
            <a:gd name="connsiteY10988" fmla="*/ 2902207 h 6858000"/>
            <a:gd name="connsiteX10989" fmla="*/ 5609471 w 12192000"/>
            <a:gd name="connsiteY10989" fmla="*/ 2937026 h 6858000"/>
            <a:gd name="connsiteX10990" fmla="*/ 5694364 w 12192000"/>
            <a:gd name="connsiteY10990" fmla="*/ 2937026 h 6858000"/>
            <a:gd name="connsiteX10991" fmla="*/ 5659538 w 12192000"/>
            <a:gd name="connsiteY10991" fmla="*/ 2902207 h 6858000"/>
            <a:gd name="connsiteX10992" fmla="*/ 5694364 w 12192000"/>
            <a:gd name="connsiteY10992" fmla="*/ 2867389 h 6858000"/>
            <a:gd name="connsiteX10993" fmla="*/ 5729176 w 12192000"/>
            <a:gd name="connsiteY10993" fmla="*/ 2902207 h 6858000"/>
            <a:gd name="connsiteX10994" fmla="*/ 5694364 w 12192000"/>
            <a:gd name="connsiteY10994" fmla="*/ 2937026 h 6858000"/>
            <a:gd name="connsiteX10995" fmla="*/ 5779256 w 12192000"/>
            <a:gd name="connsiteY10995" fmla="*/ 2937026 h 6858000"/>
            <a:gd name="connsiteX10996" fmla="*/ 5744430 w 12192000"/>
            <a:gd name="connsiteY10996" fmla="*/ 2902207 h 6858000"/>
            <a:gd name="connsiteX10997" fmla="*/ 5779256 w 12192000"/>
            <a:gd name="connsiteY10997" fmla="*/ 2867389 h 6858000"/>
            <a:gd name="connsiteX10998" fmla="*/ 5814068 w 12192000"/>
            <a:gd name="connsiteY10998" fmla="*/ 2902207 h 6858000"/>
            <a:gd name="connsiteX10999" fmla="*/ 5779256 w 12192000"/>
            <a:gd name="connsiteY10999" fmla="*/ 2937026 h 6858000"/>
            <a:gd name="connsiteX11000" fmla="*/ 5864148 w 12192000"/>
            <a:gd name="connsiteY11000" fmla="*/ 2937026 h 6858000"/>
            <a:gd name="connsiteX11001" fmla="*/ 5829323 w 12192000"/>
            <a:gd name="connsiteY11001" fmla="*/ 2902207 h 6858000"/>
            <a:gd name="connsiteX11002" fmla="*/ 5864148 w 12192000"/>
            <a:gd name="connsiteY11002" fmla="*/ 2867389 h 6858000"/>
            <a:gd name="connsiteX11003" fmla="*/ 5898960 w 12192000"/>
            <a:gd name="connsiteY11003" fmla="*/ 2902207 h 6858000"/>
            <a:gd name="connsiteX11004" fmla="*/ 5864148 w 12192000"/>
            <a:gd name="connsiteY11004" fmla="*/ 2937026 h 6858000"/>
            <a:gd name="connsiteX11005" fmla="*/ 5949041 w 12192000"/>
            <a:gd name="connsiteY11005" fmla="*/ 2937026 h 6858000"/>
            <a:gd name="connsiteX11006" fmla="*/ 5914216 w 12192000"/>
            <a:gd name="connsiteY11006" fmla="*/ 2902207 h 6858000"/>
            <a:gd name="connsiteX11007" fmla="*/ 5949041 w 12192000"/>
            <a:gd name="connsiteY11007" fmla="*/ 2867389 h 6858000"/>
            <a:gd name="connsiteX11008" fmla="*/ 5983854 w 12192000"/>
            <a:gd name="connsiteY11008" fmla="*/ 2902207 h 6858000"/>
            <a:gd name="connsiteX11009" fmla="*/ 5949041 w 12192000"/>
            <a:gd name="connsiteY11009" fmla="*/ 2937026 h 6858000"/>
            <a:gd name="connsiteX11010" fmla="*/ 6033934 w 12192000"/>
            <a:gd name="connsiteY11010" fmla="*/ 2937026 h 6858000"/>
            <a:gd name="connsiteX11011" fmla="*/ 5999108 w 12192000"/>
            <a:gd name="connsiteY11011" fmla="*/ 2902207 h 6858000"/>
            <a:gd name="connsiteX11012" fmla="*/ 6033934 w 12192000"/>
            <a:gd name="connsiteY11012" fmla="*/ 2867389 h 6858000"/>
            <a:gd name="connsiteX11013" fmla="*/ 6068746 w 12192000"/>
            <a:gd name="connsiteY11013" fmla="*/ 2902207 h 6858000"/>
            <a:gd name="connsiteX11014" fmla="*/ 6033934 w 12192000"/>
            <a:gd name="connsiteY11014" fmla="*/ 2937026 h 6858000"/>
            <a:gd name="connsiteX11015" fmla="*/ 6118826 w 12192000"/>
            <a:gd name="connsiteY11015" fmla="*/ 2937026 h 6858000"/>
            <a:gd name="connsiteX11016" fmla="*/ 6084000 w 12192000"/>
            <a:gd name="connsiteY11016" fmla="*/ 2902207 h 6858000"/>
            <a:gd name="connsiteX11017" fmla="*/ 6118826 w 12192000"/>
            <a:gd name="connsiteY11017" fmla="*/ 2867389 h 6858000"/>
            <a:gd name="connsiteX11018" fmla="*/ 6153638 w 12192000"/>
            <a:gd name="connsiteY11018" fmla="*/ 2902207 h 6858000"/>
            <a:gd name="connsiteX11019" fmla="*/ 6118826 w 12192000"/>
            <a:gd name="connsiteY11019" fmla="*/ 2937026 h 6858000"/>
            <a:gd name="connsiteX11020" fmla="*/ 6203718 w 12192000"/>
            <a:gd name="connsiteY11020" fmla="*/ 2937026 h 6858000"/>
            <a:gd name="connsiteX11021" fmla="*/ 6168893 w 12192000"/>
            <a:gd name="connsiteY11021" fmla="*/ 2902207 h 6858000"/>
            <a:gd name="connsiteX11022" fmla="*/ 6203718 w 12192000"/>
            <a:gd name="connsiteY11022" fmla="*/ 2867389 h 6858000"/>
            <a:gd name="connsiteX11023" fmla="*/ 6238530 w 12192000"/>
            <a:gd name="connsiteY11023" fmla="*/ 2902207 h 6858000"/>
            <a:gd name="connsiteX11024" fmla="*/ 6203718 w 12192000"/>
            <a:gd name="connsiteY11024" fmla="*/ 2937026 h 6858000"/>
            <a:gd name="connsiteX11025" fmla="*/ 6288611 w 12192000"/>
            <a:gd name="connsiteY11025" fmla="*/ 2937026 h 6858000"/>
            <a:gd name="connsiteX11026" fmla="*/ 6253786 w 12192000"/>
            <a:gd name="connsiteY11026" fmla="*/ 2902207 h 6858000"/>
            <a:gd name="connsiteX11027" fmla="*/ 6288611 w 12192000"/>
            <a:gd name="connsiteY11027" fmla="*/ 2867389 h 6858000"/>
            <a:gd name="connsiteX11028" fmla="*/ 6323424 w 12192000"/>
            <a:gd name="connsiteY11028" fmla="*/ 2902207 h 6858000"/>
            <a:gd name="connsiteX11029" fmla="*/ 6288611 w 12192000"/>
            <a:gd name="connsiteY11029" fmla="*/ 2937026 h 6858000"/>
            <a:gd name="connsiteX11030" fmla="*/ 6373504 w 12192000"/>
            <a:gd name="connsiteY11030" fmla="*/ 2937026 h 6858000"/>
            <a:gd name="connsiteX11031" fmla="*/ 6338678 w 12192000"/>
            <a:gd name="connsiteY11031" fmla="*/ 2902207 h 6858000"/>
            <a:gd name="connsiteX11032" fmla="*/ 6373504 w 12192000"/>
            <a:gd name="connsiteY11032" fmla="*/ 2867389 h 6858000"/>
            <a:gd name="connsiteX11033" fmla="*/ 6408316 w 12192000"/>
            <a:gd name="connsiteY11033" fmla="*/ 2902207 h 6858000"/>
            <a:gd name="connsiteX11034" fmla="*/ 6373504 w 12192000"/>
            <a:gd name="connsiteY11034" fmla="*/ 2937026 h 6858000"/>
            <a:gd name="connsiteX11035" fmla="*/ 6458396 w 12192000"/>
            <a:gd name="connsiteY11035" fmla="*/ 2937026 h 6858000"/>
            <a:gd name="connsiteX11036" fmla="*/ 6423570 w 12192000"/>
            <a:gd name="connsiteY11036" fmla="*/ 2902207 h 6858000"/>
            <a:gd name="connsiteX11037" fmla="*/ 6458396 w 12192000"/>
            <a:gd name="connsiteY11037" fmla="*/ 2867389 h 6858000"/>
            <a:gd name="connsiteX11038" fmla="*/ 6493208 w 12192000"/>
            <a:gd name="connsiteY11038" fmla="*/ 2902207 h 6858000"/>
            <a:gd name="connsiteX11039" fmla="*/ 6458396 w 12192000"/>
            <a:gd name="connsiteY11039" fmla="*/ 2937026 h 6858000"/>
            <a:gd name="connsiteX11040" fmla="*/ 6543288 w 12192000"/>
            <a:gd name="connsiteY11040" fmla="*/ 2937026 h 6858000"/>
            <a:gd name="connsiteX11041" fmla="*/ 6508463 w 12192000"/>
            <a:gd name="connsiteY11041" fmla="*/ 2902207 h 6858000"/>
            <a:gd name="connsiteX11042" fmla="*/ 6543288 w 12192000"/>
            <a:gd name="connsiteY11042" fmla="*/ 2867389 h 6858000"/>
            <a:gd name="connsiteX11043" fmla="*/ 6578100 w 12192000"/>
            <a:gd name="connsiteY11043" fmla="*/ 2902207 h 6858000"/>
            <a:gd name="connsiteX11044" fmla="*/ 6543288 w 12192000"/>
            <a:gd name="connsiteY11044" fmla="*/ 2937026 h 6858000"/>
            <a:gd name="connsiteX11045" fmla="*/ 6628181 w 12192000"/>
            <a:gd name="connsiteY11045" fmla="*/ 2937026 h 6858000"/>
            <a:gd name="connsiteX11046" fmla="*/ 6593356 w 12192000"/>
            <a:gd name="connsiteY11046" fmla="*/ 2902207 h 6858000"/>
            <a:gd name="connsiteX11047" fmla="*/ 6628181 w 12192000"/>
            <a:gd name="connsiteY11047" fmla="*/ 2867389 h 6858000"/>
            <a:gd name="connsiteX11048" fmla="*/ 6662994 w 12192000"/>
            <a:gd name="connsiteY11048" fmla="*/ 2902207 h 6858000"/>
            <a:gd name="connsiteX11049" fmla="*/ 6628181 w 12192000"/>
            <a:gd name="connsiteY11049" fmla="*/ 2937026 h 6858000"/>
            <a:gd name="connsiteX11050" fmla="*/ 6713074 w 12192000"/>
            <a:gd name="connsiteY11050" fmla="*/ 2937026 h 6858000"/>
            <a:gd name="connsiteX11051" fmla="*/ 6678248 w 12192000"/>
            <a:gd name="connsiteY11051" fmla="*/ 2902207 h 6858000"/>
            <a:gd name="connsiteX11052" fmla="*/ 6713074 w 12192000"/>
            <a:gd name="connsiteY11052" fmla="*/ 2867389 h 6858000"/>
            <a:gd name="connsiteX11053" fmla="*/ 6747886 w 12192000"/>
            <a:gd name="connsiteY11053" fmla="*/ 2902207 h 6858000"/>
            <a:gd name="connsiteX11054" fmla="*/ 6713074 w 12192000"/>
            <a:gd name="connsiteY11054" fmla="*/ 2937026 h 6858000"/>
            <a:gd name="connsiteX11055" fmla="*/ 6797966 w 12192000"/>
            <a:gd name="connsiteY11055" fmla="*/ 2937026 h 6858000"/>
            <a:gd name="connsiteX11056" fmla="*/ 6763140 w 12192000"/>
            <a:gd name="connsiteY11056" fmla="*/ 2902207 h 6858000"/>
            <a:gd name="connsiteX11057" fmla="*/ 6797966 w 12192000"/>
            <a:gd name="connsiteY11057" fmla="*/ 2867389 h 6858000"/>
            <a:gd name="connsiteX11058" fmla="*/ 6832778 w 12192000"/>
            <a:gd name="connsiteY11058" fmla="*/ 2902207 h 6858000"/>
            <a:gd name="connsiteX11059" fmla="*/ 6797966 w 12192000"/>
            <a:gd name="connsiteY11059" fmla="*/ 2937026 h 6858000"/>
            <a:gd name="connsiteX11060" fmla="*/ 6882858 w 12192000"/>
            <a:gd name="connsiteY11060" fmla="*/ 2937026 h 6858000"/>
            <a:gd name="connsiteX11061" fmla="*/ 6848033 w 12192000"/>
            <a:gd name="connsiteY11061" fmla="*/ 2902207 h 6858000"/>
            <a:gd name="connsiteX11062" fmla="*/ 6882858 w 12192000"/>
            <a:gd name="connsiteY11062" fmla="*/ 2867389 h 6858000"/>
            <a:gd name="connsiteX11063" fmla="*/ 6917670 w 12192000"/>
            <a:gd name="connsiteY11063" fmla="*/ 2902207 h 6858000"/>
            <a:gd name="connsiteX11064" fmla="*/ 6882858 w 12192000"/>
            <a:gd name="connsiteY11064" fmla="*/ 2937026 h 6858000"/>
            <a:gd name="connsiteX11065" fmla="*/ 6967750 w 12192000"/>
            <a:gd name="connsiteY11065" fmla="*/ 2937026 h 6858000"/>
            <a:gd name="connsiteX11066" fmla="*/ 6932925 w 12192000"/>
            <a:gd name="connsiteY11066" fmla="*/ 2902207 h 6858000"/>
            <a:gd name="connsiteX11067" fmla="*/ 6967750 w 12192000"/>
            <a:gd name="connsiteY11067" fmla="*/ 2867389 h 6858000"/>
            <a:gd name="connsiteX11068" fmla="*/ 7002563 w 12192000"/>
            <a:gd name="connsiteY11068" fmla="*/ 2902207 h 6858000"/>
            <a:gd name="connsiteX11069" fmla="*/ 6967750 w 12192000"/>
            <a:gd name="connsiteY11069" fmla="*/ 2937026 h 6858000"/>
            <a:gd name="connsiteX11070" fmla="*/ 7052644 w 12192000"/>
            <a:gd name="connsiteY11070" fmla="*/ 2937026 h 6858000"/>
            <a:gd name="connsiteX11071" fmla="*/ 7017818 w 12192000"/>
            <a:gd name="connsiteY11071" fmla="*/ 2902207 h 6858000"/>
            <a:gd name="connsiteX11072" fmla="*/ 7052644 w 12192000"/>
            <a:gd name="connsiteY11072" fmla="*/ 2867389 h 6858000"/>
            <a:gd name="connsiteX11073" fmla="*/ 7087456 w 12192000"/>
            <a:gd name="connsiteY11073" fmla="*/ 2902207 h 6858000"/>
            <a:gd name="connsiteX11074" fmla="*/ 7052644 w 12192000"/>
            <a:gd name="connsiteY11074" fmla="*/ 2937026 h 6858000"/>
            <a:gd name="connsiteX11075" fmla="*/ 7137536 w 12192000"/>
            <a:gd name="connsiteY11075" fmla="*/ 2937026 h 6858000"/>
            <a:gd name="connsiteX11076" fmla="*/ 7102710 w 12192000"/>
            <a:gd name="connsiteY11076" fmla="*/ 2902207 h 6858000"/>
            <a:gd name="connsiteX11077" fmla="*/ 7137536 w 12192000"/>
            <a:gd name="connsiteY11077" fmla="*/ 2867389 h 6858000"/>
            <a:gd name="connsiteX11078" fmla="*/ 7172348 w 12192000"/>
            <a:gd name="connsiteY11078" fmla="*/ 2902207 h 6858000"/>
            <a:gd name="connsiteX11079" fmla="*/ 7137536 w 12192000"/>
            <a:gd name="connsiteY11079" fmla="*/ 2937026 h 6858000"/>
            <a:gd name="connsiteX11080" fmla="*/ 7477106 w 12192000"/>
            <a:gd name="connsiteY11080" fmla="*/ 2937026 h 6858000"/>
            <a:gd name="connsiteX11081" fmla="*/ 7442280 w 12192000"/>
            <a:gd name="connsiteY11081" fmla="*/ 2902207 h 6858000"/>
            <a:gd name="connsiteX11082" fmla="*/ 7477106 w 12192000"/>
            <a:gd name="connsiteY11082" fmla="*/ 2867389 h 6858000"/>
            <a:gd name="connsiteX11083" fmla="*/ 7511918 w 12192000"/>
            <a:gd name="connsiteY11083" fmla="*/ 2902207 h 6858000"/>
            <a:gd name="connsiteX11084" fmla="*/ 7477106 w 12192000"/>
            <a:gd name="connsiteY11084" fmla="*/ 2937026 h 6858000"/>
            <a:gd name="connsiteX11085" fmla="*/ 8326030 w 12192000"/>
            <a:gd name="connsiteY11085" fmla="*/ 2937026 h 6858000"/>
            <a:gd name="connsiteX11086" fmla="*/ 8291205 w 12192000"/>
            <a:gd name="connsiteY11086" fmla="*/ 2902207 h 6858000"/>
            <a:gd name="connsiteX11087" fmla="*/ 8326030 w 12192000"/>
            <a:gd name="connsiteY11087" fmla="*/ 2867389 h 6858000"/>
            <a:gd name="connsiteX11088" fmla="*/ 8360843 w 12192000"/>
            <a:gd name="connsiteY11088" fmla="*/ 2902207 h 6858000"/>
            <a:gd name="connsiteX11089" fmla="*/ 8326030 w 12192000"/>
            <a:gd name="connsiteY11089" fmla="*/ 2937026 h 6858000"/>
            <a:gd name="connsiteX11090" fmla="*/ 9005170 w 12192000"/>
            <a:gd name="connsiteY11090" fmla="*/ 2937026 h 6858000"/>
            <a:gd name="connsiteX11091" fmla="*/ 8970345 w 12192000"/>
            <a:gd name="connsiteY11091" fmla="*/ 2902207 h 6858000"/>
            <a:gd name="connsiteX11092" fmla="*/ 9005170 w 12192000"/>
            <a:gd name="connsiteY11092" fmla="*/ 2867389 h 6858000"/>
            <a:gd name="connsiteX11093" fmla="*/ 9039983 w 12192000"/>
            <a:gd name="connsiteY11093" fmla="*/ 2902207 h 6858000"/>
            <a:gd name="connsiteX11094" fmla="*/ 9005170 w 12192000"/>
            <a:gd name="connsiteY11094" fmla="*/ 2937026 h 6858000"/>
            <a:gd name="connsiteX11095" fmla="*/ 9174956 w 12192000"/>
            <a:gd name="connsiteY11095" fmla="*/ 2937026 h 6858000"/>
            <a:gd name="connsiteX11096" fmla="*/ 9140130 w 12192000"/>
            <a:gd name="connsiteY11096" fmla="*/ 2902207 h 6858000"/>
            <a:gd name="connsiteX11097" fmla="*/ 9174956 w 12192000"/>
            <a:gd name="connsiteY11097" fmla="*/ 2867389 h 6858000"/>
            <a:gd name="connsiteX11098" fmla="*/ 9209768 w 12192000"/>
            <a:gd name="connsiteY11098" fmla="*/ 2902207 h 6858000"/>
            <a:gd name="connsiteX11099" fmla="*/ 9174956 w 12192000"/>
            <a:gd name="connsiteY11099" fmla="*/ 2937026 h 6858000"/>
            <a:gd name="connsiteX11100" fmla="*/ 9259848 w 12192000"/>
            <a:gd name="connsiteY11100" fmla="*/ 2937026 h 6858000"/>
            <a:gd name="connsiteX11101" fmla="*/ 9225023 w 12192000"/>
            <a:gd name="connsiteY11101" fmla="*/ 2902207 h 6858000"/>
            <a:gd name="connsiteX11102" fmla="*/ 9259848 w 12192000"/>
            <a:gd name="connsiteY11102" fmla="*/ 2867389 h 6858000"/>
            <a:gd name="connsiteX11103" fmla="*/ 9294660 w 12192000"/>
            <a:gd name="connsiteY11103" fmla="*/ 2902207 h 6858000"/>
            <a:gd name="connsiteX11104" fmla="*/ 9259848 w 12192000"/>
            <a:gd name="connsiteY11104" fmla="*/ 2937026 h 6858000"/>
            <a:gd name="connsiteX11105" fmla="*/ 9769203 w 12192000"/>
            <a:gd name="connsiteY11105" fmla="*/ 2937026 h 6858000"/>
            <a:gd name="connsiteX11106" fmla="*/ 9734377 w 12192000"/>
            <a:gd name="connsiteY11106" fmla="*/ 2902207 h 6858000"/>
            <a:gd name="connsiteX11107" fmla="*/ 9769203 w 12192000"/>
            <a:gd name="connsiteY11107" fmla="*/ 2867389 h 6858000"/>
            <a:gd name="connsiteX11108" fmla="*/ 9804015 w 12192000"/>
            <a:gd name="connsiteY11108" fmla="*/ 2902207 h 6858000"/>
            <a:gd name="connsiteX11109" fmla="*/ 9769203 w 12192000"/>
            <a:gd name="connsiteY11109" fmla="*/ 2937026 h 6858000"/>
            <a:gd name="connsiteX11110" fmla="*/ 3317371 w 12192000"/>
            <a:gd name="connsiteY11110" fmla="*/ 2852166 h 6858000"/>
            <a:gd name="connsiteX11111" fmla="*/ 3282552 w 12192000"/>
            <a:gd name="connsiteY11111" fmla="*/ 2817348 h 6858000"/>
            <a:gd name="connsiteX11112" fmla="*/ 3317371 w 12192000"/>
            <a:gd name="connsiteY11112" fmla="*/ 2782529 h 6858000"/>
            <a:gd name="connsiteX11113" fmla="*/ 3352190 w 12192000"/>
            <a:gd name="connsiteY11113" fmla="*/ 2817348 h 6858000"/>
            <a:gd name="connsiteX11114" fmla="*/ 3317371 w 12192000"/>
            <a:gd name="connsiteY11114" fmla="*/ 2852166 h 6858000"/>
            <a:gd name="connsiteX11115" fmla="*/ 3402263 w 12192000"/>
            <a:gd name="connsiteY11115" fmla="*/ 2852166 h 6858000"/>
            <a:gd name="connsiteX11116" fmla="*/ 3367444 w 12192000"/>
            <a:gd name="connsiteY11116" fmla="*/ 2817348 h 6858000"/>
            <a:gd name="connsiteX11117" fmla="*/ 3402263 w 12192000"/>
            <a:gd name="connsiteY11117" fmla="*/ 2782529 h 6858000"/>
            <a:gd name="connsiteX11118" fmla="*/ 3437082 w 12192000"/>
            <a:gd name="connsiteY11118" fmla="*/ 2817348 h 6858000"/>
            <a:gd name="connsiteX11119" fmla="*/ 3402263 w 12192000"/>
            <a:gd name="connsiteY11119" fmla="*/ 2852166 h 6858000"/>
            <a:gd name="connsiteX11120" fmla="*/ 3487156 w 12192000"/>
            <a:gd name="connsiteY11120" fmla="*/ 2852166 h 6858000"/>
            <a:gd name="connsiteX11121" fmla="*/ 3452337 w 12192000"/>
            <a:gd name="connsiteY11121" fmla="*/ 2817348 h 6858000"/>
            <a:gd name="connsiteX11122" fmla="*/ 3487156 w 12192000"/>
            <a:gd name="connsiteY11122" fmla="*/ 2782529 h 6858000"/>
            <a:gd name="connsiteX11123" fmla="*/ 3521974 w 12192000"/>
            <a:gd name="connsiteY11123" fmla="*/ 2817348 h 6858000"/>
            <a:gd name="connsiteX11124" fmla="*/ 3487156 w 12192000"/>
            <a:gd name="connsiteY11124" fmla="*/ 2852166 h 6858000"/>
            <a:gd name="connsiteX11125" fmla="*/ 3572048 w 12192000"/>
            <a:gd name="connsiteY11125" fmla="*/ 2852166 h 6858000"/>
            <a:gd name="connsiteX11126" fmla="*/ 3537229 w 12192000"/>
            <a:gd name="connsiteY11126" fmla="*/ 2817348 h 6858000"/>
            <a:gd name="connsiteX11127" fmla="*/ 3572048 w 12192000"/>
            <a:gd name="connsiteY11127" fmla="*/ 2782529 h 6858000"/>
            <a:gd name="connsiteX11128" fmla="*/ 3606867 w 12192000"/>
            <a:gd name="connsiteY11128" fmla="*/ 2817348 h 6858000"/>
            <a:gd name="connsiteX11129" fmla="*/ 3572048 w 12192000"/>
            <a:gd name="connsiteY11129" fmla="*/ 2852166 h 6858000"/>
            <a:gd name="connsiteX11130" fmla="*/ 3656941 w 12192000"/>
            <a:gd name="connsiteY11130" fmla="*/ 2852166 h 6858000"/>
            <a:gd name="connsiteX11131" fmla="*/ 3622122 w 12192000"/>
            <a:gd name="connsiteY11131" fmla="*/ 2817348 h 6858000"/>
            <a:gd name="connsiteX11132" fmla="*/ 3656941 w 12192000"/>
            <a:gd name="connsiteY11132" fmla="*/ 2782529 h 6858000"/>
            <a:gd name="connsiteX11133" fmla="*/ 3691760 w 12192000"/>
            <a:gd name="connsiteY11133" fmla="*/ 2817348 h 6858000"/>
            <a:gd name="connsiteX11134" fmla="*/ 3656941 w 12192000"/>
            <a:gd name="connsiteY11134" fmla="*/ 2852166 h 6858000"/>
            <a:gd name="connsiteX11135" fmla="*/ 3741833 w 12192000"/>
            <a:gd name="connsiteY11135" fmla="*/ 2852166 h 6858000"/>
            <a:gd name="connsiteX11136" fmla="*/ 3707014 w 12192000"/>
            <a:gd name="connsiteY11136" fmla="*/ 2817348 h 6858000"/>
            <a:gd name="connsiteX11137" fmla="*/ 3741833 w 12192000"/>
            <a:gd name="connsiteY11137" fmla="*/ 2782529 h 6858000"/>
            <a:gd name="connsiteX11138" fmla="*/ 3776652 w 12192000"/>
            <a:gd name="connsiteY11138" fmla="*/ 2817348 h 6858000"/>
            <a:gd name="connsiteX11139" fmla="*/ 3741833 w 12192000"/>
            <a:gd name="connsiteY11139" fmla="*/ 2852166 h 6858000"/>
            <a:gd name="connsiteX11140" fmla="*/ 3826726 w 12192000"/>
            <a:gd name="connsiteY11140" fmla="*/ 2852166 h 6858000"/>
            <a:gd name="connsiteX11141" fmla="*/ 3791907 w 12192000"/>
            <a:gd name="connsiteY11141" fmla="*/ 2817348 h 6858000"/>
            <a:gd name="connsiteX11142" fmla="*/ 3826726 w 12192000"/>
            <a:gd name="connsiteY11142" fmla="*/ 2782529 h 6858000"/>
            <a:gd name="connsiteX11143" fmla="*/ 3861544 w 12192000"/>
            <a:gd name="connsiteY11143" fmla="*/ 2817348 h 6858000"/>
            <a:gd name="connsiteX11144" fmla="*/ 3826726 w 12192000"/>
            <a:gd name="connsiteY11144" fmla="*/ 2852166 h 6858000"/>
            <a:gd name="connsiteX11145" fmla="*/ 3911618 w 12192000"/>
            <a:gd name="connsiteY11145" fmla="*/ 2852166 h 6858000"/>
            <a:gd name="connsiteX11146" fmla="*/ 3876799 w 12192000"/>
            <a:gd name="connsiteY11146" fmla="*/ 2817348 h 6858000"/>
            <a:gd name="connsiteX11147" fmla="*/ 3911618 w 12192000"/>
            <a:gd name="connsiteY11147" fmla="*/ 2782529 h 6858000"/>
            <a:gd name="connsiteX11148" fmla="*/ 3946437 w 12192000"/>
            <a:gd name="connsiteY11148" fmla="*/ 2817348 h 6858000"/>
            <a:gd name="connsiteX11149" fmla="*/ 3911618 w 12192000"/>
            <a:gd name="connsiteY11149" fmla="*/ 2852166 h 6858000"/>
            <a:gd name="connsiteX11150" fmla="*/ 5524578 w 12192000"/>
            <a:gd name="connsiteY11150" fmla="*/ 2852166 h 6858000"/>
            <a:gd name="connsiteX11151" fmla="*/ 5489753 w 12192000"/>
            <a:gd name="connsiteY11151" fmla="*/ 2817348 h 6858000"/>
            <a:gd name="connsiteX11152" fmla="*/ 5524578 w 12192000"/>
            <a:gd name="connsiteY11152" fmla="*/ 2782529 h 6858000"/>
            <a:gd name="connsiteX11153" fmla="*/ 5559390 w 12192000"/>
            <a:gd name="connsiteY11153" fmla="*/ 2817348 h 6858000"/>
            <a:gd name="connsiteX11154" fmla="*/ 5524578 w 12192000"/>
            <a:gd name="connsiteY11154" fmla="*/ 2852166 h 6858000"/>
            <a:gd name="connsiteX11155" fmla="*/ 5609471 w 12192000"/>
            <a:gd name="connsiteY11155" fmla="*/ 2852166 h 6858000"/>
            <a:gd name="connsiteX11156" fmla="*/ 5574646 w 12192000"/>
            <a:gd name="connsiteY11156" fmla="*/ 2817348 h 6858000"/>
            <a:gd name="connsiteX11157" fmla="*/ 5609471 w 12192000"/>
            <a:gd name="connsiteY11157" fmla="*/ 2782529 h 6858000"/>
            <a:gd name="connsiteX11158" fmla="*/ 5644284 w 12192000"/>
            <a:gd name="connsiteY11158" fmla="*/ 2817348 h 6858000"/>
            <a:gd name="connsiteX11159" fmla="*/ 5609471 w 12192000"/>
            <a:gd name="connsiteY11159" fmla="*/ 2852166 h 6858000"/>
            <a:gd name="connsiteX11160" fmla="*/ 5694364 w 12192000"/>
            <a:gd name="connsiteY11160" fmla="*/ 2852166 h 6858000"/>
            <a:gd name="connsiteX11161" fmla="*/ 5659538 w 12192000"/>
            <a:gd name="connsiteY11161" fmla="*/ 2817348 h 6858000"/>
            <a:gd name="connsiteX11162" fmla="*/ 5694364 w 12192000"/>
            <a:gd name="connsiteY11162" fmla="*/ 2782529 h 6858000"/>
            <a:gd name="connsiteX11163" fmla="*/ 5729176 w 12192000"/>
            <a:gd name="connsiteY11163" fmla="*/ 2817348 h 6858000"/>
            <a:gd name="connsiteX11164" fmla="*/ 5694364 w 12192000"/>
            <a:gd name="connsiteY11164" fmla="*/ 2852166 h 6858000"/>
            <a:gd name="connsiteX11165" fmla="*/ 5779256 w 12192000"/>
            <a:gd name="connsiteY11165" fmla="*/ 2852166 h 6858000"/>
            <a:gd name="connsiteX11166" fmla="*/ 5744430 w 12192000"/>
            <a:gd name="connsiteY11166" fmla="*/ 2817348 h 6858000"/>
            <a:gd name="connsiteX11167" fmla="*/ 5779256 w 12192000"/>
            <a:gd name="connsiteY11167" fmla="*/ 2782529 h 6858000"/>
            <a:gd name="connsiteX11168" fmla="*/ 5814068 w 12192000"/>
            <a:gd name="connsiteY11168" fmla="*/ 2817348 h 6858000"/>
            <a:gd name="connsiteX11169" fmla="*/ 5779256 w 12192000"/>
            <a:gd name="connsiteY11169" fmla="*/ 2852166 h 6858000"/>
            <a:gd name="connsiteX11170" fmla="*/ 5864148 w 12192000"/>
            <a:gd name="connsiteY11170" fmla="*/ 2852166 h 6858000"/>
            <a:gd name="connsiteX11171" fmla="*/ 5829323 w 12192000"/>
            <a:gd name="connsiteY11171" fmla="*/ 2817348 h 6858000"/>
            <a:gd name="connsiteX11172" fmla="*/ 5864148 w 12192000"/>
            <a:gd name="connsiteY11172" fmla="*/ 2782529 h 6858000"/>
            <a:gd name="connsiteX11173" fmla="*/ 5898960 w 12192000"/>
            <a:gd name="connsiteY11173" fmla="*/ 2817348 h 6858000"/>
            <a:gd name="connsiteX11174" fmla="*/ 5864148 w 12192000"/>
            <a:gd name="connsiteY11174" fmla="*/ 2852166 h 6858000"/>
            <a:gd name="connsiteX11175" fmla="*/ 5949041 w 12192000"/>
            <a:gd name="connsiteY11175" fmla="*/ 2852166 h 6858000"/>
            <a:gd name="connsiteX11176" fmla="*/ 5914216 w 12192000"/>
            <a:gd name="connsiteY11176" fmla="*/ 2817348 h 6858000"/>
            <a:gd name="connsiteX11177" fmla="*/ 5949041 w 12192000"/>
            <a:gd name="connsiteY11177" fmla="*/ 2782529 h 6858000"/>
            <a:gd name="connsiteX11178" fmla="*/ 5983854 w 12192000"/>
            <a:gd name="connsiteY11178" fmla="*/ 2817348 h 6858000"/>
            <a:gd name="connsiteX11179" fmla="*/ 5949041 w 12192000"/>
            <a:gd name="connsiteY11179" fmla="*/ 2852166 h 6858000"/>
            <a:gd name="connsiteX11180" fmla="*/ 6033934 w 12192000"/>
            <a:gd name="connsiteY11180" fmla="*/ 2852166 h 6858000"/>
            <a:gd name="connsiteX11181" fmla="*/ 5999108 w 12192000"/>
            <a:gd name="connsiteY11181" fmla="*/ 2817348 h 6858000"/>
            <a:gd name="connsiteX11182" fmla="*/ 6033934 w 12192000"/>
            <a:gd name="connsiteY11182" fmla="*/ 2782529 h 6858000"/>
            <a:gd name="connsiteX11183" fmla="*/ 6068746 w 12192000"/>
            <a:gd name="connsiteY11183" fmla="*/ 2817348 h 6858000"/>
            <a:gd name="connsiteX11184" fmla="*/ 6033934 w 12192000"/>
            <a:gd name="connsiteY11184" fmla="*/ 2852166 h 6858000"/>
            <a:gd name="connsiteX11185" fmla="*/ 6118826 w 12192000"/>
            <a:gd name="connsiteY11185" fmla="*/ 2852166 h 6858000"/>
            <a:gd name="connsiteX11186" fmla="*/ 6084000 w 12192000"/>
            <a:gd name="connsiteY11186" fmla="*/ 2817348 h 6858000"/>
            <a:gd name="connsiteX11187" fmla="*/ 6118826 w 12192000"/>
            <a:gd name="connsiteY11187" fmla="*/ 2782529 h 6858000"/>
            <a:gd name="connsiteX11188" fmla="*/ 6153638 w 12192000"/>
            <a:gd name="connsiteY11188" fmla="*/ 2817348 h 6858000"/>
            <a:gd name="connsiteX11189" fmla="*/ 6118826 w 12192000"/>
            <a:gd name="connsiteY11189" fmla="*/ 2852166 h 6858000"/>
            <a:gd name="connsiteX11190" fmla="*/ 6203718 w 12192000"/>
            <a:gd name="connsiteY11190" fmla="*/ 2852166 h 6858000"/>
            <a:gd name="connsiteX11191" fmla="*/ 6168893 w 12192000"/>
            <a:gd name="connsiteY11191" fmla="*/ 2817348 h 6858000"/>
            <a:gd name="connsiteX11192" fmla="*/ 6203718 w 12192000"/>
            <a:gd name="connsiteY11192" fmla="*/ 2782529 h 6858000"/>
            <a:gd name="connsiteX11193" fmla="*/ 6238530 w 12192000"/>
            <a:gd name="connsiteY11193" fmla="*/ 2817348 h 6858000"/>
            <a:gd name="connsiteX11194" fmla="*/ 6203718 w 12192000"/>
            <a:gd name="connsiteY11194" fmla="*/ 2852166 h 6858000"/>
            <a:gd name="connsiteX11195" fmla="*/ 6288611 w 12192000"/>
            <a:gd name="connsiteY11195" fmla="*/ 2852166 h 6858000"/>
            <a:gd name="connsiteX11196" fmla="*/ 6253786 w 12192000"/>
            <a:gd name="connsiteY11196" fmla="*/ 2817348 h 6858000"/>
            <a:gd name="connsiteX11197" fmla="*/ 6288611 w 12192000"/>
            <a:gd name="connsiteY11197" fmla="*/ 2782529 h 6858000"/>
            <a:gd name="connsiteX11198" fmla="*/ 6323424 w 12192000"/>
            <a:gd name="connsiteY11198" fmla="*/ 2817348 h 6858000"/>
            <a:gd name="connsiteX11199" fmla="*/ 6288611 w 12192000"/>
            <a:gd name="connsiteY11199" fmla="*/ 2852166 h 6858000"/>
            <a:gd name="connsiteX11200" fmla="*/ 6373504 w 12192000"/>
            <a:gd name="connsiteY11200" fmla="*/ 2852166 h 6858000"/>
            <a:gd name="connsiteX11201" fmla="*/ 6338678 w 12192000"/>
            <a:gd name="connsiteY11201" fmla="*/ 2817348 h 6858000"/>
            <a:gd name="connsiteX11202" fmla="*/ 6373504 w 12192000"/>
            <a:gd name="connsiteY11202" fmla="*/ 2782529 h 6858000"/>
            <a:gd name="connsiteX11203" fmla="*/ 6408316 w 12192000"/>
            <a:gd name="connsiteY11203" fmla="*/ 2817348 h 6858000"/>
            <a:gd name="connsiteX11204" fmla="*/ 6373504 w 12192000"/>
            <a:gd name="connsiteY11204" fmla="*/ 2852166 h 6858000"/>
            <a:gd name="connsiteX11205" fmla="*/ 6458396 w 12192000"/>
            <a:gd name="connsiteY11205" fmla="*/ 2852166 h 6858000"/>
            <a:gd name="connsiteX11206" fmla="*/ 6423570 w 12192000"/>
            <a:gd name="connsiteY11206" fmla="*/ 2817348 h 6858000"/>
            <a:gd name="connsiteX11207" fmla="*/ 6458396 w 12192000"/>
            <a:gd name="connsiteY11207" fmla="*/ 2782529 h 6858000"/>
            <a:gd name="connsiteX11208" fmla="*/ 6493208 w 12192000"/>
            <a:gd name="connsiteY11208" fmla="*/ 2817348 h 6858000"/>
            <a:gd name="connsiteX11209" fmla="*/ 6458396 w 12192000"/>
            <a:gd name="connsiteY11209" fmla="*/ 2852166 h 6858000"/>
            <a:gd name="connsiteX11210" fmla="*/ 6543288 w 12192000"/>
            <a:gd name="connsiteY11210" fmla="*/ 2852166 h 6858000"/>
            <a:gd name="connsiteX11211" fmla="*/ 6508463 w 12192000"/>
            <a:gd name="connsiteY11211" fmla="*/ 2817348 h 6858000"/>
            <a:gd name="connsiteX11212" fmla="*/ 6543288 w 12192000"/>
            <a:gd name="connsiteY11212" fmla="*/ 2782529 h 6858000"/>
            <a:gd name="connsiteX11213" fmla="*/ 6578100 w 12192000"/>
            <a:gd name="connsiteY11213" fmla="*/ 2817348 h 6858000"/>
            <a:gd name="connsiteX11214" fmla="*/ 6543288 w 12192000"/>
            <a:gd name="connsiteY11214" fmla="*/ 2852166 h 6858000"/>
            <a:gd name="connsiteX11215" fmla="*/ 6628181 w 12192000"/>
            <a:gd name="connsiteY11215" fmla="*/ 2852166 h 6858000"/>
            <a:gd name="connsiteX11216" fmla="*/ 6593356 w 12192000"/>
            <a:gd name="connsiteY11216" fmla="*/ 2817348 h 6858000"/>
            <a:gd name="connsiteX11217" fmla="*/ 6628181 w 12192000"/>
            <a:gd name="connsiteY11217" fmla="*/ 2782529 h 6858000"/>
            <a:gd name="connsiteX11218" fmla="*/ 6662994 w 12192000"/>
            <a:gd name="connsiteY11218" fmla="*/ 2817348 h 6858000"/>
            <a:gd name="connsiteX11219" fmla="*/ 6628181 w 12192000"/>
            <a:gd name="connsiteY11219" fmla="*/ 2852166 h 6858000"/>
            <a:gd name="connsiteX11220" fmla="*/ 6713074 w 12192000"/>
            <a:gd name="connsiteY11220" fmla="*/ 2852166 h 6858000"/>
            <a:gd name="connsiteX11221" fmla="*/ 6678248 w 12192000"/>
            <a:gd name="connsiteY11221" fmla="*/ 2817348 h 6858000"/>
            <a:gd name="connsiteX11222" fmla="*/ 6713074 w 12192000"/>
            <a:gd name="connsiteY11222" fmla="*/ 2782529 h 6858000"/>
            <a:gd name="connsiteX11223" fmla="*/ 6747886 w 12192000"/>
            <a:gd name="connsiteY11223" fmla="*/ 2817348 h 6858000"/>
            <a:gd name="connsiteX11224" fmla="*/ 6713074 w 12192000"/>
            <a:gd name="connsiteY11224" fmla="*/ 2852166 h 6858000"/>
            <a:gd name="connsiteX11225" fmla="*/ 6797966 w 12192000"/>
            <a:gd name="connsiteY11225" fmla="*/ 2852166 h 6858000"/>
            <a:gd name="connsiteX11226" fmla="*/ 6763140 w 12192000"/>
            <a:gd name="connsiteY11226" fmla="*/ 2817348 h 6858000"/>
            <a:gd name="connsiteX11227" fmla="*/ 6797966 w 12192000"/>
            <a:gd name="connsiteY11227" fmla="*/ 2782529 h 6858000"/>
            <a:gd name="connsiteX11228" fmla="*/ 6832778 w 12192000"/>
            <a:gd name="connsiteY11228" fmla="*/ 2817348 h 6858000"/>
            <a:gd name="connsiteX11229" fmla="*/ 6797966 w 12192000"/>
            <a:gd name="connsiteY11229" fmla="*/ 2852166 h 6858000"/>
            <a:gd name="connsiteX11230" fmla="*/ 6882858 w 12192000"/>
            <a:gd name="connsiteY11230" fmla="*/ 2852166 h 6858000"/>
            <a:gd name="connsiteX11231" fmla="*/ 6848033 w 12192000"/>
            <a:gd name="connsiteY11231" fmla="*/ 2817348 h 6858000"/>
            <a:gd name="connsiteX11232" fmla="*/ 6882858 w 12192000"/>
            <a:gd name="connsiteY11232" fmla="*/ 2782529 h 6858000"/>
            <a:gd name="connsiteX11233" fmla="*/ 6917670 w 12192000"/>
            <a:gd name="connsiteY11233" fmla="*/ 2817348 h 6858000"/>
            <a:gd name="connsiteX11234" fmla="*/ 6882858 w 12192000"/>
            <a:gd name="connsiteY11234" fmla="*/ 2852166 h 6858000"/>
            <a:gd name="connsiteX11235" fmla="*/ 6967750 w 12192000"/>
            <a:gd name="connsiteY11235" fmla="*/ 2852166 h 6858000"/>
            <a:gd name="connsiteX11236" fmla="*/ 6932925 w 12192000"/>
            <a:gd name="connsiteY11236" fmla="*/ 2817348 h 6858000"/>
            <a:gd name="connsiteX11237" fmla="*/ 6967750 w 12192000"/>
            <a:gd name="connsiteY11237" fmla="*/ 2782529 h 6858000"/>
            <a:gd name="connsiteX11238" fmla="*/ 7002563 w 12192000"/>
            <a:gd name="connsiteY11238" fmla="*/ 2817348 h 6858000"/>
            <a:gd name="connsiteX11239" fmla="*/ 6967750 w 12192000"/>
            <a:gd name="connsiteY11239" fmla="*/ 2852166 h 6858000"/>
            <a:gd name="connsiteX11240" fmla="*/ 7052644 w 12192000"/>
            <a:gd name="connsiteY11240" fmla="*/ 2852166 h 6858000"/>
            <a:gd name="connsiteX11241" fmla="*/ 7017818 w 12192000"/>
            <a:gd name="connsiteY11241" fmla="*/ 2817348 h 6858000"/>
            <a:gd name="connsiteX11242" fmla="*/ 7052644 w 12192000"/>
            <a:gd name="connsiteY11242" fmla="*/ 2782529 h 6858000"/>
            <a:gd name="connsiteX11243" fmla="*/ 7087456 w 12192000"/>
            <a:gd name="connsiteY11243" fmla="*/ 2817348 h 6858000"/>
            <a:gd name="connsiteX11244" fmla="*/ 7052644 w 12192000"/>
            <a:gd name="connsiteY11244" fmla="*/ 2852166 h 6858000"/>
            <a:gd name="connsiteX11245" fmla="*/ 7137536 w 12192000"/>
            <a:gd name="connsiteY11245" fmla="*/ 2852166 h 6858000"/>
            <a:gd name="connsiteX11246" fmla="*/ 7102710 w 12192000"/>
            <a:gd name="connsiteY11246" fmla="*/ 2817348 h 6858000"/>
            <a:gd name="connsiteX11247" fmla="*/ 7137536 w 12192000"/>
            <a:gd name="connsiteY11247" fmla="*/ 2782529 h 6858000"/>
            <a:gd name="connsiteX11248" fmla="*/ 7172348 w 12192000"/>
            <a:gd name="connsiteY11248" fmla="*/ 2817348 h 6858000"/>
            <a:gd name="connsiteX11249" fmla="*/ 7137536 w 12192000"/>
            <a:gd name="connsiteY11249" fmla="*/ 2852166 h 6858000"/>
            <a:gd name="connsiteX11250" fmla="*/ 7222428 w 12192000"/>
            <a:gd name="connsiteY11250" fmla="*/ 2852166 h 6858000"/>
            <a:gd name="connsiteX11251" fmla="*/ 7187603 w 12192000"/>
            <a:gd name="connsiteY11251" fmla="*/ 2817348 h 6858000"/>
            <a:gd name="connsiteX11252" fmla="*/ 7222428 w 12192000"/>
            <a:gd name="connsiteY11252" fmla="*/ 2782529 h 6858000"/>
            <a:gd name="connsiteX11253" fmla="*/ 7257240 w 12192000"/>
            <a:gd name="connsiteY11253" fmla="*/ 2817348 h 6858000"/>
            <a:gd name="connsiteX11254" fmla="*/ 7222428 w 12192000"/>
            <a:gd name="connsiteY11254" fmla="*/ 2852166 h 6858000"/>
            <a:gd name="connsiteX11255" fmla="*/ 7307320 w 12192000"/>
            <a:gd name="connsiteY11255" fmla="*/ 2852166 h 6858000"/>
            <a:gd name="connsiteX11256" fmla="*/ 7272495 w 12192000"/>
            <a:gd name="connsiteY11256" fmla="*/ 2817348 h 6858000"/>
            <a:gd name="connsiteX11257" fmla="*/ 7307320 w 12192000"/>
            <a:gd name="connsiteY11257" fmla="*/ 2782529 h 6858000"/>
            <a:gd name="connsiteX11258" fmla="*/ 7342133 w 12192000"/>
            <a:gd name="connsiteY11258" fmla="*/ 2817348 h 6858000"/>
            <a:gd name="connsiteX11259" fmla="*/ 7307320 w 12192000"/>
            <a:gd name="connsiteY11259" fmla="*/ 2852166 h 6858000"/>
            <a:gd name="connsiteX11260" fmla="*/ 7392214 w 12192000"/>
            <a:gd name="connsiteY11260" fmla="*/ 2852166 h 6858000"/>
            <a:gd name="connsiteX11261" fmla="*/ 7357388 w 12192000"/>
            <a:gd name="connsiteY11261" fmla="*/ 2817348 h 6858000"/>
            <a:gd name="connsiteX11262" fmla="*/ 7392214 w 12192000"/>
            <a:gd name="connsiteY11262" fmla="*/ 2782529 h 6858000"/>
            <a:gd name="connsiteX11263" fmla="*/ 7427026 w 12192000"/>
            <a:gd name="connsiteY11263" fmla="*/ 2817348 h 6858000"/>
            <a:gd name="connsiteX11264" fmla="*/ 7392214 w 12192000"/>
            <a:gd name="connsiteY11264" fmla="*/ 2852166 h 6858000"/>
            <a:gd name="connsiteX11265" fmla="*/ 8410923 w 12192000"/>
            <a:gd name="connsiteY11265" fmla="*/ 2852166 h 6858000"/>
            <a:gd name="connsiteX11266" fmla="*/ 8376097 w 12192000"/>
            <a:gd name="connsiteY11266" fmla="*/ 2817348 h 6858000"/>
            <a:gd name="connsiteX11267" fmla="*/ 8410923 w 12192000"/>
            <a:gd name="connsiteY11267" fmla="*/ 2782529 h 6858000"/>
            <a:gd name="connsiteX11268" fmla="*/ 8445735 w 12192000"/>
            <a:gd name="connsiteY11268" fmla="*/ 2817348 h 6858000"/>
            <a:gd name="connsiteX11269" fmla="*/ 8410923 w 12192000"/>
            <a:gd name="connsiteY11269" fmla="*/ 2852166 h 6858000"/>
            <a:gd name="connsiteX11270" fmla="*/ 9005170 w 12192000"/>
            <a:gd name="connsiteY11270" fmla="*/ 2852166 h 6858000"/>
            <a:gd name="connsiteX11271" fmla="*/ 8970345 w 12192000"/>
            <a:gd name="connsiteY11271" fmla="*/ 2817348 h 6858000"/>
            <a:gd name="connsiteX11272" fmla="*/ 9005170 w 12192000"/>
            <a:gd name="connsiteY11272" fmla="*/ 2782529 h 6858000"/>
            <a:gd name="connsiteX11273" fmla="*/ 9039983 w 12192000"/>
            <a:gd name="connsiteY11273" fmla="*/ 2817348 h 6858000"/>
            <a:gd name="connsiteX11274" fmla="*/ 9005170 w 12192000"/>
            <a:gd name="connsiteY11274" fmla="*/ 2852166 h 6858000"/>
            <a:gd name="connsiteX11275" fmla="*/ 9769203 w 12192000"/>
            <a:gd name="connsiteY11275" fmla="*/ 2852166 h 6858000"/>
            <a:gd name="connsiteX11276" fmla="*/ 9734377 w 12192000"/>
            <a:gd name="connsiteY11276" fmla="*/ 2817348 h 6858000"/>
            <a:gd name="connsiteX11277" fmla="*/ 9769203 w 12192000"/>
            <a:gd name="connsiteY11277" fmla="*/ 2782529 h 6858000"/>
            <a:gd name="connsiteX11278" fmla="*/ 9804015 w 12192000"/>
            <a:gd name="connsiteY11278" fmla="*/ 2817348 h 6858000"/>
            <a:gd name="connsiteX11279" fmla="*/ 9769203 w 12192000"/>
            <a:gd name="connsiteY11279" fmla="*/ 2852166 h 6858000"/>
            <a:gd name="connsiteX11280" fmla="*/ 9854095 w 12192000"/>
            <a:gd name="connsiteY11280" fmla="*/ 2852166 h 6858000"/>
            <a:gd name="connsiteX11281" fmla="*/ 9819269 w 12192000"/>
            <a:gd name="connsiteY11281" fmla="*/ 2817348 h 6858000"/>
            <a:gd name="connsiteX11282" fmla="*/ 9854095 w 12192000"/>
            <a:gd name="connsiteY11282" fmla="*/ 2782529 h 6858000"/>
            <a:gd name="connsiteX11283" fmla="*/ 9888907 w 12192000"/>
            <a:gd name="connsiteY11283" fmla="*/ 2817348 h 6858000"/>
            <a:gd name="connsiteX11284" fmla="*/ 9854095 w 12192000"/>
            <a:gd name="connsiteY11284" fmla="*/ 2852166 h 6858000"/>
            <a:gd name="connsiteX11285" fmla="*/ 3487156 w 12192000"/>
            <a:gd name="connsiteY11285" fmla="*/ 2767306 h 6858000"/>
            <a:gd name="connsiteX11286" fmla="*/ 3452337 w 12192000"/>
            <a:gd name="connsiteY11286" fmla="*/ 2732487 h 6858000"/>
            <a:gd name="connsiteX11287" fmla="*/ 3487156 w 12192000"/>
            <a:gd name="connsiteY11287" fmla="*/ 2697668 h 6858000"/>
            <a:gd name="connsiteX11288" fmla="*/ 3521974 w 12192000"/>
            <a:gd name="connsiteY11288" fmla="*/ 2732487 h 6858000"/>
            <a:gd name="connsiteX11289" fmla="*/ 3487156 w 12192000"/>
            <a:gd name="connsiteY11289" fmla="*/ 2767306 h 6858000"/>
            <a:gd name="connsiteX11290" fmla="*/ 3572048 w 12192000"/>
            <a:gd name="connsiteY11290" fmla="*/ 2767306 h 6858000"/>
            <a:gd name="connsiteX11291" fmla="*/ 3537229 w 12192000"/>
            <a:gd name="connsiteY11291" fmla="*/ 2732487 h 6858000"/>
            <a:gd name="connsiteX11292" fmla="*/ 3572048 w 12192000"/>
            <a:gd name="connsiteY11292" fmla="*/ 2697668 h 6858000"/>
            <a:gd name="connsiteX11293" fmla="*/ 3606867 w 12192000"/>
            <a:gd name="connsiteY11293" fmla="*/ 2732487 h 6858000"/>
            <a:gd name="connsiteX11294" fmla="*/ 3572048 w 12192000"/>
            <a:gd name="connsiteY11294" fmla="*/ 2767306 h 6858000"/>
            <a:gd name="connsiteX11295" fmla="*/ 3656941 w 12192000"/>
            <a:gd name="connsiteY11295" fmla="*/ 2767306 h 6858000"/>
            <a:gd name="connsiteX11296" fmla="*/ 3622122 w 12192000"/>
            <a:gd name="connsiteY11296" fmla="*/ 2732487 h 6858000"/>
            <a:gd name="connsiteX11297" fmla="*/ 3656941 w 12192000"/>
            <a:gd name="connsiteY11297" fmla="*/ 2697668 h 6858000"/>
            <a:gd name="connsiteX11298" fmla="*/ 3691760 w 12192000"/>
            <a:gd name="connsiteY11298" fmla="*/ 2732487 h 6858000"/>
            <a:gd name="connsiteX11299" fmla="*/ 3656941 w 12192000"/>
            <a:gd name="connsiteY11299" fmla="*/ 2767306 h 6858000"/>
            <a:gd name="connsiteX11300" fmla="*/ 3741833 w 12192000"/>
            <a:gd name="connsiteY11300" fmla="*/ 2767306 h 6858000"/>
            <a:gd name="connsiteX11301" fmla="*/ 3707014 w 12192000"/>
            <a:gd name="connsiteY11301" fmla="*/ 2732487 h 6858000"/>
            <a:gd name="connsiteX11302" fmla="*/ 3741833 w 12192000"/>
            <a:gd name="connsiteY11302" fmla="*/ 2697668 h 6858000"/>
            <a:gd name="connsiteX11303" fmla="*/ 3776652 w 12192000"/>
            <a:gd name="connsiteY11303" fmla="*/ 2732487 h 6858000"/>
            <a:gd name="connsiteX11304" fmla="*/ 3741833 w 12192000"/>
            <a:gd name="connsiteY11304" fmla="*/ 2767306 h 6858000"/>
            <a:gd name="connsiteX11305" fmla="*/ 3826726 w 12192000"/>
            <a:gd name="connsiteY11305" fmla="*/ 2767306 h 6858000"/>
            <a:gd name="connsiteX11306" fmla="*/ 3791907 w 12192000"/>
            <a:gd name="connsiteY11306" fmla="*/ 2732487 h 6858000"/>
            <a:gd name="connsiteX11307" fmla="*/ 3826726 w 12192000"/>
            <a:gd name="connsiteY11307" fmla="*/ 2697668 h 6858000"/>
            <a:gd name="connsiteX11308" fmla="*/ 3861544 w 12192000"/>
            <a:gd name="connsiteY11308" fmla="*/ 2732487 h 6858000"/>
            <a:gd name="connsiteX11309" fmla="*/ 3826726 w 12192000"/>
            <a:gd name="connsiteY11309" fmla="*/ 2767306 h 6858000"/>
            <a:gd name="connsiteX11310" fmla="*/ 3911618 w 12192000"/>
            <a:gd name="connsiteY11310" fmla="*/ 2767306 h 6858000"/>
            <a:gd name="connsiteX11311" fmla="*/ 3876799 w 12192000"/>
            <a:gd name="connsiteY11311" fmla="*/ 2732487 h 6858000"/>
            <a:gd name="connsiteX11312" fmla="*/ 3911618 w 12192000"/>
            <a:gd name="connsiteY11312" fmla="*/ 2697668 h 6858000"/>
            <a:gd name="connsiteX11313" fmla="*/ 3946437 w 12192000"/>
            <a:gd name="connsiteY11313" fmla="*/ 2732487 h 6858000"/>
            <a:gd name="connsiteX11314" fmla="*/ 3911618 w 12192000"/>
            <a:gd name="connsiteY11314" fmla="*/ 2767306 h 6858000"/>
            <a:gd name="connsiteX11315" fmla="*/ 3996511 w 12192000"/>
            <a:gd name="connsiteY11315" fmla="*/ 2767306 h 6858000"/>
            <a:gd name="connsiteX11316" fmla="*/ 3961692 w 12192000"/>
            <a:gd name="connsiteY11316" fmla="*/ 2732487 h 6858000"/>
            <a:gd name="connsiteX11317" fmla="*/ 3996511 w 12192000"/>
            <a:gd name="connsiteY11317" fmla="*/ 2697668 h 6858000"/>
            <a:gd name="connsiteX11318" fmla="*/ 4031330 w 12192000"/>
            <a:gd name="connsiteY11318" fmla="*/ 2732487 h 6858000"/>
            <a:gd name="connsiteX11319" fmla="*/ 3996511 w 12192000"/>
            <a:gd name="connsiteY11319" fmla="*/ 2767306 h 6858000"/>
            <a:gd name="connsiteX11320" fmla="*/ 5609471 w 12192000"/>
            <a:gd name="connsiteY11320" fmla="*/ 2767306 h 6858000"/>
            <a:gd name="connsiteX11321" fmla="*/ 5574646 w 12192000"/>
            <a:gd name="connsiteY11321" fmla="*/ 2732487 h 6858000"/>
            <a:gd name="connsiteX11322" fmla="*/ 5609471 w 12192000"/>
            <a:gd name="connsiteY11322" fmla="*/ 2697668 h 6858000"/>
            <a:gd name="connsiteX11323" fmla="*/ 5644284 w 12192000"/>
            <a:gd name="connsiteY11323" fmla="*/ 2732487 h 6858000"/>
            <a:gd name="connsiteX11324" fmla="*/ 5609471 w 12192000"/>
            <a:gd name="connsiteY11324" fmla="*/ 2767306 h 6858000"/>
            <a:gd name="connsiteX11325" fmla="*/ 5694364 w 12192000"/>
            <a:gd name="connsiteY11325" fmla="*/ 2767306 h 6858000"/>
            <a:gd name="connsiteX11326" fmla="*/ 5659538 w 12192000"/>
            <a:gd name="connsiteY11326" fmla="*/ 2732487 h 6858000"/>
            <a:gd name="connsiteX11327" fmla="*/ 5694364 w 12192000"/>
            <a:gd name="connsiteY11327" fmla="*/ 2697668 h 6858000"/>
            <a:gd name="connsiteX11328" fmla="*/ 5729176 w 12192000"/>
            <a:gd name="connsiteY11328" fmla="*/ 2732487 h 6858000"/>
            <a:gd name="connsiteX11329" fmla="*/ 5694364 w 12192000"/>
            <a:gd name="connsiteY11329" fmla="*/ 2767306 h 6858000"/>
            <a:gd name="connsiteX11330" fmla="*/ 5779256 w 12192000"/>
            <a:gd name="connsiteY11330" fmla="*/ 2767306 h 6858000"/>
            <a:gd name="connsiteX11331" fmla="*/ 5744430 w 12192000"/>
            <a:gd name="connsiteY11331" fmla="*/ 2732487 h 6858000"/>
            <a:gd name="connsiteX11332" fmla="*/ 5779256 w 12192000"/>
            <a:gd name="connsiteY11332" fmla="*/ 2697668 h 6858000"/>
            <a:gd name="connsiteX11333" fmla="*/ 5814068 w 12192000"/>
            <a:gd name="connsiteY11333" fmla="*/ 2732487 h 6858000"/>
            <a:gd name="connsiteX11334" fmla="*/ 5779256 w 12192000"/>
            <a:gd name="connsiteY11334" fmla="*/ 2767306 h 6858000"/>
            <a:gd name="connsiteX11335" fmla="*/ 6033934 w 12192000"/>
            <a:gd name="connsiteY11335" fmla="*/ 2767306 h 6858000"/>
            <a:gd name="connsiteX11336" fmla="*/ 5999108 w 12192000"/>
            <a:gd name="connsiteY11336" fmla="*/ 2732487 h 6858000"/>
            <a:gd name="connsiteX11337" fmla="*/ 6033934 w 12192000"/>
            <a:gd name="connsiteY11337" fmla="*/ 2697668 h 6858000"/>
            <a:gd name="connsiteX11338" fmla="*/ 6068746 w 12192000"/>
            <a:gd name="connsiteY11338" fmla="*/ 2732487 h 6858000"/>
            <a:gd name="connsiteX11339" fmla="*/ 6033934 w 12192000"/>
            <a:gd name="connsiteY11339" fmla="*/ 2767306 h 6858000"/>
            <a:gd name="connsiteX11340" fmla="*/ 6118826 w 12192000"/>
            <a:gd name="connsiteY11340" fmla="*/ 2767306 h 6858000"/>
            <a:gd name="connsiteX11341" fmla="*/ 6084000 w 12192000"/>
            <a:gd name="connsiteY11341" fmla="*/ 2732487 h 6858000"/>
            <a:gd name="connsiteX11342" fmla="*/ 6118826 w 12192000"/>
            <a:gd name="connsiteY11342" fmla="*/ 2697668 h 6858000"/>
            <a:gd name="connsiteX11343" fmla="*/ 6153638 w 12192000"/>
            <a:gd name="connsiteY11343" fmla="*/ 2732487 h 6858000"/>
            <a:gd name="connsiteX11344" fmla="*/ 6118826 w 12192000"/>
            <a:gd name="connsiteY11344" fmla="*/ 2767306 h 6858000"/>
            <a:gd name="connsiteX11345" fmla="*/ 6203718 w 12192000"/>
            <a:gd name="connsiteY11345" fmla="*/ 2767306 h 6858000"/>
            <a:gd name="connsiteX11346" fmla="*/ 6168893 w 12192000"/>
            <a:gd name="connsiteY11346" fmla="*/ 2732487 h 6858000"/>
            <a:gd name="connsiteX11347" fmla="*/ 6203718 w 12192000"/>
            <a:gd name="connsiteY11347" fmla="*/ 2697668 h 6858000"/>
            <a:gd name="connsiteX11348" fmla="*/ 6238530 w 12192000"/>
            <a:gd name="connsiteY11348" fmla="*/ 2732487 h 6858000"/>
            <a:gd name="connsiteX11349" fmla="*/ 6203718 w 12192000"/>
            <a:gd name="connsiteY11349" fmla="*/ 2767306 h 6858000"/>
            <a:gd name="connsiteX11350" fmla="*/ 6288611 w 12192000"/>
            <a:gd name="connsiteY11350" fmla="*/ 2767306 h 6858000"/>
            <a:gd name="connsiteX11351" fmla="*/ 6253786 w 12192000"/>
            <a:gd name="connsiteY11351" fmla="*/ 2732487 h 6858000"/>
            <a:gd name="connsiteX11352" fmla="*/ 6288611 w 12192000"/>
            <a:gd name="connsiteY11352" fmla="*/ 2697668 h 6858000"/>
            <a:gd name="connsiteX11353" fmla="*/ 6323424 w 12192000"/>
            <a:gd name="connsiteY11353" fmla="*/ 2732487 h 6858000"/>
            <a:gd name="connsiteX11354" fmla="*/ 6288611 w 12192000"/>
            <a:gd name="connsiteY11354" fmla="*/ 2767306 h 6858000"/>
            <a:gd name="connsiteX11355" fmla="*/ 6373504 w 12192000"/>
            <a:gd name="connsiteY11355" fmla="*/ 2767306 h 6858000"/>
            <a:gd name="connsiteX11356" fmla="*/ 6338678 w 12192000"/>
            <a:gd name="connsiteY11356" fmla="*/ 2732487 h 6858000"/>
            <a:gd name="connsiteX11357" fmla="*/ 6373504 w 12192000"/>
            <a:gd name="connsiteY11357" fmla="*/ 2697668 h 6858000"/>
            <a:gd name="connsiteX11358" fmla="*/ 6408316 w 12192000"/>
            <a:gd name="connsiteY11358" fmla="*/ 2732487 h 6858000"/>
            <a:gd name="connsiteX11359" fmla="*/ 6373504 w 12192000"/>
            <a:gd name="connsiteY11359" fmla="*/ 2767306 h 6858000"/>
            <a:gd name="connsiteX11360" fmla="*/ 6458396 w 12192000"/>
            <a:gd name="connsiteY11360" fmla="*/ 2767306 h 6858000"/>
            <a:gd name="connsiteX11361" fmla="*/ 6423570 w 12192000"/>
            <a:gd name="connsiteY11361" fmla="*/ 2732487 h 6858000"/>
            <a:gd name="connsiteX11362" fmla="*/ 6458396 w 12192000"/>
            <a:gd name="connsiteY11362" fmla="*/ 2697668 h 6858000"/>
            <a:gd name="connsiteX11363" fmla="*/ 6493208 w 12192000"/>
            <a:gd name="connsiteY11363" fmla="*/ 2732487 h 6858000"/>
            <a:gd name="connsiteX11364" fmla="*/ 6458396 w 12192000"/>
            <a:gd name="connsiteY11364" fmla="*/ 2767306 h 6858000"/>
            <a:gd name="connsiteX11365" fmla="*/ 6543288 w 12192000"/>
            <a:gd name="connsiteY11365" fmla="*/ 2767306 h 6858000"/>
            <a:gd name="connsiteX11366" fmla="*/ 6508463 w 12192000"/>
            <a:gd name="connsiteY11366" fmla="*/ 2732487 h 6858000"/>
            <a:gd name="connsiteX11367" fmla="*/ 6543288 w 12192000"/>
            <a:gd name="connsiteY11367" fmla="*/ 2697668 h 6858000"/>
            <a:gd name="connsiteX11368" fmla="*/ 6578100 w 12192000"/>
            <a:gd name="connsiteY11368" fmla="*/ 2732487 h 6858000"/>
            <a:gd name="connsiteX11369" fmla="*/ 6543288 w 12192000"/>
            <a:gd name="connsiteY11369" fmla="*/ 2767306 h 6858000"/>
            <a:gd name="connsiteX11370" fmla="*/ 6628181 w 12192000"/>
            <a:gd name="connsiteY11370" fmla="*/ 2767306 h 6858000"/>
            <a:gd name="connsiteX11371" fmla="*/ 6593356 w 12192000"/>
            <a:gd name="connsiteY11371" fmla="*/ 2732487 h 6858000"/>
            <a:gd name="connsiteX11372" fmla="*/ 6628181 w 12192000"/>
            <a:gd name="connsiteY11372" fmla="*/ 2697668 h 6858000"/>
            <a:gd name="connsiteX11373" fmla="*/ 6662994 w 12192000"/>
            <a:gd name="connsiteY11373" fmla="*/ 2732487 h 6858000"/>
            <a:gd name="connsiteX11374" fmla="*/ 6628181 w 12192000"/>
            <a:gd name="connsiteY11374" fmla="*/ 2767306 h 6858000"/>
            <a:gd name="connsiteX11375" fmla="*/ 6713074 w 12192000"/>
            <a:gd name="connsiteY11375" fmla="*/ 2767306 h 6858000"/>
            <a:gd name="connsiteX11376" fmla="*/ 6678248 w 12192000"/>
            <a:gd name="connsiteY11376" fmla="*/ 2732487 h 6858000"/>
            <a:gd name="connsiteX11377" fmla="*/ 6713074 w 12192000"/>
            <a:gd name="connsiteY11377" fmla="*/ 2697668 h 6858000"/>
            <a:gd name="connsiteX11378" fmla="*/ 6747886 w 12192000"/>
            <a:gd name="connsiteY11378" fmla="*/ 2732487 h 6858000"/>
            <a:gd name="connsiteX11379" fmla="*/ 6713074 w 12192000"/>
            <a:gd name="connsiteY11379" fmla="*/ 2767306 h 6858000"/>
            <a:gd name="connsiteX11380" fmla="*/ 6797966 w 12192000"/>
            <a:gd name="connsiteY11380" fmla="*/ 2767306 h 6858000"/>
            <a:gd name="connsiteX11381" fmla="*/ 6763140 w 12192000"/>
            <a:gd name="connsiteY11381" fmla="*/ 2732487 h 6858000"/>
            <a:gd name="connsiteX11382" fmla="*/ 6797966 w 12192000"/>
            <a:gd name="connsiteY11382" fmla="*/ 2697668 h 6858000"/>
            <a:gd name="connsiteX11383" fmla="*/ 6832778 w 12192000"/>
            <a:gd name="connsiteY11383" fmla="*/ 2732487 h 6858000"/>
            <a:gd name="connsiteX11384" fmla="*/ 6797966 w 12192000"/>
            <a:gd name="connsiteY11384" fmla="*/ 2767306 h 6858000"/>
            <a:gd name="connsiteX11385" fmla="*/ 6882858 w 12192000"/>
            <a:gd name="connsiteY11385" fmla="*/ 2767306 h 6858000"/>
            <a:gd name="connsiteX11386" fmla="*/ 6848033 w 12192000"/>
            <a:gd name="connsiteY11386" fmla="*/ 2732487 h 6858000"/>
            <a:gd name="connsiteX11387" fmla="*/ 6882858 w 12192000"/>
            <a:gd name="connsiteY11387" fmla="*/ 2697668 h 6858000"/>
            <a:gd name="connsiteX11388" fmla="*/ 6917670 w 12192000"/>
            <a:gd name="connsiteY11388" fmla="*/ 2732487 h 6858000"/>
            <a:gd name="connsiteX11389" fmla="*/ 6882858 w 12192000"/>
            <a:gd name="connsiteY11389" fmla="*/ 2767306 h 6858000"/>
            <a:gd name="connsiteX11390" fmla="*/ 6967750 w 12192000"/>
            <a:gd name="connsiteY11390" fmla="*/ 2767306 h 6858000"/>
            <a:gd name="connsiteX11391" fmla="*/ 6932925 w 12192000"/>
            <a:gd name="connsiteY11391" fmla="*/ 2732487 h 6858000"/>
            <a:gd name="connsiteX11392" fmla="*/ 6967750 w 12192000"/>
            <a:gd name="connsiteY11392" fmla="*/ 2697668 h 6858000"/>
            <a:gd name="connsiteX11393" fmla="*/ 7002563 w 12192000"/>
            <a:gd name="connsiteY11393" fmla="*/ 2732487 h 6858000"/>
            <a:gd name="connsiteX11394" fmla="*/ 6967750 w 12192000"/>
            <a:gd name="connsiteY11394" fmla="*/ 2767306 h 6858000"/>
            <a:gd name="connsiteX11395" fmla="*/ 7052644 w 12192000"/>
            <a:gd name="connsiteY11395" fmla="*/ 2767306 h 6858000"/>
            <a:gd name="connsiteX11396" fmla="*/ 7017818 w 12192000"/>
            <a:gd name="connsiteY11396" fmla="*/ 2732487 h 6858000"/>
            <a:gd name="connsiteX11397" fmla="*/ 7052644 w 12192000"/>
            <a:gd name="connsiteY11397" fmla="*/ 2697668 h 6858000"/>
            <a:gd name="connsiteX11398" fmla="*/ 7087456 w 12192000"/>
            <a:gd name="connsiteY11398" fmla="*/ 2732487 h 6858000"/>
            <a:gd name="connsiteX11399" fmla="*/ 7052644 w 12192000"/>
            <a:gd name="connsiteY11399" fmla="*/ 2767306 h 6858000"/>
            <a:gd name="connsiteX11400" fmla="*/ 7137536 w 12192000"/>
            <a:gd name="connsiteY11400" fmla="*/ 2767306 h 6858000"/>
            <a:gd name="connsiteX11401" fmla="*/ 7102710 w 12192000"/>
            <a:gd name="connsiteY11401" fmla="*/ 2732487 h 6858000"/>
            <a:gd name="connsiteX11402" fmla="*/ 7137536 w 12192000"/>
            <a:gd name="connsiteY11402" fmla="*/ 2697668 h 6858000"/>
            <a:gd name="connsiteX11403" fmla="*/ 7172348 w 12192000"/>
            <a:gd name="connsiteY11403" fmla="*/ 2732487 h 6858000"/>
            <a:gd name="connsiteX11404" fmla="*/ 7137536 w 12192000"/>
            <a:gd name="connsiteY11404" fmla="*/ 2767306 h 6858000"/>
            <a:gd name="connsiteX11405" fmla="*/ 7222428 w 12192000"/>
            <a:gd name="connsiteY11405" fmla="*/ 2767306 h 6858000"/>
            <a:gd name="connsiteX11406" fmla="*/ 7187603 w 12192000"/>
            <a:gd name="connsiteY11406" fmla="*/ 2732487 h 6858000"/>
            <a:gd name="connsiteX11407" fmla="*/ 7222428 w 12192000"/>
            <a:gd name="connsiteY11407" fmla="*/ 2697668 h 6858000"/>
            <a:gd name="connsiteX11408" fmla="*/ 7257240 w 12192000"/>
            <a:gd name="connsiteY11408" fmla="*/ 2732487 h 6858000"/>
            <a:gd name="connsiteX11409" fmla="*/ 7222428 w 12192000"/>
            <a:gd name="connsiteY11409" fmla="*/ 2767306 h 6858000"/>
            <a:gd name="connsiteX11410" fmla="*/ 7307320 w 12192000"/>
            <a:gd name="connsiteY11410" fmla="*/ 2767306 h 6858000"/>
            <a:gd name="connsiteX11411" fmla="*/ 7272495 w 12192000"/>
            <a:gd name="connsiteY11411" fmla="*/ 2732487 h 6858000"/>
            <a:gd name="connsiteX11412" fmla="*/ 7307320 w 12192000"/>
            <a:gd name="connsiteY11412" fmla="*/ 2697668 h 6858000"/>
            <a:gd name="connsiteX11413" fmla="*/ 7342133 w 12192000"/>
            <a:gd name="connsiteY11413" fmla="*/ 2732487 h 6858000"/>
            <a:gd name="connsiteX11414" fmla="*/ 7307320 w 12192000"/>
            <a:gd name="connsiteY11414" fmla="*/ 2767306 h 6858000"/>
            <a:gd name="connsiteX11415" fmla="*/ 9090063 w 12192000"/>
            <a:gd name="connsiteY11415" fmla="*/ 2767306 h 6858000"/>
            <a:gd name="connsiteX11416" fmla="*/ 9055237 w 12192000"/>
            <a:gd name="connsiteY11416" fmla="*/ 2732487 h 6858000"/>
            <a:gd name="connsiteX11417" fmla="*/ 9090063 w 12192000"/>
            <a:gd name="connsiteY11417" fmla="*/ 2697668 h 6858000"/>
            <a:gd name="connsiteX11418" fmla="*/ 9124875 w 12192000"/>
            <a:gd name="connsiteY11418" fmla="*/ 2732487 h 6858000"/>
            <a:gd name="connsiteX11419" fmla="*/ 9090063 w 12192000"/>
            <a:gd name="connsiteY11419" fmla="*/ 2767306 h 6858000"/>
            <a:gd name="connsiteX11420" fmla="*/ 9599418 w 12192000"/>
            <a:gd name="connsiteY11420" fmla="*/ 2767306 h 6858000"/>
            <a:gd name="connsiteX11421" fmla="*/ 9564593 w 12192000"/>
            <a:gd name="connsiteY11421" fmla="*/ 2732487 h 6858000"/>
            <a:gd name="connsiteX11422" fmla="*/ 9599418 w 12192000"/>
            <a:gd name="connsiteY11422" fmla="*/ 2697668 h 6858000"/>
            <a:gd name="connsiteX11423" fmla="*/ 9634230 w 12192000"/>
            <a:gd name="connsiteY11423" fmla="*/ 2732487 h 6858000"/>
            <a:gd name="connsiteX11424" fmla="*/ 9599418 w 12192000"/>
            <a:gd name="connsiteY11424" fmla="*/ 2767306 h 6858000"/>
            <a:gd name="connsiteX11425" fmla="*/ 3487156 w 12192000"/>
            <a:gd name="connsiteY11425" fmla="*/ 2682446 h 6858000"/>
            <a:gd name="connsiteX11426" fmla="*/ 3452337 w 12192000"/>
            <a:gd name="connsiteY11426" fmla="*/ 2647627 h 6858000"/>
            <a:gd name="connsiteX11427" fmla="*/ 3487156 w 12192000"/>
            <a:gd name="connsiteY11427" fmla="*/ 2612808 h 6858000"/>
            <a:gd name="connsiteX11428" fmla="*/ 3521974 w 12192000"/>
            <a:gd name="connsiteY11428" fmla="*/ 2647627 h 6858000"/>
            <a:gd name="connsiteX11429" fmla="*/ 3487156 w 12192000"/>
            <a:gd name="connsiteY11429" fmla="*/ 2682446 h 6858000"/>
            <a:gd name="connsiteX11430" fmla="*/ 3572048 w 12192000"/>
            <a:gd name="connsiteY11430" fmla="*/ 2682446 h 6858000"/>
            <a:gd name="connsiteX11431" fmla="*/ 3537229 w 12192000"/>
            <a:gd name="connsiteY11431" fmla="*/ 2647627 h 6858000"/>
            <a:gd name="connsiteX11432" fmla="*/ 3572048 w 12192000"/>
            <a:gd name="connsiteY11432" fmla="*/ 2612808 h 6858000"/>
            <a:gd name="connsiteX11433" fmla="*/ 3606867 w 12192000"/>
            <a:gd name="connsiteY11433" fmla="*/ 2647627 h 6858000"/>
            <a:gd name="connsiteX11434" fmla="*/ 3572048 w 12192000"/>
            <a:gd name="connsiteY11434" fmla="*/ 2682446 h 6858000"/>
            <a:gd name="connsiteX11435" fmla="*/ 3656941 w 12192000"/>
            <a:gd name="connsiteY11435" fmla="*/ 2682446 h 6858000"/>
            <a:gd name="connsiteX11436" fmla="*/ 3622122 w 12192000"/>
            <a:gd name="connsiteY11436" fmla="*/ 2647627 h 6858000"/>
            <a:gd name="connsiteX11437" fmla="*/ 3656941 w 12192000"/>
            <a:gd name="connsiteY11437" fmla="*/ 2612808 h 6858000"/>
            <a:gd name="connsiteX11438" fmla="*/ 3691760 w 12192000"/>
            <a:gd name="connsiteY11438" fmla="*/ 2647627 h 6858000"/>
            <a:gd name="connsiteX11439" fmla="*/ 3656941 w 12192000"/>
            <a:gd name="connsiteY11439" fmla="*/ 2682446 h 6858000"/>
            <a:gd name="connsiteX11440" fmla="*/ 3741833 w 12192000"/>
            <a:gd name="connsiteY11440" fmla="*/ 2682446 h 6858000"/>
            <a:gd name="connsiteX11441" fmla="*/ 3707014 w 12192000"/>
            <a:gd name="connsiteY11441" fmla="*/ 2647627 h 6858000"/>
            <a:gd name="connsiteX11442" fmla="*/ 3741833 w 12192000"/>
            <a:gd name="connsiteY11442" fmla="*/ 2612808 h 6858000"/>
            <a:gd name="connsiteX11443" fmla="*/ 3776652 w 12192000"/>
            <a:gd name="connsiteY11443" fmla="*/ 2647627 h 6858000"/>
            <a:gd name="connsiteX11444" fmla="*/ 3741833 w 12192000"/>
            <a:gd name="connsiteY11444" fmla="*/ 2682446 h 6858000"/>
            <a:gd name="connsiteX11445" fmla="*/ 3826726 w 12192000"/>
            <a:gd name="connsiteY11445" fmla="*/ 2682446 h 6858000"/>
            <a:gd name="connsiteX11446" fmla="*/ 3791907 w 12192000"/>
            <a:gd name="connsiteY11446" fmla="*/ 2647627 h 6858000"/>
            <a:gd name="connsiteX11447" fmla="*/ 3826726 w 12192000"/>
            <a:gd name="connsiteY11447" fmla="*/ 2612808 h 6858000"/>
            <a:gd name="connsiteX11448" fmla="*/ 3861544 w 12192000"/>
            <a:gd name="connsiteY11448" fmla="*/ 2647627 h 6858000"/>
            <a:gd name="connsiteX11449" fmla="*/ 3826726 w 12192000"/>
            <a:gd name="connsiteY11449" fmla="*/ 2682446 h 6858000"/>
            <a:gd name="connsiteX11450" fmla="*/ 3911618 w 12192000"/>
            <a:gd name="connsiteY11450" fmla="*/ 2682446 h 6858000"/>
            <a:gd name="connsiteX11451" fmla="*/ 3876799 w 12192000"/>
            <a:gd name="connsiteY11451" fmla="*/ 2647627 h 6858000"/>
            <a:gd name="connsiteX11452" fmla="*/ 3911618 w 12192000"/>
            <a:gd name="connsiteY11452" fmla="*/ 2612808 h 6858000"/>
            <a:gd name="connsiteX11453" fmla="*/ 3946437 w 12192000"/>
            <a:gd name="connsiteY11453" fmla="*/ 2647627 h 6858000"/>
            <a:gd name="connsiteX11454" fmla="*/ 3911618 w 12192000"/>
            <a:gd name="connsiteY11454" fmla="*/ 2682446 h 6858000"/>
            <a:gd name="connsiteX11455" fmla="*/ 3996511 w 12192000"/>
            <a:gd name="connsiteY11455" fmla="*/ 2682446 h 6858000"/>
            <a:gd name="connsiteX11456" fmla="*/ 3961692 w 12192000"/>
            <a:gd name="connsiteY11456" fmla="*/ 2647627 h 6858000"/>
            <a:gd name="connsiteX11457" fmla="*/ 3996511 w 12192000"/>
            <a:gd name="connsiteY11457" fmla="*/ 2612808 h 6858000"/>
            <a:gd name="connsiteX11458" fmla="*/ 4031330 w 12192000"/>
            <a:gd name="connsiteY11458" fmla="*/ 2647627 h 6858000"/>
            <a:gd name="connsiteX11459" fmla="*/ 3996511 w 12192000"/>
            <a:gd name="connsiteY11459" fmla="*/ 2682446 h 6858000"/>
            <a:gd name="connsiteX11460" fmla="*/ 4081403 w 12192000"/>
            <a:gd name="connsiteY11460" fmla="*/ 2682446 h 6858000"/>
            <a:gd name="connsiteX11461" fmla="*/ 4046584 w 12192000"/>
            <a:gd name="connsiteY11461" fmla="*/ 2647627 h 6858000"/>
            <a:gd name="connsiteX11462" fmla="*/ 4081403 w 12192000"/>
            <a:gd name="connsiteY11462" fmla="*/ 2612808 h 6858000"/>
            <a:gd name="connsiteX11463" fmla="*/ 4116222 w 12192000"/>
            <a:gd name="connsiteY11463" fmla="*/ 2647627 h 6858000"/>
            <a:gd name="connsiteX11464" fmla="*/ 4081403 w 12192000"/>
            <a:gd name="connsiteY11464" fmla="*/ 2682446 h 6858000"/>
            <a:gd name="connsiteX11465" fmla="*/ 4166296 w 12192000"/>
            <a:gd name="connsiteY11465" fmla="*/ 2682446 h 6858000"/>
            <a:gd name="connsiteX11466" fmla="*/ 4131477 w 12192000"/>
            <a:gd name="connsiteY11466" fmla="*/ 2647627 h 6858000"/>
            <a:gd name="connsiteX11467" fmla="*/ 4166296 w 12192000"/>
            <a:gd name="connsiteY11467" fmla="*/ 2612808 h 6858000"/>
            <a:gd name="connsiteX11468" fmla="*/ 4201114 w 12192000"/>
            <a:gd name="connsiteY11468" fmla="*/ 2647627 h 6858000"/>
            <a:gd name="connsiteX11469" fmla="*/ 4166296 w 12192000"/>
            <a:gd name="connsiteY11469" fmla="*/ 2682446 h 6858000"/>
            <a:gd name="connsiteX11470" fmla="*/ 4251188 w 12192000"/>
            <a:gd name="connsiteY11470" fmla="*/ 2682446 h 6858000"/>
            <a:gd name="connsiteX11471" fmla="*/ 4216369 w 12192000"/>
            <a:gd name="connsiteY11471" fmla="*/ 2647627 h 6858000"/>
            <a:gd name="connsiteX11472" fmla="*/ 4251188 w 12192000"/>
            <a:gd name="connsiteY11472" fmla="*/ 2612808 h 6858000"/>
            <a:gd name="connsiteX11473" fmla="*/ 4286007 w 12192000"/>
            <a:gd name="connsiteY11473" fmla="*/ 2647627 h 6858000"/>
            <a:gd name="connsiteX11474" fmla="*/ 4251188 w 12192000"/>
            <a:gd name="connsiteY11474" fmla="*/ 2682446 h 6858000"/>
            <a:gd name="connsiteX11475" fmla="*/ 6203718 w 12192000"/>
            <a:gd name="connsiteY11475" fmla="*/ 2682446 h 6858000"/>
            <a:gd name="connsiteX11476" fmla="*/ 6168893 w 12192000"/>
            <a:gd name="connsiteY11476" fmla="*/ 2647627 h 6858000"/>
            <a:gd name="connsiteX11477" fmla="*/ 6203718 w 12192000"/>
            <a:gd name="connsiteY11477" fmla="*/ 2612808 h 6858000"/>
            <a:gd name="connsiteX11478" fmla="*/ 6238530 w 12192000"/>
            <a:gd name="connsiteY11478" fmla="*/ 2647627 h 6858000"/>
            <a:gd name="connsiteX11479" fmla="*/ 6203718 w 12192000"/>
            <a:gd name="connsiteY11479" fmla="*/ 2682446 h 6858000"/>
            <a:gd name="connsiteX11480" fmla="*/ 6288611 w 12192000"/>
            <a:gd name="connsiteY11480" fmla="*/ 2682446 h 6858000"/>
            <a:gd name="connsiteX11481" fmla="*/ 6253786 w 12192000"/>
            <a:gd name="connsiteY11481" fmla="*/ 2647627 h 6858000"/>
            <a:gd name="connsiteX11482" fmla="*/ 6288611 w 12192000"/>
            <a:gd name="connsiteY11482" fmla="*/ 2612808 h 6858000"/>
            <a:gd name="connsiteX11483" fmla="*/ 6323424 w 12192000"/>
            <a:gd name="connsiteY11483" fmla="*/ 2647627 h 6858000"/>
            <a:gd name="connsiteX11484" fmla="*/ 6288611 w 12192000"/>
            <a:gd name="connsiteY11484" fmla="*/ 2682446 h 6858000"/>
            <a:gd name="connsiteX11485" fmla="*/ 6373504 w 12192000"/>
            <a:gd name="connsiteY11485" fmla="*/ 2682446 h 6858000"/>
            <a:gd name="connsiteX11486" fmla="*/ 6338678 w 12192000"/>
            <a:gd name="connsiteY11486" fmla="*/ 2647627 h 6858000"/>
            <a:gd name="connsiteX11487" fmla="*/ 6373504 w 12192000"/>
            <a:gd name="connsiteY11487" fmla="*/ 2612808 h 6858000"/>
            <a:gd name="connsiteX11488" fmla="*/ 6408316 w 12192000"/>
            <a:gd name="connsiteY11488" fmla="*/ 2647627 h 6858000"/>
            <a:gd name="connsiteX11489" fmla="*/ 6373504 w 12192000"/>
            <a:gd name="connsiteY11489" fmla="*/ 2682446 h 6858000"/>
            <a:gd name="connsiteX11490" fmla="*/ 6458396 w 12192000"/>
            <a:gd name="connsiteY11490" fmla="*/ 2682446 h 6858000"/>
            <a:gd name="connsiteX11491" fmla="*/ 6423570 w 12192000"/>
            <a:gd name="connsiteY11491" fmla="*/ 2647627 h 6858000"/>
            <a:gd name="connsiteX11492" fmla="*/ 6458396 w 12192000"/>
            <a:gd name="connsiteY11492" fmla="*/ 2612808 h 6858000"/>
            <a:gd name="connsiteX11493" fmla="*/ 6493208 w 12192000"/>
            <a:gd name="connsiteY11493" fmla="*/ 2647627 h 6858000"/>
            <a:gd name="connsiteX11494" fmla="*/ 6458396 w 12192000"/>
            <a:gd name="connsiteY11494" fmla="*/ 2682446 h 6858000"/>
            <a:gd name="connsiteX11495" fmla="*/ 6543288 w 12192000"/>
            <a:gd name="connsiteY11495" fmla="*/ 2682446 h 6858000"/>
            <a:gd name="connsiteX11496" fmla="*/ 6508463 w 12192000"/>
            <a:gd name="connsiteY11496" fmla="*/ 2647627 h 6858000"/>
            <a:gd name="connsiteX11497" fmla="*/ 6543288 w 12192000"/>
            <a:gd name="connsiteY11497" fmla="*/ 2612808 h 6858000"/>
            <a:gd name="connsiteX11498" fmla="*/ 6578100 w 12192000"/>
            <a:gd name="connsiteY11498" fmla="*/ 2647627 h 6858000"/>
            <a:gd name="connsiteX11499" fmla="*/ 6543288 w 12192000"/>
            <a:gd name="connsiteY11499" fmla="*/ 2682446 h 6858000"/>
            <a:gd name="connsiteX11500" fmla="*/ 6628181 w 12192000"/>
            <a:gd name="connsiteY11500" fmla="*/ 2682446 h 6858000"/>
            <a:gd name="connsiteX11501" fmla="*/ 6593356 w 12192000"/>
            <a:gd name="connsiteY11501" fmla="*/ 2647627 h 6858000"/>
            <a:gd name="connsiteX11502" fmla="*/ 6628181 w 12192000"/>
            <a:gd name="connsiteY11502" fmla="*/ 2612808 h 6858000"/>
            <a:gd name="connsiteX11503" fmla="*/ 6662994 w 12192000"/>
            <a:gd name="connsiteY11503" fmla="*/ 2647627 h 6858000"/>
            <a:gd name="connsiteX11504" fmla="*/ 6628181 w 12192000"/>
            <a:gd name="connsiteY11504" fmla="*/ 2682446 h 6858000"/>
            <a:gd name="connsiteX11505" fmla="*/ 6713074 w 12192000"/>
            <a:gd name="connsiteY11505" fmla="*/ 2682446 h 6858000"/>
            <a:gd name="connsiteX11506" fmla="*/ 6678248 w 12192000"/>
            <a:gd name="connsiteY11506" fmla="*/ 2647627 h 6858000"/>
            <a:gd name="connsiteX11507" fmla="*/ 6713074 w 12192000"/>
            <a:gd name="connsiteY11507" fmla="*/ 2612808 h 6858000"/>
            <a:gd name="connsiteX11508" fmla="*/ 6747886 w 12192000"/>
            <a:gd name="connsiteY11508" fmla="*/ 2647627 h 6858000"/>
            <a:gd name="connsiteX11509" fmla="*/ 6713074 w 12192000"/>
            <a:gd name="connsiteY11509" fmla="*/ 2682446 h 6858000"/>
            <a:gd name="connsiteX11510" fmla="*/ 6797966 w 12192000"/>
            <a:gd name="connsiteY11510" fmla="*/ 2682446 h 6858000"/>
            <a:gd name="connsiteX11511" fmla="*/ 6763140 w 12192000"/>
            <a:gd name="connsiteY11511" fmla="*/ 2647627 h 6858000"/>
            <a:gd name="connsiteX11512" fmla="*/ 6797966 w 12192000"/>
            <a:gd name="connsiteY11512" fmla="*/ 2612808 h 6858000"/>
            <a:gd name="connsiteX11513" fmla="*/ 6832778 w 12192000"/>
            <a:gd name="connsiteY11513" fmla="*/ 2647627 h 6858000"/>
            <a:gd name="connsiteX11514" fmla="*/ 6797966 w 12192000"/>
            <a:gd name="connsiteY11514" fmla="*/ 2682446 h 6858000"/>
            <a:gd name="connsiteX11515" fmla="*/ 6882858 w 12192000"/>
            <a:gd name="connsiteY11515" fmla="*/ 2682446 h 6858000"/>
            <a:gd name="connsiteX11516" fmla="*/ 6848033 w 12192000"/>
            <a:gd name="connsiteY11516" fmla="*/ 2647627 h 6858000"/>
            <a:gd name="connsiteX11517" fmla="*/ 6882858 w 12192000"/>
            <a:gd name="connsiteY11517" fmla="*/ 2612808 h 6858000"/>
            <a:gd name="connsiteX11518" fmla="*/ 6917670 w 12192000"/>
            <a:gd name="connsiteY11518" fmla="*/ 2647627 h 6858000"/>
            <a:gd name="connsiteX11519" fmla="*/ 6882858 w 12192000"/>
            <a:gd name="connsiteY11519" fmla="*/ 2682446 h 6858000"/>
            <a:gd name="connsiteX11520" fmla="*/ 6967750 w 12192000"/>
            <a:gd name="connsiteY11520" fmla="*/ 2682446 h 6858000"/>
            <a:gd name="connsiteX11521" fmla="*/ 6932925 w 12192000"/>
            <a:gd name="connsiteY11521" fmla="*/ 2647627 h 6858000"/>
            <a:gd name="connsiteX11522" fmla="*/ 6967750 w 12192000"/>
            <a:gd name="connsiteY11522" fmla="*/ 2612808 h 6858000"/>
            <a:gd name="connsiteX11523" fmla="*/ 7002563 w 12192000"/>
            <a:gd name="connsiteY11523" fmla="*/ 2647627 h 6858000"/>
            <a:gd name="connsiteX11524" fmla="*/ 6967750 w 12192000"/>
            <a:gd name="connsiteY11524" fmla="*/ 2682446 h 6858000"/>
            <a:gd name="connsiteX11525" fmla="*/ 7052644 w 12192000"/>
            <a:gd name="connsiteY11525" fmla="*/ 2682446 h 6858000"/>
            <a:gd name="connsiteX11526" fmla="*/ 7017818 w 12192000"/>
            <a:gd name="connsiteY11526" fmla="*/ 2647627 h 6858000"/>
            <a:gd name="connsiteX11527" fmla="*/ 7052644 w 12192000"/>
            <a:gd name="connsiteY11527" fmla="*/ 2612808 h 6858000"/>
            <a:gd name="connsiteX11528" fmla="*/ 7087456 w 12192000"/>
            <a:gd name="connsiteY11528" fmla="*/ 2647627 h 6858000"/>
            <a:gd name="connsiteX11529" fmla="*/ 7052644 w 12192000"/>
            <a:gd name="connsiteY11529" fmla="*/ 2682446 h 6858000"/>
            <a:gd name="connsiteX11530" fmla="*/ 7137536 w 12192000"/>
            <a:gd name="connsiteY11530" fmla="*/ 2682446 h 6858000"/>
            <a:gd name="connsiteX11531" fmla="*/ 7102710 w 12192000"/>
            <a:gd name="connsiteY11531" fmla="*/ 2647627 h 6858000"/>
            <a:gd name="connsiteX11532" fmla="*/ 7137536 w 12192000"/>
            <a:gd name="connsiteY11532" fmla="*/ 2612808 h 6858000"/>
            <a:gd name="connsiteX11533" fmla="*/ 7172348 w 12192000"/>
            <a:gd name="connsiteY11533" fmla="*/ 2647627 h 6858000"/>
            <a:gd name="connsiteX11534" fmla="*/ 7137536 w 12192000"/>
            <a:gd name="connsiteY11534" fmla="*/ 2682446 h 6858000"/>
            <a:gd name="connsiteX11535" fmla="*/ 7222428 w 12192000"/>
            <a:gd name="connsiteY11535" fmla="*/ 2682446 h 6858000"/>
            <a:gd name="connsiteX11536" fmla="*/ 7187603 w 12192000"/>
            <a:gd name="connsiteY11536" fmla="*/ 2647627 h 6858000"/>
            <a:gd name="connsiteX11537" fmla="*/ 7222428 w 12192000"/>
            <a:gd name="connsiteY11537" fmla="*/ 2612808 h 6858000"/>
            <a:gd name="connsiteX11538" fmla="*/ 7257240 w 12192000"/>
            <a:gd name="connsiteY11538" fmla="*/ 2647627 h 6858000"/>
            <a:gd name="connsiteX11539" fmla="*/ 7222428 w 12192000"/>
            <a:gd name="connsiteY11539" fmla="*/ 2682446 h 6858000"/>
            <a:gd name="connsiteX11540" fmla="*/ 8920278 w 12192000"/>
            <a:gd name="connsiteY11540" fmla="*/ 2682446 h 6858000"/>
            <a:gd name="connsiteX11541" fmla="*/ 8885453 w 12192000"/>
            <a:gd name="connsiteY11541" fmla="*/ 2647627 h 6858000"/>
            <a:gd name="connsiteX11542" fmla="*/ 8920278 w 12192000"/>
            <a:gd name="connsiteY11542" fmla="*/ 2612808 h 6858000"/>
            <a:gd name="connsiteX11543" fmla="*/ 8955090 w 12192000"/>
            <a:gd name="connsiteY11543" fmla="*/ 2647627 h 6858000"/>
            <a:gd name="connsiteX11544" fmla="*/ 8920278 w 12192000"/>
            <a:gd name="connsiteY11544" fmla="*/ 2682446 h 6858000"/>
            <a:gd name="connsiteX11545" fmla="*/ 9090063 w 12192000"/>
            <a:gd name="connsiteY11545" fmla="*/ 2682446 h 6858000"/>
            <a:gd name="connsiteX11546" fmla="*/ 9055237 w 12192000"/>
            <a:gd name="connsiteY11546" fmla="*/ 2647627 h 6858000"/>
            <a:gd name="connsiteX11547" fmla="*/ 9090063 w 12192000"/>
            <a:gd name="connsiteY11547" fmla="*/ 2612808 h 6858000"/>
            <a:gd name="connsiteX11548" fmla="*/ 9124875 w 12192000"/>
            <a:gd name="connsiteY11548" fmla="*/ 2647627 h 6858000"/>
            <a:gd name="connsiteX11549" fmla="*/ 9090063 w 12192000"/>
            <a:gd name="connsiteY11549" fmla="*/ 2682446 h 6858000"/>
            <a:gd name="connsiteX11550" fmla="*/ 9514525 w 12192000"/>
            <a:gd name="connsiteY11550" fmla="*/ 2682446 h 6858000"/>
            <a:gd name="connsiteX11551" fmla="*/ 9479699 w 12192000"/>
            <a:gd name="connsiteY11551" fmla="*/ 2647627 h 6858000"/>
            <a:gd name="connsiteX11552" fmla="*/ 9514525 w 12192000"/>
            <a:gd name="connsiteY11552" fmla="*/ 2612808 h 6858000"/>
            <a:gd name="connsiteX11553" fmla="*/ 9549337 w 12192000"/>
            <a:gd name="connsiteY11553" fmla="*/ 2647627 h 6858000"/>
            <a:gd name="connsiteX11554" fmla="*/ 9514525 w 12192000"/>
            <a:gd name="connsiteY11554" fmla="*/ 2682446 h 6858000"/>
            <a:gd name="connsiteX11555" fmla="*/ 2977801 w 12192000"/>
            <a:gd name="connsiteY11555" fmla="*/ 2597586 h 6858000"/>
            <a:gd name="connsiteX11556" fmla="*/ 2942982 w 12192000"/>
            <a:gd name="connsiteY11556" fmla="*/ 2562767 h 6858000"/>
            <a:gd name="connsiteX11557" fmla="*/ 2977801 w 12192000"/>
            <a:gd name="connsiteY11557" fmla="*/ 2527949 h 6858000"/>
            <a:gd name="connsiteX11558" fmla="*/ 3012620 w 12192000"/>
            <a:gd name="connsiteY11558" fmla="*/ 2562767 h 6858000"/>
            <a:gd name="connsiteX11559" fmla="*/ 2977801 w 12192000"/>
            <a:gd name="connsiteY11559" fmla="*/ 2597586 h 6858000"/>
            <a:gd name="connsiteX11560" fmla="*/ 3402263 w 12192000"/>
            <a:gd name="connsiteY11560" fmla="*/ 2597586 h 6858000"/>
            <a:gd name="connsiteX11561" fmla="*/ 3367444 w 12192000"/>
            <a:gd name="connsiteY11561" fmla="*/ 2562767 h 6858000"/>
            <a:gd name="connsiteX11562" fmla="*/ 3402263 w 12192000"/>
            <a:gd name="connsiteY11562" fmla="*/ 2527949 h 6858000"/>
            <a:gd name="connsiteX11563" fmla="*/ 3437082 w 12192000"/>
            <a:gd name="connsiteY11563" fmla="*/ 2562767 h 6858000"/>
            <a:gd name="connsiteX11564" fmla="*/ 3402263 w 12192000"/>
            <a:gd name="connsiteY11564" fmla="*/ 2597586 h 6858000"/>
            <a:gd name="connsiteX11565" fmla="*/ 3487156 w 12192000"/>
            <a:gd name="connsiteY11565" fmla="*/ 2597586 h 6858000"/>
            <a:gd name="connsiteX11566" fmla="*/ 3452337 w 12192000"/>
            <a:gd name="connsiteY11566" fmla="*/ 2562767 h 6858000"/>
            <a:gd name="connsiteX11567" fmla="*/ 3487156 w 12192000"/>
            <a:gd name="connsiteY11567" fmla="*/ 2527949 h 6858000"/>
            <a:gd name="connsiteX11568" fmla="*/ 3521974 w 12192000"/>
            <a:gd name="connsiteY11568" fmla="*/ 2562767 h 6858000"/>
            <a:gd name="connsiteX11569" fmla="*/ 3487156 w 12192000"/>
            <a:gd name="connsiteY11569" fmla="*/ 2597586 h 6858000"/>
            <a:gd name="connsiteX11570" fmla="*/ 3572048 w 12192000"/>
            <a:gd name="connsiteY11570" fmla="*/ 2597586 h 6858000"/>
            <a:gd name="connsiteX11571" fmla="*/ 3537229 w 12192000"/>
            <a:gd name="connsiteY11571" fmla="*/ 2562767 h 6858000"/>
            <a:gd name="connsiteX11572" fmla="*/ 3572048 w 12192000"/>
            <a:gd name="connsiteY11572" fmla="*/ 2527949 h 6858000"/>
            <a:gd name="connsiteX11573" fmla="*/ 3606867 w 12192000"/>
            <a:gd name="connsiteY11573" fmla="*/ 2562767 h 6858000"/>
            <a:gd name="connsiteX11574" fmla="*/ 3572048 w 12192000"/>
            <a:gd name="connsiteY11574" fmla="*/ 2597586 h 6858000"/>
            <a:gd name="connsiteX11575" fmla="*/ 3656941 w 12192000"/>
            <a:gd name="connsiteY11575" fmla="*/ 2597586 h 6858000"/>
            <a:gd name="connsiteX11576" fmla="*/ 3622122 w 12192000"/>
            <a:gd name="connsiteY11576" fmla="*/ 2562767 h 6858000"/>
            <a:gd name="connsiteX11577" fmla="*/ 3656941 w 12192000"/>
            <a:gd name="connsiteY11577" fmla="*/ 2527949 h 6858000"/>
            <a:gd name="connsiteX11578" fmla="*/ 3691760 w 12192000"/>
            <a:gd name="connsiteY11578" fmla="*/ 2562767 h 6858000"/>
            <a:gd name="connsiteX11579" fmla="*/ 3656941 w 12192000"/>
            <a:gd name="connsiteY11579" fmla="*/ 2597586 h 6858000"/>
            <a:gd name="connsiteX11580" fmla="*/ 3741833 w 12192000"/>
            <a:gd name="connsiteY11580" fmla="*/ 2597586 h 6858000"/>
            <a:gd name="connsiteX11581" fmla="*/ 3707014 w 12192000"/>
            <a:gd name="connsiteY11581" fmla="*/ 2562767 h 6858000"/>
            <a:gd name="connsiteX11582" fmla="*/ 3741833 w 12192000"/>
            <a:gd name="connsiteY11582" fmla="*/ 2527949 h 6858000"/>
            <a:gd name="connsiteX11583" fmla="*/ 3776652 w 12192000"/>
            <a:gd name="connsiteY11583" fmla="*/ 2562767 h 6858000"/>
            <a:gd name="connsiteX11584" fmla="*/ 3741833 w 12192000"/>
            <a:gd name="connsiteY11584" fmla="*/ 2597586 h 6858000"/>
            <a:gd name="connsiteX11585" fmla="*/ 3826726 w 12192000"/>
            <a:gd name="connsiteY11585" fmla="*/ 2597586 h 6858000"/>
            <a:gd name="connsiteX11586" fmla="*/ 3791907 w 12192000"/>
            <a:gd name="connsiteY11586" fmla="*/ 2562767 h 6858000"/>
            <a:gd name="connsiteX11587" fmla="*/ 3826726 w 12192000"/>
            <a:gd name="connsiteY11587" fmla="*/ 2527949 h 6858000"/>
            <a:gd name="connsiteX11588" fmla="*/ 3861544 w 12192000"/>
            <a:gd name="connsiteY11588" fmla="*/ 2562767 h 6858000"/>
            <a:gd name="connsiteX11589" fmla="*/ 3826726 w 12192000"/>
            <a:gd name="connsiteY11589" fmla="*/ 2597586 h 6858000"/>
            <a:gd name="connsiteX11590" fmla="*/ 3911618 w 12192000"/>
            <a:gd name="connsiteY11590" fmla="*/ 2597586 h 6858000"/>
            <a:gd name="connsiteX11591" fmla="*/ 3876799 w 12192000"/>
            <a:gd name="connsiteY11591" fmla="*/ 2562767 h 6858000"/>
            <a:gd name="connsiteX11592" fmla="*/ 3911618 w 12192000"/>
            <a:gd name="connsiteY11592" fmla="*/ 2527949 h 6858000"/>
            <a:gd name="connsiteX11593" fmla="*/ 3946437 w 12192000"/>
            <a:gd name="connsiteY11593" fmla="*/ 2562767 h 6858000"/>
            <a:gd name="connsiteX11594" fmla="*/ 3911618 w 12192000"/>
            <a:gd name="connsiteY11594" fmla="*/ 2597586 h 6858000"/>
            <a:gd name="connsiteX11595" fmla="*/ 3996511 w 12192000"/>
            <a:gd name="connsiteY11595" fmla="*/ 2597586 h 6858000"/>
            <a:gd name="connsiteX11596" fmla="*/ 3961692 w 12192000"/>
            <a:gd name="connsiteY11596" fmla="*/ 2562767 h 6858000"/>
            <a:gd name="connsiteX11597" fmla="*/ 3996511 w 12192000"/>
            <a:gd name="connsiteY11597" fmla="*/ 2527949 h 6858000"/>
            <a:gd name="connsiteX11598" fmla="*/ 4031330 w 12192000"/>
            <a:gd name="connsiteY11598" fmla="*/ 2562767 h 6858000"/>
            <a:gd name="connsiteX11599" fmla="*/ 3996511 w 12192000"/>
            <a:gd name="connsiteY11599" fmla="*/ 2597586 h 6858000"/>
            <a:gd name="connsiteX11600" fmla="*/ 4081403 w 12192000"/>
            <a:gd name="connsiteY11600" fmla="*/ 2597586 h 6858000"/>
            <a:gd name="connsiteX11601" fmla="*/ 4046584 w 12192000"/>
            <a:gd name="connsiteY11601" fmla="*/ 2562767 h 6858000"/>
            <a:gd name="connsiteX11602" fmla="*/ 4081403 w 12192000"/>
            <a:gd name="connsiteY11602" fmla="*/ 2527949 h 6858000"/>
            <a:gd name="connsiteX11603" fmla="*/ 4116222 w 12192000"/>
            <a:gd name="connsiteY11603" fmla="*/ 2562767 h 6858000"/>
            <a:gd name="connsiteX11604" fmla="*/ 4081403 w 12192000"/>
            <a:gd name="connsiteY11604" fmla="*/ 2597586 h 6858000"/>
            <a:gd name="connsiteX11605" fmla="*/ 4166296 w 12192000"/>
            <a:gd name="connsiteY11605" fmla="*/ 2597586 h 6858000"/>
            <a:gd name="connsiteX11606" fmla="*/ 4131477 w 12192000"/>
            <a:gd name="connsiteY11606" fmla="*/ 2562767 h 6858000"/>
            <a:gd name="connsiteX11607" fmla="*/ 4166296 w 12192000"/>
            <a:gd name="connsiteY11607" fmla="*/ 2527949 h 6858000"/>
            <a:gd name="connsiteX11608" fmla="*/ 4201114 w 12192000"/>
            <a:gd name="connsiteY11608" fmla="*/ 2562767 h 6858000"/>
            <a:gd name="connsiteX11609" fmla="*/ 4166296 w 12192000"/>
            <a:gd name="connsiteY11609" fmla="*/ 2597586 h 6858000"/>
            <a:gd name="connsiteX11610" fmla="*/ 4251188 w 12192000"/>
            <a:gd name="connsiteY11610" fmla="*/ 2597586 h 6858000"/>
            <a:gd name="connsiteX11611" fmla="*/ 4216369 w 12192000"/>
            <a:gd name="connsiteY11611" fmla="*/ 2562767 h 6858000"/>
            <a:gd name="connsiteX11612" fmla="*/ 4251188 w 12192000"/>
            <a:gd name="connsiteY11612" fmla="*/ 2527949 h 6858000"/>
            <a:gd name="connsiteX11613" fmla="*/ 4286007 w 12192000"/>
            <a:gd name="connsiteY11613" fmla="*/ 2562767 h 6858000"/>
            <a:gd name="connsiteX11614" fmla="*/ 4251188 w 12192000"/>
            <a:gd name="connsiteY11614" fmla="*/ 2597586 h 6858000"/>
            <a:gd name="connsiteX11615" fmla="*/ 6203718 w 12192000"/>
            <a:gd name="connsiteY11615" fmla="*/ 2597586 h 6858000"/>
            <a:gd name="connsiteX11616" fmla="*/ 6168893 w 12192000"/>
            <a:gd name="connsiteY11616" fmla="*/ 2562767 h 6858000"/>
            <a:gd name="connsiteX11617" fmla="*/ 6203718 w 12192000"/>
            <a:gd name="connsiteY11617" fmla="*/ 2527949 h 6858000"/>
            <a:gd name="connsiteX11618" fmla="*/ 6238530 w 12192000"/>
            <a:gd name="connsiteY11618" fmla="*/ 2562767 h 6858000"/>
            <a:gd name="connsiteX11619" fmla="*/ 6203718 w 12192000"/>
            <a:gd name="connsiteY11619" fmla="*/ 2597586 h 6858000"/>
            <a:gd name="connsiteX11620" fmla="*/ 6288611 w 12192000"/>
            <a:gd name="connsiteY11620" fmla="*/ 2597586 h 6858000"/>
            <a:gd name="connsiteX11621" fmla="*/ 6253786 w 12192000"/>
            <a:gd name="connsiteY11621" fmla="*/ 2562767 h 6858000"/>
            <a:gd name="connsiteX11622" fmla="*/ 6288611 w 12192000"/>
            <a:gd name="connsiteY11622" fmla="*/ 2527949 h 6858000"/>
            <a:gd name="connsiteX11623" fmla="*/ 6323424 w 12192000"/>
            <a:gd name="connsiteY11623" fmla="*/ 2562767 h 6858000"/>
            <a:gd name="connsiteX11624" fmla="*/ 6288611 w 12192000"/>
            <a:gd name="connsiteY11624" fmla="*/ 2597586 h 6858000"/>
            <a:gd name="connsiteX11625" fmla="*/ 6373504 w 12192000"/>
            <a:gd name="connsiteY11625" fmla="*/ 2597586 h 6858000"/>
            <a:gd name="connsiteX11626" fmla="*/ 6338678 w 12192000"/>
            <a:gd name="connsiteY11626" fmla="*/ 2562767 h 6858000"/>
            <a:gd name="connsiteX11627" fmla="*/ 6373504 w 12192000"/>
            <a:gd name="connsiteY11627" fmla="*/ 2527949 h 6858000"/>
            <a:gd name="connsiteX11628" fmla="*/ 6408316 w 12192000"/>
            <a:gd name="connsiteY11628" fmla="*/ 2562767 h 6858000"/>
            <a:gd name="connsiteX11629" fmla="*/ 6373504 w 12192000"/>
            <a:gd name="connsiteY11629" fmla="*/ 2597586 h 6858000"/>
            <a:gd name="connsiteX11630" fmla="*/ 6458396 w 12192000"/>
            <a:gd name="connsiteY11630" fmla="*/ 2597586 h 6858000"/>
            <a:gd name="connsiteX11631" fmla="*/ 6423570 w 12192000"/>
            <a:gd name="connsiteY11631" fmla="*/ 2562767 h 6858000"/>
            <a:gd name="connsiteX11632" fmla="*/ 6458396 w 12192000"/>
            <a:gd name="connsiteY11632" fmla="*/ 2527949 h 6858000"/>
            <a:gd name="connsiteX11633" fmla="*/ 6493208 w 12192000"/>
            <a:gd name="connsiteY11633" fmla="*/ 2562767 h 6858000"/>
            <a:gd name="connsiteX11634" fmla="*/ 6458396 w 12192000"/>
            <a:gd name="connsiteY11634" fmla="*/ 2597586 h 6858000"/>
            <a:gd name="connsiteX11635" fmla="*/ 6543288 w 12192000"/>
            <a:gd name="connsiteY11635" fmla="*/ 2597586 h 6858000"/>
            <a:gd name="connsiteX11636" fmla="*/ 6508463 w 12192000"/>
            <a:gd name="connsiteY11636" fmla="*/ 2562767 h 6858000"/>
            <a:gd name="connsiteX11637" fmla="*/ 6543288 w 12192000"/>
            <a:gd name="connsiteY11637" fmla="*/ 2527949 h 6858000"/>
            <a:gd name="connsiteX11638" fmla="*/ 6578100 w 12192000"/>
            <a:gd name="connsiteY11638" fmla="*/ 2562767 h 6858000"/>
            <a:gd name="connsiteX11639" fmla="*/ 6543288 w 12192000"/>
            <a:gd name="connsiteY11639" fmla="*/ 2597586 h 6858000"/>
            <a:gd name="connsiteX11640" fmla="*/ 6628181 w 12192000"/>
            <a:gd name="connsiteY11640" fmla="*/ 2597586 h 6858000"/>
            <a:gd name="connsiteX11641" fmla="*/ 6593356 w 12192000"/>
            <a:gd name="connsiteY11641" fmla="*/ 2562767 h 6858000"/>
            <a:gd name="connsiteX11642" fmla="*/ 6628181 w 12192000"/>
            <a:gd name="connsiteY11642" fmla="*/ 2527949 h 6858000"/>
            <a:gd name="connsiteX11643" fmla="*/ 6662994 w 12192000"/>
            <a:gd name="connsiteY11643" fmla="*/ 2562767 h 6858000"/>
            <a:gd name="connsiteX11644" fmla="*/ 6628181 w 12192000"/>
            <a:gd name="connsiteY11644" fmla="*/ 2597586 h 6858000"/>
            <a:gd name="connsiteX11645" fmla="*/ 6713074 w 12192000"/>
            <a:gd name="connsiteY11645" fmla="*/ 2597586 h 6858000"/>
            <a:gd name="connsiteX11646" fmla="*/ 6678248 w 12192000"/>
            <a:gd name="connsiteY11646" fmla="*/ 2562767 h 6858000"/>
            <a:gd name="connsiteX11647" fmla="*/ 6713074 w 12192000"/>
            <a:gd name="connsiteY11647" fmla="*/ 2527949 h 6858000"/>
            <a:gd name="connsiteX11648" fmla="*/ 6747886 w 12192000"/>
            <a:gd name="connsiteY11648" fmla="*/ 2562767 h 6858000"/>
            <a:gd name="connsiteX11649" fmla="*/ 6713074 w 12192000"/>
            <a:gd name="connsiteY11649" fmla="*/ 2597586 h 6858000"/>
            <a:gd name="connsiteX11650" fmla="*/ 6797966 w 12192000"/>
            <a:gd name="connsiteY11650" fmla="*/ 2597586 h 6858000"/>
            <a:gd name="connsiteX11651" fmla="*/ 6763140 w 12192000"/>
            <a:gd name="connsiteY11651" fmla="*/ 2562767 h 6858000"/>
            <a:gd name="connsiteX11652" fmla="*/ 6797966 w 12192000"/>
            <a:gd name="connsiteY11652" fmla="*/ 2527949 h 6858000"/>
            <a:gd name="connsiteX11653" fmla="*/ 6832778 w 12192000"/>
            <a:gd name="connsiteY11653" fmla="*/ 2562767 h 6858000"/>
            <a:gd name="connsiteX11654" fmla="*/ 6797966 w 12192000"/>
            <a:gd name="connsiteY11654" fmla="*/ 2597586 h 6858000"/>
            <a:gd name="connsiteX11655" fmla="*/ 6967750 w 12192000"/>
            <a:gd name="connsiteY11655" fmla="*/ 2597586 h 6858000"/>
            <a:gd name="connsiteX11656" fmla="*/ 6932925 w 12192000"/>
            <a:gd name="connsiteY11656" fmla="*/ 2562767 h 6858000"/>
            <a:gd name="connsiteX11657" fmla="*/ 6967750 w 12192000"/>
            <a:gd name="connsiteY11657" fmla="*/ 2527949 h 6858000"/>
            <a:gd name="connsiteX11658" fmla="*/ 7002563 w 12192000"/>
            <a:gd name="connsiteY11658" fmla="*/ 2562767 h 6858000"/>
            <a:gd name="connsiteX11659" fmla="*/ 6967750 w 12192000"/>
            <a:gd name="connsiteY11659" fmla="*/ 2597586 h 6858000"/>
            <a:gd name="connsiteX11660" fmla="*/ 7052644 w 12192000"/>
            <a:gd name="connsiteY11660" fmla="*/ 2597586 h 6858000"/>
            <a:gd name="connsiteX11661" fmla="*/ 7017818 w 12192000"/>
            <a:gd name="connsiteY11661" fmla="*/ 2562767 h 6858000"/>
            <a:gd name="connsiteX11662" fmla="*/ 7052644 w 12192000"/>
            <a:gd name="connsiteY11662" fmla="*/ 2527949 h 6858000"/>
            <a:gd name="connsiteX11663" fmla="*/ 7087456 w 12192000"/>
            <a:gd name="connsiteY11663" fmla="*/ 2562767 h 6858000"/>
            <a:gd name="connsiteX11664" fmla="*/ 7052644 w 12192000"/>
            <a:gd name="connsiteY11664" fmla="*/ 2597586 h 6858000"/>
            <a:gd name="connsiteX11665" fmla="*/ 7137536 w 12192000"/>
            <a:gd name="connsiteY11665" fmla="*/ 2597586 h 6858000"/>
            <a:gd name="connsiteX11666" fmla="*/ 7102710 w 12192000"/>
            <a:gd name="connsiteY11666" fmla="*/ 2562767 h 6858000"/>
            <a:gd name="connsiteX11667" fmla="*/ 7137536 w 12192000"/>
            <a:gd name="connsiteY11667" fmla="*/ 2527949 h 6858000"/>
            <a:gd name="connsiteX11668" fmla="*/ 7172348 w 12192000"/>
            <a:gd name="connsiteY11668" fmla="*/ 2562767 h 6858000"/>
            <a:gd name="connsiteX11669" fmla="*/ 7137536 w 12192000"/>
            <a:gd name="connsiteY11669" fmla="*/ 2597586 h 6858000"/>
            <a:gd name="connsiteX11670" fmla="*/ 9005170 w 12192000"/>
            <a:gd name="connsiteY11670" fmla="*/ 2597586 h 6858000"/>
            <a:gd name="connsiteX11671" fmla="*/ 8970345 w 12192000"/>
            <a:gd name="connsiteY11671" fmla="*/ 2562767 h 6858000"/>
            <a:gd name="connsiteX11672" fmla="*/ 9005170 w 12192000"/>
            <a:gd name="connsiteY11672" fmla="*/ 2527949 h 6858000"/>
            <a:gd name="connsiteX11673" fmla="*/ 9039983 w 12192000"/>
            <a:gd name="connsiteY11673" fmla="*/ 2562767 h 6858000"/>
            <a:gd name="connsiteX11674" fmla="*/ 9005170 w 12192000"/>
            <a:gd name="connsiteY11674" fmla="*/ 2597586 h 6858000"/>
            <a:gd name="connsiteX11675" fmla="*/ 9090063 w 12192000"/>
            <a:gd name="connsiteY11675" fmla="*/ 2597586 h 6858000"/>
            <a:gd name="connsiteX11676" fmla="*/ 9055237 w 12192000"/>
            <a:gd name="connsiteY11676" fmla="*/ 2562767 h 6858000"/>
            <a:gd name="connsiteX11677" fmla="*/ 9090063 w 12192000"/>
            <a:gd name="connsiteY11677" fmla="*/ 2527949 h 6858000"/>
            <a:gd name="connsiteX11678" fmla="*/ 9124875 w 12192000"/>
            <a:gd name="connsiteY11678" fmla="*/ 2562767 h 6858000"/>
            <a:gd name="connsiteX11679" fmla="*/ 9090063 w 12192000"/>
            <a:gd name="connsiteY11679" fmla="*/ 2597586 h 6858000"/>
            <a:gd name="connsiteX11680" fmla="*/ 9344740 w 12192000"/>
            <a:gd name="connsiteY11680" fmla="*/ 2597586 h 6858000"/>
            <a:gd name="connsiteX11681" fmla="*/ 9309915 w 12192000"/>
            <a:gd name="connsiteY11681" fmla="*/ 2562767 h 6858000"/>
            <a:gd name="connsiteX11682" fmla="*/ 9344740 w 12192000"/>
            <a:gd name="connsiteY11682" fmla="*/ 2527949 h 6858000"/>
            <a:gd name="connsiteX11683" fmla="*/ 9379553 w 12192000"/>
            <a:gd name="connsiteY11683" fmla="*/ 2562767 h 6858000"/>
            <a:gd name="connsiteX11684" fmla="*/ 9344740 w 12192000"/>
            <a:gd name="connsiteY11684" fmla="*/ 2597586 h 6858000"/>
            <a:gd name="connsiteX11685" fmla="*/ 9429633 w 12192000"/>
            <a:gd name="connsiteY11685" fmla="*/ 2597586 h 6858000"/>
            <a:gd name="connsiteX11686" fmla="*/ 9394807 w 12192000"/>
            <a:gd name="connsiteY11686" fmla="*/ 2562767 h 6858000"/>
            <a:gd name="connsiteX11687" fmla="*/ 9429633 w 12192000"/>
            <a:gd name="connsiteY11687" fmla="*/ 2527949 h 6858000"/>
            <a:gd name="connsiteX11688" fmla="*/ 9464445 w 12192000"/>
            <a:gd name="connsiteY11688" fmla="*/ 2562767 h 6858000"/>
            <a:gd name="connsiteX11689" fmla="*/ 9429633 w 12192000"/>
            <a:gd name="connsiteY11689" fmla="*/ 2597586 h 6858000"/>
            <a:gd name="connsiteX11690" fmla="*/ 9514525 w 12192000"/>
            <a:gd name="connsiteY11690" fmla="*/ 2597586 h 6858000"/>
            <a:gd name="connsiteX11691" fmla="*/ 9479699 w 12192000"/>
            <a:gd name="connsiteY11691" fmla="*/ 2562767 h 6858000"/>
            <a:gd name="connsiteX11692" fmla="*/ 9514525 w 12192000"/>
            <a:gd name="connsiteY11692" fmla="*/ 2527949 h 6858000"/>
            <a:gd name="connsiteX11693" fmla="*/ 9549337 w 12192000"/>
            <a:gd name="connsiteY11693" fmla="*/ 2562767 h 6858000"/>
            <a:gd name="connsiteX11694" fmla="*/ 9514525 w 12192000"/>
            <a:gd name="connsiteY11694" fmla="*/ 2597586 h 6858000"/>
            <a:gd name="connsiteX11695" fmla="*/ 9769203 w 12192000"/>
            <a:gd name="connsiteY11695" fmla="*/ 2597586 h 6858000"/>
            <a:gd name="connsiteX11696" fmla="*/ 9734377 w 12192000"/>
            <a:gd name="connsiteY11696" fmla="*/ 2562767 h 6858000"/>
            <a:gd name="connsiteX11697" fmla="*/ 9769203 w 12192000"/>
            <a:gd name="connsiteY11697" fmla="*/ 2527949 h 6858000"/>
            <a:gd name="connsiteX11698" fmla="*/ 9804015 w 12192000"/>
            <a:gd name="connsiteY11698" fmla="*/ 2562767 h 6858000"/>
            <a:gd name="connsiteX11699" fmla="*/ 9769203 w 12192000"/>
            <a:gd name="connsiteY11699" fmla="*/ 2597586 h 6858000"/>
            <a:gd name="connsiteX11700" fmla="*/ 9938988 w 12192000"/>
            <a:gd name="connsiteY11700" fmla="*/ 2597586 h 6858000"/>
            <a:gd name="connsiteX11701" fmla="*/ 9904163 w 12192000"/>
            <a:gd name="connsiteY11701" fmla="*/ 2562767 h 6858000"/>
            <a:gd name="connsiteX11702" fmla="*/ 9938988 w 12192000"/>
            <a:gd name="connsiteY11702" fmla="*/ 2527949 h 6858000"/>
            <a:gd name="connsiteX11703" fmla="*/ 9973800 w 12192000"/>
            <a:gd name="connsiteY11703" fmla="*/ 2562767 h 6858000"/>
            <a:gd name="connsiteX11704" fmla="*/ 9938988 w 12192000"/>
            <a:gd name="connsiteY11704" fmla="*/ 2597586 h 6858000"/>
            <a:gd name="connsiteX11705" fmla="*/ 3402263 w 12192000"/>
            <a:gd name="connsiteY11705" fmla="*/ 2512726 h 6858000"/>
            <a:gd name="connsiteX11706" fmla="*/ 3367444 w 12192000"/>
            <a:gd name="connsiteY11706" fmla="*/ 2477908 h 6858000"/>
            <a:gd name="connsiteX11707" fmla="*/ 3402263 w 12192000"/>
            <a:gd name="connsiteY11707" fmla="*/ 2443089 h 6858000"/>
            <a:gd name="connsiteX11708" fmla="*/ 3437082 w 12192000"/>
            <a:gd name="connsiteY11708" fmla="*/ 2477908 h 6858000"/>
            <a:gd name="connsiteX11709" fmla="*/ 3402263 w 12192000"/>
            <a:gd name="connsiteY11709" fmla="*/ 2512726 h 6858000"/>
            <a:gd name="connsiteX11710" fmla="*/ 3487156 w 12192000"/>
            <a:gd name="connsiteY11710" fmla="*/ 2512726 h 6858000"/>
            <a:gd name="connsiteX11711" fmla="*/ 3452337 w 12192000"/>
            <a:gd name="connsiteY11711" fmla="*/ 2477908 h 6858000"/>
            <a:gd name="connsiteX11712" fmla="*/ 3487156 w 12192000"/>
            <a:gd name="connsiteY11712" fmla="*/ 2443089 h 6858000"/>
            <a:gd name="connsiteX11713" fmla="*/ 3521974 w 12192000"/>
            <a:gd name="connsiteY11713" fmla="*/ 2477908 h 6858000"/>
            <a:gd name="connsiteX11714" fmla="*/ 3487156 w 12192000"/>
            <a:gd name="connsiteY11714" fmla="*/ 2512726 h 6858000"/>
            <a:gd name="connsiteX11715" fmla="*/ 3572048 w 12192000"/>
            <a:gd name="connsiteY11715" fmla="*/ 2512726 h 6858000"/>
            <a:gd name="connsiteX11716" fmla="*/ 3537229 w 12192000"/>
            <a:gd name="connsiteY11716" fmla="*/ 2477908 h 6858000"/>
            <a:gd name="connsiteX11717" fmla="*/ 3572048 w 12192000"/>
            <a:gd name="connsiteY11717" fmla="*/ 2443089 h 6858000"/>
            <a:gd name="connsiteX11718" fmla="*/ 3606867 w 12192000"/>
            <a:gd name="connsiteY11718" fmla="*/ 2477908 h 6858000"/>
            <a:gd name="connsiteX11719" fmla="*/ 3572048 w 12192000"/>
            <a:gd name="connsiteY11719" fmla="*/ 2512726 h 6858000"/>
            <a:gd name="connsiteX11720" fmla="*/ 3656941 w 12192000"/>
            <a:gd name="connsiteY11720" fmla="*/ 2512726 h 6858000"/>
            <a:gd name="connsiteX11721" fmla="*/ 3622122 w 12192000"/>
            <a:gd name="connsiteY11721" fmla="*/ 2477908 h 6858000"/>
            <a:gd name="connsiteX11722" fmla="*/ 3656941 w 12192000"/>
            <a:gd name="connsiteY11722" fmla="*/ 2443089 h 6858000"/>
            <a:gd name="connsiteX11723" fmla="*/ 3691760 w 12192000"/>
            <a:gd name="connsiteY11723" fmla="*/ 2477908 h 6858000"/>
            <a:gd name="connsiteX11724" fmla="*/ 3656941 w 12192000"/>
            <a:gd name="connsiteY11724" fmla="*/ 2512726 h 6858000"/>
            <a:gd name="connsiteX11725" fmla="*/ 3741833 w 12192000"/>
            <a:gd name="connsiteY11725" fmla="*/ 2512726 h 6858000"/>
            <a:gd name="connsiteX11726" fmla="*/ 3707014 w 12192000"/>
            <a:gd name="connsiteY11726" fmla="*/ 2477908 h 6858000"/>
            <a:gd name="connsiteX11727" fmla="*/ 3741833 w 12192000"/>
            <a:gd name="connsiteY11727" fmla="*/ 2443089 h 6858000"/>
            <a:gd name="connsiteX11728" fmla="*/ 3776652 w 12192000"/>
            <a:gd name="connsiteY11728" fmla="*/ 2477908 h 6858000"/>
            <a:gd name="connsiteX11729" fmla="*/ 3741833 w 12192000"/>
            <a:gd name="connsiteY11729" fmla="*/ 2512726 h 6858000"/>
            <a:gd name="connsiteX11730" fmla="*/ 3826726 w 12192000"/>
            <a:gd name="connsiteY11730" fmla="*/ 2512726 h 6858000"/>
            <a:gd name="connsiteX11731" fmla="*/ 3791907 w 12192000"/>
            <a:gd name="connsiteY11731" fmla="*/ 2477908 h 6858000"/>
            <a:gd name="connsiteX11732" fmla="*/ 3826726 w 12192000"/>
            <a:gd name="connsiteY11732" fmla="*/ 2443089 h 6858000"/>
            <a:gd name="connsiteX11733" fmla="*/ 3861544 w 12192000"/>
            <a:gd name="connsiteY11733" fmla="*/ 2477908 h 6858000"/>
            <a:gd name="connsiteX11734" fmla="*/ 3826726 w 12192000"/>
            <a:gd name="connsiteY11734" fmla="*/ 2512726 h 6858000"/>
            <a:gd name="connsiteX11735" fmla="*/ 3911618 w 12192000"/>
            <a:gd name="connsiteY11735" fmla="*/ 2512726 h 6858000"/>
            <a:gd name="connsiteX11736" fmla="*/ 3876799 w 12192000"/>
            <a:gd name="connsiteY11736" fmla="*/ 2477908 h 6858000"/>
            <a:gd name="connsiteX11737" fmla="*/ 3911618 w 12192000"/>
            <a:gd name="connsiteY11737" fmla="*/ 2443089 h 6858000"/>
            <a:gd name="connsiteX11738" fmla="*/ 3946437 w 12192000"/>
            <a:gd name="connsiteY11738" fmla="*/ 2477908 h 6858000"/>
            <a:gd name="connsiteX11739" fmla="*/ 3911618 w 12192000"/>
            <a:gd name="connsiteY11739" fmla="*/ 2512726 h 6858000"/>
            <a:gd name="connsiteX11740" fmla="*/ 3996511 w 12192000"/>
            <a:gd name="connsiteY11740" fmla="*/ 2512726 h 6858000"/>
            <a:gd name="connsiteX11741" fmla="*/ 3961692 w 12192000"/>
            <a:gd name="connsiteY11741" fmla="*/ 2477908 h 6858000"/>
            <a:gd name="connsiteX11742" fmla="*/ 3996511 w 12192000"/>
            <a:gd name="connsiteY11742" fmla="*/ 2443089 h 6858000"/>
            <a:gd name="connsiteX11743" fmla="*/ 4031330 w 12192000"/>
            <a:gd name="connsiteY11743" fmla="*/ 2477908 h 6858000"/>
            <a:gd name="connsiteX11744" fmla="*/ 3996511 w 12192000"/>
            <a:gd name="connsiteY11744" fmla="*/ 2512726 h 6858000"/>
            <a:gd name="connsiteX11745" fmla="*/ 4081403 w 12192000"/>
            <a:gd name="connsiteY11745" fmla="*/ 2512726 h 6858000"/>
            <a:gd name="connsiteX11746" fmla="*/ 4046584 w 12192000"/>
            <a:gd name="connsiteY11746" fmla="*/ 2477908 h 6858000"/>
            <a:gd name="connsiteX11747" fmla="*/ 4081403 w 12192000"/>
            <a:gd name="connsiteY11747" fmla="*/ 2443089 h 6858000"/>
            <a:gd name="connsiteX11748" fmla="*/ 4116222 w 12192000"/>
            <a:gd name="connsiteY11748" fmla="*/ 2477908 h 6858000"/>
            <a:gd name="connsiteX11749" fmla="*/ 4081403 w 12192000"/>
            <a:gd name="connsiteY11749" fmla="*/ 2512726 h 6858000"/>
            <a:gd name="connsiteX11750" fmla="*/ 4166296 w 12192000"/>
            <a:gd name="connsiteY11750" fmla="*/ 2512726 h 6858000"/>
            <a:gd name="connsiteX11751" fmla="*/ 4131477 w 12192000"/>
            <a:gd name="connsiteY11751" fmla="*/ 2477908 h 6858000"/>
            <a:gd name="connsiteX11752" fmla="*/ 4166296 w 12192000"/>
            <a:gd name="connsiteY11752" fmla="*/ 2443089 h 6858000"/>
            <a:gd name="connsiteX11753" fmla="*/ 4201114 w 12192000"/>
            <a:gd name="connsiteY11753" fmla="*/ 2477908 h 6858000"/>
            <a:gd name="connsiteX11754" fmla="*/ 4166296 w 12192000"/>
            <a:gd name="connsiteY11754" fmla="*/ 2512726 h 6858000"/>
            <a:gd name="connsiteX11755" fmla="*/ 4251188 w 12192000"/>
            <a:gd name="connsiteY11755" fmla="*/ 2512726 h 6858000"/>
            <a:gd name="connsiteX11756" fmla="*/ 4216369 w 12192000"/>
            <a:gd name="connsiteY11756" fmla="*/ 2477908 h 6858000"/>
            <a:gd name="connsiteX11757" fmla="*/ 4251188 w 12192000"/>
            <a:gd name="connsiteY11757" fmla="*/ 2443089 h 6858000"/>
            <a:gd name="connsiteX11758" fmla="*/ 4286007 w 12192000"/>
            <a:gd name="connsiteY11758" fmla="*/ 2477908 h 6858000"/>
            <a:gd name="connsiteX11759" fmla="*/ 4251188 w 12192000"/>
            <a:gd name="connsiteY11759" fmla="*/ 2512726 h 6858000"/>
            <a:gd name="connsiteX11760" fmla="*/ 4336080 w 12192000"/>
            <a:gd name="connsiteY11760" fmla="*/ 2512726 h 6858000"/>
            <a:gd name="connsiteX11761" fmla="*/ 4301261 w 12192000"/>
            <a:gd name="connsiteY11761" fmla="*/ 2477908 h 6858000"/>
            <a:gd name="connsiteX11762" fmla="*/ 4336080 w 12192000"/>
            <a:gd name="connsiteY11762" fmla="*/ 2443089 h 6858000"/>
            <a:gd name="connsiteX11763" fmla="*/ 4370899 w 12192000"/>
            <a:gd name="connsiteY11763" fmla="*/ 2477908 h 6858000"/>
            <a:gd name="connsiteX11764" fmla="*/ 4336080 w 12192000"/>
            <a:gd name="connsiteY11764" fmla="*/ 2512726 h 6858000"/>
            <a:gd name="connsiteX11765" fmla="*/ 4420973 w 12192000"/>
            <a:gd name="connsiteY11765" fmla="*/ 2512726 h 6858000"/>
            <a:gd name="connsiteX11766" fmla="*/ 4386154 w 12192000"/>
            <a:gd name="connsiteY11766" fmla="*/ 2477908 h 6858000"/>
            <a:gd name="connsiteX11767" fmla="*/ 4420973 w 12192000"/>
            <a:gd name="connsiteY11767" fmla="*/ 2443089 h 6858000"/>
            <a:gd name="connsiteX11768" fmla="*/ 4455792 w 12192000"/>
            <a:gd name="connsiteY11768" fmla="*/ 2477908 h 6858000"/>
            <a:gd name="connsiteX11769" fmla="*/ 4420973 w 12192000"/>
            <a:gd name="connsiteY11769" fmla="*/ 2512726 h 6858000"/>
            <a:gd name="connsiteX11770" fmla="*/ 6203718 w 12192000"/>
            <a:gd name="connsiteY11770" fmla="*/ 2512726 h 6858000"/>
            <a:gd name="connsiteX11771" fmla="*/ 6168893 w 12192000"/>
            <a:gd name="connsiteY11771" fmla="*/ 2477908 h 6858000"/>
            <a:gd name="connsiteX11772" fmla="*/ 6203718 w 12192000"/>
            <a:gd name="connsiteY11772" fmla="*/ 2443089 h 6858000"/>
            <a:gd name="connsiteX11773" fmla="*/ 6238530 w 12192000"/>
            <a:gd name="connsiteY11773" fmla="*/ 2477908 h 6858000"/>
            <a:gd name="connsiteX11774" fmla="*/ 6203718 w 12192000"/>
            <a:gd name="connsiteY11774" fmla="*/ 2512726 h 6858000"/>
            <a:gd name="connsiteX11775" fmla="*/ 6288611 w 12192000"/>
            <a:gd name="connsiteY11775" fmla="*/ 2512726 h 6858000"/>
            <a:gd name="connsiteX11776" fmla="*/ 6253786 w 12192000"/>
            <a:gd name="connsiteY11776" fmla="*/ 2477908 h 6858000"/>
            <a:gd name="connsiteX11777" fmla="*/ 6288611 w 12192000"/>
            <a:gd name="connsiteY11777" fmla="*/ 2443089 h 6858000"/>
            <a:gd name="connsiteX11778" fmla="*/ 6323424 w 12192000"/>
            <a:gd name="connsiteY11778" fmla="*/ 2477908 h 6858000"/>
            <a:gd name="connsiteX11779" fmla="*/ 6288611 w 12192000"/>
            <a:gd name="connsiteY11779" fmla="*/ 2512726 h 6858000"/>
            <a:gd name="connsiteX11780" fmla="*/ 6373504 w 12192000"/>
            <a:gd name="connsiteY11780" fmla="*/ 2512726 h 6858000"/>
            <a:gd name="connsiteX11781" fmla="*/ 6338678 w 12192000"/>
            <a:gd name="connsiteY11781" fmla="*/ 2477908 h 6858000"/>
            <a:gd name="connsiteX11782" fmla="*/ 6373504 w 12192000"/>
            <a:gd name="connsiteY11782" fmla="*/ 2443089 h 6858000"/>
            <a:gd name="connsiteX11783" fmla="*/ 6408316 w 12192000"/>
            <a:gd name="connsiteY11783" fmla="*/ 2477908 h 6858000"/>
            <a:gd name="connsiteX11784" fmla="*/ 6373504 w 12192000"/>
            <a:gd name="connsiteY11784" fmla="*/ 2512726 h 6858000"/>
            <a:gd name="connsiteX11785" fmla="*/ 6458396 w 12192000"/>
            <a:gd name="connsiteY11785" fmla="*/ 2512726 h 6858000"/>
            <a:gd name="connsiteX11786" fmla="*/ 6423570 w 12192000"/>
            <a:gd name="connsiteY11786" fmla="*/ 2477908 h 6858000"/>
            <a:gd name="connsiteX11787" fmla="*/ 6458396 w 12192000"/>
            <a:gd name="connsiteY11787" fmla="*/ 2443089 h 6858000"/>
            <a:gd name="connsiteX11788" fmla="*/ 6493208 w 12192000"/>
            <a:gd name="connsiteY11788" fmla="*/ 2477908 h 6858000"/>
            <a:gd name="connsiteX11789" fmla="*/ 6458396 w 12192000"/>
            <a:gd name="connsiteY11789" fmla="*/ 2512726 h 6858000"/>
            <a:gd name="connsiteX11790" fmla="*/ 6543288 w 12192000"/>
            <a:gd name="connsiteY11790" fmla="*/ 2512726 h 6858000"/>
            <a:gd name="connsiteX11791" fmla="*/ 6508463 w 12192000"/>
            <a:gd name="connsiteY11791" fmla="*/ 2477908 h 6858000"/>
            <a:gd name="connsiteX11792" fmla="*/ 6543288 w 12192000"/>
            <a:gd name="connsiteY11792" fmla="*/ 2443089 h 6858000"/>
            <a:gd name="connsiteX11793" fmla="*/ 6578100 w 12192000"/>
            <a:gd name="connsiteY11793" fmla="*/ 2477908 h 6858000"/>
            <a:gd name="connsiteX11794" fmla="*/ 6543288 w 12192000"/>
            <a:gd name="connsiteY11794" fmla="*/ 2512726 h 6858000"/>
            <a:gd name="connsiteX11795" fmla="*/ 6628181 w 12192000"/>
            <a:gd name="connsiteY11795" fmla="*/ 2512726 h 6858000"/>
            <a:gd name="connsiteX11796" fmla="*/ 6593356 w 12192000"/>
            <a:gd name="connsiteY11796" fmla="*/ 2477908 h 6858000"/>
            <a:gd name="connsiteX11797" fmla="*/ 6628181 w 12192000"/>
            <a:gd name="connsiteY11797" fmla="*/ 2443089 h 6858000"/>
            <a:gd name="connsiteX11798" fmla="*/ 6662994 w 12192000"/>
            <a:gd name="connsiteY11798" fmla="*/ 2477908 h 6858000"/>
            <a:gd name="connsiteX11799" fmla="*/ 6628181 w 12192000"/>
            <a:gd name="connsiteY11799" fmla="*/ 2512726 h 6858000"/>
            <a:gd name="connsiteX11800" fmla="*/ 6713074 w 12192000"/>
            <a:gd name="connsiteY11800" fmla="*/ 2512726 h 6858000"/>
            <a:gd name="connsiteX11801" fmla="*/ 6678248 w 12192000"/>
            <a:gd name="connsiteY11801" fmla="*/ 2477908 h 6858000"/>
            <a:gd name="connsiteX11802" fmla="*/ 6713074 w 12192000"/>
            <a:gd name="connsiteY11802" fmla="*/ 2443089 h 6858000"/>
            <a:gd name="connsiteX11803" fmla="*/ 6747886 w 12192000"/>
            <a:gd name="connsiteY11803" fmla="*/ 2477908 h 6858000"/>
            <a:gd name="connsiteX11804" fmla="*/ 6713074 w 12192000"/>
            <a:gd name="connsiteY11804" fmla="*/ 2512726 h 6858000"/>
            <a:gd name="connsiteX11805" fmla="*/ 6797966 w 12192000"/>
            <a:gd name="connsiteY11805" fmla="*/ 2512726 h 6858000"/>
            <a:gd name="connsiteX11806" fmla="*/ 6763140 w 12192000"/>
            <a:gd name="connsiteY11806" fmla="*/ 2477908 h 6858000"/>
            <a:gd name="connsiteX11807" fmla="*/ 6797966 w 12192000"/>
            <a:gd name="connsiteY11807" fmla="*/ 2443089 h 6858000"/>
            <a:gd name="connsiteX11808" fmla="*/ 6832778 w 12192000"/>
            <a:gd name="connsiteY11808" fmla="*/ 2477908 h 6858000"/>
            <a:gd name="connsiteX11809" fmla="*/ 6797966 w 12192000"/>
            <a:gd name="connsiteY11809" fmla="*/ 2512726 h 6858000"/>
            <a:gd name="connsiteX11810" fmla="*/ 6967750 w 12192000"/>
            <a:gd name="connsiteY11810" fmla="*/ 2512726 h 6858000"/>
            <a:gd name="connsiteX11811" fmla="*/ 6932925 w 12192000"/>
            <a:gd name="connsiteY11811" fmla="*/ 2477908 h 6858000"/>
            <a:gd name="connsiteX11812" fmla="*/ 6967750 w 12192000"/>
            <a:gd name="connsiteY11812" fmla="*/ 2443089 h 6858000"/>
            <a:gd name="connsiteX11813" fmla="*/ 7002563 w 12192000"/>
            <a:gd name="connsiteY11813" fmla="*/ 2477908 h 6858000"/>
            <a:gd name="connsiteX11814" fmla="*/ 6967750 w 12192000"/>
            <a:gd name="connsiteY11814" fmla="*/ 2512726 h 6858000"/>
            <a:gd name="connsiteX11815" fmla="*/ 7052644 w 12192000"/>
            <a:gd name="connsiteY11815" fmla="*/ 2512726 h 6858000"/>
            <a:gd name="connsiteX11816" fmla="*/ 7017818 w 12192000"/>
            <a:gd name="connsiteY11816" fmla="*/ 2477908 h 6858000"/>
            <a:gd name="connsiteX11817" fmla="*/ 7052644 w 12192000"/>
            <a:gd name="connsiteY11817" fmla="*/ 2443089 h 6858000"/>
            <a:gd name="connsiteX11818" fmla="*/ 7087456 w 12192000"/>
            <a:gd name="connsiteY11818" fmla="*/ 2477908 h 6858000"/>
            <a:gd name="connsiteX11819" fmla="*/ 7052644 w 12192000"/>
            <a:gd name="connsiteY11819" fmla="*/ 2512726 h 6858000"/>
            <a:gd name="connsiteX11820" fmla="*/ 9090063 w 12192000"/>
            <a:gd name="connsiteY11820" fmla="*/ 2512726 h 6858000"/>
            <a:gd name="connsiteX11821" fmla="*/ 9055237 w 12192000"/>
            <a:gd name="connsiteY11821" fmla="*/ 2477908 h 6858000"/>
            <a:gd name="connsiteX11822" fmla="*/ 9090063 w 12192000"/>
            <a:gd name="connsiteY11822" fmla="*/ 2443089 h 6858000"/>
            <a:gd name="connsiteX11823" fmla="*/ 9124875 w 12192000"/>
            <a:gd name="connsiteY11823" fmla="*/ 2477908 h 6858000"/>
            <a:gd name="connsiteX11824" fmla="*/ 9090063 w 12192000"/>
            <a:gd name="connsiteY11824" fmla="*/ 2512726 h 6858000"/>
            <a:gd name="connsiteX11825" fmla="*/ 9174956 w 12192000"/>
            <a:gd name="connsiteY11825" fmla="*/ 2512726 h 6858000"/>
            <a:gd name="connsiteX11826" fmla="*/ 9140130 w 12192000"/>
            <a:gd name="connsiteY11826" fmla="*/ 2477908 h 6858000"/>
            <a:gd name="connsiteX11827" fmla="*/ 9174956 w 12192000"/>
            <a:gd name="connsiteY11827" fmla="*/ 2443089 h 6858000"/>
            <a:gd name="connsiteX11828" fmla="*/ 9209768 w 12192000"/>
            <a:gd name="connsiteY11828" fmla="*/ 2477908 h 6858000"/>
            <a:gd name="connsiteX11829" fmla="*/ 9174956 w 12192000"/>
            <a:gd name="connsiteY11829" fmla="*/ 2512726 h 6858000"/>
            <a:gd name="connsiteX11830" fmla="*/ 9344740 w 12192000"/>
            <a:gd name="connsiteY11830" fmla="*/ 2512726 h 6858000"/>
            <a:gd name="connsiteX11831" fmla="*/ 9309915 w 12192000"/>
            <a:gd name="connsiteY11831" fmla="*/ 2477908 h 6858000"/>
            <a:gd name="connsiteX11832" fmla="*/ 9344740 w 12192000"/>
            <a:gd name="connsiteY11832" fmla="*/ 2443089 h 6858000"/>
            <a:gd name="connsiteX11833" fmla="*/ 9379553 w 12192000"/>
            <a:gd name="connsiteY11833" fmla="*/ 2477908 h 6858000"/>
            <a:gd name="connsiteX11834" fmla="*/ 9344740 w 12192000"/>
            <a:gd name="connsiteY11834" fmla="*/ 2512726 h 6858000"/>
            <a:gd name="connsiteX11835" fmla="*/ 9429633 w 12192000"/>
            <a:gd name="connsiteY11835" fmla="*/ 2512726 h 6858000"/>
            <a:gd name="connsiteX11836" fmla="*/ 9394807 w 12192000"/>
            <a:gd name="connsiteY11836" fmla="*/ 2477908 h 6858000"/>
            <a:gd name="connsiteX11837" fmla="*/ 9429633 w 12192000"/>
            <a:gd name="connsiteY11837" fmla="*/ 2443089 h 6858000"/>
            <a:gd name="connsiteX11838" fmla="*/ 9464445 w 12192000"/>
            <a:gd name="connsiteY11838" fmla="*/ 2477908 h 6858000"/>
            <a:gd name="connsiteX11839" fmla="*/ 9429633 w 12192000"/>
            <a:gd name="connsiteY11839" fmla="*/ 2512726 h 6858000"/>
            <a:gd name="connsiteX11840" fmla="*/ 9514525 w 12192000"/>
            <a:gd name="connsiteY11840" fmla="*/ 2512726 h 6858000"/>
            <a:gd name="connsiteX11841" fmla="*/ 9479699 w 12192000"/>
            <a:gd name="connsiteY11841" fmla="*/ 2477908 h 6858000"/>
            <a:gd name="connsiteX11842" fmla="*/ 9514525 w 12192000"/>
            <a:gd name="connsiteY11842" fmla="*/ 2443089 h 6858000"/>
            <a:gd name="connsiteX11843" fmla="*/ 9549337 w 12192000"/>
            <a:gd name="connsiteY11843" fmla="*/ 2477908 h 6858000"/>
            <a:gd name="connsiteX11844" fmla="*/ 9514525 w 12192000"/>
            <a:gd name="connsiteY11844" fmla="*/ 2512726 h 6858000"/>
            <a:gd name="connsiteX11845" fmla="*/ 9684310 w 12192000"/>
            <a:gd name="connsiteY11845" fmla="*/ 2512726 h 6858000"/>
            <a:gd name="connsiteX11846" fmla="*/ 9649485 w 12192000"/>
            <a:gd name="connsiteY11846" fmla="*/ 2477908 h 6858000"/>
            <a:gd name="connsiteX11847" fmla="*/ 9684310 w 12192000"/>
            <a:gd name="connsiteY11847" fmla="*/ 2443089 h 6858000"/>
            <a:gd name="connsiteX11848" fmla="*/ 9719123 w 12192000"/>
            <a:gd name="connsiteY11848" fmla="*/ 2477908 h 6858000"/>
            <a:gd name="connsiteX11849" fmla="*/ 9684310 w 12192000"/>
            <a:gd name="connsiteY11849" fmla="*/ 2512726 h 6858000"/>
            <a:gd name="connsiteX11850" fmla="*/ 10023880 w 12192000"/>
            <a:gd name="connsiteY11850" fmla="*/ 2512726 h 6858000"/>
            <a:gd name="connsiteX11851" fmla="*/ 9989055 w 12192000"/>
            <a:gd name="connsiteY11851" fmla="*/ 2477908 h 6858000"/>
            <a:gd name="connsiteX11852" fmla="*/ 10023880 w 12192000"/>
            <a:gd name="connsiteY11852" fmla="*/ 2443089 h 6858000"/>
            <a:gd name="connsiteX11853" fmla="*/ 10058693 w 12192000"/>
            <a:gd name="connsiteY11853" fmla="*/ 2477908 h 6858000"/>
            <a:gd name="connsiteX11854" fmla="*/ 10023880 w 12192000"/>
            <a:gd name="connsiteY11854" fmla="*/ 2512726 h 6858000"/>
            <a:gd name="connsiteX11855" fmla="*/ 10108773 w 12192000"/>
            <a:gd name="connsiteY11855" fmla="*/ 2512726 h 6858000"/>
            <a:gd name="connsiteX11856" fmla="*/ 10073947 w 12192000"/>
            <a:gd name="connsiteY11856" fmla="*/ 2477908 h 6858000"/>
            <a:gd name="connsiteX11857" fmla="*/ 10108773 w 12192000"/>
            <a:gd name="connsiteY11857" fmla="*/ 2443089 h 6858000"/>
            <a:gd name="connsiteX11858" fmla="*/ 10143585 w 12192000"/>
            <a:gd name="connsiteY11858" fmla="*/ 2477908 h 6858000"/>
            <a:gd name="connsiteX11859" fmla="*/ 10108773 w 12192000"/>
            <a:gd name="connsiteY11859" fmla="*/ 2512726 h 6858000"/>
            <a:gd name="connsiteX11860" fmla="*/ 10193665 w 12192000"/>
            <a:gd name="connsiteY11860" fmla="*/ 2512726 h 6858000"/>
            <a:gd name="connsiteX11861" fmla="*/ 10158839 w 12192000"/>
            <a:gd name="connsiteY11861" fmla="*/ 2477908 h 6858000"/>
            <a:gd name="connsiteX11862" fmla="*/ 10193665 w 12192000"/>
            <a:gd name="connsiteY11862" fmla="*/ 2443089 h 6858000"/>
            <a:gd name="connsiteX11863" fmla="*/ 10228477 w 12192000"/>
            <a:gd name="connsiteY11863" fmla="*/ 2477908 h 6858000"/>
            <a:gd name="connsiteX11864" fmla="*/ 10193665 w 12192000"/>
            <a:gd name="connsiteY11864" fmla="*/ 2512726 h 6858000"/>
            <a:gd name="connsiteX11865" fmla="*/ 3402263 w 12192000"/>
            <a:gd name="connsiteY11865" fmla="*/ 2427866 h 6858000"/>
            <a:gd name="connsiteX11866" fmla="*/ 3367444 w 12192000"/>
            <a:gd name="connsiteY11866" fmla="*/ 2393047 h 6858000"/>
            <a:gd name="connsiteX11867" fmla="*/ 3402263 w 12192000"/>
            <a:gd name="connsiteY11867" fmla="*/ 2358228 h 6858000"/>
            <a:gd name="connsiteX11868" fmla="*/ 3437082 w 12192000"/>
            <a:gd name="connsiteY11868" fmla="*/ 2393047 h 6858000"/>
            <a:gd name="connsiteX11869" fmla="*/ 3402263 w 12192000"/>
            <a:gd name="connsiteY11869" fmla="*/ 2427866 h 6858000"/>
            <a:gd name="connsiteX11870" fmla="*/ 3487156 w 12192000"/>
            <a:gd name="connsiteY11870" fmla="*/ 2427866 h 6858000"/>
            <a:gd name="connsiteX11871" fmla="*/ 3452337 w 12192000"/>
            <a:gd name="connsiteY11871" fmla="*/ 2393047 h 6858000"/>
            <a:gd name="connsiteX11872" fmla="*/ 3487156 w 12192000"/>
            <a:gd name="connsiteY11872" fmla="*/ 2358228 h 6858000"/>
            <a:gd name="connsiteX11873" fmla="*/ 3521974 w 12192000"/>
            <a:gd name="connsiteY11873" fmla="*/ 2393047 h 6858000"/>
            <a:gd name="connsiteX11874" fmla="*/ 3487156 w 12192000"/>
            <a:gd name="connsiteY11874" fmla="*/ 2427866 h 6858000"/>
            <a:gd name="connsiteX11875" fmla="*/ 3572048 w 12192000"/>
            <a:gd name="connsiteY11875" fmla="*/ 2427866 h 6858000"/>
            <a:gd name="connsiteX11876" fmla="*/ 3537229 w 12192000"/>
            <a:gd name="connsiteY11876" fmla="*/ 2393047 h 6858000"/>
            <a:gd name="connsiteX11877" fmla="*/ 3572048 w 12192000"/>
            <a:gd name="connsiteY11877" fmla="*/ 2358228 h 6858000"/>
            <a:gd name="connsiteX11878" fmla="*/ 3606867 w 12192000"/>
            <a:gd name="connsiteY11878" fmla="*/ 2393047 h 6858000"/>
            <a:gd name="connsiteX11879" fmla="*/ 3572048 w 12192000"/>
            <a:gd name="connsiteY11879" fmla="*/ 2427866 h 6858000"/>
            <a:gd name="connsiteX11880" fmla="*/ 3656941 w 12192000"/>
            <a:gd name="connsiteY11880" fmla="*/ 2427866 h 6858000"/>
            <a:gd name="connsiteX11881" fmla="*/ 3622122 w 12192000"/>
            <a:gd name="connsiteY11881" fmla="*/ 2393047 h 6858000"/>
            <a:gd name="connsiteX11882" fmla="*/ 3656941 w 12192000"/>
            <a:gd name="connsiteY11882" fmla="*/ 2358228 h 6858000"/>
            <a:gd name="connsiteX11883" fmla="*/ 3691760 w 12192000"/>
            <a:gd name="connsiteY11883" fmla="*/ 2393047 h 6858000"/>
            <a:gd name="connsiteX11884" fmla="*/ 3656941 w 12192000"/>
            <a:gd name="connsiteY11884" fmla="*/ 2427866 h 6858000"/>
            <a:gd name="connsiteX11885" fmla="*/ 3741833 w 12192000"/>
            <a:gd name="connsiteY11885" fmla="*/ 2427866 h 6858000"/>
            <a:gd name="connsiteX11886" fmla="*/ 3707014 w 12192000"/>
            <a:gd name="connsiteY11886" fmla="*/ 2393047 h 6858000"/>
            <a:gd name="connsiteX11887" fmla="*/ 3741833 w 12192000"/>
            <a:gd name="connsiteY11887" fmla="*/ 2358228 h 6858000"/>
            <a:gd name="connsiteX11888" fmla="*/ 3776652 w 12192000"/>
            <a:gd name="connsiteY11888" fmla="*/ 2393047 h 6858000"/>
            <a:gd name="connsiteX11889" fmla="*/ 3741833 w 12192000"/>
            <a:gd name="connsiteY11889" fmla="*/ 2427866 h 6858000"/>
            <a:gd name="connsiteX11890" fmla="*/ 3826726 w 12192000"/>
            <a:gd name="connsiteY11890" fmla="*/ 2427866 h 6858000"/>
            <a:gd name="connsiteX11891" fmla="*/ 3791907 w 12192000"/>
            <a:gd name="connsiteY11891" fmla="*/ 2393047 h 6858000"/>
            <a:gd name="connsiteX11892" fmla="*/ 3826726 w 12192000"/>
            <a:gd name="connsiteY11892" fmla="*/ 2358228 h 6858000"/>
            <a:gd name="connsiteX11893" fmla="*/ 3861544 w 12192000"/>
            <a:gd name="connsiteY11893" fmla="*/ 2393047 h 6858000"/>
            <a:gd name="connsiteX11894" fmla="*/ 3826726 w 12192000"/>
            <a:gd name="connsiteY11894" fmla="*/ 2427866 h 6858000"/>
            <a:gd name="connsiteX11895" fmla="*/ 3911618 w 12192000"/>
            <a:gd name="connsiteY11895" fmla="*/ 2427866 h 6858000"/>
            <a:gd name="connsiteX11896" fmla="*/ 3876799 w 12192000"/>
            <a:gd name="connsiteY11896" fmla="*/ 2393047 h 6858000"/>
            <a:gd name="connsiteX11897" fmla="*/ 3911618 w 12192000"/>
            <a:gd name="connsiteY11897" fmla="*/ 2358228 h 6858000"/>
            <a:gd name="connsiteX11898" fmla="*/ 3946437 w 12192000"/>
            <a:gd name="connsiteY11898" fmla="*/ 2393047 h 6858000"/>
            <a:gd name="connsiteX11899" fmla="*/ 3911618 w 12192000"/>
            <a:gd name="connsiteY11899" fmla="*/ 2427866 h 6858000"/>
            <a:gd name="connsiteX11900" fmla="*/ 3996511 w 12192000"/>
            <a:gd name="connsiteY11900" fmla="*/ 2427866 h 6858000"/>
            <a:gd name="connsiteX11901" fmla="*/ 3961692 w 12192000"/>
            <a:gd name="connsiteY11901" fmla="*/ 2393047 h 6858000"/>
            <a:gd name="connsiteX11902" fmla="*/ 3996511 w 12192000"/>
            <a:gd name="connsiteY11902" fmla="*/ 2358228 h 6858000"/>
            <a:gd name="connsiteX11903" fmla="*/ 4031330 w 12192000"/>
            <a:gd name="connsiteY11903" fmla="*/ 2393047 h 6858000"/>
            <a:gd name="connsiteX11904" fmla="*/ 3996511 w 12192000"/>
            <a:gd name="connsiteY11904" fmla="*/ 2427866 h 6858000"/>
            <a:gd name="connsiteX11905" fmla="*/ 4081403 w 12192000"/>
            <a:gd name="connsiteY11905" fmla="*/ 2427866 h 6858000"/>
            <a:gd name="connsiteX11906" fmla="*/ 4046584 w 12192000"/>
            <a:gd name="connsiteY11906" fmla="*/ 2393047 h 6858000"/>
            <a:gd name="connsiteX11907" fmla="*/ 4081403 w 12192000"/>
            <a:gd name="connsiteY11907" fmla="*/ 2358228 h 6858000"/>
            <a:gd name="connsiteX11908" fmla="*/ 4116222 w 12192000"/>
            <a:gd name="connsiteY11908" fmla="*/ 2393047 h 6858000"/>
            <a:gd name="connsiteX11909" fmla="*/ 4081403 w 12192000"/>
            <a:gd name="connsiteY11909" fmla="*/ 2427866 h 6858000"/>
            <a:gd name="connsiteX11910" fmla="*/ 4166296 w 12192000"/>
            <a:gd name="connsiteY11910" fmla="*/ 2427866 h 6858000"/>
            <a:gd name="connsiteX11911" fmla="*/ 4131477 w 12192000"/>
            <a:gd name="connsiteY11911" fmla="*/ 2393047 h 6858000"/>
            <a:gd name="connsiteX11912" fmla="*/ 4166296 w 12192000"/>
            <a:gd name="connsiteY11912" fmla="*/ 2358228 h 6858000"/>
            <a:gd name="connsiteX11913" fmla="*/ 4201114 w 12192000"/>
            <a:gd name="connsiteY11913" fmla="*/ 2393047 h 6858000"/>
            <a:gd name="connsiteX11914" fmla="*/ 4166296 w 12192000"/>
            <a:gd name="connsiteY11914" fmla="*/ 2427866 h 6858000"/>
            <a:gd name="connsiteX11915" fmla="*/ 4251188 w 12192000"/>
            <a:gd name="connsiteY11915" fmla="*/ 2427866 h 6858000"/>
            <a:gd name="connsiteX11916" fmla="*/ 4216369 w 12192000"/>
            <a:gd name="connsiteY11916" fmla="*/ 2393047 h 6858000"/>
            <a:gd name="connsiteX11917" fmla="*/ 4251188 w 12192000"/>
            <a:gd name="connsiteY11917" fmla="*/ 2358228 h 6858000"/>
            <a:gd name="connsiteX11918" fmla="*/ 4286007 w 12192000"/>
            <a:gd name="connsiteY11918" fmla="*/ 2393047 h 6858000"/>
            <a:gd name="connsiteX11919" fmla="*/ 4251188 w 12192000"/>
            <a:gd name="connsiteY11919" fmla="*/ 2427866 h 6858000"/>
            <a:gd name="connsiteX11920" fmla="*/ 4336080 w 12192000"/>
            <a:gd name="connsiteY11920" fmla="*/ 2427866 h 6858000"/>
            <a:gd name="connsiteX11921" fmla="*/ 4301261 w 12192000"/>
            <a:gd name="connsiteY11921" fmla="*/ 2393047 h 6858000"/>
            <a:gd name="connsiteX11922" fmla="*/ 4336080 w 12192000"/>
            <a:gd name="connsiteY11922" fmla="*/ 2358228 h 6858000"/>
            <a:gd name="connsiteX11923" fmla="*/ 4370899 w 12192000"/>
            <a:gd name="connsiteY11923" fmla="*/ 2393047 h 6858000"/>
            <a:gd name="connsiteX11924" fmla="*/ 4336080 w 12192000"/>
            <a:gd name="connsiteY11924" fmla="*/ 2427866 h 6858000"/>
            <a:gd name="connsiteX11925" fmla="*/ 4420973 w 12192000"/>
            <a:gd name="connsiteY11925" fmla="*/ 2427866 h 6858000"/>
            <a:gd name="connsiteX11926" fmla="*/ 4386154 w 12192000"/>
            <a:gd name="connsiteY11926" fmla="*/ 2393047 h 6858000"/>
            <a:gd name="connsiteX11927" fmla="*/ 4420973 w 12192000"/>
            <a:gd name="connsiteY11927" fmla="*/ 2358228 h 6858000"/>
            <a:gd name="connsiteX11928" fmla="*/ 4455792 w 12192000"/>
            <a:gd name="connsiteY11928" fmla="*/ 2393047 h 6858000"/>
            <a:gd name="connsiteX11929" fmla="*/ 4420973 w 12192000"/>
            <a:gd name="connsiteY11929" fmla="*/ 2427866 h 6858000"/>
            <a:gd name="connsiteX11930" fmla="*/ 4505866 w 12192000"/>
            <a:gd name="connsiteY11930" fmla="*/ 2427866 h 6858000"/>
            <a:gd name="connsiteX11931" fmla="*/ 4471047 w 12192000"/>
            <a:gd name="connsiteY11931" fmla="*/ 2393047 h 6858000"/>
            <a:gd name="connsiteX11932" fmla="*/ 4505866 w 12192000"/>
            <a:gd name="connsiteY11932" fmla="*/ 2358228 h 6858000"/>
            <a:gd name="connsiteX11933" fmla="*/ 4540684 w 12192000"/>
            <a:gd name="connsiteY11933" fmla="*/ 2393047 h 6858000"/>
            <a:gd name="connsiteX11934" fmla="*/ 4505866 w 12192000"/>
            <a:gd name="connsiteY11934" fmla="*/ 2427866 h 6858000"/>
            <a:gd name="connsiteX11935" fmla="*/ 4590758 w 12192000"/>
            <a:gd name="connsiteY11935" fmla="*/ 2427866 h 6858000"/>
            <a:gd name="connsiteX11936" fmla="*/ 4555939 w 12192000"/>
            <a:gd name="connsiteY11936" fmla="*/ 2393047 h 6858000"/>
            <a:gd name="connsiteX11937" fmla="*/ 4590758 w 12192000"/>
            <a:gd name="connsiteY11937" fmla="*/ 2358228 h 6858000"/>
            <a:gd name="connsiteX11938" fmla="*/ 4625577 w 12192000"/>
            <a:gd name="connsiteY11938" fmla="*/ 2393047 h 6858000"/>
            <a:gd name="connsiteX11939" fmla="*/ 4590758 w 12192000"/>
            <a:gd name="connsiteY11939" fmla="*/ 2427866 h 6858000"/>
            <a:gd name="connsiteX11940" fmla="*/ 4675650 w 12192000"/>
            <a:gd name="connsiteY11940" fmla="*/ 2427866 h 6858000"/>
            <a:gd name="connsiteX11941" fmla="*/ 4640831 w 12192000"/>
            <a:gd name="connsiteY11941" fmla="*/ 2393047 h 6858000"/>
            <a:gd name="connsiteX11942" fmla="*/ 4675650 w 12192000"/>
            <a:gd name="connsiteY11942" fmla="*/ 2358228 h 6858000"/>
            <a:gd name="connsiteX11943" fmla="*/ 4710469 w 12192000"/>
            <a:gd name="connsiteY11943" fmla="*/ 2393047 h 6858000"/>
            <a:gd name="connsiteX11944" fmla="*/ 4675650 w 12192000"/>
            <a:gd name="connsiteY11944" fmla="*/ 2427866 h 6858000"/>
            <a:gd name="connsiteX11945" fmla="*/ 6288611 w 12192000"/>
            <a:gd name="connsiteY11945" fmla="*/ 2427866 h 6858000"/>
            <a:gd name="connsiteX11946" fmla="*/ 6253786 w 12192000"/>
            <a:gd name="connsiteY11946" fmla="*/ 2393047 h 6858000"/>
            <a:gd name="connsiteX11947" fmla="*/ 6288611 w 12192000"/>
            <a:gd name="connsiteY11947" fmla="*/ 2358228 h 6858000"/>
            <a:gd name="connsiteX11948" fmla="*/ 6323424 w 12192000"/>
            <a:gd name="connsiteY11948" fmla="*/ 2393047 h 6858000"/>
            <a:gd name="connsiteX11949" fmla="*/ 6288611 w 12192000"/>
            <a:gd name="connsiteY11949" fmla="*/ 2427866 h 6858000"/>
            <a:gd name="connsiteX11950" fmla="*/ 6373504 w 12192000"/>
            <a:gd name="connsiteY11950" fmla="*/ 2427866 h 6858000"/>
            <a:gd name="connsiteX11951" fmla="*/ 6338678 w 12192000"/>
            <a:gd name="connsiteY11951" fmla="*/ 2393047 h 6858000"/>
            <a:gd name="connsiteX11952" fmla="*/ 6373504 w 12192000"/>
            <a:gd name="connsiteY11952" fmla="*/ 2358228 h 6858000"/>
            <a:gd name="connsiteX11953" fmla="*/ 6408316 w 12192000"/>
            <a:gd name="connsiteY11953" fmla="*/ 2393047 h 6858000"/>
            <a:gd name="connsiteX11954" fmla="*/ 6373504 w 12192000"/>
            <a:gd name="connsiteY11954" fmla="*/ 2427866 h 6858000"/>
            <a:gd name="connsiteX11955" fmla="*/ 6458396 w 12192000"/>
            <a:gd name="connsiteY11955" fmla="*/ 2427866 h 6858000"/>
            <a:gd name="connsiteX11956" fmla="*/ 6423570 w 12192000"/>
            <a:gd name="connsiteY11956" fmla="*/ 2393047 h 6858000"/>
            <a:gd name="connsiteX11957" fmla="*/ 6458396 w 12192000"/>
            <a:gd name="connsiteY11957" fmla="*/ 2358228 h 6858000"/>
            <a:gd name="connsiteX11958" fmla="*/ 6493208 w 12192000"/>
            <a:gd name="connsiteY11958" fmla="*/ 2393047 h 6858000"/>
            <a:gd name="connsiteX11959" fmla="*/ 6458396 w 12192000"/>
            <a:gd name="connsiteY11959" fmla="*/ 2427866 h 6858000"/>
            <a:gd name="connsiteX11960" fmla="*/ 6543288 w 12192000"/>
            <a:gd name="connsiteY11960" fmla="*/ 2427866 h 6858000"/>
            <a:gd name="connsiteX11961" fmla="*/ 6508463 w 12192000"/>
            <a:gd name="connsiteY11961" fmla="*/ 2393047 h 6858000"/>
            <a:gd name="connsiteX11962" fmla="*/ 6543288 w 12192000"/>
            <a:gd name="connsiteY11962" fmla="*/ 2358228 h 6858000"/>
            <a:gd name="connsiteX11963" fmla="*/ 6578100 w 12192000"/>
            <a:gd name="connsiteY11963" fmla="*/ 2393047 h 6858000"/>
            <a:gd name="connsiteX11964" fmla="*/ 6543288 w 12192000"/>
            <a:gd name="connsiteY11964" fmla="*/ 2427866 h 6858000"/>
            <a:gd name="connsiteX11965" fmla="*/ 6628181 w 12192000"/>
            <a:gd name="connsiteY11965" fmla="*/ 2427866 h 6858000"/>
            <a:gd name="connsiteX11966" fmla="*/ 6593356 w 12192000"/>
            <a:gd name="connsiteY11966" fmla="*/ 2393047 h 6858000"/>
            <a:gd name="connsiteX11967" fmla="*/ 6628181 w 12192000"/>
            <a:gd name="connsiteY11967" fmla="*/ 2358228 h 6858000"/>
            <a:gd name="connsiteX11968" fmla="*/ 6662994 w 12192000"/>
            <a:gd name="connsiteY11968" fmla="*/ 2393047 h 6858000"/>
            <a:gd name="connsiteX11969" fmla="*/ 6628181 w 12192000"/>
            <a:gd name="connsiteY11969" fmla="*/ 2427866 h 6858000"/>
            <a:gd name="connsiteX11970" fmla="*/ 6713074 w 12192000"/>
            <a:gd name="connsiteY11970" fmla="*/ 2427866 h 6858000"/>
            <a:gd name="connsiteX11971" fmla="*/ 6678248 w 12192000"/>
            <a:gd name="connsiteY11971" fmla="*/ 2393047 h 6858000"/>
            <a:gd name="connsiteX11972" fmla="*/ 6713074 w 12192000"/>
            <a:gd name="connsiteY11972" fmla="*/ 2358228 h 6858000"/>
            <a:gd name="connsiteX11973" fmla="*/ 6747886 w 12192000"/>
            <a:gd name="connsiteY11973" fmla="*/ 2393047 h 6858000"/>
            <a:gd name="connsiteX11974" fmla="*/ 6713074 w 12192000"/>
            <a:gd name="connsiteY11974" fmla="*/ 2427866 h 6858000"/>
            <a:gd name="connsiteX11975" fmla="*/ 6882858 w 12192000"/>
            <a:gd name="connsiteY11975" fmla="*/ 2427866 h 6858000"/>
            <a:gd name="connsiteX11976" fmla="*/ 6848033 w 12192000"/>
            <a:gd name="connsiteY11976" fmla="*/ 2393047 h 6858000"/>
            <a:gd name="connsiteX11977" fmla="*/ 6882858 w 12192000"/>
            <a:gd name="connsiteY11977" fmla="*/ 2358228 h 6858000"/>
            <a:gd name="connsiteX11978" fmla="*/ 6917670 w 12192000"/>
            <a:gd name="connsiteY11978" fmla="*/ 2393047 h 6858000"/>
            <a:gd name="connsiteX11979" fmla="*/ 6882858 w 12192000"/>
            <a:gd name="connsiteY11979" fmla="*/ 2427866 h 6858000"/>
            <a:gd name="connsiteX11980" fmla="*/ 6967750 w 12192000"/>
            <a:gd name="connsiteY11980" fmla="*/ 2427866 h 6858000"/>
            <a:gd name="connsiteX11981" fmla="*/ 6932925 w 12192000"/>
            <a:gd name="connsiteY11981" fmla="*/ 2393047 h 6858000"/>
            <a:gd name="connsiteX11982" fmla="*/ 6967750 w 12192000"/>
            <a:gd name="connsiteY11982" fmla="*/ 2358228 h 6858000"/>
            <a:gd name="connsiteX11983" fmla="*/ 7002563 w 12192000"/>
            <a:gd name="connsiteY11983" fmla="*/ 2393047 h 6858000"/>
            <a:gd name="connsiteX11984" fmla="*/ 6967750 w 12192000"/>
            <a:gd name="connsiteY11984" fmla="*/ 2427866 h 6858000"/>
            <a:gd name="connsiteX11985" fmla="*/ 7052644 w 12192000"/>
            <a:gd name="connsiteY11985" fmla="*/ 2427866 h 6858000"/>
            <a:gd name="connsiteX11986" fmla="*/ 7017818 w 12192000"/>
            <a:gd name="connsiteY11986" fmla="*/ 2393047 h 6858000"/>
            <a:gd name="connsiteX11987" fmla="*/ 7052644 w 12192000"/>
            <a:gd name="connsiteY11987" fmla="*/ 2358228 h 6858000"/>
            <a:gd name="connsiteX11988" fmla="*/ 7087456 w 12192000"/>
            <a:gd name="connsiteY11988" fmla="*/ 2393047 h 6858000"/>
            <a:gd name="connsiteX11989" fmla="*/ 7052644 w 12192000"/>
            <a:gd name="connsiteY11989" fmla="*/ 2427866 h 6858000"/>
            <a:gd name="connsiteX11990" fmla="*/ 9174956 w 12192000"/>
            <a:gd name="connsiteY11990" fmla="*/ 2427866 h 6858000"/>
            <a:gd name="connsiteX11991" fmla="*/ 9140130 w 12192000"/>
            <a:gd name="connsiteY11991" fmla="*/ 2393047 h 6858000"/>
            <a:gd name="connsiteX11992" fmla="*/ 9174956 w 12192000"/>
            <a:gd name="connsiteY11992" fmla="*/ 2358228 h 6858000"/>
            <a:gd name="connsiteX11993" fmla="*/ 9209768 w 12192000"/>
            <a:gd name="connsiteY11993" fmla="*/ 2393047 h 6858000"/>
            <a:gd name="connsiteX11994" fmla="*/ 9174956 w 12192000"/>
            <a:gd name="connsiteY11994" fmla="*/ 2427866 h 6858000"/>
            <a:gd name="connsiteX11995" fmla="*/ 9684310 w 12192000"/>
            <a:gd name="connsiteY11995" fmla="*/ 2427866 h 6858000"/>
            <a:gd name="connsiteX11996" fmla="*/ 9649485 w 12192000"/>
            <a:gd name="connsiteY11996" fmla="*/ 2393047 h 6858000"/>
            <a:gd name="connsiteX11997" fmla="*/ 9684310 w 12192000"/>
            <a:gd name="connsiteY11997" fmla="*/ 2358228 h 6858000"/>
            <a:gd name="connsiteX11998" fmla="*/ 9719123 w 12192000"/>
            <a:gd name="connsiteY11998" fmla="*/ 2393047 h 6858000"/>
            <a:gd name="connsiteX11999" fmla="*/ 9684310 w 12192000"/>
            <a:gd name="connsiteY11999" fmla="*/ 2427866 h 6858000"/>
            <a:gd name="connsiteX12000" fmla="*/ 10108773 w 12192000"/>
            <a:gd name="connsiteY12000" fmla="*/ 2427866 h 6858000"/>
            <a:gd name="connsiteX12001" fmla="*/ 10073947 w 12192000"/>
            <a:gd name="connsiteY12001" fmla="*/ 2393047 h 6858000"/>
            <a:gd name="connsiteX12002" fmla="*/ 10108773 w 12192000"/>
            <a:gd name="connsiteY12002" fmla="*/ 2358228 h 6858000"/>
            <a:gd name="connsiteX12003" fmla="*/ 10143585 w 12192000"/>
            <a:gd name="connsiteY12003" fmla="*/ 2393047 h 6858000"/>
            <a:gd name="connsiteX12004" fmla="*/ 10108773 w 12192000"/>
            <a:gd name="connsiteY12004" fmla="*/ 2427866 h 6858000"/>
            <a:gd name="connsiteX12005" fmla="*/ 10193665 w 12192000"/>
            <a:gd name="connsiteY12005" fmla="*/ 2427866 h 6858000"/>
            <a:gd name="connsiteX12006" fmla="*/ 10158839 w 12192000"/>
            <a:gd name="connsiteY12006" fmla="*/ 2393047 h 6858000"/>
            <a:gd name="connsiteX12007" fmla="*/ 10193665 w 12192000"/>
            <a:gd name="connsiteY12007" fmla="*/ 2358228 h 6858000"/>
            <a:gd name="connsiteX12008" fmla="*/ 10228477 w 12192000"/>
            <a:gd name="connsiteY12008" fmla="*/ 2393047 h 6858000"/>
            <a:gd name="connsiteX12009" fmla="*/ 10193665 w 12192000"/>
            <a:gd name="connsiteY12009" fmla="*/ 2427866 h 6858000"/>
            <a:gd name="connsiteX12010" fmla="*/ 10278558 w 12192000"/>
            <a:gd name="connsiteY12010" fmla="*/ 2427866 h 6858000"/>
            <a:gd name="connsiteX12011" fmla="*/ 10243733 w 12192000"/>
            <a:gd name="connsiteY12011" fmla="*/ 2393047 h 6858000"/>
            <a:gd name="connsiteX12012" fmla="*/ 10278558 w 12192000"/>
            <a:gd name="connsiteY12012" fmla="*/ 2358228 h 6858000"/>
            <a:gd name="connsiteX12013" fmla="*/ 10313370 w 12192000"/>
            <a:gd name="connsiteY12013" fmla="*/ 2393047 h 6858000"/>
            <a:gd name="connsiteX12014" fmla="*/ 10278558 w 12192000"/>
            <a:gd name="connsiteY12014" fmla="*/ 2427866 h 6858000"/>
            <a:gd name="connsiteX12015" fmla="*/ 10363450 w 12192000"/>
            <a:gd name="connsiteY12015" fmla="*/ 2427866 h 6858000"/>
            <a:gd name="connsiteX12016" fmla="*/ 10328625 w 12192000"/>
            <a:gd name="connsiteY12016" fmla="*/ 2393047 h 6858000"/>
            <a:gd name="connsiteX12017" fmla="*/ 10363450 w 12192000"/>
            <a:gd name="connsiteY12017" fmla="*/ 2358228 h 6858000"/>
            <a:gd name="connsiteX12018" fmla="*/ 10398263 w 12192000"/>
            <a:gd name="connsiteY12018" fmla="*/ 2393047 h 6858000"/>
            <a:gd name="connsiteX12019" fmla="*/ 10363450 w 12192000"/>
            <a:gd name="connsiteY12019" fmla="*/ 2427866 h 6858000"/>
            <a:gd name="connsiteX12020" fmla="*/ 10618128 w 12192000"/>
            <a:gd name="connsiteY12020" fmla="*/ 2427866 h 6858000"/>
            <a:gd name="connsiteX12021" fmla="*/ 10583303 w 12192000"/>
            <a:gd name="connsiteY12021" fmla="*/ 2393047 h 6858000"/>
            <a:gd name="connsiteX12022" fmla="*/ 10618128 w 12192000"/>
            <a:gd name="connsiteY12022" fmla="*/ 2358228 h 6858000"/>
            <a:gd name="connsiteX12023" fmla="*/ 10652940 w 12192000"/>
            <a:gd name="connsiteY12023" fmla="*/ 2393047 h 6858000"/>
            <a:gd name="connsiteX12024" fmla="*/ 10618128 w 12192000"/>
            <a:gd name="connsiteY12024" fmla="*/ 2427866 h 6858000"/>
            <a:gd name="connsiteX12025" fmla="*/ 3402263 w 12192000"/>
            <a:gd name="connsiteY12025" fmla="*/ 2343006 h 6858000"/>
            <a:gd name="connsiteX12026" fmla="*/ 3367444 w 12192000"/>
            <a:gd name="connsiteY12026" fmla="*/ 2308187 h 6858000"/>
            <a:gd name="connsiteX12027" fmla="*/ 3402263 w 12192000"/>
            <a:gd name="connsiteY12027" fmla="*/ 2273368 h 6858000"/>
            <a:gd name="connsiteX12028" fmla="*/ 3437082 w 12192000"/>
            <a:gd name="connsiteY12028" fmla="*/ 2308187 h 6858000"/>
            <a:gd name="connsiteX12029" fmla="*/ 3402263 w 12192000"/>
            <a:gd name="connsiteY12029" fmla="*/ 2343006 h 6858000"/>
            <a:gd name="connsiteX12030" fmla="*/ 3487156 w 12192000"/>
            <a:gd name="connsiteY12030" fmla="*/ 2343006 h 6858000"/>
            <a:gd name="connsiteX12031" fmla="*/ 3452337 w 12192000"/>
            <a:gd name="connsiteY12031" fmla="*/ 2308187 h 6858000"/>
            <a:gd name="connsiteX12032" fmla="*/ 3487156 w 12192000"/>
            <a:gd name="connsiteY12032" fmla="*/ 2273368 h 6858000"/>
            <a:gd name="connsiteX12033" fmla="*/ 3521974 w 12192000"/>
            <a:gd name="connsiteY12033" fmla="*/ 2308187 h 6858000"/>
            <a:gd name="connsiteX12034" fmla="*/ 3487156 w 12192000"/>
            <a:gd name="connsiteY12034" fmla="*/ 2343006 h 6858000"/>
            <a:gd name="connsiteX12035" fmla="*/ 3572048 w 12192000"/>
            <a:gd name="connsiteY12035" fmla="*/ 2343006 h 6858000"/>
            <a:gd name="connsiteX12036" fmla="*/ 3537229 w 12192000"/>
            <a:gd name="connsiteY12036" fmla="*/ 2308187 h 6858000"/>
            <a:gd name="connsiteX12037" fmla="*/ 3572048 w 12192000"/>
            <a:gd name="connsiteY12037" fmla="*/ 2273368 h 6858000"/>
            <a:gd name="connsiteX12038" fmla="*/ 3606867 w 12192000"/>
            <a:gd name="connsiteY12038" fmla="*/ 2308187 h 6858000"/>
            <a:gd name="connsiteX12039" fmla="*/ 3572048 w 12192000"/>
            <a:gd name="connsiteY12039" fmla="*/ 2343006 h 6858000"/>
            <a:gd name="connsiteX12040" fmla="*/ 3656941 w 12192000"/>
            <a:gd name="connsiteY12040" fmla="*/ 2343006 h 6858000"/>
            <a:gd name="connsiteX12041" fmla="*/ 3622122 w 12192000"/>
            <a:gd name="connsiteY12041" fmla="*/ 2308187 h 6858000"/>
            <a:gd name="connsiteX12042" fmla="*/ 3656941 w 12192000"/>
            <a:gd name="connsiteY12042" fmla="*/ 2273368 h 6858000"/>
            <a:gd name="connsiteX12043" fmla="*/ 3691760 w 12192000"/>
            <a:gd name="connsiteY12043" fmla="*/ 2308187 h 6858000"/>
            <a:gd name="connsiteX12044" fmla="*/ 3656941 w 12192000"/>
            <a:gd name="connsiteY12044" fmla="*/ 2343006 h 6858000"/>
            <a:gd name="connsiteX12045" fmla="*/ 3741833 w 12192000"/>
            <a:gd name="connsiteY12045" fmla="*/ 2343006 h 6858000"/>
            <a:gd name="connsiteX12046" fmla="*/ 3707014 w 12192000"/>
            <a:gd name="connsiteY12046" fmla="*/ 2308187 h 6858000"/>
            <a:gd name="connsiteX12047" fmla="*/ 3741833 w 12192000"/>
            <a:gd name="connsiteY12047" fmla="*/ 2273368 h 6858000"/>
            <a:gd name="connsiteX12048" fmla="*/ 3776652 w 12192000"/>
            <a:gd name="connsiteY12048" fmla="*/ 2308187 h 6858000"/>
            <a:gd name="connsiteX12049" fmla="*/ 3741833 w 12192000"/>
            <a:gd name="connsiteY12049" fmla="*/ 2343006 h 6858000"/>
            <a:gd name="connsiteX12050" fmla="*/ 3826726 w 12192000"/>
            <a:gd name="connsiteY12050" fmla="*/ 2343006 h 6858000"/>
            <a:gd name="connsiteX12051" fmla="*/ 3791907 w 12192000"/>
            <a:gd name="connsiteY12051" fmla="*/ 2308187 h 6858000"/>
            <a:gd name="connsiteX12052" fmla="*/ 3826726 w 12192000"/>
            <a:gd name="connsiteY12052" fmla="*/ 2273368 h 6858000"/>
            <a:gd name="connsiteX12053" fmla="*/ 3861544 w 12192000"/>
            <a:gd name="connsiteY12053" fmla="*/ 2308187 h 6858000"/>
            <a:gd name="connsiteX12054" fmla="*/ 3826726 w 12192000"/>
            <a:gd name="connsiteY12054" fmla="*/ 2343006 h 6858000"/>
            <a:gd name="connsiteX12055" fmla="*/ 3911618 w 12192000"/>
            <a:gd name="connsiteY12055" fmla="*/ 2343006 h 6858000"/>
            <a:gd name="connsiteX12056" fmla="*/ 3876799 w 12192000"/>
            <a:gd name="connsiteY12056" fmla="*/ 2308187 h 6858000"/>
            <a:gd name="connsiteX12057" fmla="*/ 3911618 w 12192000"/>
            <a:gd name="connsiteY12057" fmla="*/ 2273368 h 6858000"/>
            <a:gd name="connsiteX12058" fmla="*/ 3946437 w 12192000"/>
            <a:gd name="connsiteY12058" fmla="*/ 2308187 h 6858000"/>
            <a:gd name="connsiteX12059" fmla="*/ 3911618 w 12192000"/>
            <a:gd name="connsiteY12059" fmla="*/ 2343006 h 6858000"/>
            <a:gd name="connsiteX12060" fmla="*/ 3996511 w 12192000"/>
            <a:gd name="connsiteY12060" fmla="*/ 2343006 h 6858000"/>
            <a:gd name="connsiteX12061" fmla="*/ 3961692 w 12192000"/>
            <a:gd name="connsiteY12061" fmla="*/ 2308187 h 6858000"/>
            <a:gd name="connsiteX12062" fmla="*/ 3996511 w 12192000"/>
            <a:gd name="connsiteY12062" fmla="*/ 2273368 h 6858000"/>
            <a:gd name="connsiteX12063" fmla="*/ 4031330 w 12192000"/>
            <a:gd name="connsiteY12063" fmla="*/ 2308187 h 6858000"/>
            <a:gd name="connsiteX12064" fmla="*/ 3996511 w 12192000"/>
            <a:gd name="connsiteY12064" fmla="*/ 2343006 h 6858000"/>
            <a:gd name="connsiteX12065" fmla="*/ 4081403 w 12192000"/>
            <a:gd name="connsiteY12065" fmla="*/ 2343006 h 6858000"/>
            <a:gd name="connsiteX12066" fmla="*/ 4046584 w 12192000"/>
            <a:gd name="connsiteY12066" fmla="*/ 2308187 h 6858000"/>
            <a:gd name="connsiteX12067" fmla="*/ 4081403 w 12192000"/>
            <a:gd name="connsiteY12067" fmla="*/ 2273368 h 6858000"/>
            <a:gd name="connsiteX12068" fmla="*/ 4116222 w 12192000"/>
            <a:gd name="connsiteY12068" fmla="*/ 2308187 h 6858000"/>
            <a:gd name="connsiteX12069" fmla="*/ 4081403 w 12192000"/>
            <a:gd name="connsiteY12069" fmla="*/ 2343006 h 6858000"/>
            <a:gd name="connsiteX12070" fmla="*/ 4166296 w 12192000"/>
            <a:gd name="connsiteY12070" fmla="*/ 2343006 h 6858000"/>
            <a:gd name="connsiteX12071" fmla="*/ 4131477 w 12192000"/>
            <a:gd name="connsiteY12071" fmla="*/ 2308187 h 6858000"/>
            <a:gd name="connsiteX12072" fmla="*/ 4166296 w 12192000"/>
            <a:gd name="connsiteY12072" fmla="*/ 2273368 h 6858000"/>
            <a:gd name="connsiteX12073" fmla="*/ 4201114 w 12192000"/>
            <a:gd name="connsiteY12073" fmla="*/ 2308187 h 6858000"/>
            <a:gd name="connsiteX12074" fmla="*/ 4166296 w 12192000"/>
            <a:gd name="connsiteY12074" fmla="*/ 2343006 h 6858000"/>
            <a:gd name="connsiteX12075" fmla="*/ 4251188 w 12192000"/>
            <a:gd name="connsiteY12075" fmla="*/ 2343006 h 6858000"/>
            <a:gd name="connsiteX12076" fmla="*/ 4216369 w 12192000"/>
            <a:gd name="connsiteY12076" fmla="*/ 2308187 h 6858000"/>
            <a:gd name="connsiteX12077" fmla="*/ 4251188 w 12192000"/>
            <a:gd name="connsiteY12077" fmla="*/ 2273368 h 6858000"/>
            <a:gd name="connsiteX12078" fmla="*/ 4286007 w 12192000"/>
            <a:gd name="connsiteY12078" fmla="*/ 2308187 h 6858000"/>
            <a:gd name="connsiteX12079" fmla="*/ 4251188 w 12192000"/>
            <a:gd name="connsiteY12079" fmla="*/ 2343006 h 6858000"/>
            <a:gd name="connsiteX12080" fmla="*/ 4336080 w 12192000"/>
            <a:gd name="connsiteY12080" fmla="*/ 2343006 h 6858000"/>
            <a:gd name="connsiteX12081" fmla="*/ 4301261 w 12192000"/>
            <a:gd name="connsiteY12081" fmla="*/ 2308187 h 6858000"/>
            <a:gd name="connsiteX12082" fmla="*/ 4336080 w 12192000"/>
            <a:gd name="connsiteY12082" fmla="*/ 2273368 h 6858000"/>
            <a:gd name="connsiteX12083" fmla="*/ 4370899 w 12192000"/>
            <a:gd name="connsiteY12083" fmla="*/ 2308187 h 6858000"/>
            <a:gd name="connsiteX12084" fmla="*/ 4336080 w 12192000"/>
            <a:gd name="connsiteY12084" fmla="*/ 2343006 h 6858000"/>
            <a:gd name="connsiteX12085" fmla="*/ 4420973 w 12192000"/>
            <a:gd name="connsiteY12085" fmla="*/ 2343006 h 6858000"/>
            <a:gd name="connsiteX12086" fmla="*/ 4386154 w 12192000"/>
            <a:gd name="connsiteY12086" fmla="*/ 2308187 h 6858000"/>
            <a:gd name="connsiteX12087" fmla="*/ 4420973 w 12192000"/>
            <a:gd name="connsiteY12087" fmla="*/ 2273368 h 6858000"/>
            <a:gd name="connsiteX12088" fmla="*/ 4455792 w 12192000"/>
            <a:gd name="connsiteY12088" fmla="*/ 2308187 h 6858000"/>
            <a:gd name="connsiteX12089" fmla="*/ 4420973 w 12192000"/>
            <a:gd name="connsiteY12089" fmla="*/ 2343006 h 6858000"/>
            <a:gd name="connsiteX12090" fmla="*/ 4505866 w 12192000"/>
            <a:gd name="connsiteY12090" fmla="*/ 2343006 h 6858000"/>
            <a:gd name="connsiteX12091" fmla="*/ 4471047 w 12192000"/>
            <a:gd name="connsiteY12091" fmla="*/ 2308187 h 6858000"/>
            <a:gd name="connsiteX12092" fmla="*/ 4505866 w 12192000"/>
            <a:gd name="connsiteY12092" fmla="*/ 2273368 h 6858000"/>
            <a:gd name="connsiteX12093" fmla="*/ 4540684 w 12192000"/>
            <a:gd name="connsiteY12093" fmla="*/ 2308187 h 6858000"/>
            <a:gd name="connsiteX12094" fmla="*/ 4505866 w 12192000"/>
            <a:gd name="connsiteY12094" fmla="*/ 2343006 h 6858000"/>
            <a:gd name="connsiteX12095" fmla="*/ 4590758 w 12192000"/>
            <a:gd name="connsiteY12095" fmla="*/ 2343006 h 6858000"/>
            <a:gd name="connsiteX12096" fmla="*/ 4555939 w 12192000"/>
            <a:gd name="connsiteY12096" fmla="*/ 2308187 h 6858000"/>
            <a:gd name="connsiteX12097" fmla="*/ 4590758 w 12192000"/>
            <a:gd name="connsiteY12097" fmla="*/ 2273368 h 6858000"/>
            <a:gd name="connsiteX12098" fmla="*/ 4625577 w 12192000"/>
            <a:gd name="connsiteY12098" fmla="*/ 2308187 h 6858000"/>
            <a:gd name="connsiteX12099" fmla="*/ 4590758 w 12192000"/>
            <a:gd name="connsiteY12099" fmla="*/ 2343006 h 6858000"/>
            <a:gd name="connsiteX12100" fmla="*/ 4675650 w 12192000"/>
            <a:gd name="connsiteY12100" fmla="*/ 2343006 h 6858000"/>
            <a:gd name="connsiteX12101" fmla="*/ 4640831 w 12192000"/>
            <a:gd name="connsiteY12101" fmla="*/ 2308187 h 6858000"/>
            <a:gd name="connsiteX12102" fmla="*/ 4675650 w 12192000"/>
            <a:gd name="connsiteY12102" fmla="*/ 2273368 h 6858000"/>
            <a:gd name="connsiteX12103" fmla="*/ 4710469 w 12192000"/>
            <a:gd name="connsiteY12103" fmla="*/ 2308187 h 6858000"/>
            <a:gd name="connsiteX12104" fmla="*/ 4675650 w 12192000"/>
            <a:gd name="connsiteY12104" fmla="*/ 2343006 h 6858000"/>
            <a:gd name="connsiteX12105" fmla="*/ 4760543 w 12192000"/>
            <a:gd name="connsiteY12105" fmla="*/ 2343006 h 6858000"/>
            <a:gd name="connsiteX12106" fmla="*/ 4725724 w 12192000"/>
            <a:gd name="connsiteY12106" fmla="*/ 2308187 h 6858000"/>
            <a:gd name="connsiteX12107" fmla="*/ 4760543 w 12192000"/>
            <a:gd name="connsiteY12107" fmla="*/ 2273368 h 6858000"/>
            <a:gd name="connsiteX12108" fmla="*/ 4795362 w 12192000"/>
            <a:gd name="connsiteY12108" fmla="*/ 2308187 h 6858000"/>
            <a:gd name="connsiteX12109" fmla="*/ 4760543 w 12192000"/>
            <a:gd name="connsiteY12109" fmla="*/ 2343006 h 6858000"/>
            <a:gd name="connsiteX12110" fmla="*/ 6288611 w 12192000"/>
            <a:gd name="connsiteY12110" fmla="*/ 2343006 h 6858000"/>
            <a:gd name="connsiteX12111" fmla="*/ 6253786 w 12192000"/>
            <a:gd name="connsiteY12111" fmla="*/ 2308187 h 6858000"/>
            <a:gd name="connsiteX12112" fmla="*/ 6288611 w 12192000"/>
            <a:gd name="connsiteY12112" fmla="*/ 2273368 h 6858000"/>
            <a:gd name="connsiteX12113" fmla="*/ 6323424 w 12192000"/>
            <a:gd name="connsiteY12113" fmla="*/ 2308187 h 6858000"/>
            <a:gd name="connsiteX12114" fmla="*/ 6288611 w 12192000"/>
            <a:gd name="connsiteY12114" fmla="*/ 2343006 h 6858000"/>
            <a:gd name="connsiteX12115" fmla="*/ 6373504 w 12192000"/>
            <a:gd name="connsiteY12115" fmla="*/ 2343006 h 6858000"/>
            <a:gd name="connsiteX12116" fmla="*/ 6338678 w 12192000"/>
            <a:gd name="connsiteY12116" fmla="*/ 2308187 h 6858000"/>
            <a:gd name="connsiteX12117" fmla="*/ 6373504 w 12192000"/>
            <a:gd name="connsiteY12117" fmla="*/ 2273368 h 6858000"/>
            <a:gd name="connsiteX12118" fmla="*/ 6408316 w 12192000"/>
            <a:gd name="connsiteY12118" fmla="*/ 2308187 h 6858000"/>
            <a:gd name="connsiteX12119" fmla="*/ 6373504 w 12192000"/>
            <a:gd name="connsiteY12119" fmla="*/ 2343006 h 6858000"/>
            <a:gd name="connsiteX12120" fmla="*/ 6458396 w 12192000"/>
            <a:gd name="connsiteY12120" fmla="*/ 2343006 h 6858000"/>
            <a:gd name="connsiteX12121" fmla="*/ 6423570 w 12192000"/>
            <a:gd name="connsiteY12121" fmla="*/ 2308187 h 6858000"/>
            <a:gd name="connsiteX12122" fmla="*/ 6458396 w 12192000"/>
            <a:gd name="connsiteY12122" fmla="*/ 2273368 h 6858000"/>
            <a:gd name="connsiteX12123" fmla="*/ 6493208 w 12192000"/>
            <a:gd name="connsiteY12123" fmla="*/ 2308187 h 6858000"/>
            <a:gd name="connsiteX12124" fmla="*/ 6458396 w 12192000"/>
            <a:gd name="connsiteY12124" fmla="*/ 2343006 h 6858000"/>
            <a:gd name="connsiteX12125" fmla="*/ 6543288 w 12192000"/>
            <a:gd name="connsiteY12125" fmla="*/ 2343006 h 6858000"/>
            <a:gd name="connsiteX12126" fmla="*/ 6508463 w 12192000"/>
            <a:gd name="connsiteY12126" fmla="*/ 2308187 h 6858000"/>
            <a:gd name="connsiteX12127" fmla="*/ 6543288 w 12192000"/>
            <a:gd name="connsiteY12127" fmla="*/ 2273368 h 6858000"/>
            <a:gd name="connsiteX12128" fmla="*/ 6578100 w 12192000"/>
            <a:gd name="connsiteY12128" fmla="*/ 2308187 h 6858000"/>
            <a:gd name="connsiteX12129" fmla="*/ 6543288 w 12192000"/>
            <a:gd name="connsiteY12129" fmla="*/ 2343006 h 6858000"/>
            <a:gd name="connsiteX12130" fmla="*/ 6628181 w 12192000"/>
            <a:gd name="connsiteY12130" fmla="*/ 2343006 h 6858000"/>
            <a:gd name="connsiteX12131" fmla="*/ 6593356 w 12192000"/>
            <a:gd name="connsiteY12131" fmla="*/ 2308187 h 6858000"/>
            <a:gd name="connsiteX12132" fmla="*/ 6628181 w 12192000"/>
            <a:gd name="connsiteY12132" fmla="*/ 2273368 h 6858000"/>
            <a:gd name="connsiteX12133" fmla="*/ 6662994 w 12192000"/>
            <a:gd name="connsiteY12133" fmla="*/ 2308187 h 6858000"/>
            <a:gd name="connsiteX12134" fmla="*/ 6628181 w 12192000"/>
            <a:gd name="connsiteY12134" fmla="*/ 2343006 h 6858000"/>
            <a:gd name="connsiteX12135" fmla="*/ 6713074 w 12192000"/>
            <a:gd name="connsiteY12135" fmla="*/ 2343006 h 6858000"/>
            <a:gd name="connsiteX12136" fmla="*/ 6678248 w 12192000"/>
            <a:gd name="connsiteY12136" fmla="*/ 2308187 h 6858000"/>
            <a:gd name="connsiteX12137" fmla="*/ 6713074 w 12192000"/>
            <a:gd name="connsiteY12137" fmla="*/ 2273368 h 6858000"/>
            <a:gd name="connsiteX12138" fmla="*/ 6747886 w 12192000"/>
            <a:gd name="connsiteY12138" fmla="*/ 2308187 h 6858000"/>
            <a:gd name="connsiteX12139" fmla="*/ 6713074 w 12192000"/>
            <a:gd name="connsiteY12139" fmla="*/ 2343006 h 6858000"/>
            <a:gd name="connsiteX12140" fmla="*/ 6882858 w 12192000"/>
            <a:gd name="connsiteY12140" fmla="*/ 2343006 h 6858000"/>
            <a:gd name="connsiteX12141" fmla="*/ 6848033 w 12192000"/>
            <a:gd name="connsiteY12141" fmla="*/ 2308187 h 6858000"/>
            <a:gd name="connsiteX12142" fmla="*/ 6882858 w 12192000"/>
            <a:gd name="connsiteY12142" fmla="*/ 2273368 h 6858000"/>
            <a:gd name="connsiteX12143" fmla="*/ 6917670 w 12192000"/>
            <a:gd name="connsiteY12143" fmla="*/ 2308187 h 6858000"/>
            <a:gd name="connsiteX12144" fmla="*/ 6882858 w 12192000"/>
            <a:gd name="connsiteY12144" fmla="*/ 2343006 h 6858000"/>
            <a:gd name="connsiteX12145" fmla="*/ 6967750 w 12192000"/>
            <a:gd name="connsiteY12145" fmla="*/ 2343006 h 6858000"/>
            <a:gd name="connsiteX12146" fmla="*/ 6932925 w 12192000"/>
            <a:gd name="connsiteY12146" fmla="*/ 2308187 h 6858000"/>
            <a:gd name="connsiteX12147" fmla="*/ 6967750 w 12192000"/>
            <a:gd name="connsiteY12147" fmla="*/ 2273368 h 6858000"/>
            <a:gd name="connsiteX12148" fmla="*/ 7002563 w 12192000"/>
            <a:gd name="connsiteY12148" fmla="*/ 2308187 h 6858000"/>
            <a:gd name="connsiteX12149" fmla="*/ 6967750 w 12192000"/>
            <a:gd name="connsiteY12149" fmla="*/ 2343006 h 6858000"/>
            <a:gd name="connsiteX12150" fmla="*/ 7052644 w 12192000"/>
            <a:gd name="connsiteY12150" fmla="*/ 2343006 h 6858000"/>
            <a:gd name="connsiteX12151" fmla="*/ 7017818 w 12192000"/>
            <a:gd name="connsiteY12151" fmla="*/ 2308187 h 6858000"/>
            <a:gd name="connsiteX12152" fmla="*/ 7052644 w 12192000"/>
            <a:gd name="connsiteY12152" fmla="*/ 2273368 h 6858000"/>
            <a:gd name="connsiteX12153" fmla="*/ 7087456 w 12192000"/>
            <a:gd name="connsiteY12153" fmla="*/ 2308187 h 6858000"/>
            <a:gd name="connsiteX12154" fmla="*/ 7052644 w 12192000"/>
            <a:gd name="connsiteY12154" fmla="*/ 2343006 h 6858000"/>
            <a:gd name="connsiteX12155" fmla="*/ 9259848 w 12192000"/>
            <a:gd name="connsiteY12155" fmla="*/ 2343006 h 6858000"/>
            <a:gd name="connsiteX12156" fmla="*/ 9225023 w 12192000"/>
            <a:gd name="connsiteY12156" fmla="*/ 2308187 h 6858000"/>
            <a:gd name="connsiteX12157" fmla="*/ 9259848 w 12192000"/>
            <a:gd name="connsiteY12157" fmla="*/ 2273368 h 6858000"/>
            <a:gd name="connsiteX12158" fmla="*/ 9294660 w 12192000"/>
            <a:gd name="connsiteY12158" fmla="*/ 2308187 h 6858000"/>
            <a:gd name="connsiteX12159" fmla="*/ 9259848 w 12192000"/>
            <a:gd name="connsiteY12159" fmla="*/ 2343006 h 6858000"/>
            <a:gd name="connsiteX12160" fmla="*/ 9344740 w 12192000"/>
            <a:gd name="connsiteY12160" fmla="*/ 2343006 h 6858000"/>
            <a:gd name="connsiteX12161" fmla="*/ 9309915 w 12192000"/>
            <a:gd name="connsiteY12161" fmla="*/ 2308187 h 6858000"/>
            <a:gd name="connsiteX12162" fmla="*/ 9344740 w 12192000"/>
            <a:gd name="connsiteY12162" fmla="*/ 2273368 h 6858000"/>
            <a:gd name="connsiteX12163" fmla="*/ 9379553 w 12192000"/>
            <a:gd name="connsiteY12163" fmla="*/ 2308187 h 6858000"/>
            <a:gd name="connsiteX12164" fmla="*/ 9344740 w 12192000"/>
            <a:gd name="connsiteY12164" fmla="*/ 2343006 h 6858000"/>
            <a:gd name="connsiteX12165" fmla="*/ 9429633 w 12192000"/>
            <a:gd name="connsiteY12165" fmla="*/ 2343006 h 6858000"/>
            <a:gd name="connsiteX12166" fmla="*/ 9394807 w 12192000"/>
            <a:gd name="connsiteY12166" fmla="*/ 2308187 h 6858000"/>
            <a:gd name="connsiteX12167" fmla="*/ 9429633 w 12192000"/>
            <a:gd name="connsiteY12167" fmla="*/ 2273368 h 6858000"/>
            <a:gd name="connsiteX12168" fmla="*/ 9464445 w 12192000"/>
            <a:gd name="connsiteY12168" fmla="*/ 2308187 h 6858000"/>
            <a:gd name="connsiteX12169" fmla="*/ 9429633 w 12192000"/>
            <a:gd name="connsiteY12169" fmla="*/ 2343006 h 6858000"/>
            <a:gd name="connsiteX12170" fmla="*/ 10278558 w 12192000"/>
            <a:gd name="connsiteY12170" fmla="*/ 2343006 h 6858000"/>
            <a:gd name="connsiteX12171" fmla="*/ 10243733 w 12192000"/>
            <a:gd name="connsiteY12171" fmla="*/ 2308187 h 6858000"/>
            <a:gd name="connsiteX12172" fmla="*/ 10278558 w 12192000"/>
            <a:gd name="connsiteY12172" fmla="*/ 2273368 h 6858000"/>
            <a:gd name="connsiteX12173" fmla="*/ 10313370 w 12192000"/>
            <a:gd name="connsiteY12173" fmla="*/ 2308187 h 6858000"/>
            <a:gd name="connsiteX12174" fmla="*/ 10278558 w 12192000"/>
            <a:gd name="connsiteY12174" fmla="*/ 2343006 h 6858000"/>
            <a:gd name="connsiteX12175" fmla="*/ 10363450 w 12192000"/>
            <a:gd name="connsiteY12175" fmla="*/ 2343006 h 6858000"/>
            <a:gd name="connsiteX12176" fmla="*/ 10328625 w 12192000"/>
            <a:gd name="connsiteY12176" fmla="*/ 2308187 h 6858000"/>
            <a:gd name="connsiteX12177" fmla="*/ 10363450 w 12192000"/>
            <a:gd name="connsiteY12177" fmla="*/ 2273368 h 6858000"/>
            <a:gd name="connsiteX12178" fmla="*/ 10398263 w 12192000"/>
            <a:gd name="connsiteY12178" fmla="*/ 2308187 h 6858000"/>
            <a:gd name="connsiteX12179" fmla="*/ 10363450 w 12192000"/>
            <a:gd name="connsiteY12179" fmla="*/ 2343006 h 6858000"/>
            <a:gd name="connsiteX12180" fmla="*/ 10448343 w 12192000"/>
            <a:gd name="connsiteY12180" fmla="*/ 2343006 h 6858000"/>
            <a:gd name="connsiteX12181" fmla="*/ 10413517 w 12192000"/>
            <a:gd name="connsiteY12181" fmla="*/ 2308187 h 6858000"/>
            <a:gd name="connsiteX12182" fmla="*/ 10448343 w 12192000"/>
            <a:gd name="connsiteY12182" fmla="*/ 2273368 h 6858000"/>
            <a:gd name="connsiteX12183" fmla="*/ 10483155 w 12192000"/>
            <a:gd name="connsiteY12183" fmla="*/ 2308187 h 6858000"/>
            <a:gd name="connsiteX12184" fmla="*/ 10448343 w 12192000"/>
            <a:gd name="connsiteY12184" fmla="*/ 2343006 h 6858000"/>
            <a:gd name="connsiteX12185" fmla="*/ 10787913 w 12192000"/>
            <a:gd name="connsiteY12185" fmla="*/ 2343006 h 6858000"/>
            <a:gd name="connsiteX12186" fmla="*/ 10753087 w 12192000"/>
            <a:gd name="connsiteY12186" fmla="*/ 2308187 h 6858000"/>
            <a:gd name="connsiteX12187" fmla="*/ 10787913 w 12192000"/>
            <a:gd name="connsiteY12187" fmla="*/ 2273368 h 6858000"/>
            <a:gd name="connsiteX12188" fmla="*/ 10822725 w 12192000"/>
            <a:gd name="connsiteY12188" fmla="*/ 2308187 h 6858000"/>
            <a:gd name="connsiteX12189" fmla="*/ 10787913 w 12192000"/>
            <a:gd name="connsiteY12189" fmla="*/ 2343006 h 6858000"/>
            <a:gd name="connsiteX12190" fmla="*/ 10872805 w 12192000"/>
            <a:gd name="connsiteY12190" fmla="*/ 2343006 h 6858000"/>
            <a:gd name="connsiteX12191" fmla="*/ 10837979 w 12192000"/>
            <a:gd name="connsiteY12191" fmla="*/ 2308187 h 6858000"/>
            <a:gd name="connsiteX12192" fmla="*/ 10872805 w 12192000"/>
            <a:gd name="connsiteY12192" fmla="*/ 2273368 h 6858000"/>
            <a:gd name="connsiteX12193" fmla="*/ 10907617 w 12192000"/>
            <a:gd name="connsiteY12193" fmla="*/ 2308187 h 6858000"/>
            <a:gd name="connsiteX12194" fmla="*/ 10872805 w 12192000"/>
            <a:gd name="connsiteY12194" fmla="*/ 2343006 h 6858000"/>
            <a:gd name="connsiteX12195" fmla="*/ 3487156 w 12192000"/>
            <a:gd name="connsiteY12195" fmla="*/ 2258146 h 6858000"/>
            <a:gd name="connsiteX12196" fmla="*/ 3452337 w 12192000"/>
            <a:gd name="connsiteY12196" fmla="*/ 2223327 h 6858000"/>
            <a:gd name="connsiteX12197" fmla="*/ 3487156 w 12192000"/>
            <a:gd name="connsiteY12197" fmla="*/ 2188509 h 6858000"/>
            <a:gd name="connsiteX12198" fmla="*/ 3521974 w 12192000"/>
            <a:gd name="connsiteY12198" fmla="*/ 2223327 h 6858000"/>
            <a:gd name="connsiteX12199" fmla="*/ 3487156 w 12192000"/>
            <a:gd name="connsiteY12199" fmla="*/ 2258146 h 6858000"/>
            <a:gd name="connsiteX12200" fmla="*/ 3572048 w 12192000"/>
            <a:gd name="connsiteY12200" fmla="*/ 2258146 h 6858000"/>
            <a:gd name="connsiteX12201" fmla="*/ 3537229 w 12192000"/>
            <a:gd name="connsiteY12201" fmla="*/ 2223327 h 6858000"/>
            <a:gd name="connsiteX12202" fmla="*/ 3572048 w 12192000"/>
            <a:gd name="connsiteY12202" fmla="*/ 2188509 h 6858000"/>
            <a:gd name="connsiteX12203" fmla="*/ 3606867 w 12192000"/>
            <a:gd name="connsiteY12203" fmla="*/ 2223327 h 6858000"/>
            <a:gd name="connsiteX12204" fmla="*/ 3572048 w 12192000"/>
            <a:gd name="connsiteY12204" fmla="*/ 2258146 h 6858000"/>
            <a:gd name="connsiteX12205" fmla="*/ 3656941 w 12192000"/>
            <a:gd name="connsiteY12205" fmla="*/ 2258146 h 6858000"/>
            <a:gd name="connsiteX12206" fmla="*/ 3622122 w 12192000"/>
            <a:gd name="connsiteY12206" fmla="*/ 2223327 h 6858000"/>
            <a:gd name="connsiteX12207" fmla="*/ 3656941 w 12192000"/>
            <a:gd name="connsiteY12207" fmla="*/ 2188509 h 6858000"/>
            <a:gd name="connsiteX12208" fmla="*/ 3691760 w 12192000"/>
            <a:gd name="connsiteY12208" fmla="*/ 2223327 h 6858000"/>
            <a:gd name="connsiteX12209" fmla="*/ 3656941 w 12192000"/>
            <a:gd name="connsiteY12209" fmla="*/ 2258146 h 6858000"/>
            <a:gd name="connsiteX12210" fmla="*/ 3741833 w 12192000"/>
            <a:gd name="connsiteY12210" fmla="*/ 2258146 h 6858000"/>
            <a:gd name="connsiteX12211" fmla="*/ 3707014 w 12192000"/>
            <a:gd name="connsiteY12211" fmla="*/ 2223327 h 6858000"/>
            <a:gd name="connsiteX12212" fmla="*/ 3741833 w 12192000"/>
            <a:gd name="connsiteY12212" fmla="*/ 2188509 h 6858000"/>
            <a:gd name="connsiteX12213" fmla="*/ 3776652 w 12192000"/>
            <a:gd name="connsiteY12213" fmla="*/ 2223327 h 6858000"/>
            <a:gd name="connsiteX12214" fmla="*/ 3741833 w 12192000"/>
            <a:gd name="connsiteY12214" fmla="*/ 2258146 h 6858000"/>
            <a:gd name="connsiteX12215" fmla="*/ 3826726 w 12192000"/>
            <a:gd name="connsiteY12215" fmla="*/ 2258146 h 6858000"/>
            <a:gd name="connsiteX12216" fmla="*/ 3791907 w 12192000"/>
            <a:gd name="connsiteY12216" fmla="*/ 2223327 h 6858000"/>
            <a:gd name="connsiteX12217" fmla="*/ 3826726 w 12192000"/>
            <a:gd name="connsiteY12217" fmla="*/ 2188509 h 6858000"/>
            <a:gd name="connsiteX12218" fmla="*/ 3861544 w 12192000"/>
            <a:gd name="connsiteY12218" fmla="*/ 2223327 h 6858000"/>
            <a:gd name="connsiteX12219" fmla="*/ 3826726 w 12192000"/>
            <a:gd name="connsiteY12219" fmla="*/ 2258146 h 6858000"/>
            <a:gd name="connsiteX12220" fmla="*/ 3911618 w 12192000"/>
            <a:gd name="connsiteY12220" fmla="*/ 2258146 h 6858000"/>
            <a:gd name="connsiteX12221" fmla="*/ 3876799 w 12192000"/>
            <a:gd name="connsiteY12221" fmla="*/ 2223327 h 6858000"/>
            <a:gd name="connsiteX12222" fmla="*/ 3911618 w 12192000"/>
            <a:gd name="connsiteY12222" fmla="*/ 2188509 h 6858000"/>
            <a:gd name="connsiteX12223" fmla="*/ 3946437 w 12192000"/>
            <a:gd name="connsiteY12223" fmla="*/ 2223327 h 6858000"/>
            <a:gd name="connsiteX12224" fmla="*/ 3911618 w 12192000"/>
            <a:gd name="connsiteY12224" fmla="*/ 2258146 h 6858000"/>
            <a:gd name="connsiteX12225" fmla="*/ 3996511 w 12192000"/>
            <a:gd name="connsiteY12225" fmla="*/ 2258146 h 6858000"/>
            <a:gd name="connsiteX12226" fmla="*/ 3961692 w 12192000"/>
            <a:gd name="connsiteY12226" fmla="*/ 2223327 h 6858000"/>
            <a:gd name="connsiteX12227" fmla="*/ 3996511 w 12192000"/>
            <a:gd name="connsiteY12227" fmla="*/ 2188509 h 6858000"/>
            <a:gd name="connsiteX12228" fmla="*/ 4031330 w 12192000"/>
            <a:gd name="connsiteY12228" fmla="*/ 2223327 h 6858000"/>
            <a:gd name="connsiteX12229" fmla="*/ 3996511 w 12192000"/>
            <a:gd name="connsiteY12229" fmla="*/ 2258146 h 6858000"/>
            <a:gd name="connsiteX12230" fmla="*/ 4081403 w 12192000"/>
            <a:gd name="connsiteY12230" fmla="*/ 2258146 h 6858000"/>
            <a:gd name="connsiteX12231" fmla="*/ 4046584 w 12192000"/>
            <a:gd name="connsiteY12231" fmla="*/ 2223327 h 6858000"/>
            <a:gd name="connsiteX12232" fmla="*/ 4081403 w 12192000"/>
            <a:gd name="connsiteY12232" fmla="*/ 2188509 h 6858000"/>
            <a:gd name="connsiteX12233" fmla="*/ 4116222 w 12192000"/>
            <a:gd name="connsiteY12233" fmla="*/ 2223327 h 6858000"/>
            <a:gd name="connsiteX12234" fmla="*/ 4081403 w 12192000"/>
            <a:gd name="connsiteY12234" fmla="*/ 2258146 h 6858000"/>
            <a:gd name="connsiteX12235" fmla="*/ 4166296 w 12192000"/>
            <a:gd name="connsiteY12235" fmla="*/ 2258146 h 6858000"/>
            <a:gd name="connsiteX12236" fmla="*/ 4131477 w 12192000"/>
            <a:gd name="connsiteY12236" fmla="*/ 2223327 h 6858000"/>
            <a:gd name="connsiteX12237" fmla="*/ 4166296 w 12192000"/>
            <a:gd name="connsiteY12237" fmla="*/ 2188509 h 6858000"/>
            <a:gd name="connsiteX12238" fmla="*/ 4201114 w 12192000"/>
            <a:gd name="connsiteY12238" fmla="*/ 2223327 h 6858000"/>
            <a:gd name="connsiteX12239" fmla="*/ 4166296 w 12192000"/>
            <a:gd name="connsiteY12239" fmla="*/ 2258146 h 6858000"/>
            <a:gd name="connsiteX12240" fmla="*/ 4251188 w 12192000"/>
            <a:gd name="connsiteY12240" fmla="*/ 2258146 h 6858000"/>
            <a:gd name="connsiteX12241" fmla="*/ 4216369 w 12192000"/>
            <a:gd name="connsiteY12241" fmla="*/ 2223327 h 6858000"/>
            <a:gd name="connsiteX12242" fmla="*/ 4251188 w 12192000"/>
            <a:gd name="connsiteY12242" fmla="*/ 2188509 h 6858000"/>
            <a:gd name="connsiteX12243" fmla="*/ 4286007 w 12192000"/>
            <a:gd name="connsiteY12243" fmla="*/ 2223327 h 6858000"/>
            <a:gd name="connsiteX12244" fmla="*/ 4251188 w 12192000"/>
            <a:gd name="connsiteY12244" fmla="*/ 2258146 h 6858000"/>
            <a:gd name="connsiteX12245" fmla="*/ 4336080 w 12192000"/>
            <a:gd name="connsiteY12245" fmla="*/ 2258146 h 6858000"/>
            <a:gd name="connsiteX12246" fmla="*/ 4301261 w 12192000"/>
            <a:gd name="connsiteY12246" fmla="*/ 2223327 h 6858000"/>
            <a:gd name="connsiteX12247" fmla="*/ 4336080 w 12192000"/>
            <a:gd name="connsiteY12247" fmla="*/ 2188509 h 6858000"/>
            <a:gd name="connsiteX12248" fmla="*/ 4370899 w 12192000"/>
            <a:gd name="connsiteY12248" fmla="*/ 2223327 h 6858000"/>
            <a:gd name="connsiteX12249" fmla="*/ 4336080 w 12192000"/>
            <a:gd name="connsiteY12249" fmla="*/ 2258146 h 6858000"/>
            <a:gd name="connsiteX12250" fmla="*/ 4420973 w 12192000"/>
            <a:gd name="connsiteY12250" fmla="*/ 2258146 h 6858000"/>
            <a:gd name="connsiteX12251" fmla="*/ 4386154 w 12192000"/>
            <a:gd name="connsiteY12251" fmla="*/ 2223327 h 6858000"/>
            <a:gd name="connsiteX12252" fmla="*/ 4420973 w 12192000"/>
            <a:gd name="connsiteY12252" fmla="*/ 2188509 h 6858000"/>
            <a:gd name="connsiteX12253" fmla="*/ 4455792 w 12192000"/>
            <a:gd name="connsiteY12253" fmla="*/ 2223327 h 6858000"/>
            <a:gd name="connsiteX12254" fmla="*/ 4420973 w 12192000"/>
            <a:gd name="connsiteY12254" fmla="*/ 2258146 h 6858000"/>
            <a:gd name="connsiteX12255" fmla="*/ 4505866 w 12192000"/>
            <a:gd name="connsiteY12255" fmla="*/ 2258146 h 6858000"/>
            <a:gd name="connsiteX12256" fmla="*/ 4471047 w 12192000"/>
            <a:gd name="connsiteY12256" fmla="*/ 2223327 h 6858000"/>
            <a:gd name="connsiteX12257" fmla="*/ 4505866 w 12192000"/>
            <a:gd name="connsiteY12257" fmla="*/ 2188509 h 6858000"/>
            <a:gd name="connsiteX12258" fmla="*/ 4540684 w 12192000"/>
            <a:gd name="connsiteY12258" fmla="*/ 2223327 h 6858000"/>
            <a:gd name="connsiteX12259" fmla="*/ 4505866 w 12192000"/>
            <a:gd name="connsiteY12259" fmla="*/ 2258146 h 6858000"/>
            <a:gd name="connsiteX12260" fmla="*/ 4590758 w 12192000"/>
            <a:gd name="connsiteY12260" fmla="*/ 2258146 h 6858000"/>
            <a:gd name="connsiteX12261" fmla="*/ 4555939 w 12192000"/>
            <a:gd name="connsiteY12261" fmla="*/ 2223327 h 6858000"/>
            <a:gd name="connsiteX12262" fmla="*/ 4590758 w 12192000"/>
            <a:gd name="connsiteY12262" fmla="*/ 2188509 h 6858000"/>
            <a:gd name="connsiteX12263" fmla="*/ 4625577 w 12192000"/>
            <a:gd name="connsiteY12263" fmla="*/ 2223327 h 6858000"/>
            <a:gd name="connsiteX12264" fmla="*/ 4590758 w 12192000"/>
            <a:gd name="connsiteY12264" fmla="*/ 2258146 h 6858000"/>
            <a:gd name="connsiteX12265" fmla="*/ 4675650 w 12192000"/>
            <a:gd name="connsiteY12265" fmla="*/ 2258146 h 6858000"/>
            <a:gd name="connsiteX12266" fmla="*/ 4640831 w 12192000"/>
            <a:gd name="connsiteY12266" fmla="*/ 2223327 h 6858000"/>
            <a:gd name="connsiteX12267" fmla="*/ 4675650 w 12192000"/>
            <a:gd name="connsiteY12267" fmla="*/ 2188509 h 6858000"/>
            <a:gd name="connsiteX12268" fmla="*/ 4710469 w 12192000"/>
            <a:gd name="connsiteY12268" fmla="*/ 2223327 h 6858000"/>
            <a:gd name="connsiteX12269" fmla="*/ 4675650 w 12192000"/>
            <a:gd name="connsiteY12269" fmla="*/ 2258146 h 6858000"/>
            <a:gd name="connsiteX12270" fmla="*/ 6288611 w 12192000"/>
            <a:gd name="connsiteY12270" fmla="*/ 2258146 h 6858000"/>
            <a:gd name="connsiteX12271" fmla="*/ 6253786 w 12192000"/>
            <a:gd name="connsiteY12271" fmla="*/ 2223327 h 6858000"/>
            <a:gd name="connsiteX12272" fmla="*/ 6288611 w 12192000"/>
            <a:gd name="connsiteY12272" fmla="*/ 2188509 h 6858000"/>
            <a:gd name="connsiteX12273" fmla="*/ 6323424 w 12192000"/>
            <a:gd name="connsiteY12273" fmla="*/ 2223327 h 6858000"/>
            <a:gd name="connsiteX12274" fmla="*/ 6288611 w 12192000"/>
            <a:gd name="connsiteY12274" fmla="*/ 2258146 h 6858000"/>
            <a:gd name="connsiteX12275" fmla="*/ 6373504 w 12192000"/>
            <a:gd name="connsiteY12275" fmla="*/ 2258146 h 6858000"/>
            <a:gd name="connsiteX12276" fmla="*/ 6338678 w 12192000"/>
            <a:gd name="connsiteY12276" fmla="*/ 2223327 h 6858000"/>
            <a:gd name="connsiteX12277" fmla="*/ 6373504 w 12192000"/>
            <a:gd name="connsiteY12277" fmla="*/ 2188509 h 6858000"/>
            <a:gd name="connsiteX12278" fmla="*/ 6408316 w 12192000"/>
            <a:gd name="connsiteY12278" fmla="*/ 2223327 h 6858000"/>
            <a:gd name="connsiteX12279" fmla="*/ 6373504 w 12192000"/>
            <a:gd name="connsiteY12279" fmla="*/ 2258146 h 6858000"/>
            <a:gd name="connsiteX12280" fmla="*/ 6458396 w 12192000"/>
            <a:gd name="connsiteY12280" fmla="*/ 2258146 h 6858000"/>
            <a:gd name="connsiteX12281" fmla="*/ 6423570 w 12192000"/>
            <a:gd name="connsiteY12281" fmla="*/ 2223327 h 6858000"/>
            <a:gd name="connsiteX12282" fmla="*/ 6458396 w 12192000"/>
            <a:gd name="connsiteY12282" fmla="*/ 2188509 h 6858000"/>
            <a:gd name="connsiteX12283" fmla="*/ 6493208 w 12192000"/>
            <a:gd name="connsiteY12283" fmla="*/ 2223327 h 6858000"/>
            <a:gd name="connsiteX12284" fmla="*/ 6458396 w 12192000"/>
            <a:gd name="connsiteY12284" fmla="*/ 2258146 h 6858000"/>
            <a:gd name="connsiteX12285" fmla="*/ 6543288 w 12192000"/>
            <a:gd name="connsiteY12285" fmla="*/ 2258146 h 6858000"/>
            <a:gd name="connsiteX12286" fmla="*/ 6508463 w 12192000"/>
            <a:gd name="connsiteY12286" fmla="*/ 2223327 h 6858000"/>
            <a:gd name="connsiteX12287" fmla="*/ 6543288 w 12192000"/>
            <a:gd name="connsiteY12287" fmla="*/ 2188509 h 6858000"/>
            <a:gd name="connsiteX12288" fmla="*/ 6578100 w 12192000"/>
            <a:gd name="connsiteY12288" fmla="*/ 2223327 h 6858000"/>
            <a:gd name="connsiteX12289" fmla="*/ 6543288 w 12192000"/>
            <a:gd name="connsiteY12289" fmla="*/ 2258146 h 6858000"/>
            <a:gd name="connsiteX12290" fmla="*/ 6628181 w 12192000"/>
            <a:gd name="connsiteY12290" fmla="*/ 2258146 h 6858000"/>
            <a:gd name="connsiteX12291" fmla="*/ 6593356 w 12192000"/>
            <a:gd name="connsiteY12291" fmla="*/ 2223327 h 6858000"/>
            <a:gd name="connsiteX12292" fmla="*/ 6628181 w 12192000"/>
            <a:gd name="connsiteY12292" fmla="*/ 2188509 h 6858000"/>
            <a:gd name="connsiteX12293" fmla="*/ 6662994 w 12192000"/>
            <a:gd name="connsiteY12293" fmla="*/ 2223327 h 6858000"/>
            <a:gd name="connsiteX12294" fmla="*/ 6628181 w 12192000"/>
            <a:gd name="connsiteY12294" fmla="*/ 2258146 h 6858000"/>
            <a:gd name="connsiteX12295" fmla="*/ 6713074 w 12192000"/>
            <a:gd name="connsiteY12295" fmla="*/ 2258146 h 6858000"/>
            <a:gd name="connsiteX12296" fmla="*/ 6678248 w 12192000"/>
            <a:gd name="connsiteY12296" fmla="*/ 2223327 h 6858000"/>
            <a:gd name="connsiteX12297" fmla="*/ 6713074 w 12192000"/>
            <a:gd name="connsiteY12297" fmla="*/ 2188509 h 6858000"/>
            <a:gd name="connsiteX12298" fmla="*/ 6747886 w 12192000"/>
            <a:gd name="connsiteY12298" fmla="*/ 2223327 h 6858000"/>
            <a:gd name="connsiteX12299" fmla="*/ 6713074 w 12192000"/>
            <a:gd name="connsiteY12299" fmla="*/ 2258146 h 6858000"/>
            <a:gd name="connsiteX12300" fmla="*/ 6797966 w 12192000"/>
            <a:gd name="connsiteY12300" fmla="*/ 2258146 h 6858000"/>
            <a:gd name="connsiteX12301" fmla="*/ 6763140 w 12192000"/>
            <a:gd name="connsiteY12301" fmla="*/ 2223327 h 6858000"/>
            <a:gd name="connsiteX12302" fmla="*/ 6797966 w 12192000"/>
            <a:gd name="connsiteY12302" fmla="*/ 2188509 h 6858000"/>
            <a:gd name="connsiteX12303" fmla="*/ 6832778 w 12192000"/>
            <a:gd name="connsiteY12303" fmla="*/ 2223327 h 6858000"/>
            <a:gd name="connsiteX12304" fmla="*/ 6797966 w 12192000"/>
            <a:gd name="connsiteY12304" fmla="*/ 2258146 h 6858000"/>
            <a:gd name="connsiteX12305" fmla="*/ 6882858 w 12192000"/>
            <a:gd name="connsiteY12305" fmla="*/ 2258146 h 6858000"/>
            <a:gd name="connsiteX12306" fmla="*/ 6848033 w 12192000"/>
            <a:gd name="connsiteY12306" fmla="*/ 2223327 h 6858000"/>
            <a:gd name="connsiteX12307" fmla="*/ 6882858 w 12192000"/>
            <a:gd name="connsiteY12307" fmla="*/ 2188509 h 6858000"/>
            <a:gd name="connsiteX12308" fmla="*/ 6917670 w 12192000"/>
            <a:gd name="connsiteY12308" fmla="*/ 2223327 h 6858000"/>
            <a:gd name="connsiteX12309" fmla="*/ 6882858 w 12192000"/>
            <a:gd name="connsiteY12309" fmla="*/ 2258146 h 6858000"/>
            <a:gd name="connsiteX12310" fmla="*/ 6967750 w 12192000"/>
            <a:gd name="connsiteY12310" fmla="*/ 2258146 h 6858000"/>
            <a:gd name="connsiteX12311" fmla="*/ 6932925 w 12192000"/>
            <a:gd name="connsiteY12311" fmla="*/ 2223327 h 6858000"/>
            <a:gd name="connsiteX12312" fmla="*/ 6967750 w 12192000"/>
            <a:gd name="connsiteY12312" fmla="*/ 2188509 h 6858000"/>
            <a:gd name="connsiteX12313" fmla="*/ 7002563 w 12192000"/>
            <a:gd name="connsiteY12313" fmla="*/ 2223327 h 6858000"/>
            <a:gd name="connsiteX12314" fmla="*/ 6967750 w 12192000"/>
            <a:gd name="connsiteY12314" fmla="*/ 2258146 h 6858000"/>
            <a:gd name="connsiteX12315" fmla="*/ 7052644 w 12192000"/>
            <a:gd name="connsiteY12315" fmla="*/ 2258146 h 6858000"/>
            <a:gd name="connsiteX12316" fmla="*/ 7017818 w 12192000"/>
            <a:gd name="connsiteY12316" fmla="*/ 2223327 h 6858000"/>
            <a:gd name="connsiteX12317" fmla="*/ 7052644 w 12192000"/>
            <a:gd name="connsiteY12317" fmla="*/ 2188509 h 6858000"/>
            <a:gd name="connsiteX12318" fmla="*/ 7087456 w 12192000"/>
            <a:gd name="connsiteY12318" fmla="*/ 2223327 h 6858000"/>
            <a:gd name="connsiteX12319" fmla="*/ 7052644 w 12192000"/>
            <a:gd name="connsiteY12319" fmla="*/ 2258146 h 6858000"/>
            <a:gd name="connsiteX12320" fmla="*/ 9599418 w 12192000"/>
            <a:gd name="connsiteY12320" fmla="*/ 2258146 h 6858000"/>
            <a:gd name="connsiteX12321" fmla="*/ 9564593 w 12192000"/>
            <a:gd name="connsiteY12321" fmla="*/ 2223327 h 6858000"/>
            <a:gd name="connsiteX12322" fmla="*/ 9599418 w 12192000"/>
            <a:gd name="connsiteY12322" fmla="*/ 2188509 h 6858000"/>
            <a:gd name="connsiteX12323" fmla="*/ 9634230 w 12192000"/>
            <a:gd name="connsiteY12323" fmla="*/ 2223327 h 6858000"/>
            <a:gd name="connsiteX12324" fmla="*/ 9599418 w 12192000"/>
            <a:gd name="connsiteY12324" fmla="*/ 2258146 h 6858000"/>
            <a:gd name="connsiteX12325" fmla="*/ 9684310 w 12192000"/>
            <a:gd name="connsiteY12325" fmla="*/ 2258146 h 6858000"/>
            <a:gd name="connsiteX12326" fmla="*/ 9649485 w 12192000"/>
            <a:gd name="connsiteY12326" fmla="*/ 2223327 h 6858000"/>
            <a:gd name="connsiteX12327" fmla="*/ 9684310 w 12192000"/>
            <a:gd name="connsiteY12327" fmla="*/ 2188509 h 6858000"/>
            <a:gd name="connsiteX12328" fmla="*/ 9719123 w 12192000"/>
            <a:gd name="connsiteY12328" fmla="*/ 2223327 h 6858000"/>
            <a:gd name="connsiteX12329" fmla="*/ 9684310 w 12192000"/>
            <a:gd name="connsiteY12329" fmla="*/ 2258146 h 6858000"/>
            <a:gd name="connsiteX12330" fmla="*/ 9769203 w 12192000"/>
            <a:gd name="connsiteY12330" fmla="*/ 2258146 h 6858000"/>
            <a:gd name="connsiteX12331" fmla="*/ 9734377 w 12192000"/>
            <a:gd name="connsiteY12331" fmla="*/ 2223327 h 6858000"/>
            <a:gd name="connsiteX12332" fmla="*/ 9769203 w 12192000"/>
            <a:gd name="connsiteY12332" fmla="*/ 2188509 h 6858000"/>
            <a:gd name="connsiteX12333" fmla="*/ 9804015 w 12192000"/>
            <a:gd name="connsiteY12333" fmla="*/ 2223327 h 6858000"/>
            <a:gd name="connsiteX12334" fmla="*/ 9769203 w 12192000"/>
            <a:gd name="connsiteY12334" fmla="*/ 2258146 h 6858000"/>
            <a:gd name="connsiteX12335" fmla="*/ 10533235 w 12192000"/>
            <a:gd name="connsiteY12335" fmla="*/ 2258146 h 6858000"/>
            <a:gd name="connsiteX12336" fmla="*/ 10498409 w 12192000"/>
            <a:gd name="connsiteY12336" fmla="*/ 2223327 h 6858000"/>
            <a:gd name="connsiteX12337" fmla="*/ 10533235 w 12192000"/>
            <a:gd name="connsiteY12337" fmla="*/ 2188509 h 6858000"/>
            <a:gd name="connsiteX12338" fmla="*/ 10568047 w 12192000"/>
            <a:gd name="connsiteY12338" fmla="*/ 2223327 h 6858000"/>
            <a:gd name="connsiteX12339" fmla="*/ 10533235 w 12192000"/>
            <a:gd name="connsiteY12339" fmla="*/ 2258146 h 6858000"/>
            <a:gd name="connsiteX12340" fmla="*/ 10957697 w 12192000"/>
            <a:gd name="connsiteY12340" fmla="*/ 2258146 h 6858000"/>
            <a:gd name="connsiteX12341" fmla="*/ 10922872 w 12192000"/>
            <a:gd name="connsiteY12341" fmla="*/ 2223327 h 6858000"/>
            <a:gd name="connsiteX12342" fmla="*/ 10957697 w 12192000"/>
            <a:gd name="connsiteY12342" fmla="*/ 2188509 h 6858000"/>
            <a:gd name="connsiteX12343" fmla="*/ 10992509 w 12192000"/>
            <a:gd name="connsiteY12343" fmla="*/ 2223327 h 6858000"/>
            <a:gd name="connsiteX12344" fmla="*/ 10957697 w 12192000"/>
            <a:gd name="connsiteY12344" fmla="*/ 2258146 h 6858000"/>
            <a:gd name="connsiteX12345" fmla="*/ 3487156 w 12192000"/>
            <a:gd name="connsiteY12345" fmla="*/ 2173286 h 6858000"/>
            <a:gd name="connsiteX12346" fmla="*/ 3452337 w 12192000"/>
            <a:gd name="connsiteY12346" fmla="*/ 2138468 h 6858000"/>
            <a:gd name="connsiteX12347" fmla="*/ 3487156 w 12192000"/>
            <a:gd name="connsiteY12347" fmla="*/ 2103649 h 6858000"/>
            <a:gd name="connsiteX12348" fmla="*/ 3521974 w 12192000"/>
            <a:gd name="connsiteY12348" fmla="*/ 2138468 h 6858000"/>
            <a:gd name="connsiteX12349" fmla="*/ 3487156 w 12192000"/>
            <a:gd name="connsiteY12349" fmla="*/ 2173286 h 6858000"/>
            <a:gd name="connsiteX12350" fmla="*/ 3572048 w 12192000"/>
            <a:gd name="connsiteY12350" fmla="*/ 2173286 h 6858000"/>
            <a:gd name="connsiteX12351" fmla="*/ 3537229 w 12192000"/>
            <a:gd name="connsiteY12351" fmla="*/ 2138468 h 6858000"/>
            <a:gd name="connsiteX12352" fmla="*/ 3572048 w 12192000"/>
            <a:gd name="connsiteY12352" fmla="*/ 2103649 h 6858000"/>
            <a:gd name="connsiteX12353" fmla="*/ 3606867 w 12192000"/>
            <a:gd name="connsiteY12353" fmla="*/ 2138468 h 6858000"/>
            <a:gd name="connsiteX12354" fmla="*/ 3572048 w 12192000"/>
            <a:gd name="connsiteY12354" fmla="*/ 2173286 h 6858000"/>
            <a:gd name="connsiteX12355" fmla="*/ 3656941 w 12192000"/>
            <a:gd name="connsiteY12355" fmla="*/ 2173286 h 6858000"/>
            <a:gd name="connsiteX12356" fmla="*/ 3622122 w 12192000"/>
            <a:gd name="connsiteY12356" fmla="*/ 2138468 h 6858000"/>
            <a:gd name="connsiteX12357" fmla="*/ 3656941 w 12192000"/>
            <a:gd name="connsiteY12357" fmla="*/ 2103649 h 6858000"/>
            <a:gd name="connsiteX12358" fmla="*/ 3691760 w 12192000"/>
            <a:gd name="connsiteY12358" fmla="*/ 2138468 h 6858000"/>
            <a:gd name="connsiteX12359" fmla="*/ 3656941 w 12192000"/>
            <a:gd name="connsiteY12359" fmla="*/ 2173286 h 6858000"/>
            <a:gd name="connsiteX12360" fmla="*/ 3741833 w 12192000"/>
            <a:gd name="connsiteY12360" fmla="*/ 2173286 h 6858000"/>
            <a:gd name="connsiteX12361" fmla="*/ 3707014 w 12192000"/>
            <a:gd name="connsiteY12361" fmla="*/ 2138468 h 6858000"/>
            <a:gd name="connsiteX12362" fmla="*/ 3741833 w 12192000"/>
            <a:gd name="connsiteY12362" fmla="*/ 2103649 h 6858000"/>
            <a:gd name="connsiteX12363" fmla="*/ 3776652 w 12192000"/>
            <a:gd name="connsiteY12363" fmla="*/ 2138468 h 6858000"/>
            <a:gd name="connsiteX12364" fmla="*/ 3741833 w 12192000"/>
            <a:gd name="connsiteY12364" fmla="*/ 2173286 h 6858000"/>
            <a:gd name="connsiteX12365" fmla="*/ 3826726 w 12192000"/>
            <a:gd name="connsiteY12365" fmla="*/ 2173286 h 6858000"/>
            <a:gd name="connsiteX12366" fmla="*/ 3791907 w 12192000"/>
            <a:gd name="connsiteY12366" fmla="*/ 2138468 h 6858000"/>
            <a:gd name="connsiteX12367" fmla="*/ 3826726 w 12192000"/>
            <a:gd name="connsiteY12367" fmla="*/ 2103649 h 6858000"/>
            <a:gd name="connsiteX12368" fmla="*/ 3861544 w 12192000"/>
            <a:gd name="connsiteY12368" fmla="*/ 2138468 h 6858000"/>
            <a:gd name="connsiteX12369" fmla="*/ 3826726 w 12192000"/>
            <a:gd name="connsiteY12369" fmla="*/ 2173286 h 6858000"/>
            <a:gd name="connsiteX12370" fmla="*/ 3911618 w 12192000"/>
            <a:gd name="connsiteY12370" fmla="*/ 2173286 h 6858000"/>
            <a:gd name="connsiteX12371" fmla="*/ 3876799 w 12192000"/>
            <a:gd name="connsiteY12371" fmla="*/ 2138468 h 6858000"/>
            <a:gd name="connsiteX12372" fmla="*/ 3911618 w 12192000"/>
            <a:gd name="connsiteY12372" fmla="*/ 2103649 h 6858000"/>
            <a:gd name="connsiteX12373" fmla="*/ 3946437 w 12192000"/>
            <a:gd name="connsiteY12373" fmla="*/ 2138468 h 6858000"/>
            <a:gd name="connsiteX12374" fmla="*/ 3911618 w 12192000"/>
            <a:gd name="connsiteY12374" fmla="*/ 2173286 h 6858000"/>
            <a:gd name="connsiteX12375" fmla="*/ 3996511 w 12192000"/>
            <a:gd name="connsiteY12375" fmla="*/ 2173286 h 6858000"/>
            <a:gd name="connsiteX12376" fmla="*/ 3961692 w 12192000"/>
            <a:gd name="connsiteY12376" fmla="*/ 2138468 h 6858000"/>
            <a:gd name="connsiteX12377" fmla="*/ 3996511 w 12192000"/>
            <a:gd name="connsiteY12377" fmla="*/ 2103649 h 6858000"/>
            <a:gd name="connsiteX12378" fmla="*/ 4031330 w 12192000"/>
            <a:gd name="connsiteY12378" fmla="*/ 2138468 h 6858000"/>
            <a:gd name="connsiteX12379" fmla="*/ 3996511 w 12192000"/>
            <a:gd name="connsiteY12379" fmla="*/ 2173286 h 6858000"/>
            <a:gd name="connsiteX12380" fmla="*/ 4081403 w 12192000"/>
            <a:gd name="connsiteY12380" fmla="*/ 2173286 h 6858000"/>
            <a:gd name="connsiteX12381" fmla="*/ 4046584 w 12192000"/>
            <a:gd name="connsiteY12381" fmla="*/ 2138468 h 6858000"/>
            <a:gd name="connsiteX12382" fmla="*/ 4081403 w 12192000"/>
            <a:gd name="connsiteY12382" fmla="*/ 2103649 h 6858000"/>
            <a:gd name="connsiteX12383" fmla="*/ 4116222 w 12192000"/>
            <a:gd name="connsiteY12383" fmla="*/ 2138468 h 6858000"/>
            <a:gd name="connsiteX12384" fmla="*/ 4081403 w 12192000"/>
            <a:gd name="connsiteY12384" fmla="*/ 2173286 h 6858000"/>
            <a:gd name="connsiteX12385" fmla="*/ 4166296 w 12192000"/>
            <a:gd name="connsiteY12385" fmla="*/ 2173286 h 6858000"/>
            <a:gd name="connsiteX12386" fmla="*/ 4131477 w 12192000"/>
            <a:gd name="connsiteY12386" fmla="*/ 2138468 h 6858000"/>
            <a:gd name="connsiteX12387" fmla="*/ 4166296 w 12192000"/>
            <a:gd name="connsiteY12387" fmla="*/ 2103649 h 6858000"/>
            <a:gd name="connsiteX12388" fmla="*/ 4201114 w 12192000"/>
            <a:gd name="connsiteY12388" fmla="*/ 2138468 h 6858000"/>
            <a:gd name="connsiteX12389" fmla="*/ 4166296 w 12192000"/>
            <a:gd name="connsiteY12389" fmla="*/ 2173286 h 6858000"/>
            <a:gd name="connsiteX12390" fmla="*/ 4251188 w 12192000"/>
            <a:gd name="connsiteY12390" fmla="*/ 2173286 h 6858000"/>
            <a:gd name="connsiteX12391" fmla="*/ 4216369 w 12192000"/>
            <a:gd name="connsiteY12391" fmla="*/ 2138468 h 6858000"/>
            <a:gd name="connsiteX12392" fmla="*/ 4251188 w 12192000"/>
            <a:gd name="connsiteY12392" fmla="*/ 2103649 h 6858000"/>
            <a:gd name="connsiteX12393" fmla="*/ 4286007 w 12192000"/>
            <a:gd name="connsiteY12393" fmla="*/ 2138468 h 6858000"/>
            <a:gd name="connsiteX12394" fmla="*/ 4251188 w 12192000"/>
            <a:gd name="connsiteY12394" fmla="*/ 2173286 h 6858000"/>
            <a:gd name="connsiteX12395" fmla="*/ 4336080 w 12192000"/>
            <a:gd name="connsiteY12395" fmla="*/ 2173286 h 6858000"/>
            <a:gd name="connsiteX12396" fmla="*/ 4301261 w 12192000"/>
            <a:gd name="connsiteY12396" fmla="*/ 2138468 h 6858000"/>
            <a:gd name="connsiteX12397" fmla="*/ 4336080 w 12192000"/>
            <a:gd name="connsiteY12397" fmla="*/ 2103649 h 6858000"/>
            <a:gd name="connsiteX12398" fmla="*/ 4370899 w 12192000"/>
            <a:gd name="connsiteY12398" fmla="*/ 2138468 h 6858000"/>
            <a:gd name="connsiteX12399" fmla="*/ 4336080 w 12192000"/>
            <a:gd name="connsiteY12399" fmla="*/ 2173286 h 6858000"/>
            <a:gd name="connsiteX12400" fmla="*/ 4420973 w 12192000"/>
            <a:gd name="connsiteY12400" fmla="*/ 2173286 h 6858000"/>
            <a:gd name="connsiteX12401" fmla="*/ 4386154 w 12192000"/>
            <a:gd name="connsiteY12401" fmla="*/ 2138468 h 6858000"/>
            <a:gd name="connsiteX12402" fmla="*/ 4420973 w 12192000"/>
            <a:gd name="connsiteY12402" fmla="*/ 2103649 h 6858000"/>
            <a:gd name="connsiteX12403" fmla="*/ 4455792 w 12192000"/>
            <a:gd name="connsiteY12403" fmla="*/ 2138468 h 6858000"/>
            <a:gd name="connsiteX12404" fmla="*/ 4420973 w 12192000"/>
            <a:gd name="connsiteY12404" fmla="*/ 2173286 h 6858000"/>
            <a:gd name="connsiteX12405" fmla="*/ 4505866 w 12192000"/>
            <a:gd name="connsiteY12405" fmla="*/ 2173286 h 6858000"/>
            <a:gd name="connsiteX12406" fmla="*/ 4471047 w 12192000"/>
            <a:gd name="connsiteY12406" fmla="*/ 2138468 h 6858000"/>
            <a:gd name="connsiteX12407" fmla="*/ 4505866 w 12192000"/>
            <a:gd name="connsiteY12407" fmla="*/ 2103649 h 6858000"/>
            <a:gd name="connsiteX12408" fmla="*/ 4540684 w 12192000"/>
            <a:gd name="connsiteY12408" fmla="*/ 2138468 h 6858000"/>
            <a:gd name="connsiteX12409" fmla="*/ 4505866 w 12192000"/>
            <a:gd name="connsiteY12409" fmla="*/ 2173286 h 6858000"/>
            <a:gd name="connsiteX12410" fmla="*/ 4590758 w 12192000"/>
            <a:gd name="connsiteY12410" fmla="*/ 2173286 h 6858000"/>
            <a:gd name="connsiteX12411" fmla="*/ 4555939 w 12192000"/>
            <a:gd name="connsiteY12411" fmla="*/ 2138468 h 6858000"/>
            <a:gd name="connsiteX12412" fmla="*/ 4590758 w 12192000"/>
            <a:gd name="connsiteY12412" fmla="*/ 2103649 h 6858000"/>
            <a:gd name="connsiteX12413" fmla="*/ 4625577 w 12192000"/>
            <a:gd name="connsiteY12413" fmla="*/ 2138468 h 6858000"/>
            <a:gd name="connsiteX12414" fmla="*/ 4590758 w 12192000"/>
            <a:gd name="connsiteY12414" fmla="*/ 2173286 h 6858000"/>
            <a:gd name="connsiteX12415" fmla="*/ 6373504 w 12192000"/>
            <a:gd name="connsiteY12415" fmla="*/ 2173286 h 6858000"/>
            <a:gd name="connsiteX12416" fmla="*/ 6338678 w 12192000"/>
            <a:gd name="connsiteY12416" fmla="*/ 2138468 h 6858000"/>
            <a:gd name="connsiteX12417" fmla="*/ 6373504 w 12192000"/>
            <a:gd name="connsiteY12417" fmla="*/ 2103649 h 6858000"/>
            <a:gd name="connsiteX12418" fmla="*/ 6408316 w 12192000"/>
            <a:gd name="connsiteY12418" fmla="*/ 2138468 h 6858000"/>
            <a:gd name="connsiteX12419" fmla="*/ 6373504 w 12192000"/>
            <a:gd name="connsiteY12419" fmla="*/ 2173286 h 6858000"/>
            <a:gd name="connsiteX12420" fmla="*/ 6458396 w 12192000"/>
            <a:gd name="connsiteY12420" fmla="*/ 2173286 h 6858000"/>
            <a:gd name="connsiteX12421" fmla="*/ 6423570 w 12192000"/>
            <a:gd name="connsiteY12421" fmla="*/ 2138468 h 6858000"/>
            <a:gd name="connsiteX12422" fmla="*/ 6458396 w 12192000"/>
            <a:gd name="connsiteY12422" fmla="*/ 2103649 h 6858000"/>
            <a:gd name="connsiteX12423" fmla="*/ 6493208 w 12192000"/>
            <a:gd name="connsiteY12423" fmla="*/ 2138468 h 6858000"/>
            <a:gd name="connsiteX12424" fmla="*/ 6458396 w 12192000"/>
            <a:gd name="connsiteY12424" fmla="*/ 2173286 h 6858000"/>
            <a:gd name="connsiteX12425" fmla="*/ 6543288 w 12192000"/>
            <a:gd name="connsiteY12425" fmla="*/ 2173286 h 6858000"/>
            <a:gd name="connsiteX12426" fmla="*/ 6508463 w 12192000"/>
            <a:gd name="connsiteY12426" fmla="*/ 2138468 h 6858000"/>
            <a:gd name="connsiteX12427" fmla="*/ 6543288 w 12192000"/>
            <a:gd name="connsiteY12427" fmla="*/ 2103649 h 6858000"/>
            <a:gd name="connsiteX12428" fmla="*/ 6578100 w 12192000"/>
            <a:gd name="connsiteY12428" fmla="*/ 2138468 h 6858000"/>
            <a:gd name="connsiteX12429" fmla="*/ 6543288 w 12192000"/>
            <a:gd name="connsiteY12429" fmla="*/ 2173286 h 6858000"/>
            <a:gd name="connsiteX12430" fmla="*/ 6628181 w 12192000"/>
            <a:gd name="connsiteY12430" fmla="*/ 2173286 h 6858000"/>
            <a:gd name="connsiteX12431" fmla="*/ 6593356 w 12192000"/>
            <a:gd name="connsiteY12431" fmla="*/ 2138468 h 6858000"/>
            <a:gd name="connsiteX12432" fmla="*/ 6628181 w 12192000"/>
            <a:gd name="connsiteY12432" fmla="*/ 2103649 h 6858000"/>
            <a:gd name="connsiteX12433" fmla="*/ 6662994 w 12192000"/>
            <a:gd name="connsiteY12433" fmla="*/ 2138468 h 6858000"/>
            <a:gd name="connsiteX12434" fmla="*/ 6628181 w 12192000"/>
            <a:gd name="connsiteY12434" fmla="*/ 2173286 h 6858000"/>
            <a:gd name="connsiteX12435" fmla="*/ 6713074 w 12192000"/>
            <a:gd name="connsiteY12435" fmla="*/ 2173286 h 6858000"/>
            <a:gd name="connsiteX12436" fmla="*/ 6678248 w 12192000"/>
            <a:gd name="connsiteY12436" fmla="*/ 2138468 h 6858000"/>
            <a:gd name="connsiteX12437" fmla="*/ 6713074 w 12192000"/>
            <a:gd name="connsiteY12437" fmla="*/ 2103649 h 6858000"/>
            <a:gd name="connsiteX12438" fmla="*/ 6747886 w 12192000"/>
            <a:gd name="connsiteY12438" fmla="*/ 2138468 h 6858000"/>
            <a:gd name="connsiteX12439" fmla="*/ 6713074 w 12192000"/>
            <a:gd name="connsiteY12439" fmla="*/ 2173286 h 6858000"/>
            <a:gd name="connsiteX12440" fmla="*/ 6797966 w 12192000"/>
            <a:gd name="connsiteY12440" fmla="*/ 2173286 h 6858000"/>
            <a:gd name="connsiteX12441" fmla="*/ 6763140 w 12192000"/>
            <a:gd name="connsiteY12441" fmla="*/ 2138468 h 6858000"/>
            <a:gd name="connsiteX12442" fmla="*/ 6797966 w 12192000"/>
            <a:gd name="connsiteY12442" fmla="*/ 2103649 h 6858000"/>
            <a:gd name="connsiteX12443" fmla="*/ 6832778 w 12192000"/>
            <a:gd name="connsiteY12443" fmla="*/ 2138468 h 6858000"/>
            <a:gd name="connsiteX12444" fmla="*/ 6797966 w 12192000"/>
            <a:gd name="connsiteY12444" fmla="*/ 2173286 h 6858000"/>
            <a:gd name="connsiteX12445" fmla="*/ 6882858 w 12192000"/>
            <a:gd name="connsiteY12445" fmla="*/ 2173286 h 6858000"/>
            <a:gd name="connsiteX12446" fmla="*/ 6848033 w 12192000"/>
            <a:gd name="connsiteY12446" fmla="*/ 2138468 h 6858000"/>
            <a:gd name="connsiteX12447" fmla="*/ 6882858 w 12192000"/>
            <a:gd name="connsiteY12447" fmla="*/ 2103649 h 6858000"/>
            <a:gd name="connsiteX12448" fmla="*/ 6917670 w 12192000"/>
            <a:gd name="connsiteY12448" fmla="*/ 2138468 h 6858000"/>
            <a:gd name="connsiteX12449" fmla="*/ 6882858 w 12192000"/>
            <a:gd name="connsiteY12449" fmla="*/ 2173286 h 6858000"/>
            <a:gd name="connsiteX12450" fmla="*/ 7052644 w 12192000"/>
            <a:gd name="connsiteY12450" fmla="*/ 2173286 h 6858000"/>
            <a:gd name="connsiteX12451" fmla="*/ 7017818 w 12192000"/>
            <a:gd name="connsiteY12451" fmla="*/ 2138468 h 6858000"/>
            <a:gd name="connsiteX12452" fmla="*/ 7052644 w 12192000"/>
            <a:gd name="connsiteY12452" fmla="*/ 2103649 h 6858000"/>
            <a:gd name="connsiteX12453" fmla="*/ 7087456 w 12192000"/>
            <a:gd name="connsiteY12453" fmla="*/ 2138468 h 6858000"/>
            <a:gd name="connsiteX12454" fmla="*/ 7052644 w 12192000"/>
            <a:gd name="connsiteY12454" fmla="*/ 2173286 h 6858000"/>
            <a:gd name="connsiteX12455" fmla="*/ 10023880 w 12192000"/>
            <a:gd name="connsiteY12455" fmla="*/ 2173286 h 6858000"/>
            <a:gd name="connsiteX12456" fmla="*/ 9989055 w 12192000"/>
            <a:gd name="connsiteY12456" fmla="*/ 2138468 h 6858000"/>
            <a:gd name="connsiteX12457" fmla="*/ 10023880 w 12192000"/>
            <a:gd name="connsiteY12457" fmla="*/ 2103649 h 6858000"/>
            <a:gd name="connsiteX12458" fmla="*/ 10058693 w 12192000"/>
            <a:gd name="connsiteY12458" fmla="*/ 2138468 h 6858000"/>
            <a:gd name="connsiteX12459" fmla="*/ 10023880 w 12192000"/>
            <a:gd name="connsiteY12459" fmla="*/ 2173286 h 6858000"/>
            <a:gd name="connsiteX12460" fmla="*/ 10108773 w 12192000"/>
            <a:gd name="connsiteY12460" fmla="*/ 2173286 h 6858000"/>
            <a:gd name="connsiteX12461" fmla="*/ 10073947 w 12192000"/>
            <a:gd name="connsiteY12461" fmla="*/ 2138468 h 6858000"/>
            <a:gd name="connsiteX12462" fmla="*/ 10108773 w 12192000"/>
            <a:gd name="connsiteY12462" fmla="*/ 2103649 h 6858000"/>
            <a:gd name="connsiteX12463" fmla="*/ 10143585 w 12192000"/>
            <a:gd name="connsiteY12463" fmla="*/ 2138468 h 6858000"/>
            <a:gd name="connsiteX12464" fmla="*/ 10108773 w 12192000"/>
            <a:gd name="connsiteY12464" fmla="*/ 2173286 h 6858000"/>
            <a:gd name="connsiteX12465" fmla="*/ 10363450 w 12192000"/>
            <a:gd name="connsiteY12465" fmla="*/ 2173286 h 6858000"/>
            <a:gd name="connsiteX12466" fmla="*/ 10328625 w 12192000"/>
            <a:gd name="connsiteY12466" fmla="*/ 2138468 h 6858000"/>
            <a:gd name="connsiteX12467" fmla="*/ 10363450 w 12192000"/>
            <a:gd name="connsiteY12467" fmla="*/ 2103649 h 6858000"/>
            <a:gd name="connsiteX12468" fmla="*/ 10398263 w 12192000"/>
            <a:gd name="connsiteY12468" fmla="*/ 2138468 h 6858000"/>
            <a:gd name="connsiteX12469" fmla="*/ 10363450 w 12192000"/>
            <a:gd name="connsiteY12469" fmla="*/ 2173286 h 6858000"/>
            <a:gd name="connsiteX12470" fmla="*/ 3572048 w 12192000"/>
            <a:gd name="connsiteY12470" fmla="*/ 2088426 h 6858000"/>
            <a:gd name="connsiteX12471" fmla="*/ 3537229 w 12192000"/>
            <a:gd name="connsiteY12471" fmla="*/ 2053607 h 6858000"/>
            <a:gd name="connsiteX12472" fmla="*/ 3572048 w 12192000"/>
            <a:gd name="connsiteY12472" fmla="*/ 2018788 h 6858000"/>
            <a:gd name="connsiteX12473" fmla="*/ 3606867 w 12192000"/>
            <a:gd name="connsiteY12473" fmla="*/ 2053607 h 6858000"/>
            <a:gd name="connsiteX12474" fmla="*/ 3572048 w 12192000"/>
            <a:gd name="connsiteY12474" fmla="*/ 2088426 h 6858000"/>
            <a:gd name="connsiteX12475" fmla="*/ 3656941 w 12192000"/>
            <a:gd name="connsiteY12475" fmla="*/ 2088426 h 6858000"/>
            <a:gd name="connsiteX12476" fmla="*/ 3622122 w 12192000"/>
            <a:gd name="connsiteY12476" fmla="*/ 2053607 h 6858000"/>
            <a:gd name="connsiteX12477" fmla="*/ 3656941 w 12192000"/>
            <a:gd name="connsiteY12477" fmla="*/ 2018788 h 6858000"/>
            <a:gd name="connsiteX12478" fmla="*/ 3691760 w 12192000"/>
            <a:gd name="connsiteY12478" fmla="*/ 2053607 h 6858000"/>
            <a:gd name="connsiteX12479" fmla="*/ 3656941 w 12192000"/>
            <a:gd name="connsiteY12479" fmla="*/ 2088426 h 6858000"/>
            <a:gd name="connsiteX12480" fmla="*/ 3741833 w 12192000"/>
            <a:gd name="connsiteY12480" fmla="*/ 2088426 h 6858000"/>
            <a:gd name="connsiteX12481" fmla="*/ 3707014 w 12192000"/>
            <a:gd name="connsiteY12481" fmla="*/ 2053607 h 6858000"/>
            <a:gd name="connsiteX12482" fmla="*/ 3741833 w 12192000"/>
            <a:gd name="connsiteY12482" fmla="*/ 2018788 h 6858000"/>
            <a:gd name="connsiteX12483" fmla="*/ 3776652 w 12192000"/>
            <a:gd name="connsiteY12483" fmla="*/ 2053607 h 6858000"/>
            <a:gd name="connsiteX12484" fmla="*/ 3741833 w 12192000"/>
            <a:gd name="connsiteY12484" fmla="*/ 2088426 h 6858000"/>
            <a:gd name="connsiteX12485" fmla="*/ 3826726 w 12192000"/>
            <a:gd name="connsiteY12485" fmla="*/ 2088426 h 6858000"/>
            <a:gd name="connsiteX12486" fmla="*/ 3791907 w 12192000"/>
            <a:gd name="connsiteY12486" fmla="*/ 2053607 h 6858000"/>
            <a:gd name="connsiteX12487" fmla="*/ 3826726 w 12192000"/>
            <a:gd name="connsiteY12487" fmla="*/ 2018788 h 6858000"/>
            <a:gd name="connsiteX12488" fmla="*/ 3861544 w 12192000"/>
            <a:gd name="connsiteY12488" fmla="*/ 2053607 h 6858000"/>
            <a:gd name="connsiteX12489" fmla="*/ 3826726 w 12192000"/>
            <a:gd name="connsiteY12489" fmla="*/ 2088426 h 6858000"/>
            <a:gd name="connsiteX12490" fmla="*/ 3911618 w 12192000"/>
            <a:gd name="connsiteY12490" fmla="*/ 2088426 h 6858000"/>
            <a:gd name="connsiteX12491" fmla="*/ 3876799 w 12192000"/>
            <a:gd name="connsiteY12491" fmla="*/ 2053607 h 6858000"/>
            <a:gd name="connsiteX12492" fmla="*/ 3911618 w 12192000"/>
            <a:gd name="connsiteY12492" fmla="*/ 2018788 h 6858000"/>
            <a:gd name="connsiteX12493" fmla="*/ 3946437 w 12192000"/>
            <a:gd name="connsiteY12493" fmla="*/ 2053607 h 6858000"/>
            <a:gd name="connsiteX12494" fmla="*/ 3911618 w 12192000"/>
            <a:gd name="connsiteY12494" fmla="*/ 2088426 h 6858000"/>
            <a:gd name="connsiteX12495" fmla="*/ 3996511 w 12192000"/>
            <a:gd name="connsiteY12495" fmla="*/ 2088426 h 6858000"/>
            <a:gd name="connsiteX12496" fmla="*/ 3961692 w 12192000"/>
            <a:gd name="connsiteY12496" fmla="*/ 2053607 h 6858000"/>
            <a:gd name="connsiteX12497" fmla="*/ 3996511 w 12192000"/>
            <a:gd name="connsiteY12497" fmla="*/ 2018788 h 6858000"/>
            <a:gd name="connsiteX12498" fmla="*/ 4031330 w 12192000"/>
            <a:gd name="connsiteY12498" fmla="*/ 2053607 h 6858000"/>
            <a:gd name="connsiteX12499" fmla="*/ 3996511 w 12192000"/>
            <a:gd name="connsiteY12499" fmla="*/ 2088426 h 6858000"/>
            <a:gd name="connsiteX12500" fmla="*/ 4081403 w 12192000"/>
            <a:gd name="connsiteY12500" fmla="*/ 2088426 h 6858000"/>
            <a:gd name="connsiteX12501" fmla="*/ 4046584 w 12192000"/>
            <a:gd name="connsiteY12501" fmla="*/ 2053607 h 6858000"/>
            <a:gd name="connsiteX12502" fmla="*/ 4081403 w 12192000"/>
            <a:gd name="connsiteY12502" fmla="*/ 2018788 h 6858000"/>
            <a:gd name="connsiteX12503" fmla="*/ 4116222 w 12192000"/>
            <a:gd name="connsiteY12503" fmla="*/ 2053607 h 6858000"/>
            <a:gd name="connsiteX12504" fmla="*/ 4081403 w 12192000"/>
            <a:gd name="connsiteY12504" fmla="*/ 2088426 h 6858000"/>
            <a:gd name="connsiteX12505" fmla="*/ 4166296 w 12192000"/>
            <a:gd name="connsiteY12505" fmla="*/ 2088426 h 6858000"/>
            <a:gd name="connsiteX12506" fmla="*/ 4131477 w 12192000"/>
            <a:gd name="connsiteY12506" fmla="*/ 2053607 h 6858000"/>
            <a:gd name="connsiteX12507" fmla="*/ 4166296 w 12192000"/>
            <a:gd name="connsiteY12507" fmla="*/ 2018788 h 6858000"/>
            <a:gd name="connsiteX12508" fmla="*/ 4201114 w 12192000"/>
            <a:gd name="connsiteY12508" fmla="*/ 2053607 h 6858000"/>
            <a:gd name="connsiteX12509" fmla="*/ 4166296 w 12192000"/>
            <a:gd name="connsiteY12509" fmla="*/ 2088426 h 6858000"/>
            <a:gd name="connsiteX12510" fmla="*/ 4251188 w 12192000"/>
            <a:gd name="connsiteY12510" fmla="*/ 2088426 h 6858000"/>
            <a:gd name="connsiteX12511" fmla="*/ 4216369 w 12192000"/>
            <a:gd name="connsiteY12511" fmla="*/ 2053607 h 6858000"/>
            <a:gd name="connsiteX12512" fmla="*/ 4251188 w 12192000"/>
            <a:gd name="connsiteY12512" fmla="*/ 2018788 h 6858000"/>
            <a:gd name="connsiteX12513" fmla="*/ 4286007 w 12192000"/>
            <a:gd name="connsiteY12513" fmla="*/ 2053607 h 6858000"/>
            <a:gd name="connsiteX12514" fmla="*/ 4251188 w 12192000"/>
            <a:gd name="connsiteY12514" fmla="*/ 2088426 h 6858000"/>
            <a:gd name="connsiteX12515" fmla="*/ 4336080 w 12192000"/>
            <a:gd name="connsiteY12515" fmla="*/ 2088426 h 6858000"/>
            <a:gd name="connsiteX12516" fmla="*/ 4301261 w 12192000"/>
            <a:gd name="connsiteY12516" fmla="*/ 2053607 h 6858000"/>
            <a:gd name="connsiteX12517" fmla="*/ 4336080 w 12192000"/>
            <a:gd name="connsiteY12517" fmla="*/ 2018788 h 6858000"/>
            <a:gd name="connsiteX12518" fmla="*/ 4370899 w 12192000"/>
            <a:gd name="connsiteY12518" fmla="*/ 2053607 h 6858000"/>
            <a:gd name="connsiteX12519" fmla="*/ 4336080 w 12192000"/>
            <a:gd name="connsiteY12519" fmla="*/ 2088426 h 6858000"/>
            <a:gd name="connsiteX12520" fmla="*/ 4420973 w 12192000"/>
            <a:gd name="connsiteY12520" fmla="*/ 2088426 h 6858000"/>
            <a:gd name="connsiteX12521" fmla="*/ 4386154 w 12192000"/>
            <a:gd name="connsiteY12521" fmla="*/ 2053607 h 6858000"/>
            <a:gd name="connsiteX12522" fmla="*/ 4420973 w 12192000"/>
            <a:gd name="connsiteY12522" fmla="*/ 2018788 h 6858000"/>
            <a:gd name="connsiteX12523" fmla="*/ 4455792 w 12192000"/>
            <a:gd name="connsiteY12523" fmla="*/ 2053607 h 6858000"/>
            <a:gd name="connsiteX12524" fmla="*/ 4420973 w 12192000"/>
            <a:gd name="connsiteY12524" fmla="*/ 2088426 h 6858000"/>
            <a:gd name="connsiteX12525" fmla="*/ 4505866 w 12192000"/>
            <a:gd name="connsiteY12525" fmla="*/ 2088426 h 6858000"/>
            <a:gd name="connsiteX12526" fmla="*/ 4471047 w 12192000"/>
            <a:gd name="connsiteY12526" fmla="*/ 2053607 h 6858000"/>
            <a:gd name="connsiteX12527" fmla="*/ 4505866 w 12192000"/>
            <a:gd name="connsiteY12527" fmla="*/ 2018788 h 6858000"/>
            <a:gd name="connsiteX12528" fmla="*/ 4540684 w 12192000"/>
            <a:gd name="connsiteY12528" fmla="*/ 2053607 h 6858000"/>
            <a:gd name="connsiteX12529" fmla="*/ 4505866 w 12192000"/>
            <a:gd name="connsiteY12529" fmla="*/ 2088426 h 6858000"/>
            <a:gd name="connsiteX12530" fmla="*/ 4590758 w 12192000"/>
            <a:gd name="connsiteY12530" fmla="*/ 2088426 h 6858000"/>
            <a:gd name="connsiteX12531" fmla="*/ 4555939 w 12192000"/>
            <a:gd name="connsiteY12531" fmla="*/ 2053607 h 6858000"/>
            <a:gd name="connsiteX12532" fmla="*/ 4590758 w 12192000"/>
            <a:gd name="connsiteY12532" fmla="*/ 2018788 h 6858000"/>
            <a:gd name="connsiteX12533" fmla="*/ 4625577 w 12192000"/>
            <a:gd name="connsiteY12533" fmla="*/ 2053607 h 6858000"/>
            <a:gd name="connsiteX12534" fmla="*/ 4590758 w 12192000"/>
            <a:gd name="connsiteY12534" fmla="*/ 2088426 h 6858000"/>
            <a:gd name="connsiteX12535" fmla="*/ 6288611 w 12192000"/>
            <a:gd name="connsiteY12535" fmla="*/ 2088426 h 6858000"/>
            <a:gd name="connsiteX12536" fmla="*/ 6253786 w 12192000"/>
            <a:gd name="connsiteY12536" fmla="*/ 2053607 h 6858000"/>
            <a:gd name="connsiteX12537" fmla="*/ 6288611 w 12192000"/>
            <a:gd name="connsiteY12537" fmla="*/ 2018788 h 6858000"/>
            <a:gd name="connsiteX12538" fmla="*/ 6323424 w 12192000"/>
            <a:gd name="connsiteY12538" fmla="*/ 2053607 h 6858000"/>
            <a:gd name="connsiteX12539" fmla="*/ 6288611 w 12192000"/>
            <a:gd name="connsiteY12539" fmla="*/ 2088426 h 6858000"/>
            <a:gd name="connsiteX12540" fmla="*/ 6373504 w 12192000"/>
            <a:gd name="connsiteY12540" fmla="*/ 2088426 h 6858000"/>
            <a:gd name="connsiteX12541" fmla="*/ 6338678 w 12192000"/>
            <a:gd name="connsiteY12541" fmla="*/ 2053607 h 6858000"/>
            <a:gd name="connsiteX12542" fmla="*/ 6373504 w 12192000"/>
            <a:gd name="connsiteY12542" fmla="*/ 2018788 h 6858000"/>
            <a:gd name="connsiteX12543" fmla="*/ 6408316 w 12192000"/>
            <a:gd name="connsiteY12543" fmla="*/ 2053607 h 6858000"/>
            <a:gd name="connsiteX12544" fmla="*/ 6373504 w 12192000"/>
            <a:gd name="connsiteY12544" fmla="*/ 2088426 h 6858000"/>
            <a:gd name="connsiteX12545" fmla="*/ 6458396 w 12192000"/>
            <a:gd name="connsiteY12545" fmla="*/ 2088426 h 6858000"/>
            <a:gd name="connsiteX12546" fmla="*/ 6423570 w 12192000"/>
            <a:gd name="connsiteY12546" fmla="*/ 2053607 h 6858000"/>
            <a:gd name="connsiteX12547" fmla="*/ 6458396 w 12192000"/>
            <a:gd name="connsiteY12547" fmla="*/ 2018788 h 6858000"/>
            <a:gd name="connsiteX12548" fmla="*/ 6493208 w 12192000"/>
            <a:gd name="connsiteY12548" fmla="*/ 2053607 h 6858000"/>
            <a:gd name="connsiteX12549" fmla="*/ 6458396 w 12192000"/>
            <a:gd name="connsiteY12549" fmla="*/ 2088426 h 6858000"/>
            <a:gd name="connsiteX12550" fmla="*/ 6543288 w 12192000"/>
            <a:gd name="connsiteY12550" fmla="*/ 2088426 h 6858000"/>
            <a:gd name="connsiteX12551" fmla="*/ 6508463 w 12192000"/>
            <a:gd name="connsiteY12551" fmla="*/ 2053607 h 6858000"/>
            <a:gd name="connsiteX12552" fmla="*/ 6543288 w 12192000"/>
            <a:gd name="connsiteY12552" fmla="*/ 2018788 h 6858000"/>
            <a:gd name="connsiteX12553" fmla="*/ 6578100 w 12192000"/>
            <a:gd name="connsiteY12553" fmla="*/ 2053607 h 6858000"/>
            <a:gd name="connsiteX12554" fmla="*/ 6543288 w 12192000"/>
            <a:gd name="connsiteY12554" fmla="*/ 2088426 h 6858000"/>
            <a:gd name="connsiteX12555" fmla="*/ 6628181 w 12192000"/>
            <a:gd name="connsiteY12555" fmla="*/ 2088426 h 6858000"/>
            <a:gd name="connsiteX12556" fmla="*/ 6593356 w 12192000"/>
            <a:gd name="connsiteY12556" fmla="*/ 2053607 h 6858000"/>
            <a:gd name="connsiteX12557" fmla="*/ 6628181 w 12192000"/>
            <a:gd name="connsiteY12557" fmla="*/ 2018788 h 6858000"/>
            <a:gd name="connsiteX12558" fmla="*/ 6662994 w 12192000"/>
            <a:gd name="connsiteY12558" fmla="*/ 2053607 h 6858000"/>
            <a:gd name="connsiteX12559" fmla="*/ 6628181 w 12192000"/>
            <a:gd name="connsiteY12559" fmla="*/ 2088426 h 6858000"/>
            <a:gd name="connsiteX12560" fmla="*/ 6713074 w 12192000"/>
            <a:gd name="connsiteY12560" fmla="*/ 2088426 h 6858000"/>
            <a:gd name="connsiteX12561" fmla="*/ 6678248 w 12192000"/>
            <a:gd name="connsiteY12561" fmla="*/ 2053607 h 6858000"/>
            <a:gd name="connsiteX12562" fmla="*/ 6713074 w 12192000"/>
            <a:gd name="connsiteY12562" fmla="*/ 2018788 h 6858000"/>
            <a:gd name="connsiteX12563" fmla="*/ 6747886 w 12192000"/>
            <a:gd name="connsiteY12563" fmla="*/ 2053607 h 6858000"/>
            <a:gd name="connsiteX12564" fmla="*/ 6713074 w 12192000"/>
            <a:gd name="connsiteY12564" fmla="*/ 2088426 h 6858000"/>
            <a:gd name="connsiteX12565" fmla="*/ 6797966 w 12192000"/>
            <a:gd name="connsiteY12565" fmla="*/ 2088426 h 6858000"/>
            <a:gd name="connsiteX12566" fmla="*/ 6763140 w 12192000"/>
            <a:gd name="connsiteY12566" fmla="*/ 2053607 h 6858000"/>
            <a:gd name="connsiteX12567" fmla="*/ 6797966 w 12192000"/>
            <a:gd name="connsiteY12567" fmla="*/ 2018788 h 6858000"/>
            <a:gd name="connsiteX12568" fmla="*/ 6832778 w 12192000"/>
            <a:gd name="connsiteY12568" fmla="*/ 2053607 h 6858000"/>
            <a:gd name="connsiteX12569" fmla="*/ 6797966 w 12192000"/>
            <a:gd name="connsiteY12569" fmla="*/ 2088426 h 6858000"/>
            <a:gd name="connsiteX12570" fmla="*/ 6882858 w 12192000"/>
            <a:gd name="connsiteY12570" fmla="*/ 2088426 h 6858000"/>
            <a:gd name="connsiteX12571" fmla="*/ 6848033 w 12192000"/>
            <a:gd name="connsiteY12571" fmla="*/ 2053607 h 6858000"/>
            <a:gd name="connsiteX12572" fmla="*/ 6882858 w 12192000"/>
            <a:gd name="connsiteY12572" fmla="*/ 2018788 h 6858000"/>
            <a:gd name="connsiteX12573" fmla="*/ 6917670 w 12192000"/>
            <a:gd name="connsiteY12573" fmla="*/ 2053607 h 6858000"/>
            <a:gd name="connsiteX12574" fmla="*/ 6882858 w 12192000"/>
            <a:gd name="connsiteY12574" fmla="*/ 2088426 h 6858000"/>
            <a:gd name="connsiteX12575" fmla="*/ 6967750 w 12192000"/>
            <a:gd name="connsiteY12575" fmla="*/ 2088426 h 6858000"/>
            <a:gd name="connsiteX12576" fmla="*/ 6932925 w 12192000"/>
            <a:gd name="connsiteY12576" fmla="*/ 2053607 h 6858000"/>
            <a:gd name="connsiteX12577" fmla="*/ 6967750 w 12192000"/>
            <a:gd name="connsiteY12577" fmla="*/ 2018788 h 6858000"/>
            <a:gd name="connsiteX12578" fmla="*/ 7002563 w 12192000"/>
            <a:gd name="connsiteY12578" fmla="*/ 2053607 h 6858000"/>
            <a:gd name="connsiteX12579" fmla="*/ 6967750 w 12192000"/>
            <a:gd name="connsiteY12579" fmla="*/ 2088426 h 6858000"/>
            <a:gd name="connsiteX12580" fmla="*/ 7052644 w 12192000"/>
            <a:gd name="connsiteY12580" fmla="*/ 2088426 h 6858000"/>
            <a:gd name="connsiteX12581" fmla="*/ 7017818 w 12192000"/>
            <a:gd name="connsiteY12581" fmla="*/ 2053607 h 6858000"/>
            <a:gd name="connsiteX12582" fmla="*/ 7052644 w 12192000"/>
            <a:gd name="connsiteY12582" fmla="*/ 2018788 h 6858000"/>
            <a:gd name="connsiteX12583" fmla="*/ 7087456 w 12192000"/>
            <a:gd name="connsiteY12583" fmla="*/ 2053607 h 6858000"/>
            <a:gd name="connsiteX12584" fmla="*/ 7052644 w 12192000"/>
            <a:gd name="connsiteY12584" fmla="*/ 2088426 h 6858000"/>
            <a:gd name="connsiteX12585" fmla="*/ 7392214 w 12192000"/>
            <a:gd name="connsiteY12585" fmla="*/ 2088426 h 6858000"/>
            <a:gd name="connsiteX12586" fmla="*/ 7357388 w 12192000"/>
            <a:gd name="connsiteY12586" fmla="*/ 2053607 h 6858000"/>
            <a:gd name="connsiteX12587" fmla="*/ 7392214 w 12192000"/>
            <a:gd name="connsiteY12587" fmla="*/ 2018788 h 6858000"/>
            <a:gd name="connsiteX12588" fmla="*/ 7427026 w 12192000"/>
            <a:gd name="connsiteY12588" fmla="*/ 2053607 h 6858000"/>
            <a:gd name="connsiteX12589" fmla="*/ 7392214 w 12192000"/>
            <a:gd name="connsiteY12589" fmla="*/ 2088426 h 6858000"/>
            <a:gd name="connsiteX12590" fmla="*/ 9854095 w 12192000"/>
            <a:gd name="connsiteY12590" fmla="*/ 2088426 h 6858000"/>
            <a:gd name="connsiteX12591" fmla="*/ 9819269 w 12192000"/>
            <a:gd name="connsiteY12591" fmla="*/ 2053607 h 6858000"/>
            <a:gd name="connsiteX12592" fmla="*/ 9854095 w 12192000"/>
            <a:gd name="connsiteY12592" fmla="*/ 2018788 h 6858000"/>
            <a:gd name="connsiteX12593" fmla="*/ 9888907 w 12192000"/>
            <a:gd name="connsiteY12593" fmla="*/ 2053607 h 6858000"/>
            <a:gd name="connsiteX12594" fmla="*/ 9854095 w 12192000"/>
            <a:gd name="connsiteY12594" fmla="*/ 2088426 h 6858000"/>
            <a:gd name="connsiteX12595" fmla="*/ 10023880 w 12192000"/>
            <a:gd name="connsiteY12595" fmla="*/ 2088426 h 6858000"/>
            <a:gd name="connsiteX12596" fmla="*/ 9989055 w 12192000"/>
            <a:gd name="connsiteY12596" fmla="*/ 2053607 h 6858000"/>
            <a:gd name="connsiteX12597" fmla="*/ 10023880 w 12192000"/>
            <a:gd name="connsiteY12597" fmla="*/ 2018788 h 6858000"/>
            <a:gd name="connsiteX12598" fmla="*/ 10058693 w 12192000"/>
            <a:gd name="connsiteY12598" fmla="*/ 2053607 h 6858000"/>
            <a:gd name="connsiteX12599" fmla="*/ 10023880 w 12192000"/>
            <a:gd name="connsiteY12599" fmla="*/ 2088426 h 6858000"/>
            <a:gd name="connsiteX12600" fmla="*/ 10108773 w 12192000"/>
            <a:gd name="connsiteY12600" fmla="*/ 2088426 h 6858000"/>
            <a:gd name="connsiteX12601" fmla="*/ 10073947 w 12192000"/>
            <a:gd name="connsiteY12601" fmla="*/ 2053607 h 6858000"/>
            <a:gd name="connsiteX12602" fmla="*/ 10108773 w 12192000"/>
            <a:gd name="connsiteY12602" fmla="*/ 2018788 h 6858000"/>
            <a:gd name="connsiteX12603" fmla="*/ 10143585 w 12192000"/>
            <a:gd name="connsiteY12603" fmla="*/ 2053607 h 6858000"/>
            <a:gd name="connsiteX12604" fmla="*/ 10108773 w 12192000"/>
            <a:gd name="connsiteY12604" fmla="*/ 2088426 h 6858000"/>
            <a:gd name="connsiteX12605" fmla="*/ 10363450 w 12192000"/>
            <a:gd name="connsiteY12605" fmla="*/ 2088426 h 6858000"/>
            <a:gd name="connsiteX12606" fmla="*/ 10328625 w 12192000"/>
            <a:gd name="connsiteY12606" fmla="*/ 2053607 h 6858000"/>
            <a:gd name="connsiteX12607" fmla="*/ 10363450 w 12192000"/>
            <a:gd name="connsiteY12607" fmla="*/ 2018788 h 6858000"/>
            <a:gd name="connsiteX12608" fmla="*/ 10398263 w 12192000"/>
            <a:gd name="connsiteY12608" fmla="*/ 2053607 h 6858000"/>
            <a:gd name="connsiteX12609" fmla="*/ 10363450 w 12192000"/>
            <a:gd name="connsiteY12609" fmla="*/ 2088426 h 6858000"/>
            <a:gd name="connsiteX12610" fmla="*/ 3656941 w 12192000"/>
            <a:gd name="connsiteY12610" fmla="*/ 2003566 h 6858000"/>
            <a:gd name="connsiteX12611" fmla="*/ 3622122 w 12192000"/>
            <a:gd name="connsiteY12611" fmla="*/ 1968747 h 6858000"/>
            <a:gd name="connsiteX12612" fmla="*/ 3656941 w 12192000"/>
            <a:gd name="connsiteY12612" fmla="*/ 1933928 h 6858000"/>
            <a:gd name="connsiteX12613" fmla="*/ 3691760 w 12192000"/>
            <a:gd name="connsiteY12613" fmla="*/ 1968747 h 6858000"/>
            <a:gd name="connsiteX12614" fmla="*/ 3656941 w 12192000"/>
            <a:gd name="connsiteY12614" fmla="*/ 2003566 h 6858000"/>
            <a:gd name="connsiteX12615" fmla="*/ 3741833 w 12192000"/>
            <a:gd name="connsiteY12615" fmla="*/ 2003566 h 6858000"/>
            <a:gd name="connsiteX12616" fmla="*/ 3707014 w 12192000"/>
            <a:gd name="connsiteY12616" fmla="*/ 1968747 h 6858000"/>
            <a:gd name="connsiteX12617" fmla="*/ 3741833 w 12192000"/>
            <a:gd name="connsiteY12617" fmla="*/ 1933928 h 6858000"/>
            <a:gd name="connsiteX12618" fmla="*/ 3776652 w 12192000"/>
            <a:gd name="connsiteY12618" fmla="*/ 1968747 h 6858000"/>
            <a:gd name="connsiteX12619" fmla="*/ 3741833 w 12192000"/>
            <a:gd name="connsiteY12619" fmla="*/ 2003566 h 6858000"/>
            <a:gd name="connsiteX12620" fmla="*/ 3826726 w 12192000"/>
            <a:gd name="connsiteY12620" fmla="*/ 2003566 h 6858000"/>
            <a:gd name="connsiteX12621" fmla="*/ 3791907 w 12192000"/>
            <a:gd name="connsiteY12621" fmla="*/ 1968747 h 6858000"/>
            <a:gd name="connsiteX12622" fmla="*/ 3826726 w 12192000"/>
            <a:gd name="connsiteY12622" fmla="*/ 1933928 h 6858000"/>
            <a:gd name="connsiteX12623" fmla="*/ 3861544 w 12192000"/>
            <a:gd name="connsiteY12623" fmla="*/ 1968747 h 6858000"/>
            <a:gd name="connsiteX12624" fmla="*/ 3826726 w 12192000"/>
            <a:gd name="connsiteY12624" fmla="*/ 2003566 h 6858000"/>
            <a:gd name="connsiteX12625" fmla="*/ 3911618 w 12192000"/>
            <a:gd name="connsiteY12625" fmla="*/ 2003566 h 6858000"/>
            <a:gd name="connsiteX12626" fmla="*/ 3876799 w 12192000"/>
            <a:gd name="connsiteY12626" fmla="*/ 1968747 h 6858000"/>
            <a:gd name="connsiteX12627" fmla="*/ 3911618 w 12192000"/>
            <a:gd name="connsiteY12627" fmla="*/ 1933928 h 6858000"/>
            <a:gd name="connsiteX12628" fmla="*/ 3946437 w 12192000"/>
            <a:gd name="connsiteY12628" fmla="*/ 1968747 h 6858000"/>
            <a:gd name="connsiteX12629" fmla="*/ 3911618 w 12192000"/>
            <a:gd name="connsiteY12629" fmla="*/ 2003566 h 6858000"/>
            <a:gd name="connsiteX12630" fmla="*/ 3996511 w 12192000"/>
            <a:gd name="connsiteY12630" fmla="*/ 2003566 h 6858000"/>
            <a:gd name="connsiteX12631" fmla="*/ 3961692 w 12192000"/>
            <a:gd name="connsiteY12631" fmla="*/ 1968747 h 6858000"/>
            <a:gd name="connsiteX12632" fmla="*/ 3996511 w 12192000"/>
            <a:gd name="connsiteY12632" fmla="*/ 1933928 h 6858000"/>
            <a:gd name="connsiteX12633" fmla="*/ 4031330 w 12192000"/>
            <a:gd name="connsiteY12633" fmla="*/ 1968747 h 6858000"/>
            <a:gd name="connsiteX12634" fmla="*/ 3996511 w 12192000"/>
            <a:gd name="connsiteY12634" fmla="*/ 2003566 h 6858000"/>
            <a:gd name="connsiteX12635" fmla="*/ 4081403 w 12192000"/>
            <a:gd name="connsiteY12635" fmla="*/ 2003566 h 6858000"/>
            <a:gd name="connsiteX12636" fmla="*/ 4046584 w 12192000"/>
            <a:gd name="connsiteY12636" fmla="*/ 1968747 h 6858000"/>
            <a:gd name="connsiteX12637" fmla="*/ 4081403 w 12192000"/>
            <a:gd name="connsiteY12637" fmla="*/ 1933928 h 6858000"/>
            <a:gd name="connsiteX12638" fmla="*/ 4116222 w 12192000"/>
            <a:gd name="connsiteY12638" fmla="*/ 1968747 h 6858000"/>
            <a:gd name="connsiteX12639" fmla="*/ 4081403 w 12192000"/>
            <a:gd name="connsiteY12639" fmla="*/ 2003566 h 6858000"/>
            <a:gd name="connsiteX12640" fmla="*/ 4166296 w 12192000"/>
            <a:gd name="connsiteY12640" fmla="*/ 2003566 h 6858000"/>
            <a:gd name="connsiteX12641" fmla="*/ 4131477 w 12192000"/>
            <a:gd name="connsiteY12641" fmla="*/ 1968747 h 6858000"/>
            <a:gd name="connsiteX12642" fmla="*/ 4166296 w 12192000"/>
            <a:gd name="connsiteY12642" fmla="*/ 1933928 h 6858000"/>
            <a:gd name="connsiteX12643" fmla="*/ 4201114 w 12192000"/>
            <a:gd name="connsiteY12643" fmla="*/ 1968747 h 6858000"/>
            <a:gd name="connsiteX12644" fmla="*/ 4166296 w 12192000"/>
            <a:gd name="connsiteY12644" fmla="*/ 2003566 h 6858000"/>
            <a:gd name="connsiteX12645" fmla="*/ 4251188 w 12192000"/>
            <a:gd name="connsiteY12645" fmla="*/ 2003566 h 6858000"/>
            <a:gd name="connsiteX12646" fmla="*/ 4216369 w 12192000"/>
            <a:gd name="connsiteY12646" fmla="*/ 1968747 h 6858000"/>
            <a:gd name="connsiteX12647" fmla="*/ 4251188 w 12192000"/>
            <a:gd name="connsiteY12647" fmla="*/ 1933928 h 6858000"/>
            <a:gd name="connsiteX12648" fmla="*/ 4286007 w 12192000"/>
            <a:gd name="connsiteY12648" fmla="*/ 1968747 h 6858000"/>
            <a:gd name="connsiteX12649" fmla="*/ 4251188 w 12192000"/>
            <a:gd name="connsiteY12649" fmla="*/ 2003566 h 6858000"/>
            <a:gd name="connsiteX12650" fmla="*/ 4336080 w 12192000"/>
            <a:gd name="connsiteY12650" fmla="*/ 2003566 h 6858000"/>
            <a:gd name="connsiteX12651" fmla="*/ 4301261 w 12192000"/>
            <a:gd name="connsiteY12651" fmla="*/ 1968747 h 6858000"/>
            <a:gd name="connsiteX12652" fmla="*/ 4336080 w 12192000"/>
            <a:gd name="connsiteY12652" fmla="*/ 1933928 h 6858000"/>
            <a:gd name="connsiteX12653" fmla="*/ 4370899 w 12192000"/>
            <a:gd name="connsiteY12653" fmla="*/ 1968747 h 6858000"/>
            <a:gd name="connsiteX12654" fmla="*/ 4336080 w 12192000"/>
            <a:gd name="connsiteY12654" fmla="*/ 2003566 h 6858000"/>
            <a:gd name="connsiteX12655" fmla="*/ 4420973 w 12192000"/>
            <a:gd name="connsiteY12655" fmla="*/ 2003566 h 6858000"/>
            <a:gd name="connsiteX12656" fmla="*/ 4386154 w 12192000"/>
            <a:gd name="connsiteY12656" fmla="*/ 1968747 h 6858000"/>
            <a:gd name="connsiteX12657" fmla="*/ 4420973 w 12192000"/>
            <a:gd name="connsiteY12657" fmla="*/ 1933928 h 6858000"/>
            <a:gd name="connsiteX12658" fmla="*/ 4455792 w 12192000"/>
            <a:gd name="connsiteY12658" fmla="*/ 1968747 h 6858000"/>
            <a:gd name="connsiteX12659" fmla="*/ 4420973 w 12192000"/>
            <a:gd name="connsiteY12659" fmla="*/ 2003566 h 6858000"/>
            <a:gd name="connsiteX12660" fmla="*/ 4505866 w 12192000"/>
            <a:gd name="connsiteY12660" fmla="*/ 2003566 h 6858000"/>
            <a:gd name="connsiteX12661" fmla="*/ 4471047 w 12192000"/>
            <a:gd name="connsiteY12661" fmla="*/ 1968747 h 6858000"/>
            <a:gd name="connsiteX12662" fmla="*/ 4505866 w 12192000"/>
            <a:gd name="connsiteY12662" fmla="*/ 1933928 h 6858000"/>
            <a:gd name="connsiteX12663" fmla="*/ 4540684 w 12192000"/>
            <a:gd name="connsiteY12663" fmla="*/ 1968747 h 6858000"/>
            <a:gd name="connsiteX12664" fmla="*/ 4505866 w 12192000"/>
            <a:gd name="connsiteY12664" fmla="*/ 2003566 h 6858000"/>
            <a:gd name="connsiteX12665" fmla="*/ 4590758 w 12192000"/>
            <a:gd name="connsiteY12665" fmla="*/ 2003566 h 6858000"/>
            <a:gd name="connsiteX12666" fmla="*/ 4555939 w 12192000"/>
            <a:gd name="connsiteY12666" fmla="*/ 1968747 h 6858000"/>
            <a:gd name="connsiteX12667" fmla="*/ 4590758 w 12192000"/>
            <a:gd name="connsiteY12667" fmla="*/ 1933928 h 6858000"/>
            <a:gd name="connsiteX12668" fmla="*/ 4625577 w 12192000"/>
            <a:gd name="connsiteY12668" fmla="*/ 1968747 h 6858000"/>
            <a:gd name="connsiteX12669" fmla="*/ 4590758 w 12192000"/>
            <a:gd name="connsiteY12669" fmla="*/ 2003566 h 6858000"/>
            <a:gd name="connsiteX12670" fmla="*/ 6288611 w 12192000"/>
            <a:gd name="connsiteY12670" fmla="*/ 2003566 h 6858000"/>
            <a:gd name="connsiteX12671" fmla="*/ 6253786 w 12192000"/>
            <a:gd name="connsiteY12671" fmla="*/ 1968747 h 6858000"/>
            <a:gd name="connsiteX12672" fmla="*/ 6288611 w 12192000"/>
            <a:gd name="connsiteY12672" fmla="*/ 1933928 h 6858000"/>
            <a:gd name="connsiteX12673" fmla="*/ 6323424 w 12192000"/>
            <a:gd name="connsiteY12673" fmla="*/ 1968747 h 6858000"/>
            <a:gd name="connsiteX12674" fmla="*/ 6288611 w 12192000"/>
            <a:gd name="connsiteY12674" fmla="*/ 2003566 h 6858000"/>
            <a:gd name="connsiteX12675" fmla="*/ 6373504 w 12192000"/>
            <a:gd name="connsiteY12675" fmla="*/ 2003566 h 6858000"/>
            <a:gd name="connsiteX12676" fmla="*/ 6338678 w 12192000"/>
            <a:gd name="connsiteY12676" fmla="*/ 1968747 h 6858000"/>
            <a:gd name="connsiteX12677" fmla="*/ 6373504 w 12192000"/>
            <a:gd name="connsiteY12677" fmla="*/ 1933928 h 6858000"/>
            <a:gd name="connsiteX12678" fmla="*/ 6408316 w 12192000"/>
            <a:gd name="connsiteY12678" fmla="*/ 1968747 h 6858000"/>
            <a:gd name="connsiteX12679" fmla="*/ 6373504 w 12192000"/>
            <a:gd name="connsiteY12679" fmla="*/ 2003566 h 6858000"/>
            <a:gd name="connsiteX12680" fmla="*/ 6458396 w 12192000"/>
            <a:gd name="connsiteY12680" fmla="*/ 2003566 h 6858000"/>
            <a:gd name="connsiteX12681" fmla="*/ 6423570 w 12192000"/>
            <a:gd name="connsiteY12681" fmla="*/ 1968747 h 6858000"/>
            <a:gd name="connsiteX12682" fmla="*/ 6458396 w 12192000"/>
            <a:gd name="connsiteY12682" fmla="*/ 1933928 h 6858000"/>
            <a:gd name="connsiteX12683" fmla="*/ 6493208 w 12192000"/>
            <a:gd name="connsiteY12683" fmla="*/ 1968747 h 6858000"/>
            <a:gd name="connsiteX12684" fmla="*/ 6458396 w 12192000"/>
            <a:gd name="connsiteY12684" fmla="*/ 2003566 h 6858000"/>
            <a:gd name="connsiteX12685" fmla="*/ 6543288 w 12192000"/>
            <a:gd name="connsiteY12685" fmla="*/ 2003566 h 6858000"/>
            <a:gd name="connsiteX12686" fmla="*/ 6508463 w 12192000"/>
            <a:gd name="connsiteY12686" fmla="*/ 1968747 h 6858000"/>
            <a:gd name="connsiteX12687" fmla="*/ 6543288 w 12192000"/>
            <a:gd name="connsiteY12687" fmla="*/ 1933928 h 6858000"/>
            <a:gd name="connsiteX12688" fmla="*/ 6578100 w 12192000"/>
            <a:gd name="connsiteY12688" fmla="*/ 1968747 h 6858000"/>
            <a:gd name="connsiteX12689" fmla="*/ 6543288 w 12192000"/>
            <a:gd name="connsiteY12689" fmla="*/ 2003566 h 6858000"/>
            <a:gd name="connsiteX12690" fmla="*/ 6628181 w 12192000"/>
            <a:gd name="connsiteY12690" fmla="*/ 2003566 h 6858000"/>
            <a:gd name="connsiteX12691" fmla="*/ 6593356 w 12192000"/>
            <a:gd name="connsiteY12691" fmla="*/ 1968747 h 6858000"/>
            <a:gd name="connsiteX12692" fmla="*/ 6628181 w 12192000"/>
            <a:gd name="connsiteY12692" fmla="*/ 1933928 h 6858000"/>
            <a:gd name="connsiteX12693" fmla="*/ 6662994 w 12192000"/>
            <a:gd name="connsiteY12693" fmla="*/ 1968747 h 6858000"/>
            <a:gd name="connsiteX12694" fmla="*/ 6628181 w 12192000"/>
            <a:gd name="connsiteY12694" fmla="*/ 2003566 h 6858000"/>
            <a:gd name="connsiteX12695" fmla="*/ 6713074 w 12192000"/>
            <a:gd name="connsiteY12695" fmla="*/ 2003566 h 6858000"/>
            <a:gd name="connsiteX12696" fmla="*/ 6678248 w 12192000"/>
            <a:gd name="connsiteY12696" fmla="*/ 1968747 h 6858000"/>
            <a:gd name="connsiteX12697" fmla="*/ 6713074 w 12192000"/>
            <a:gd name="connsiteY12697" fmla="*/ 1933928 h 6858000"/>
            <a:gd name="connsiteX12698" fmla="*/ 6747886 w 12192000"/>
            <a:gd name="connsiteY12698" fmla="*/ 1968747 h 6858000"/>
            <a:gd name="connsiteX12699" fmla="*/ 6713074 w 12192000"/>
            <a:gd name="connsiteY12699" fmla="*/ 2003566 h 6858000"/>
            <a:gd name="connsiteX12700" fmla="*/ 6797966 w 12192000"/>
            <a:gd name="connsiteY12700" fmla="*/ 2003566 h 6858000"/>
            <a:gd name="connsiteX12701" fmla="*/ 6763140 w 12192000"/>
            <a:gd name="connsiteY12701" fmla="*/ 1968747 h 6858000"/>
            <a:gd name="connsiteX12702" fmla="*/ 6797966 w 12192000"/>
            <a:gd name="connsiteY12702" fmla="*/ 1933928 h 6858000"/>
            <a:gd name="connsiteX12703" fmla="*/ 6832778 w 12192000"/>
            <a:gd name="connsiteY12703" fmla="*/ 1968747 h 6858000"/>
            <a:gd name="connsiteX12704" fmla="*/ 6797966 w 12192000"/>
            <a:gd name="connsiteY12704" fmla="*/ 2003566 h 6858000"/>
            <a:gd name="connsiteX12705" fmla="*/ 6882858 w 12192000"/>
            <a:gd name="connsiteY12705" fmla="*/ 2003566 h 6858000"/>
            <a:gd name="connsiteX12706" fmla="*/ 6848033 w 12192000"/>
            <a:gd name="connsiteY12706" fmla="*/ 1968747 h 6858000"/>
            <a:gd name="connsiteX12707" fmla="*/ 6882858 w 12192000"/>
            <a:gd name="connsiteY12707" fmla="*/ 1933928 h 6858000"/>
            <a:gd name="connsiteX12708" fmla="*/ 6917670 w 12192000"/>
            <a:gd name="connsiteY12708" fmla="*/ 1968747 h 6858000"/>
            <a:gd name="connsiteX12709" fmla="*/ 6882858 w 12192000"/>
            <a:gd name="connsiteY12709" fmla="*/ 2003566 h 6858000"/>
            <a:gd name="connsiteX12710" fmla="*/ 6967750 w 12192000"/>
            <a:gd name="connsiteY12710" fmla="*/ 2003566 h 6858000"/>
            <a:gd name="connsiteX12711" fmla="*/ 6932925 w 12192000"/>
            <a:gd name="connsiteY12711" fmla="*/ 1968747 h 6858000"/>
            <a:gd name="connsiteX12712" fmla="*/ 6967750 w 12192000"/>
            <a:gd name="connsiteY12712" fmla="*/ 1933928 h 6858000"/>
            <a:gd name="connsiteX12713" fmla="*/ 7002563 w 12192000"/>
            <a:gd name="connsiteY12713" fmla="*/ 1968747 h 6858000"/>
            <a:gd name="connsiteX12714" fmla="*/ 6967750 w 12192000"/>
            <a:gd name="connsiteY12714" fmla="*/ 2003566 h 6858000"/>
            <a:gd name="connsiteX12715" fmla="*/ 7307320 w 12192000"/>
            <a:gd name="connsiteY12715" fmla="*/ 2003566 h 6858000"/>
            <a:gd name="connsiteX12716" fmla="*/ 7272495 w 12192000"/>
            <a:gd name="connsiteY12716" fmla="*/ 1968747 h 6858000"/>
            <a:gd name="connsiteX12717" fmla="*/ 7307320 w 12192000"/>
            <a:gd name="connsiteY12717" fmla="*/ 1933928 h 6858000"/>
            <a:gd name="connsiteX12718" fmla="*/ 7342133 w 12192000"/>
            <a:gd name="connsiteY12718" fmla="*/ 1968747 h 6858000"/>
            <a:gd name="connsiteX12719" fmla="*/ 7307320 w 12192000"/>
            <a:gd name="connsiteY12719" fmla="*/ 2003566 h 6858000"/>
            <a:gd name="connsiteX12720" fmla="*/ 7392214 w 12192000"/>
            <a:gd name="connsiteY12720" fmla="*/ 2003566 h 6858000"/>
            <a:gd name="connsiteX12721" fmla="*/ 7357388 w 12192000"/>
            <a:gd name="connsiteY12721" fmla="*/ 1968747 h 6858000"/>
            <a:gd name="connsiteX12722" fmla="*/ 7392214 w 12192000"/>
            <a:gd name="connsiteY12722" fmla="*/ 1933928 h 6858000"/>
            <a:gd name="connsiteX12723" fmla="*/ 7427026 w 12192000"/>
            <a:gd name="connsiteY12723" fmla="*/ 1968747 h 6858000"/>
            <a:gd name="connsiteX12724" fmla="*/ 7392214 w 12192000"/>
            <a:gd name="connsiteY12724" fmla="*/ 2003566 h 6858000"/>
            <a:gd name="connsiteX12725" fmla="*/ 9769203 w 12192000"/>
            <a:gd name="connsiteY12725" fmla="*/ 2003566 h 6858000"/>
            <a:gd name="connsiteX12726" fmla="*/ 9734377 w 12192000"/>
            <a:gd name="connsiteY12726" fmla="*/ 1968747 h 6858000"/>
            <a:gd name="connsiteX12727" fmla="*/ 9769203 w 12192000"/>
            <a:gd name="connsiteY12727" fmla="*/ 1933928 h 6858000"/>
            <a:gd name="connsiteX12728" fmla="*/ 9804015 w 12192000"/>
            <a:gd name="connsiteY12728" fmla="*/ 1968747 h 6858000"/>
            <a:gd name="connsiteX12729" fmla="*/ 9769203 w 12192000"/>
            <a:gd name="connsiteY12729" fmla="*/ 2003566 h 6858000"/>
            <a:gd name="connsiteX12730" fmla="*/ 9854095 w 12192000"/>
            <a:gd name="connsiteY12730" fmla="*/ 2003566 h 6858000"/>
            <a:gd name="connsiteX12731" fmla="*/ 9819269 w 12192000"/>
            <a:gd name="connsiteY12731" fmla="*/ 1968747 h 6858000"/>
            <a:gd name="connsiteX12732" fmla="*/ 9854095 w 12192000"/>
            <a:gd name="connsiteY12732" fmla="*/ 1933928 h 6858000"/>
            <a:gd name="connsiteX12733" fmla="*/ 9888907 w 12192000"/>
            <a:gd name="connsiteY12733" fmla="*/ 1968747 h 6858000"/>
            <a:gd name="connsiteX12734" fmla="*/ 9854095 w 12192000"/>
            <a:gd name="connsiteY12734" fmla="*/ 2003566 h 6858000"/>
            <a:gd name="connsiteX12735" fmla="*/ 9938988 w 12192000"/>
            <a:gd name="connsiteY12735" fmla="*/ 2003566 h 6858000"/>
            <a:gd name="connsiteX12736" fmla="*/ 9904163 w 12192000"/>
            <a:gd name="connsiteY12736" fmla="*/ 1968747 h 6858000"/>
            <a:gd name="connsiteX12737" fmla="*/ 9938988 w 12192000"/>
            <a:gd name="connsiteY12737" fmla="*/ 1933928 h 6858000"/>
            <a:gd name="connsiteX12738" fmla="*/ 9973800 w 12192000"/>
            <a:gd name="connsiteY12738" fmla="*/ 1968747 h 6858000"/>
            <a:gd name="connsiteX12739" fmla="*/ 9938988 w 12192000"/>
            <a:gd name="connsiteY12739" fmla="*/ 2003566 h 6858000"/>
            <a:gd name="connsiteX12740" fmla="*/ 10023880 w 12192000"/>
            <a:gd name="connsiteY12740" fmla="*/ 2003566 h 6858000"/>
            <a:gd name="connsiteX12741" fmla="*/ 9989055 w 12192000"/>
            <a:gd name="connsiteY12741" fmla="*/ 1968747 h 6858000"/>
            <a:gd name="connsiteX12742" fmla="*/ 10023880 w 12192000"/>
            <a:gd name="connsiteY12742" fmla="*/ 1933928 h 6858000"/>
            <a:gd name="connsiteX12743" fmla="*/ 10058693 w 12192000"/>
            <a:gd name="connsiteY12743" fmla="*/ 1968747 h 6858000"/>
            <a:gd name="connsiteX12744" fmla="*/ 10023880 w 12192000"/>
            <a:gd name="connsiteY12744" fmla="*/ 2003566 h 6858000"/>
            <a:gd name="connsiteX12745" fmla="*/ 10108773 w 12192000"/>
            <a:gd name="connsiteY12745" fmla="*/ 2003566 h 6858000"/>
            <a:gd name="connsiteX12746" fmla="*/ 10073947 w 12192000"/>
            <a:gd name="connsiteY12746" fmla="*/ 1968747 h 6858000"/>
            <a:gd name="connsiteX12747" fmla="*/ 10108773 w 12192000"/>
            <a:gd name="connsiteY12747" fmla="*/ 1933928 h 6858000"/>
            <a:gd name="connsiteX12748" fmla="*/ 10143585 w 12192000"/>
            <a:gd name="connsiteY12748" fmla="*/ 1968747 h 6858000"/>
            <a:gd name="connsiteX12749" fmla="*/ 10108773 w 12192000"/>
            <a:gd name="connsiteY12749" fmla="*/ 2003566 h 6858000"/>
            <a:gd name="connsiteX12750" fmla="*/ 10193665 w 12192000"/>
            <a:gd name="connsiteY12750" fmla="*/ 2003566 h 6858000"/>
            <a:gd name="connsiteX12751" fmla="*/ 10158839 w 12192000"/>
            <a:gd name="connsiteY12751" fmla="*/ 1968747 h 6858000"/>
            <a:gd name="connsiteX12752" fmla="*/ 10193665 w 12192000"/>
            <a:gd name="connsiteY12752" fmla="*/ 1933928 h 6858000"/>
            <a:gd name="connsiteX12753" fmla="*/ 10228477 w 12192000"/>
            <a:gd name="connsiteY12753" fmla="*/ 1968747 h 6858000"/>
            <a:gd name="connsiteX12754" fmla="*/ 10193665 w 12192000"/>
            <a:gd name="connsiteY12754" fmla="*/ 2003566 h 6858000"/>
            <a:gd name="connsiteX12755" fmla="*/ 10363450 w 12192000"/>
            <a:gd name="connsiteY12755" fmla="*/ 2003566 h 6858000"/>
            <a:gd name="connsiteX12756" fmla="*/ 10328625 w 12192000"/>
            <a:gd name="connsiteY12756" fmla="*/ 1968747 h 6858000"/>
            <a:gd name="connsiteX12757" fmla="*/ 10363450 w 12192000"/>
            <a:gd name="connsiteY12757" fmla="*/ 1933928 h 6858000"/>
            <a:gd name="connsiteX12758" fmla="*/ 10398263 w 12192000"/>
            <a:gd name="connsiteY12758" fmla="*/ 1968747 h 6858000"/>
            <a:gd name="connsiteX12759" fmla="*/ 10363450 w 12192000"/>
            <a:gd name="connsiteY12759" fmla="*/ 2003566 h 6858000"/>
            <a:gd name="connsiteX12760" fmla="*/ 11127483 w 12192000"/>
            <a:gd name="connsiteY12760" fmla="*/ 2003566 h 6858000"/>
            <a:gd name="connsiteX12761" fmla="*/ 11092657 w 12192000"/>
            <a:gd name="connsiteY12761" fmla="*/ 1968747 h 6858000"/>
            <a:gd name="connsiteX12762" fmla="*/ 11127483 w 12192000"/>
            <a:gd name="connsiteY12762" fmla="*/ 1933928 h 6858000"/>
            <a:gd name="connsiteX12763" fmla="*/ 11162295 w 12192000"/>
            <a:gd name="connsiteY12763" fmla="*/ 1968747 h 6858000"/>
            <a:gd name="connsiteX12764" fmla="*/ 11127483 w 12192000"/>
            <a:gd name="connsiteY12764" fmla="*/ 2003566 h 6858000"/>
            <a:gd name="connsiteX12765" fmla="*/ 11467053 w 12192000"/>
            <a:gd name="connsiteY12765" fmla="*/ 2003566 h 6858000"/>
            <a:gd name="connsiteX12766" fmla="*/ 11432227 w 12192000"/>
            <a:gd name="connsiteY12766" fmla="*/ 1968747 h 6858000"/>
            <a:gd name="connsiteX12767" fmla="*/ 11467053 w 12192000"/>
            <a:gd name="connsiteY12767" fmla="*/ 1933928 h 6858000"/>
            <a:gd name="connsiteX12768" fmla="*/ 11501865 w 12192000"/>
            <a:gd name="connsiteY12768" fmla="*/ 1968747 h 6858000"/>
            <a:gd name="connsiteX12769" fmla="*/ 11467053 w 12192000"/>
            <a:gd name="connsiteY12769" fmla="*/ 2003566 h 6858000"/>
            <a:gd name="connsiteX12770" fmla="*/ 3741833 w 12192000"/>
            <a:gd name="connsiteY12770" fmla="*/ 1918706 h 6858000"/>
            <a:gd name="connsiteX12771" fmla="*/ 3707014 w 12192000"/>
            <a:gd name="connsiteY12771" fmla="*/ 1883887 h 6858000"/>
            <a:gd name="connsiteX12772" fmla="*/ 3741833 w 12192000"/>
            <a:gd name="connsiteY12772" fmla="*/ 1849069 h 6858000"/>
            <a:gd name="connsiteX12773" fmla="*/ 3776652 w 12192000"/>
            <a:gd name="connsiteY12773" fmla="*/ 1883887 h 6858000"/>
            <a:gd name="connsiteX12774" fmla="*/ 3741833 w 12192000"/>
            <a:gd name="connsiteY12774" fmla="*/ 1918706 h 6858000"/>
            <a:gd name="connsiteX12775" fmla="*/ 3826726 w 12192000"/>
            <a:gd name="connsiteY12775" fmla="*/ 1918706 h 6858000"/>
            <a:gd name="connsiteX12776" fmla="*/ 3791907 w 12192000"/>
            <a:gd name="connsiteY12776" fmla="*/ 1883887 h 6858000"/>
            <a:gd name="connsiteX12777" fmla="*/ 3826726 w 12192000"/>
            <a:gd name="connsiteY12777" fmla="*/ 1849069 h 6858000"/>
            <a:gd name="connsiteX12778" fmla="*/ 3861544 w 12192000"/>
            <a:gd name="connsiteY12778" fmla="*/ 1883887 h 6858000"/>
            <a:gd name="connsiteX12779" fmla="*/ 3826726 w 12192000"/>
            <a:gd name="connsiteY12779" fmla="*/ 1918706 h 6858000"/>
            <a:gd name="connsiteX12780" fmla="*/ 3911618 w 12192000"/>
            <a:gd name="connsiteY12780" fmla="*/ 1918706 h 6858000"/>
            <a:gd name="connsiteX12781" fmla="*/ 3876799 w 12192000"/>
            <a:gd name="connsiteY12781" fmla="*/ 1883887 h 6858000"/>
            <a:gd name="connsiteX12782" fmla="*/ 3911618 w 12192000"/>
            <a:gd name="connsiteY12782" fmla="*/ 1849069 h 6858000"/>
            <a:gd name="connsiteX12783" fmla="*/ 3946437 w 12192000"/>
            <a:gd name="connsiteY12783" fmla="*/ 1883887 h 6858000"/>
            <a:gd name="connsiteX12784" fmla="*/ 3911618 w 12192000"/>
            <a:gd name="connsiteY12784" fmla="*/ 1918706 h 6858000"/>
            <a:gd name="connsiteX12785" fmla="*/ 3996511 w 12192000"/>
            <a:gd name="connsiteY12785" fmla="*/ 1918706 h 6858000"/>
            <a:gd name="connsiteX12786" fmla="*/ 3961692 w 12192000"/>
            <a:gd name="connsiteY12786" fmla="*/ 1883887 h 6858000"/>
            <a:gd name="connsiteX12787" fmla="*/ 3996511 w 12192000"/>
            <a:gd name="connsiteY12787" fmla="*/ 1849069 h 6858000"/>
            <a:gd name="connsiteX12788" fmla="*/ 4031330 w 12192000"/>
            <a:gd name="connsiteY12788" fmla="*/ 1883887 h 6858000"/>
            <a:gd name="connsiteX12789" fmla="*/ 3996511 w 12192000"/>
            <a:gd name="connsiteY12789" fmla="*/ 1918706 h 6858000"/>
            <a:gd name="connsiteX12790" fmla="*/ 4081403 w 12192000"/>
            <a:gd name="connsiteY12790" fmla="*/ 1918706 h 6858000"/>
            <a:gd name="connsiteX12791" fmla="*/ 4046584 w 12192000"/>
            <a:gd name="connsiteY12791" fmla="*/ 1883887 h 6858000"/>
            <a:gd name="connsiteX12792" fmla="*/ 4081403 w 12192000"/>
            <a:gd name="connsiteY12792" fmla="*/ 1849069 h 6858000"/>
            <a:gd name="connsiteX12793" fmla="*/ 4116222 w 12192000"/>
            <a:gd name="connsiteY12793" fmla="*/ 1883887 h 6858000"/>
            <a:gd name="connsiteX12794" fmla="*/ 4081403 w 12192000"/>
            <a:gd name="connsiteY12794" fmla="*/ 1918706 h 6858000"/>
            <a:gd name="connsiteX12795" fmla="*/ 4166296 w 12192000"/>
            <a:gd name="connsiteY12795" fmla="*/ 1918706 h 6858000"/>
            <a:gd name="connsiteX12796" fmla="*/ 4131477 w 12192000"/>
            <a:gd name="connsiteY12796" fmla="*/ 1883887 h 6858000"/>
            <a:gd name="connsiteX12797" fmla="*/ 4166296 w 12192000"/>
            <a:gd name="connsiteY12797" fmla="*/ 1849069 h 6858000"/>
            <a:gd name="connsiteX12798" fmla="*/ 4201114 w 12192000"/>
            <a:gd name="connsiteY12798" fmla="*/ 1883887 h 6858000"/>
            <a:gd name="connsiteX12799" fmla="*/ 4166296 w 12192000"/>
            <a:gd name="connsiteY12799" fmla="*/ 1918706 h 6858000"/>
            <a:gd name="connsiteX12800" fmla="*/ 4251188 w 12192000"/>
            <a:gd name="connsiteY12800" fmla="*/ 1918706 h 6858000"/>
            <a:gd name="connsiteX12801" fmla="*/ 4216369 w 12192000"/>
            <a:gd name="connsiteY12801" fmla="*/ 1883887 h 6858000"/>
            <a:gd name="connsiteX12802" fmla="*/ 4251188 w 12192000"/>
            <a:gd name="connsiteY12802" fmla="*/ 1849069 h 6858000"/>
            <a:gd name="connsiteX12803" fmla="*/ 4286007 w 12192000"/>
            <a:gd name="connsiteY12803" fmla="*/ 1883887 h 6858000"/>
            <a:gd name="connsiteX12804" fmla="*/ 4251188 w 12192000"/>
            <a:gd name="connsiteY12804" fmla="*/ 1918706 h 6858000"/>
            <a:gd name="connsiteX12805" fmla="*/ 4336080 w 12192000"/>
            <a:gd name="connsiteY12805" fmla="*/ 1918706 h 6858000"/>
            <a:gd name="connsiteX12806" fmla="*/ 4301261 w 12192000"/>
            <a:gd name="connsiteY12806" fmla="*/ 1883887 h 6858000"/>
            <a:gd name="connsiteX12807" fmla="*/ 4336080 w 12192000"/>
            <a:gd name="connsiteY12807" fmla="*/ 1849069 h 6858000"/>
            <a:gd name="connsiteX12808" fmla="*/ 4370899 w 12192000"/>
            <a:gd name="connsiteY12808" fmla="*/ 1883887 h 6858000"/>
            <a:gd name="connsiteX12809" fmla="*/ 4336080 w 12192000"/>
            <a:gd name="connsiteY12809" fmla="*/ 1918706 h 6858000"/>
            <a:gd name="connsiteX12810" fmla="*/ 4420973 w 12192000"/>
            <a:gd name="connsiteY12810" fmla="*/ 1918706 h 6858000"/>
            <a:gd name="connsiteX12811" fmla="*/ 4386154 w 12192000"/>
            <a:gd name="connsiteY12811" fmla="*/ 1883887 h 6858000"/>
            <a:gd name="connsiteX12812" fmla="*/ 4420973 w 12192000"/>
            <a:gd name="connsiteY12812" fmla="*/ 1849069 h 6858000"/>
            <a:gd name="connsiteX12813" fmla="*/ 4455792 w 12192000"/>
            <a:gd name="connsiteY12813" fmla="*/ 1883887 h 6858000"/>
            <a:gd name="connsiteX12814" fmla="*/ 4420973 w 12192000"/>
            <a:gd name="connsiteY12814" fmla="*/ 1918706 h 6858000"/>
            <a:gd name="connsiteX12815" fmla="*/ 4505866 w 12192000"/>
            <a:gd name="connsiteY12815" fmla="*/ 1918706 h 6858000"/>
            <a:gd name="connsiteX12816" fmla="*/ 4471047 w 12192000"/>
            <a:gd name="connsiteY12816" fmla="*/ 1883887 h 6858000"/>
            <a:gd name="connsiteX12817" fmla="*/ 4505866 w 12192000"/>
            <a:gd name="connsiteY12817" fmla="*/ 1849069 h 6858000"/>
            <a:gd name="connsiteX12818" fmla="*/ 4540684 w 12192000"/>
            <a:gd name="connsiteY12818" fmla="*/ 1883887 h 6858000"/>
            <a:gd name="connsiteX12819" fmla="*/ 4505866 w 12192000"/>
            <a:gd name="connsiteY12819" fmla="*/ 1918706 h 6858000"/>
            <a:gd name="connsiteX12820" fmla="*/ 4590758 w 12192000"/>
            <a:gd name="connsiteY12820" fmla="*/ 1918706 h 6858000"/>
            <a:gd name="connsiteX12821" fmla="*/ 4555939 w 12192000"/>
            <a:gd name="connsiteY12821" fmla="*/ 1883887 h 6858000"/>
            <a:gd name="connsiteX12822" fmla="*/ 4590758 w 12192000"/>
            <a:gd name="connsiteY12822" fmla="*/ 1849069 h 6858000"/>
            <a:gd name="connsiteX12823" fmla="*/ 4625577 w 12192000"/>
            <a:gd name="connsiteY12823" fmla="*/ 1883887 h 6858000"/>
            <a:gd name="connsiteX12824" fmla="*/ 4590758 w 12192000"/>
            <a:gd name="connsiteY12824" fmla="*/ 1918706 h 6858000"/>
            <a:gd name="connsiteX12825" fmla="*/ 6288611 w 12192000"/>
            <a:gd name="connsiteY12825" fmla="*/ 1918706 h 6858000"/>
            <a:gd name="connsiteX12826" fmla="*/ 6253786 w 12192000"/>
            <a:gd name="connsiteY12826" fmla="*/ 1883887 h 6858000"/>
            <a:gd name="connsiteX12827" fmla="*/ 6288611 w 12192000"/>
            <a:gd name="connsiteY12827" fmla="*/ 1849069 h 6858000"/>
            <a:gd name="connsiteX12828" fmla="*/ 6323424 w 12192000"/>
            <a:gd name="connsiteY12828" fmla="*/ 1883887 h 6858000"/>
            <a:gd name="connsiteX12829" fmla="*/ 6288611 w 12192000"/>
            <a:gd name="connsiteY12829" fmla="*/ 1918706 h 6858000"/>
            <a:gd name="connsiteX12830" fmla="*/ 6373504 w 12192000"/>
            <a:gd name="connsiteY12830" fmla="*/ 1918706 h 6858000"/>
            <a:gd name="connsiteX12831" fmla="*/ 6338678 w 12192000"/>
            <a:gd name="connsiteY12831" fmla="*/ 1883887 h 6858000"/>
            <a:gd name="connsiteX12832" fmla="*/ 6373504 w 12192000"/>
            <a:gd name="connsiteY12832" fmla="*/ 1849069 h 6858000"/>
            <a:gd name="connsiteX12833" fmla="*/ 6408316 w 12192000"/>
            <a:gd name="connsiteY12833" fmla="*/ 1883887 h 6858000"/>
            <a:gd name="connsiteX12834" fmla="*/ 6373504 w 12192000"/>
            <a:gd name="connsiteY12834" fmla="*/ 1918706 h 6858000"/>
            <a:gd name="connsiteX12835" fmla="*/ 6458396 w 12192000"/>
            <a:gd name="connsiteY12835" fmla="*/ 1918706 h 6858000"/>
            <a:gd name="connsiteX12836" fmla="*/ 6423570 w 12192000"/>
            <a:gd name="connsiteY12836" fmla="*/ 1883887 h 6858000"/>
            <a:gd name="connsiteX12837" fmla="*/ 6458396 w 12192000"/>
            <a:gd name="connsiteY12837" fmla="*/ 1849069 h 6858000"/>
            <a:gd name="connsiteX12838" fmla="*/ 6493208 w 12192000"/>
            <a:gd name="connsiteY12838" fmla="*/ 1883887 h 6858000"/>
            <a:gd name="connsiteX12839" fmla="*/ 6458396 w 12192000"/>
            <a:gd name="connsiteY12839" fmla="*/ 1918706 h 6858000"/>
            <a:gd name="connsiteX12840" fmla="*/ 6543288 w 12192000"/>
            <a:gd name="connsiteY12840" fmla="*/ 1918706 h 6858000"/>
            <a:gd name="connsiteX12841" fmla="*/ 6508463 w 12192000"/>
            <a:gd name="connsiteY12841" fmla="*/ 1883887 h 6858000"/>
            <a:gd name="connsiteX12842" fmla="*/ 6543288 w 12192000"/>
            <a:gd name="connsiteY12842" fmla="*/ 1849069 h 6858000"/>
            <a:gd name="connsiteX12843" fmla="*/ 6578100 w 12192000"/>
            <a:gd name="connsiteY12843" fmla="*/ 1883887 h 6858000"/>
            <a:gd name="connsiteX12844" fmla="*/ 6543288 w 12192000"/>
            <a:gd name="connsiteY12844" fmla="*/ 1918706 h 6858000"/>
            <a:gd name="connsiteX12845" fmla="*/ 6628181 w 12192000"/>
            <a:gd name="connsiteY12845" fmla="*/ 1918706 h 6858000"/>
            <a:gd name="connsiteX12846" fmla="*/ 6593356 w 12192000"/>
            <a:gd name="connsiteY12846" fmla="*/ 1883887 h 6858000"/>
            <a:gd name="connsiteX12847" fmla="*/ 6628181 w 12192000"/>
            <a:gd name="connsiteY12847" fmla="*/ 1849069 h 6858000"/>
            <a:gd name="connsiteX12848" fmla="*/ 6662994 w 12192000"/>
            <a:gd name="connsiteY12848" fmla="*/ 1883887 h 6858000"/>
            <a:gd name="connsiteX12849" fmla="*/ 6628181 w 12192000"/>
            <a:gd name="connsiteY12849" fmla="*/ 1918706 h 6858000"/>
            <a:gd name="connsiteX12850" fmla="*/ 6713074 w 12192000"/>
            <a:gd name="connsiteY12850" fmla="*/ 1918706 h 6858000"/>
            <a:gd name="connsiteX12851" fmla="*/ 6678248 w 12192000"/>
            <a:gd name="connsiteY12851" fmla="*/ 1883887 h 6858000"/>
            <a:gd name="connsiteX12852" fmla="*/ 6713074 w 12192000"/>
            <a:gd name="connsiteY12852" fmla="*/ 1849069 h 6858000"/>
            <a:gd name="connsiteX12853" fmla="*/ 6747886 w 12192000"/>
            <a:gd name="connsiteY12853" fmla="*/ 1883887 h 6858000"/>
            <a:gd name="connsiteX12854" fmla="*/ 6713074 w 12192000"/>
            <a:gd name="connsiteY12854" fmla="*/ 1918706 h 6858000"/>
            <a:gd name="connsiteX12855" fmla="*/ 6797966 w 12192000"/>
            <a:gd name="connsiteY12855" fmla="*/ 1918706 h 6858000"/>
            <a:gd name="connsiteX12856" fmla="*/ 6763140 w 12192000"/>
            <a:gd name="connsiteY12856" fmla="*/ 1883887 h 6858000"/>
            <a:gd name="connsiteX12857" fmla="*/ 6797966 w 12192000"/>
            <a:gd name="connsiteY12857" fmla="*/ 1849069 h 6858000"/>
            <a:gd name="connsiteX12858" fmla="*/ 6832778 w 12192000"/>
            <a:gd name="connsiteY12858" fmla="*/ 1883887 h 6858000"/>
            <a:gd name="connsiteX12859" fmla="*/ 6797966 w 12192000"/>
            <a:gd name="connsiteY12859" fmla="*/ 1918706 h 6858000"/>
            <a:gd name="connsiteX12860" fmla="*/ 6882858 w 12192000"/>
            <a:gd name="connsiteY12860" fmla="*/ 1918706 h 6858000"/>
            <a:gd name="connsiteX12861" fmla="*/ 6848033 w 12192000"/>
            <a:gd name="connsiteY12861" fmla="*/ 1883887 h 6858000"/>
            <a:gd name="connsiteX12862" fmla="*/ 6882858 w 12192000"/>
            <a:gd name="connsiteY12862" fmla="*/ 1849069 h 6858000"/>
            <a:gd name="connsiteX12863" fmla="*/ 6917670 w 12192000"/>
            <a:gd name="connsiteY12863" fmla="*/ 1883887 h 6858000"/>
            <a:gd name="connsiteX12864" fmla="*/ 6882858 w 12192000"/>
            <a:gd name="connsiteY12864" fmla="*/ 1918706 h 6858000"/>
            <a:gd name="connsiteX12865" fmla="*/ 7307320 w 12192000"/>
            <a:gd name="connsiteY12865" fmla="*/ 1918706 h 6858000"/>
            <a:gd name="connsiteX12866" fmla="*/ 7272495 w 12192000"/>
            <a:gd name="connsiteY12866" fmla="*/ 1883887 h 6858000"/>
            <a:gd name="connsiteX12867" fmla="*/ 7307320 w 12192000"/>
            <a:gd name="connsiteY12867" fmla="*/ 1849069 h 6858000"/>
            <a:gd name="connsiteX12868" fmla="*/ 7342133 w 12192000"/>
            <a:gd name="connsiteY12868" fmla="*/ 1883887 h 6858000"/>
            <a:gd name="connsiteX12869" fmla="*/ 7307320 w 12192000"/>
            <a:gd name="connsiteY12869" fmla="*/ 1918706 h 6858000"/>
            <a:gd name="connsiteX12870" fmla="*/ 9684310 w 12192000"/>
            <a:gd name="connsiteY12870" fmla="*/ 1918706 h 6858000"/>
            <a:gd name="connsiteX12871" fmla="*/ 9649485 w 12192000"/>
            <a:gd name="connsiteY12871" fmla="*/ 1883887 h 6858000"/>
            <a:gd name="connsiteX12872" fmla="*/ 9684310 w 12192000"/>
            <a:gd name="connsiteY12872" fmla="*/ 1849069 h 6858000"/>
            <a:gd name="connsiteX12873" fmla="*/ 9719123 w 12192000"/>
            <a:gd name="connsiteY12873" fmla="*/ 1883887 h 6858000"/>
            <a:gd name="connsiteX12874" fmla="*/ 9684310 w 12192000"/>
            <a:gd name="connsiteY12874" fmla="*/ 1918706 h 6858000"/>
            <a:gd name="connsiteX12875" fmla="*/ 9769203 w 12192000"/>
            <a:gd name="connsiteY12875" fmla="*/ 1918706 h 6858000"/>
            <a:gd name="connsiteX12876" fmla="*/ 9734377 w 12192000"/>
            <a:gd name="connsiteY12876" fmla="*/ 1883887 h 6858000"/>
            <a:gd name="connsiteX12877" fmla="*/ 9769203 w 12192000"/>
            <a:gd name="connsiteY12877" fmla="*/ 1849069 h 6858000"/>
            <a:gd name="connsiteX12878" fmla="*/ 9804015 w 12192000"/>
            <a:gd name="connsiteY12878" fmla="*/ 1883887 h 6858000"/>
            <a:gd name="connsiteX12879" fmla="*/ 9769203 w 12192000"/>
            <a:gd name="connsiteY12879" fmla="*/ 1918706 h 6858000"/>
            <a:gd name="connsiteX12880" fmla="*/ 9854095 w 12192000"/>
            <a:gd name="connsiteY12880" fmla="*/ 1918706 h 6858000"/>
            <a:gd name="connsiteX12881" fmla="*/ 9819269 w 12192000"/>
            <a:gd name="connsiteY12881" fmla="*/ 1883887 h 6858000"/>
            <a:gd name="connsiteX12882" fmla="*/ 9854095 w 12192000"/>
            <a:gd name="connsiteY12882" fmla="*/ 1849069 h 6858000"/>
            <a:gd name="connsiteX12883" fmla="*/ 9888907 w 12192000"/>
            <a:gd name="connsiteY12883" fmla="*/ 1883887 h 6858000"/>
            <a:gd name="connsiteX12884" fmla="*/ 9854095 w 12192000"/>
            <a:gd name="connsiteY12884" fmla="*/ 1918706 h 6858000"/>
            <a:gd name="connsiteX12885" fmla="*/ 9938988 w 12192000"/>
            <a:gd name="connsiteY12885" fmla="*/ 1918706 h 6858000"/>
            <a:gd name="connsiteX12886" fmla="*/ 9904163 w 12192000"/>
            <a:gd name="connsiteY12886" fmla="*/ 1883887 h 6858000"/>
            <a:gd name="connsiteX12887" fmla="*/ 9938988 w 12192000"/>
            <a:gd name="connsiteY12887" fmla="*/ 1849069 h 6858000"/>
            <a:gd name="connsiteX12888" fmla="*/ 9973800 w 12192000"/>
            <a:gd name="connsiteY12888" fmla="*/ 1883887 h 6858000"/>
            <a:gd name="connsiteX12889" fmla="*/ 9938988 w 12192000"/>
            <a:gd name="connsiteY12889" fmla="*/ 1918706 h 6858000"/>
            <a:gd name="connsiteX12890" fmla="*/ 10023880 w 12192000"/>
            <a:gd name="connsiteY12890" fmla="*/ 1918706 h 6858000"/>
            <a:gd name="connsiteX12891" fmla="*/ 9989055 w 12192000"/>
            <a:gd name="connsiteY12891" fmla="*/ 1883887 h 6858000"/>
            <a:gd name="connsiteX12892" fmla="*/ 10023880 w 12192000"/>
            <a:gd name="connsiteY12892" fmla="*/ 1849069 h 6858000"/>
            <a:gd name="connsiteX12893" fmla="*/ 10058693 w 12192000"/>
            <a:gd name="connsiteY12893" fmla="*/ 1883887 h 6858000"/>
            <a:gd name="connsiteX12894" fmla="*/ 10023880 w 12192000"/>
            <a:gd name="connsiteY12894" fmla="*/ 1918706 h 6858000"/>
            <a:gd name="connsiteX12895" fmla="*/ 10108773 w 12192000"/>
            <a:gd name="connsiteY12895" fmla="*/ 1918706 h 6858000"/>
            <a:gd name="connsiteX12896" fmla="*/ 10073947 w 12192000"/>
            <a:gd name="connsiteY12896" fmla="*/ 1883887 h 6858000"/>
            <a:gd name="connsiteX12897" fmla="*/ 10108773 w 12192000"/>
            <a:gd name="connsiteY12897" fmla="*/ 1849069 h 6858000"/>
            <a:gd name="connsiteX12898" fmla="*/ 10143585 w 12192000"/>
            <a:gd name="connsiteY12898" fmla="*/ 1883887 h 6858000"/>
            <a:gd name="connsiteX12899" fmla="*/ 10108773 w 12192000"/>
            <a:gd name="connsiteY12899" fmla="*/ 1918706 h 6858000"/>
            <a:gd name="connsiteX12900" fmla="*/ 10193665 w 12192000"/>
            <a:gd name="connsiteY12900" fmla="*/ 1918706 h 6858000"/>
            <a:gd name="connsiteX12901" fmla="*/ 10158839 w 12192000"/>
            <a:gd name="connsiteY12901" fmla="*/ 1883887 h 6858000"/>
            <a:gd name="connsiteX12902" fmla="*/ 10193665 w 12192000"/>
            <a:gd name="connsiteY12902" fmla="*/ 1849069 h 6858000"/>
            <a:gd name="connsiteX12903" fmla="*/ 10228477 w 12192000"/>
            <a:gd name="connsiteY12903" fmla="*/ 1883887 h 6858000"/>
            <a:gd name="connsiteX12904" fmla="*/ 10193665 w 12192000"/>
            <a:gd name="connsiteY12904" fmla="*/ 1918706 h 6858000"/>
            <a:gd name="connsiteX12905" fmla="*/ 10278558 w 12192000"/>
            <a:gd name="connsiteY12905" fmla="*/ 1918706 h 6858000"/>
            <a:gd name="connsiteX12906" fmla="*/ 10243733 w 12192000"/>
            <a:gd name="connsiteY12906" fmla="*/ 1883887 h 6858000"/>
            <a:gd name="connsiteX12907" fmla="*/ 10278558 w 12192000"/>
            <a:gd name="connsiteY12907" fmla="*/ 1849069 h 6858000"/>
            <a:gd name="connsiteX12908" fmla="*/ 10313370 w 12192000"/>
            <a:gd name="connsiteY12908" fmla="*/ 1883887 h 6858000"/>
            <a:gd name="connsiteX12909" fmla="*/ 10278558 w 12192000"/>
            <a:gd name="connsiteY12909" fmla="*/ 1918706 h 6858000"/>
            <a:gd name="connsiteX12910" fmla="*/ 10363450 w 12192000"/>
            <a:gd name="connsiteY12910" fmla="*/ 1918706 h 6858000"/>
            <a:gd name="connsiteX12911" fmla="*/ 10328625 w 12192000"/>
            <a:gd name="connsiteY12911" fmla="*/ 1883887 h 6858000"/>
            <a:gd name="connsiteX12912" fmla="*/ 10363450 w 12192000"/>
            <a:gd name="connsiteY12912" fmla="*/ 1849069 h 6858000"/>
            <a:gd name="connsiteX12913" fmla="*/ 10398263 w 12192000"/>
            <a:gd name="connsiteY12913" fmla="*/ 1883887 h 6858000"/>
            <a:gd name="connsiteX12914" fmla="*/ 10363450 w 12192000"/>
            <a:gd name="connsiteY12914" fmla="*/ 1918706 h 6858000"/>
            <a:gd name="connsiteX12915" fmla="*/ 10448343 w 12192000"/>
            <a:gd name="connsiteY12915" fmla="*/ 1918706 h 6858000"/>
            <a:gd name="connsiteX12916" fmla="*/ 10413517 w 12192000"/>
            <a:gd name="connsiteY12916" fmla="*/ 1883887 h 6858000"/>
            <a:gd name="connsiteX12917" fmla="*/ 10448343 w 12192000"/>
            <a:gd name="connsiteY12917" fmla="*/ 1849069 h 6858000"/>
            <a:gd name="connsiteX12918" fmla="*/ 10483155 w 12192000"/>
            <a:gd name="connsiteY12918" fmla="*/ 1883887 h 6858000"/>
            <a:gd name="connsiteX12919" fmla="*/ 10448343 w 12192000"/>
            <a:gd name="connsiteY12919" fmla="*/ 1918706 h 6858000"/>
            <a:gd name="connsiteX12920" fmla="*/ 3741833 w 12192000"/>
            <a:gd name="connsiteY12920" fmla="*/ 1833846 h 6858000"/>
            <a:gd name="connsiteX12921" fmla="*/ 3707014 w 12192000"/>
            <a:gd name="connsiteY12921" fmla="*/ 1799028 h 6858000"/>
            <a:gd name="connsiteX12922" fmla="*/ 3741833 w 12192000"/>
            <a:gd name="connsiteY12922" fmla="*/ 1764209 h 6858000"/>
            <a:gd name="connsiteX12923" fmla="*/ 3776652 w 12192000"/>
            <a:gd name="connsiteY12923" fmla="*/ 1799028 h 6858000"/>
            <a:gd name="connsiteX12924" fmla="*/ 3741833 w 12192000"/>
            <a:gd name="connsiteY12924" fmla="*/ 1833846 h 6858000"/>
            <a:gd name="connsiteX12925" fmla="*/ 3826726 w 12192000"/>
            <a:gd name="connsiteY12925" fmla="*/ 1833846 h 6858000"/>
            <a:gd name="connsiteX12926" fmla="*/ 3791907 w 12192000"/>
            <a:gd name="connsiteY12926" fmla="*/ 1799028 h 6858000"/>
            <a:gd name="connsiteX12927" fmla="*/ 3826726 w 12192000"/>
            <a:gd name="connsiteY12927" fmla="*/ 1764209 h 6858000"/>
            <a:gd name="connsiteX12928" fmla="*/ 3861544 w 12192000"/>
            <a:gd name="connsiteY12928" fmla="*/ 1799028 h 6858000"/>
            <a:gd name="connsiteX12929" fmla="*/ 3826726 w 12192000"/>
            <a:gd name="connsiteY12929" fmla="*/ 1833846 h 6858000"/>
            <a:gd name="connsiteX12930" fmla="*/ 3911618 w 12192000"/>
            <a:gd name="connsiteY12930" fmla="*/ 1833846 h 6858000"/>
            <a:gd name="connsiteX12931" fmla="*/ 3876799 w 12192000"/>
            <a:gd name="connsiteY12931" fmla="*/ 1799028 h 6858000"/>
            <a:gd name="connsiteX12932" fmla="*/ 3911618 w 12192000"/>
            <a:gd name="connsiteY12932" fmla="*/ 1764209 h 6858000"/>
            <a:gd name="connsiteX12933" fmla="*/ 3946437 w 12192000"/>
            <a:gd name="connsiteY12933" fmla="*/ 1799028 h 6858000"/>
            <a:gd name="connsiteX12934" fmla="*/ 3911618 w 12192000"/>
            <a:gd name="connsiteY12934" fmla="*/ 1833846 h 6858000"/>
            <a:gd name="connsiteX12935" fmla="*/ 3996511 w 12192000"/>
            <a:gd name="connsiteY12935" fmla="*/ 1833846 h 6858000"/>
            <a:gd name="connsiteX12936" fmla="*/ 3961692 w 12192000"/>
            <a:gd name="connsiteY12936" fmla="*/ 1799028 h 6858000"/>
            <a:gd name="connsiteX12937" fmla="*/ 3996511 w 12192000"/>
            <a:gd name="connsiteY12937" fmla="*/ 1764209 h 6858000"/>
            <a:gd name="connsiteX12938" fmla="*/ 4031330 w 12192000"/>
            <a:gd name="connsiteY12938" fmla="*/ 1799028 h 6858000"/>
            <a:gd name="connsiteX12939" fmla="*/ 3996511 w 12192000"/>
            <a:gd name="connsiteY12939" fmla="*/ 1833846 h 6858000"/>
            <a:gd name="connsiteX12940" fmla="*/ 4081403 w 12192000"/>
            <a:gd name="connsiteY12940" fmla="*/ 1833846 h 6858000"/>
            <a:gd name="connsiteX12941" fmla="*/ 4046584 w 12192000"/>
            <a:gd name="connsiteY12941" fmla="*/ 1799028 h 6858000"/>
            <a:gd name="connsiteX12942" fmla="*/ 4081403 w 12192000"/>
            <a:gd name="connsiteY12942" fmla="*/ 1764209 h 6858000"/>
            <a:gd name="connsiteX12943" fmla="*/ 4116222 w 12192000"/>
            <a:gd name="connsiteY12943" fmla="*/ 1799028 h 6858000"/>
            <a:gd name="connsiteX12944" fmla="*/ 4081403 w 12192000"/>
            <a:gd name="connsiteY12944" fmla="*/ 1833846 h 6858000"/>
            <a:gd name="connsiteX12945" fmla="*/ 4166296 w 12192000"/>
            <a:gd name="connsiteY12945" fmla="*/ 1833846 h 6858000"/>
            <a:gd name="connsiteX12946" fmla="*/ 4131477 w 12192000"/>
            <a:gd name="connsiteY12946" fmla="*/ 1799028 h 6858000"/>
            <a:gd name="connsiteX12947" fmla="*/ 4166296 w 12192000"/>
            <a:gd name="connsiteY12947" fmla="*/ 1764209 h 6858000"/>
            <a:gd name="connsiteX12948" fmla="*/ 4201114 w 12192000"/>
            <a:gd name="connsiteY12948" fmla="*/ 1799028 h 6858000"/>
            <a:gd name="connsiteX12949" fmla="*/ 4166296 w 12192000"/>
            <a:gd name="connsiteY12949" fmla="*/ 1833846 h 6858000"/>
            <a:gd name="connsiteX12950" fmla="*/ 4251188 w 12192000"/>
            <a:gd name="connsiteY12950" fmla="*/ 1833846 h 6858000"/>
            <a:gd name="connsiteX12951" fmla="*/ 4216369 w 12192000"/>
            <a:gd name="connsiteY12951" fmla="*/ 1799028 h 6858000"/>
            <a:gd name="connsiteX12952" fmla="*/ 4251188 w 12192000"/>
            <a:gd name="connsiteY12952" fmla="*/ 1764209 h 6858000"/>
            <a:gd name="connsiteX12953" fmla="*/ 4286007 w 12192000"/>
            <a:gd name="connsiteY12953" fmla="*/ 1799028 h 6858000"/>
            <a:gd name="connsiteX12954" fmla="*/ 4251188 w 12192000"/>
            <a:gd name="connsiteY12954" fmla="*/ 1833846 h 6858000"/>
            <a:gd name="connsiteX12955" fmla="*/ 4336080 w 12192000"/>
            <a:gd name="connsiteY12955" fmla="*/ 1833846 h 6858000"/>
            <a:gd name="connsiteX12956" fmla="*/ 4301261 w 12192000"/>
            <a:gd name="connsiteY12956" fmla="*/ 1799028 h 6858000"/>
            <a:gd name="connsiteX12957" fmla="*/ 4336080 w 12192000"/>
            <a:gd name="connsiteY12957" fmla="*/ 1764209 h 6858000"/>
            <a:gd name="connsiteX12958" fmla="*/ 4370899 w 12192000"/>
            <a:gd name="connsiteY12958" fmla="*/ 1799028 h 6858000"/>
            <a:gd name="connsiteX12959" fmla="*/ 4336080 w 12192000"/>
            <a:gd name="connsiteY12959" fmla="*/ 1833846 h 6858000"/>
            <a:gd name="connsiteX12960" fmla="*/ 4420973 w 12192000"/>
            <a:gd name="connsiteY12960" fmla="*/ 1833846 h 6858000"/>
            <a:gd name="connsiteX12961" fmla="*/ 4386154 w 12192000"/>
            <a:gd name="connsiteY12961" fmla="*/ 1799028 h 6858000"/>
            <a:gd name="connsiteX12962" fmla="*/ 4420973 w 12192000"/>
            <a:gd name="connsiteY12962" fmla="*/ 1764209 h 6858000"/>
            <a:gd name="connsiteX12963" fmla="*/ 4455792 w 12192000"/>
            <a:gd name="connsiteY12963" fmla="*/ 1799028 h 6858000"/>
            <a:gd name="connsiteX12964" fmla="*/ 4420973 w 12192000"/>
            <a:gd name="connsiteY12964" fmla="*/ 1833846 h 6858000"/>
            <a:gd name="connsiteX12965" fmla="*/ 6373504 w 12192000"/>
            <a:gd name="connsiteY12965" fmla="*/ 1833846 h 6858000"/>
            <a:gd name="connsiteX12966" fmla="*/ 6338678 w 12192000"/>
            <a:gd name="connsiteY12966" fmla="*/ 1799028 h 6858000"/>
            <a:gd name="connsiteX12967" fmla="*/ 6373504 w 12192000"/>
            <a:gd name="connsiteY12967" fmla="*/ 1764209 h 6858000"/>
            <a:gd name="connsiteX12968" fmla="*/ 6408316 w 12192000"/>
            <a:gd name="connsiteY12968" fmla="*/ 1799028 h 6858000"/>
            <a:gd name="connsiteX12969" fmla="*/ 6373504 w 12192000"/>
            <a:gd name="connsiteY12969" fmla="*/ 1833846 h 6858000"/>
            <a:gd name="connsiteX12970" fmla="*/ 6458396 w 12192000"/>
            <a:gd name="connsiteY12970" fmla="*/ 1833846 h 6858000"/>
            <a:gd name="connsiteX12971" fmla="*/ 6423570 w 12192000"/>
            <a:gd name="connsiteY12971" fmla="*/ 1799028 h 6858000"/>
            <a:gd name="connsiteX12972" fmla="*/ 6458396 w 12192000"/>
            <a:gd name="connsiteY12972" fmla="*/ 1764209 h 6858000"/>
            <a:gd name="connsiteX12973" fmla="*/ 6493208 w 12192000"/>
            <a:gd name="connsiteY12973" fmla="*/ 1799028 h 6858000"/>
            <a:gd name="connsiteX12974" fmla="*/ 6458396 w 12192000"/>
            <a:gd name="connsiteY12974" fmla="*/ 1833846 h 6858000"/>
            <a:gd name="connsiteX12975" fmla="*/ 6543288 w 12192000"/>
            <a:gd name="connsiteY12975" fmla="*/ 1833846 h 6858000"/>
            <a:gd name="connsiteX12976" fmla="*/ 6508463 w 12192000"/>
            <a:gd name="connsiteY12976" fmla="*/ 1799028 h 6858000"/>
            <a:gd name="connsiteX12977" fmla="*/ 6543288 w 12192000"/>
            <a:gd name="connsiteY12977" fmla="*/ 1764209 h 6858000"/>
            <a:gd name="connsiteX12978" fmla="*/ 6578100 w 12192000"/>
            <a:gd name="connsiteY12978" fmla="*/ 1799028 h 6858000"/>
            <a:gd name="connsiteX12979" fmla="*/ 6543288 w 12192000"/>
            <a:gd name="connsiteY12979" fmla="*/ 1833846 h 6858000"/>
            <a:gd name="connsiteX12980" fmla="*/ 6628181 w 12192000"/>
            <a:gd name="connsiteY12980" fmla="*/ 1833846 h 6858000"/>
            <a:gd name="connsiteX12981" fmla="*/ 6593356 w 12192000"/>
            <a:gd name="connsiteY12981" fmla="*/ 1799028 h 6858000"/>
            <a:gd name="connsiteX12982" fmla="*/ 6628181 w 12192000"/>
            <a:gd name="connsiteY12982" fmla="*/ 1764209 h 6858000"/>
            <a:gd name="connsiteX12983" fmla="*/ 6662994 w 12192000"/>
            <a:gd name="connsiteY12983" fmla="*/ 1799028 h 6858000"/>
            <a:gd name="connsiteX12984" fmla="*/ 6628181 w 12192000"/>
            <a:gd name="connsiteY12984" fmla="*/ 1833846 h 6858000"/>
            <a:gd name="connsiteX12985" fmla="*/ 6713074 w 12192000"/>
            <a:gd name="connsiteY12985" fmla="*/ 1833846 h 6858000"/>
            <a:gd name="connsiteX12986" fmla="*/ 6678248 w 12192000"/>
            <a:gd name="connsiteY12986" fmla="*/ 1799028 h 6858000"/>
            <a:gd name="connsiteX12987" fmla="*/ 6713074 w 12192000"/>
            <a:gd name="connsiteY12987" fmla="*/ 1764209 h 6858000"/>
            <a:gd name="connsiteX12988" fmla="*/ 6747886 w 12192000"/>
            <a:gd name="connsiteY12988" fmla="*/ 1799028 h 6858000"/>
            <a:gd name="connsiteX12989" fmla="*/ 6713074 w 12192000"/>
            <a:gd name="connsiteY12989" fmla="*/ 1833846 h 6858000"/>
            <a:gd name="connsiteX12990" fmla="*/ 6797966 w 12192000"/>
            <a:gd name="connsiteY12990" fmla="*/ 1833846 h 6858000"/>
            <a:gd name="connsiteX12991" fmla="*/ 6763140 w 12192000"/>
            <a:gd name="connsiteY12991" fmla="*/ 1799028 h 6858000"/>
            <a:gd name="connsiteX12992" fmla="*/ 6797966 w 12192000"/>
            <a:gd name="connsiteY12992" fmla="*/ 1764209 h 6858000"/>
            <a:gd name="connsiteX12993" fmla="*/ 6832778 w 12192000"/>
            <a:gd name="connsiteY12993" fmla="*/ 1799028 h 6858000"/>
            <a:gd name="connsiteX12994" fmla="*/ 6797966 w 12192000"/>
            <a:gd name="connsiteY12994" fmla="*/ 1833846 h 6858000"/>
            <a:gd name="connsiteX12995" fmla="*/ 6882858 w 12192000"/>
            <a:gd name="connsiteY12995" fmla="*/ 1833846 h 6858000"/>
            <a:gd name="connsiteX12996" fmla="*/ 6848033 w 12192000"/>
            <a:gd name="connsiteY12996" fmla="*/ 1799028 h 6858000"/>
            <a:gd name="connsiteX12997" fmla="*/ 6882858 w 12192000"/>
            <a:gd name="connsiteY12997" fmla="*/ 1764209 h 6858000"/>
            <a:gd name="connsiteX12998" fmla="*/ 6917670 w 12192000"/>
            <a:gd name="connsiteY12998" fmla="*/ 1799028 h 6858000"/>
            <a:gd name="connsiteX12999" fmla="*/ 6882858 w 12192000"/>
            <a:gd name="connsiteY12999" fmla="*/ 1833846 h 6858000"/>
            <a:gd name="connsiteX13000" fmla="*/ 7222428 w 12192000"/>
            <a:gd name="connsiteY13000" fmla="*/ 1833846 h 6858000"/>
            <a:gd name="connsiteX13001" fmla="*/ 7187603 w 12192000"/>
            <a:gd name="connsiteY13001" fmla="*/ 1799028 h 6858000"/>
            <a:gd name="connsiteX13002" fmla="*/ 7222428 w 12192000"/>
            <a:gd name="connsiteY13002" fmla="*/ 1764209 h 6858000"/>
            <a:gd name="connsiteX13003" fmla="*/ 7257240 w 12192000"/>
            <a:gd name="connsiteY13003" fmla="*/ 1799028 h 6858000"/>
            <a:gd name="connsiteX13004" fmla="*/ 7222428 w 12192000"/>
            <a:gd name="connsiteY13004" fmla="*/ 1833846 h 6858000"/>
            <a:gd name="connsiteX13005" fmla="*/ 7307320 w 12192000"/>
            <a:gd name="connsiteY13005" fmla="*/ 1833846 h 6858000"/>
            <a:gd name="connsiteX13006" fmla="*/ 7272495 w 12192000"/>
            <a:gd name="connsiteY13006" fmla="*/ 1799028 h 6858000"/>
            <a:gd name="connsiteX13007" fmla="*/ 7307320 w 12192000"/>
            <a:gd name="connsiteY13007" fmla="*/ 1764209 h 6858000"/>
            <a:gd name="connsiteX13008" fmla="*/ 7342133 w 12192000"/>
            <a:gd name="connsiteY13008" fmla="*/ 1799028 h 6858000"/>
            <a:gd name="connsiteX13009" fmla="*/ 7307320 w 12192000"/>
            <a:gd name="connsiteY13009" fmla="*/ 1833846 h 6858000"/>
            <a:gd name="connsiteX13010" fmla="*/ 9514525 w 12192000"/>
            <a:gd name="connsiteY13010" fmla="*/ 1833846 h 6858000"/>
            <a:gd name="connsiteX13011" fmla="*/ 9479699 w 12192000"/>
            <a:gd name="connsiteY13011" fmla="*/ 1799028 h 6858000"/>
            <a:gd name="connsiteX13012" fmla="*/ 9514525 w 12192000"/>
            <a:gd name="connsiteY13012" fmla="*/ 1764209 h 6858000"/>
            <a:gd name="connsiteX13013" fmla="*/ 9549337 w 12192000"/>
            <a:gd name="connsiteY13013" fmla="*/ 1799028 h 6858000"/>
            <a:gd name="connsiteX13014" fmla="*/ 9514525 w 12192000"/>
            <a:gd name="connsiteY13014" fmla="*/ 1833846 h 6858000"/>
            <a:gd name="connsiteX13015" fmla="*/ 9599418 w 12192000"/>
            <a:gd name="connsiteY13015" fmla="*/ 1833846 h 6858000"/>
            <a:gd name="connsiteX13016" fmla="*/ 9564593 w 12192000"/>
            <a:gd name="connsiteY13016" fmla="*/ 1799028 h 6858000"/>
            <a:gd name="connsiteX13017" fmla="*/ 9599418 w 12192000"/>
            <a:gd name="connsiteY13017" fmla="*/ 1764209 h 6858000"/>
            <a:gd name="connsiteX13018" fmla="*/ 9634230 w 12192000"/>
            <a:gd name="connsiteY13018" fmla="*/ 1799028 h 6858000"/>
            <a:gd name="connsiteX13019" fmla="*/ 9599418 w 12192000"/>
            <a:gd name="connsiteY13019" fmla="*/ 1833846 h 6858000"/>
            <a:gd name="connsiteX13020" fmla="*/ 9684310 w 12192000"/>
            <a:gd name="connsiteY13020" fmla="*/ 1833846 h 6858000"/>
            <a:gd name="connsiteX13021" fmla="*/ 9649485 w 12192000"/>
            <a:gd name="connsiteY13021" fmla="*/ 1799028 h 6858000"/>
            <a:gd name="connsiteX13022" fmla="*/ 9684310 w 12192000"/>
            <a:gd name="connsiteY13022" fmla="*/ 1764209 h 6858000"/>
            <a:gd name="connsiteX13023" fmla="*/ 9719123 w 12192000"/>
            <a:gd name="connsiteY13023" fmla="*/ 1799028 h 6858000"/>
            <a:gd name="connsiteX13024" fmla="*/ 9684310 w 12192000"/>
            <a:gd name="connsiteY13024" fmla="*/ 1833846 h 6858000"/>
            <a:gd name="connsiteX13025" fmla="*/ 9769203 w 12192000"/>
            <a:gd name="connsiteY13025" fmla="*/ 1833846 h 6858000"/>
            <a:gd name="connsiteX13026" fmla="*/ 9734377 w 12192000"/>
            <a:gd name="connsiteY13026" fmla="*/ 1799028 h 6858000"/>
            <a:gd name="connsiteX13027" fmla="*/ 9769203 w 12192000"/>
            <a:gd name="connsiteY13027" fmla="*/ 1764209 h 6858000"/>
            <a:gd name="connsiteX13028" fmla="*/ 9804015 w 12192000"/>
            <a:gd name="connsiteY13028" fmla="*/ 1799028 h 6858000"/>
            <a:gd name="connsiteX13029" fmla="*/ 9769203 w 12192000"/>
            <a:gd name="connsiteY13029" fmla="*/ 1833846 h 6858000"/>
            <a:gd name="connsiteX13030" fmla="*/ 9854095 w 12192000"/>
            <a:gd name="connsiteY13030" fmla="*/ 1833846 h 6858000"/>
            <a:gd name="connsiteX13031" fmla="*/ 9819269 w 12192000"/>
            <a:gd name="connsiteY13031" fmla="*/ 1799028 h 6858000"/>
            <a:gd name="connsiteX13032" fmla="*/ 9854095 w 12192000"/>
            <a:gd name="connsiteY13032" fmla="*/ 1764209 h 6858000"/>
            <a:gd name="connsiteX13033" fmla="*/ 9888907 w 12192000"/>
            <a:gd name="connsiteY13033" fmla="*/ 1799028 h 6858000"/>
            <a:gd name="connsiteX13034" fmla="*/ 9854095 w 12192000"/>
            <a:gd name="connsiteY13034" fmla="*/ 1833846 h 6858000"/>
            <a:gd name="connsiteX13035" fmla="*/ 9938988 w 12192000"/>
            <a:gd name="connsiteY13035" fmla="*/ 1833846 h 6858000"/>
            <a:gd name="connsiteX13036" fmla="*/ 9904163 w 12192000"/>
            <a:gd name="connsiteY13036" fmla="*/ 1799028 h 6858000"/>
            <a:gd name="connsiteX13037" fmla="*/ 9938988 w 12192000"/>
            <a:gd name="connsiteY13037" fmla="*/ 1764209 h 6858000"/>
            <a:gd name="connsiteX13038" fmla="*/ 9973800 w 12192000"/>
            <a:gd name="connsiteY13038" fmla="*/ 1799028 h 6858000"/>
            <a:gd name="connsiteX13039" fmla="*/ 9938988 w 12192000"/>
            <a:gd name="connsiteY13039" fmla="*/ 1833846 h 6858000"/>
            <a:gd name="connsiteX13040" fmla="*/ 10023880 w 12192000"/>
            <a:gd name="connsiteY13040" fmla="*/ 1833846 h 6858000"/>
            <a:gd name="connsiteX13041" fmla="*/ 9989055 w 12192000"/>
            <a:gd name="connsiteY13041" fmla="*/ 1799028 h 6858000"/>
            <a:gd name="connsiteX13042" fmla="*/ 10023880 w 12192000"/>
            <a:gd name="connsiteY13042" fmla="*/ 1764209 h 6858000"/>
            <a:gd name="connsiteX13043" fmla="*/ 10058693 w 12192000"/>
            <a:gd name="connsiteY13043" fmla="*/ 1799028 h 6858000"/>
            <a:gd name="connsiteX13044" fmla="*/ 10023880 w 12192000"/>
            <a:gd name="connsiteY13044" fmla="*/ 1833846 h 6858000"/>
            <a:gd name="connsiteX13045" fmla="*/ 10108773 w 12192000"/>
            <a:gd name="connsiteY13045" fmla="*/ 1833846 h 6858000"/>
            <a:gd name="connsiteX13046" fmla="*/ 10073947 w 12192000"/>
            <a:gd name="connsiteY13046" fmla="*/ 1799028 h 6858000"/>
            <a:gd name="connsiteX13047" fmla="*/ 10108773 w 12192000"/>
            <a:gd name="connsiteY13047" fmla="*/ 1764209 h 6858000"/>
            <a:gd name="connsiteX13048" fmla="*/ 10143585 w 12192000"/>
            <a:gd name="connsiteY13048" fmla="*/ 1799028 h 6858000"/>
            <a:gd name="connsiteX13049" fmla="*/ 10108773 w 12192000"/>
            <a:gd name="connsiteY13049" fmla="*/ 1833846 h 6858000"/>
            <a:gd name="connsiteX13050" fmla="*/ 10193665 w 12192000"/>
            <a:gd name="connsiteY13050" fmla="*/ 1833846 h 6858000"/>
            <a:gd name="connsiteX13051" fmla="*/ 10158839 w 12192000"/>
            <a:gd name="connsiteY13051" fmla="*/ 1799028 h 6858000"/>
            <a:gd name="connsiteX13052" fmla="*/ 10193665 w 12192000"/>
            <a:gd name="connsiteY13052" fmla="*/ 1764209 h 6858000"/>
            <a:gd name="connsiteX13053" fmla="*/ 10228477 w 12192000"/>
            <a:gd name="connsiteY13053" fmla="*/ 1799028 h 6858000"/>
            <a:gd name="connsiteX13054" fmla="*/ 10193665 w 12192000"/>
            <a:gd name="connsiteY13054" fmla="*/ 1833846 h 6858000"/>
            <a:gd name="connsiteX13055" fmla="*/ 10278558 w 12192000"/>
            <a:gd name="connsiteY13055" fmla="*/ 1833846 h 6858000"/>
            <a:gd name="connsiteX13056" fmla="*/ 10243733 w 12192000"/>
            <a:gd name="connsiteY13056" fmla="*/ 1799028 h 6858000"/>
            <a:gd name="connsiteX13057" fmla="*/ 10278558 w 12192000"/>
            <a:gd name="connsiteY13057" fmla="*/ 1764209 h 6858000"/>
            <a:gd name="connsiteX13058" fmla="*/ 10313370 w 12192000"/>
            <a:gd name="connsiteY13058" fmla="*/ 1799028 h 6858000"/>
            <a:gd name="connsiteX13059" fmla="*/ 10278558 w 12192000"/>
            <a:gd name="connsiteY13059" fmla="*/ 1833846 h 6858000"/>
            <a:gd name="connsiteX13060" fmla="*/ 10363450 w 12192000"/>
            <a:gd name="connsiteY13060" fmla="*/ 1833846 h 6858000"/>
            <a:gd name="connsiteX13061" fmla="*/ 10328625 w 12192000"/>
            <a:gd name="connsiteY13061" fmla="*/ 1799028 h 6858000"/>
            <a:gd name="connsiteX13062" fmla="*/ 10363450 w 12192000"/>
            <a:gd name="connsiteY13062" fmla="*/ 1764209 h 6858000"/>
            <a:gd name="connsiteX13063" fmla="*/ 10398263 w 12192000"/>
            <a:gd name="connsiteY13063" fmla="*/ 1799028 h 6858000"/>
            <a:gd name="connsiteX13064" fmla="*/ 10363450 w 12192000"/>
            <a:gd name="connsiteY13064" fmla="*/ 1833846 h 6858000"/>
            <a:gd name="connsiteX13065" fmla="*/ 10448343 w 12192000"/>
            <a:gd name="connsiteY13065" fmla="*/ 1833846 h 6858000"/>
            <a:gd name="connsiteX13066" fmla="*/ 10413517 w 12192000"/>
            <a:gd name="connsiteY13066" fmla="*/ 1799028 h 6858000"/>
            <a:gd name="connsiteX13067" fmla="*/ 10448343 w 12192000"/>
            <a:gd name="connsiteY13067" fmla="*/ 1764209 h 6858000"/>
            <a:gd name="connsiteX13068" fmla="*/ 10483155 w 12192000"/>
            <a:gd name="connsiteY13068" fmla="*/ 1799028 h 6858000"/>
            <a:gd name="connsiteX13069" fmla="*/ 10448343 w 12192000"/>
            <a:gd name="connsiteY13069" fmla="*/ 1833846 h 6858000"/>
            <a:gd name="connsiteX13070" fmla="*/ 11042590 w 12192000"/>
            <a:gd name="connsiteY13070" fmla="*/ 1833846 h 6858000"/>
            <a:gd name="connsiteX13071" fmla="*/ 11007765 w 12192000"/>
            <a:gd name="connsiteY13071" fmla="*/ 1799028 h 6858000"/>
            <a:gd name="connsiteX13072" fmla="*/ 11042590 w 12192000"/>
            <a:gd name="connsiteY13072" fmla="*/ 1764209 h 6858000"/>
            <a:gd name="connsiteX13073" fmla="*/ 11077403 w 12192000"/>
            <a:gd name="connsiteY13073" fmla="*/ 1799028 h 6858000"/>
            <a:gd name="connsiteX13074" fmla="*/ 11042590 w 12192000"/>
            <a:gd name="connsiteY13074" fmla="*/ 1833846 h 6858000"/>
            <a:gd name="connsiteX13075" fmla="*/ 3741833 w 12192000"/>
            <a:gd name="connsiteY13075" fmla="*/ 1748986 h 6858000"/>
            <a:gd name="connsiteX13076" fmla="*/ 3707014 w 12192000"/>
            <a:gd name="connsiteY13076" fmla="*/ 1714167 h 6858000"/>
            <a:gd name="connsiteX13077" fmla="*/ 3741833 w 12192000"/>
            <a:gd name="connsiteY13077" fmla="*/ 1679348 h 6858000"/>
            <a:gd name="connsiteX13078" fmla="*/ 3776652 w 12192000"/>
            <a:gd name="connsiteY13078" fmla="*/ 1714167 h 6858000"/>
            <a:gd name="connsiteX13079" fmla="*/ 3741833 w 12192000"/>
            <a:gd name="connsiteY13079" fmla="*/ 1748986 h 6858000"/>
            <a:gd name="connsiteX13080" fmla="*/ 3826726 w 12192000"/>
            <a:gd name="connsiteY13080" fmla="*/ 1748986 h 6858000"/>
            <a:gd name="connsiteX13081" fmla="*/ 3791907 w 12192000"/>
            <a:gd name="connsiteY13081" fmla="*/ 1714167 h 6858000"/>
            <a:gd name="connsiteX13082" fmla="*/ 3826726 w 12192000"/>
            <a:gd name="connsiteY13082" fmla="*/ 1679348 h 6858000"/>
            <a:gd name="connsiteX13083" fmla="*/ 3861544 w 12192000"/>
            <a:gd name="connsiteY13083" fmla="*/ 1714167 h 6858000"/>
            <a:gd name="connsiteX13084" fmla="*/ 3826726 w 12192000"/>
            <a:gd name="connsiteY13084" fmla="*/ 1748986 h 6858000"/>
            <a:gd name="connsiteX13085" fmla="*/ 3911618 w 12192000"/>
            <a:gd name="connsiteY13085" fmla="*/ 1748986 h 6858000"/>
            <a:gd name="connsiteX13086" fmla="*/ 3876799 w 12192000"/>
            <a:gd name="connsiteY13086" fmla="*/ 1714167 h 6858000"/>
            <a:gd name="connsiteX13087" fmla="*/ 3911618 w 12192000"/>
            <a:gd name="connsiteY13087" fmla="*/ 1679348 h 6858000"/>
            <a:gd name="connsiteX13088" fmla="*/ 3946437 w 12192000"/>
            <a:gd name="connsiteY13088" fmla="*/ 1714167 h 6858000"/>
            <a:gd name="connsiteX13089" fmla="*/ 3911618 w 12192000"/>
            <a:gd name="connsiteY13089" fmla="*/ 1748986 h 6858000"/>
            <a:gd name="connsiteX13090" fmla="*/ 3996511 w 12192000"/>
            <a:gd name="connsiteY13090" fmla="*/ 1748986 h 6858000"/>
            <a:gd name="connsiteX13091" fmla="*/ 3961692 w 12192000"/>
            <a:gd name="connsiteY13091" fmla="*/ 1714167 h 6858000"/>
            <a:gd name="connsiteX13092" fmla="*/ 3996511 w 12192000"/>
            <a:gd name="connsiteY13092" fmla="*/ 1679348 h 6858000"/>
            <a:gd name="connsiteX13093" fmla="*/ 4031330 w 12192000"/>
            <a:gd name="connsiteY13093" fmla="*/ 1714167 h 6858000"/>
            <a:gd name="connsiteX13094" fmla="*/ 3996511 w 12192000"/>
            <a:gd name="connsiteY13094" fmla="*/ 1748986 h 6858000"/>
            <a:gd name="connsiteX13095" fmla="*/ 4081403 w 12192000"/>
            <a:gd name="connsiteY13095" fmla="*/ 1748986 h 6858000"/>
            <a:gd name="connsiteX13096" fmla="*/ 4046584 w 12192000"/>
            <a:gd name="connsiteY13096" fmla="*/ 1714167 h 6858000"/>
            <a:gd name="connsiteX13097" fmla="*/ 4081403 w 12192000"/>
            <a:gd name="connsiteY13097" fmla="*/ 1679348 h 6858000"/>
            <a:gd name="connsiteX13098" fmla="*/ 4116222 w 12192000"/>
            <a:gd name="connsiteY13098" fmla="*/ 1714167 h 6858000"/>
            <a:gd name="connsiteX13099" fmla="*/ 4081403 w 12192000"/>
            <a:gd name="connsiteY13099" fmla="*/ 1748986 h 6858000"/>
            <a:gd name="connsiteX13100" fmla="*/ 4166296 w 12192000"/>
            <a:gd name="connsiteY13100" fmla="*/ 1748986 h 6858000"/>
            <a:gd name="connsiteX13101" fmla="*/ 4131477 w 12192000"/>
            <a:gd name="connsiteY13101" fmla="*/ 1714167 h 6858000"/>
            <a:gd name="connsiteX13102" fmla="*/ 4166296 w 12192000"/>
            <a:gd name="connsiteY13102" fmla="*/ 1679348 h 6858000"/>
            <a:gd name="connsiteX13103" fmla="*/ 4201114 w 12192000"/>
            <a:gd name="connsiteY13103" fmla="*/ 1714167 h 6858000"/>
            <a:gd name="connsiteX13104" fmla="*/ 4166296 w 12192000"/>
            <a:gd name="connsiteY13104" fmla="*/ 1748986 h 6858000"/>
            <a:gd name="connsiteX13105" fmla="*/ 4251188 w 12192000"/>
            <a:gd name="connsiteY13105" fmla="*/ 1748986 h 6858000"/>
            <a:gd name="connsiteX13106" fmla="*/ 4216369 w 12192000"/>
            <a:gd name="connsiteY13106" fmla="*/ 1714167 h 6858000"/>
            <a:gd name="connsiteX13107" fmla="*/ 4251188 w 12192000"/>
            <a:gd name="connsiteY13107" fmla="*/ 1679348 h 6858000"/>
            <a:gd name="connsiteX13108" fmla="*/ 4286007 w 12192000"/>
            <a:gd name="connsiteY13108" fmla="*/ 1714167 h 6858000"/>
            <a:gd name="connsiteX13109" fmla="*/ 4251188 w 12192000"/>
            <a:gd name="connsiteY13109" fmla="*/ 1748986 h 6858000"/>
            <a:gd name="connsiteX13110" fmla="*/ 4336080 w 12192000"/>
            <a:gd name="connsiteY13110" fmla="*/ 1748986 h 6858000"/>
            <a:gd name="connsiteX13111" fmla="*/ 4301261 w 12192000"/>
            <a:gd name="connsiteY13111" fmla="*/ 1714167 h 6858000"/>
            <a:gd name="connsiteX13112" fmla="*/ 4336080 w 12192000"/>
            <a:gd name="connsiteY13112" fmla="*/ 1679348 h 6858000"/>
            <a:gd name="connsiteX13113" fmla="*/ 4370899 w 12192000"/>
            <a:gd name="connsiteY13113" fmla="*/ 1714167 h 6858000"/>
            <a:gd name="connsiteX13114" fmla="*/ 4336080 w 12192000"/>
            <a:gd name="connsiteY13114" fmla="*/ 1748986 h 6858000"/>
            <a:gd name="connsiteX13115" fmla="*/ 6373504 w 12192000"/>
            <a:gd name="connsiteY13115" fmla="*/ 1748986 h 6858000"/>
            <a:gd name="connsiteX13116" fmla="*/ 6338678 w 12192000"/>
            <a:gd name="connsiteY13116" fmla="*/ 1714167 h 6858000"/>
            <a:gd name="connsiteX13117" fmla="*/ 6373504 w 12192000"/>
            <a:gd name="connsiteY13117" fmla="*/ 1679348 h 6858000"/>
            <a:gd name="connsiteX13118" fmla="*/ 6408316 w 12192000"/>
            <a:gd name="connsiteY13118" fmla="*/ 1714167 h 6858000"/>
            <a:gd name="connsiteX13119" fmla="*/ 6373504 w 12192000"/>
            <a:gd name="connsiteY13119" fmla="*/ 1748986 h 6858000"/>
            <a:gd name="connsiteX13120" fmla="*/ 6458396 w 12192000"/>
            <a:gd name="connsiteY13120" fmla="*/ 1748986 h 6858000"/>
            <a:gd name="connsiteX13121" fmla="*/ 6423570 w 12192000"/>
            <a:gd name="connsiteY13121" fmla="*/ 1714167 h 6858000"/>
            <a:gd name="connsiteX13122" fmla="*/ 6458396 w 12192000"/>
            <a:gd name="connsiteY13122" fmla="*/ 1679348 h 6858000"/>
            <a:gd name="connsiteX13123" fmla="*/ 6493208 w 12192000"/>
            <a:gd name="connsiteY13123" fmla="*/ 1714167 h 6858000"/>
            <a:gd name="connsiteX13124" fmla="*/ 6458396 w 12192000"/>
            <a:gd name="connsiteY13124" fmla="*/ 1748986 h 6858000"/>
            <a:gd name="connsiteX13125" fmla="*/ 6543288 w 12192000"/>
            <a:gd name="connsiteY13125" fmla="*/ 1748986 h 6858000"/>
            <a:gd name="connsiteX13126" fmla="*/ 6508463 w 12192000"/>
            <a:gd name="connsiteY13126" fmla="*/ 1714167 h 6858000"/>
            <a:gd name="connsiteX13127" fmla="*/ 6543288 w 12192000"/>
            <a:gd name="connsiteY13127" fmla="*/ 1679348 h 6858000"/>
            <a:gd name="connsiteX13128" fmla="*/ 6578100 w 12192000"/>
            <a:gd name="connsiteY13128" fmla="*/ 1714167 h 6858000"/>
            <a:gd name="connsiteX13129" fmla="*/ 6543288 w 12192000"/>
            <a:gd name="connsiteY13129" fmla="*/ 1748986 h 6858000"/>
            <a:gd name="connsiteX13130" fmla="*/ 6628181 w 12192000"/>
            <a:gd name="connsiteY13130" fmla="*/ 1748986 h 6858000"/>
            <a:gd name="connsiteX13131" fmla="*/ 6593356 w 12192000"/>
            <a:gd name="connsiteY13131" fmla="*/ 1714167 h 6858000"/>
            <a:gd name="connsiteX13132" fmla="*/ 6628181 w 12192000"/>
            <a:gd name="connsiteY13132" fmla="*/ 1679348 h 6858000"/>
            <a:gd name="connsiteX13133" fmla="*/ 6662994 w 12192000"/>
            <a:gd name="connsiteY13133" fmla="*/ 1714167 h 6858000"/>
            <a:gd name="connsiteX13134" fmla="*/ 6628181 w 12192000"/>
            <a:gd name="connsiteY13134" fmla="*/ 1748986 h 6858000"/>
            <a:gd name="connsiteX13135" fmla="*/ 6713074 w 12192000"/>
            <a:gd name="connsiteY13135" fmla="*/ 1748986 h 6858000"/>
            <a:gd name="connsiteX13136" fmla="*/ 6678248 w 12192000"/>
            <a:gd name="connsiteY13136" fmla="*/ 1714167 h 6858000"/>
            <a:gd name="connsiteX13137" fmla="*/ 6713074 w 12192000"/>
            <a:gd name="connsiteY13137" fmla="*/ 1679348 h 6858000"/>
            <a:gd name="connsiteX13138" fmla="*/ 6747886 w 12192000"/>
            <a:gd name="connsiteY13138" fmla="*/ 1714167 h 6858000"/>
            <a:gd name="connsiteX13139" fmla="*/ 6713074 w 12192000"/>
            <a:gd name="connsiteY13139" fmla="*/ 1748986 h 6858000"/>
            <a:gd name="connsiteX13140" fmla="*/ 6797966 w 12192000"/>
            <a:gd name="connsiteY13140" fmla="*/ 1748986 h 6858000"/>
            <a:gd name="connsiteX13141" fmla="*/ 6763140 w 12192000"/>
            <a:gd name="connsiteY13141" fmla="*/ 1714167 h 6858000"/>
            <a:gd name="connsiteX13142" fmla="*/ 6797966 w 12192000"/>
            <a:gd name="connsiteY13142" fmla="*/ 1679348 h 6858000"/>
            <a:gd name="connsiteX13143" fmla="*/ 6832778 w 12192000"/>
            <a:gd name="connsiteY13143" fmla="*/ 1714167 h 6858000"/>
            <a:gd name="connsiteX13144" fmla="*/ 6797966 w 12192000"/>
            <a:gd name="connsiteY13144" fmla="*/ 1748986 h 6858000"/>
            <a:gd name="connsiteX13145" fmla="*/ 9429633 w 12192000"/>
            <a:gd name="connsiteY13145" fmla="*/ 1748986 h 6858000"/>
            <a:gd name="connsiteX13146" fmla="*/ 9394807 w 12192000"/>
            <a:gd name="connsiteY13146" fmla="*/ 1714167 h 6858000"/>
            <a:gd name="connsiteX13147" fmla="*/ 9429633 w 12192000"/>
            <a:gd name="connsiteY13147" fmla="*/ 1679348 h 6858000"/>
            <a:gd name="connsiteX13148" fmla="*/ 9464445 w 12192000"/>
            <a:gd name="connsiteY13148" fmla="*/ 1714167 h 6858000"/>
            <a:gd name="connsiteX13149" fmla="*/ 9429633 w 12192000"/>
            <a:gd name="connsiteY13149" fmla="*/ 1748986 h 6858000"/>
            <a:gd name="connsiteX13150" fmla="*/ 9514525 w 12192000"/>
            <a:gd name="connsiteY13150" fmla="*/ 1748986 h 6858000"/>
            <a:gd name="connsiteX13151" fmla="*/ 9479699 w 12192000"/>
            <a:gd name="connsiteY13151" fmla="*/ 1714167 h 6858000"/>
            <a:gd name="connsiteX13152" fmla="*/ 9514525 w 12192000"/>
            <a:gd name="connsiteY13152" fmla="*/ 1679348 h 6858000"/>
            <a:gd name="connsiteX13153" fmla="*/ 9549337 w 12192000"/>
            <a:gd name="connsiteY13153" fmla="*/ 1714167 h 6858000"/>
            <a:gd name="connsiteX13154" fmla="*/ 9514525 w 12192000"/>
            <a:gd name="connsiteY13154" fmla="*/ 1748986 h 6858000"/>
            <a:gd name="connsiteX13155" fmla="*/ 9599418 w 12192000"/>
            <a:gd name="connsiteY13155" fmla="*/ 1748986 h 6858000"/>
            <a:gd name="connsiteX13156" fmla="*/ 9564593 w 12192000"/>
            <a:gd name="connsiteY13156" fmla="*/ 1714167 h 6858000"/>
            <a:gd name="connsiteX13157" fmla="*/ 9599418 w 12192000"/>
            <a:gd name="connsiteY13157" fmla="*/ 1679348 h 6858000"/>
            <a:gd name="connsiteX13158" fmla="*/ 9634230 w 12192000"/>
            <a:gd name="connsiteY13158" fmla="*/ 1714167 h 6858000"/>
            <a:gd name="connsiteX13159" fmla="*/ 9599418 w 12192000"/>
            <a:gd name="connsiteY13159" fmla="*/ 1748986 h 6858000"/>
            <a:gd name="connsiteX13160" fmla="*/ 9684310 w 12192000"/>
            <a:gd name="connsiteY13160" fmla="*/ 1748986 h 6858000"/>
            <a:gd name="connsiteX13161" fmla="*/ 9649485 w 12192000"/>
            <a:gd name="connsiteY13161" fmla="*/ 1714167 h 6858000"/>
            <a:gd name="connsiteX13162" fmla="*/ 9684310 w 12192000"/>
            <a:gd name="connsiteY13162" fmla="*/ 1679348 h 6858000"/>
            <a:gd name="connsiteX13163" fmla="*/ 9719123 w 12192000"/>
            <a:gd name="connsiteY13163" fmla="*/ 1714167 h 6858000"/>
            <a:gd name="connsiteX13164" fmla="*/ 9684310 w 12192000"/>
            <a:gd name="connsiteY13164" fmla="*/ 1748986 h 6858000"/>
            <a:gd name="connsiteX13165" fmla="*/ 9769203 w 12192000"/>
            <a:gd name="connsiteY13165" fmla="*/ 1748986 h 6858000"/>
            <a:gd name="connsiteX13166" fmla="*/ 9734377 w 12192000"/>
            <a:gd name="connsiteY13166" fmla="*/ 1714167 h 6858000"/>
            <a:gd name="connsiteX13167" fmla="*/ 9769203 w 12192000"/>
            <a:gd name="connsiteY13167" fmla="*/ 1679348 h 6858000"/>
            <a:gd name="connsiteX13168" fmla="*/ 9804015 w 12192000"/>
            <a:gd name="connsiteY13168" fmla="*/ 1714167 h 6858000"/>
            <a:gd name="connsiteX13169" fmla="*/ 9769203 w 12192000"/>
            <a:gd name="connsiteY13169" fmla="*/ 1748986 h 6858000"/>
            <a:gd name="connsiteX13170" fmla="*/ 9854095 w 12192000"/>
            <a:gd name="connsiteY13170" fmla="*/ 1748986 h 6858000"/>
            <a:gd name="connsiteX13171" fmla="*/ 9819269 w 12192000"/>
            <a:gd name="connsiteY13171" fmla="*/ 1714167 h 6858000"/>
            <a:gd name="connsiteX13172" fmla="*/ 9854095 w 12192000"/>
            <a:gd name="connsiteY13172" fmla="*/ 1679348 h 6858000"/>
            <a:gd name="connsiteX13173" fmla="*/ 9888907 w 12192000"/>
            <a:gd name="connsiteY13173" fmla="*/ 1714167 h 6858000"/>
            <a:gd name="connsiteX13174" fmla="*/ 9854095 w 12192000"/>
            <a:gd name="connsiteY13174" fmla="*/ 1748986 h 6858000"/>
            <a:gd name="connsiteX13175" fmla="*/ 9938988 w 12192000"/>
            <a:gd name="connsiteY13175" fmla="*/ 1748986 h 6858000"/>
            <a:gd name="connsiteX13176" fmla="*/ 9904163 w 12192000"/>
            <a:gd name="connsiteY13176" fmla="*/ 1714167 h 6858000"/>
            <a:gd name="connsiteX13177" fmla="*/ 9938988 w 12192000"/>
            <a:gd name="connsiteY13177" fmla="*/ 1679348 h 6858000"/>
            <a:gd name="connsiteX13178" fmla="*/ 9973800 w 12192000"/>
            <a:gd name="connsiteY13178" fmla="*/ 1714167 h 6858000"/>
            <a:gd name="connsiteX13179" fmla="*/ 9938988 w 12192000"/>
            <a:gd name="connsiteY13179" fmla="*/ 1748986 h 6858000"/>
            <a:gd name="connsiteX13180" fmla="*/ 10023880 w 12192000"/>
            <a:gd name="connsiteY13180" fmla="*/ 1748986 h 6858000"/>
            <a:gd name="connsiteX13181" fmla="*/ 9989055 w 12192000"/>
            <a:gd name="connsiteY13181" fmla="*/ 1714167 h 6858000"/>
            <a:gd name="connsiteX13182" fmla="*/ 10023880 w 12192000"/>
            <a:gd name="connsiteY13182" fmla="*/ 1679348 h 6858000"/>
            <a:gd name="connsiteX13183" fmla="*/ 10058693 w 12192000"/>
            <a:gd name="connsiteY13183" fmla="*/ 1714167 h 6858000"/>
            <a:gd name="connsiteX13184" fmla="*/ 10023880 w 12192000"/>
            <a:gd name="connsiteY13184" fmla="*/ 1748986 h 6858000"/>
            <a:gd name="connsiteX13185" fmla="*/ 10108773 w 12192000"/>
            <a:gd name="connsiteY13185" fmla="*/ 1748986 h 6858000"/>
            <a:gd name="connsiteX13186" fmla="*/ 10073947 w 12192000"/>
            <a:gd name="connsiteY13186" fmla="*/ 1714167 h 6858000"/>
            <a:gd name="connsiteX13187" fmla="*/ 10108773 w 12192000"/>
            <a:gd name="connsiteY13187" fmla="*/ 1679348 h 6858000"/>
            <a:gd name="connsiteX13188" fmla="*/ 10143585 w 12192000"/>
            <a:gd name="connsiteY13188" fmla="*/ 1714167 h 6858000"/>
            <a:gd name="connsiteX13189" fmla="*/ 10108773 w 12192000"/>
            <a:gd name="connsiteY13189" fmla="*/ 1748986 h 6858000"/>
            <a:gd name="connsiteX13190" fmla="*/ 10193665 w 12192000"/>
            <a:gd name="connsiteY13190" fmla="*/ 1748986 h 6858000"/>
            <a:gd name="connsiteX13191" fmla="*/ 10158839 w 12192000"/>
            <a:gd name="connsiteY13191" fmla="*/ 1714167 h 6858000"/>
            <a:gd name="connsiteX13192" fmla="*/ 10193665 w 12192000"/>
            <a:gd name="connsiteY13192" fmla="*/ 1679348 h 6858000"/>
            <a:gd name="connsiteX13193" fmla="*/ 10228477 w 12192000"/>
            <a:gd name="connsiteY13193" fmla="*/ 1714167 h 6858000"/>
            <a:gd name="connsiteX13194" fmla="*/ 10193665 w 12192000"/>
            <a:gd name="connsiteY13194" fmla="*/ 1748986 h 6858000"/>
            <a:gd name="connsiteX13195" fmla="*/ 10278558 w 12192000"/>
            <a:gd name="connsiteY13195" fmla="*/ 1748986 h 6858000"/>
            <a:gd name="connsiteX13196" fmla="*/ 10243733 w 12192000"/>
            <a:gd name="connsiteY13196" fmla="*/ 1714167 h 6858000"/>
            <a:gd name="connsiteX13197" fmla="*/ 10278558 w 12192000"/>
            <a:gd name="connsiteY13197" fmla="*/ 1679348 h 6858000"/>
            <a:gd name="connsiteX13198" fmla="*/ 10313370 w 12192000"/>
            <a:gd name="connsiteY13198" fmla="*/ 1714167 h 6858000"/>
            <a:gd name="connsiteX13199" fmla="*/ 10278558 w 12192000"/>
            <a:gd name="connsiteY13199" fmla="*/ 1748986 h 6858000"/>
            <a:gd name="connsiteX13200" fmla="*/ 10363450 w 12192000"/>
            <a:gd name="connsiteY13200" fmla="*/ 1748986 h 6858000"/>
            <a:gd name="connsiteX13201" fmla="*/ 10328625 w 12192000"/>
            <a:gd name="connsiteY13201" fmla="*/ 1714167 h 6858000"/>
            <a:gd name="connsiteX13202" fmla="*/ 10363450 w 12192000"/>
            <a:gd name="connsiteY13202" fmla="*/ 1679348 h 6858000"/>
            <a:gd name="connsiteX13203" fmla="*/ 10398263 w 12192000"/>
            <a:gd name="connsiteY13203" fmla="*/ 1714167 h 6858000"/>
            <a:gd name="connsiteX13204" fmla="*/ 10363450 w 12192000"/>
            <a:gd name="connsiteY13204" fmla="*/ 1748986 h 6858000"/>
            <a:gd name="connsiteX13205" fmla="*/ 10448343 w 12192000"/>
            <a:gd name="connsiteY13205" fmla="*/ 1748986 h 6858000"/>
            <a:gd name="connsiteX13206" fmla="*/ 10413517 w 12192000"/>
            <a:gd name="connsiteY13206" fmla="*/ 1714167 h 6858000"/>
            <a:gd name="connsiteX13207" fmla="*/ 10448343 w 12192000"/>
            <a:gd name="connsiteY13207" fmla="*/ 1679348 h 6858000"/>
            <a:gd name="connsiteX13208" fmla="*/ 10483155 w 12192000"/>
            <a:gd name="connsiteY13208" fmla="*/ 1714167 h 6858000"/>
            <a:gd name="connsiteX13209" fmla="*/ 10448343 w 12192000"/>
            <a:gd name="connsiteY13209" fmla="*/ 1748986 h 6858000"/>
            <a:gd name="connsiteX13210" fmla="*/ 10533235 w 12192000"/>
            <a:gd name="connsiteY13210" fmla="*/ 1748986 h 6858000"/>
            <a:gd name="connsiteX13211" fmla="*/ 10498409 w 12192000"/>
            <a:gd name="connsiteY13211" fmla="*/ 1714167 h 6858000"/>
            <a:gd name="connsiteX13212" fmla="*/ 10533235 w 12192000"/>
            <a:gd name="connsiteY13212" fmla="*/ 1679348 h 6858000"/>
            <a:gd name="connsiteX13213" fmla="*/ 10568047 w 12192000"/>
            <a:gd name="connsiteY13213" fmla="*/ 1714167 h 6858000"/>
            <a:gd name="connsiteX13214" fmla="*/ 10533235 w 12192000"/>
            <a:gd name="connsiteY13214" fmla="*/ 1748986 h 6858000"/>
            <a:gd name="connsiteX13215" fmla="*/ 3741833 w 12192000"/>
            <a:gd name="connsiteY13215" fmla="*/ 1664126 h 6858000"/>
            <a:gd name="connsiteX13216" fmla="*/ 3707014 w 12192000"/>
            <a:gd name="connsiteY13216" fmla="*/ 1629307 h 6858000"/>
            <a:gd name="connsiteX13217" fmla="*/ 3741833 w 12192000"/>
            <a:gd name="connsiteY13217" fmla="*/ 1594488 h 6858000"/>
            <a:gd name="connsiteX13218" fmla="*/ 3776652 w 12192000"/>
            <a:gd name="connsiteY13218" fmla="*/ 1629307 h 6858000"/>
            <a:gd name="connsiteX13219" fmla="*/ 3741833 w 12192000"/>
            <a:gd name="connsiteY13219" fmla="*/ 1664126 h 6858000"/>
            <a:gd name="connsiteX13220" fmla="*/ 3826726 w 12192000"/>
            <a:gd name="connsiteY13220" fmla="*/ 1664126 h 6858000"/>
            <a:gd name="connsiteX13221" fmla="*/ 3791907 w 12192000"/>
            <a:gd name="connsiteY13221" fmla="*/ 1629307 h 6858000"/>
            <a:gd name="connsiteX13222" fmla="*/ 3826726 w 12192000"/>
            <a:gd name="connsiteY13222" fmla="*/ 1594488 h 6858000"/>
            <a:gd name="connsiteX13223" fmla="*/ 3861544 w 12192000"/>
            <a:gd name="connsiteY13223" fmla="*/ 1629307 h 6858000"/>
            <a:gd name="connsiteX13224" fmla="*/ 3826726 w 12192000"/>
            <a:gd name="connsiteY13224" fmla="*/ 1664126 h 6858000"/>
            <a:gd name="connsiteX13225" fmla="*/ 3911618 w 12192000"/>
            <a:gd name="connsiteY13225" fmla="*/ 1664126 h 6858000"/>
            <a:gd name="connsiteX13226" fmla="*/ 3876799 w 12192000"/>
            <a:gd name="connsiteY13226" fmla="*/ 1629307 h 6858000"/>
            <a:gd name="connsiteX13227" fmla="*/ 3911618 w 12192000"/>
            <a:gd name="connsiteY13227" fmla="*/ 1594488 h 6858000"/>
            <a:gd name="connsiteX13228" fmla="*/ 3946437 w 12192000"/>
            <a:gd name="connsiteY13228" fmla="*/ 1629307 h 6858000"/>
            <a:gd name="connsiteX13229" fmla="*/ 3911618 w 12192000"/>
            <a:gd name="connsiteY13229" fmla="*/ 1664126 h 6858000"/>
            <a:gd name="connsiteX13230" fmla="*/ 3996511 w 12192000"/>
            <a:gd name="connsiteY13230" fmla="*/ 1664126 h 6858000"/>
            <a:gd name="connsiteX13231" fmla="*/ 3961692 w 12192000"/>
            <a:gd name="connsiteY13231" fmla="*/ 1629307 h 6858000"/>
            <a:gd name="connsiteX13232" fmla="*/ 3996511 w 12192000"/>
            <a:gd name="connsiteY13232" fmla="*/ 1594488 h 6858000"/>
            <a:gd name="connsiteX13233" fmla="*/ 4031330 w 12192000"/>
            <a:gd name="connsiteY13233" fmla="*/ 1629307 h 6858000"/>
            <a:gd name="connsiteX13234" fmla="*/ 3996511 w 12192000"/>
            <a:gd name="connsiteY13234" fmla="*/ 1664126 h 6858000"/>
            <a:gd name="connsiteX13235" fmla="*/ 4081403 w 12192000"/>
            <a:gd name="connsiteY13235" fmla="*/ 1664126 h 6858000"/>
            <a:gd name="connsiteX13236" fmla="*/ 4046584 w 12192000"/>
            <a:gd name="connsiteY13236" fmla="*/ 1629307 h 6858000"/>
            <a:gd name="connsiteX13237" fmla="*/ 4081403 w 12192000"/>
            <a:gd name="connsiteY13237" fmla="*/ 1594488 h 6858000"/>
            <a:gd name="connsiteX13238" fmla="*/ 4116222 w 12192000"/>
            <a:gd name="connsiteY13238" fmla="*/ 1629307 h 6858000"/>
            <a:gd name="connsiteX13239" fmla="*/ 4081403 w 12192000"/>
            <a:gd name="connsiteY13239" fmla="*/ 1664126 h 6858000"/>
            <a:gd name="connsiteX13240" fmla="*/ 4166296 w 12192000"/>
            <a:gd name="connsiteY13240" fmla="*/ 1664126 h 6858000"/>
            <a:gd name="connsiteX13241" fmla="*/ 4131477 w 12192000"/>
            <a:gd name="connsiteY13241" fmla="*/ 1629307 h 6858000"/>
            <a:gd name="connsiteX13242" fmla="*/ 4166296 w 12192000"/>
            <a:gd name="connsiteY13242" fmla="*/ 1594488 h 6858000"/>
            <a:gd name="connsiteX13243" fmla="*/ 4201114 w 12192000"/>
            <a:gd name="connsiteY13243" fmla="*/ 1629307 h 6858000"/>
            <a:gd name="connsiteX13244" fmla="*/ 4166296 w 12192000"/>
            <a:gd name="connsiteY13244" fmla="*/ 1664126 h 6858000"/>
            <a:gd name="connsiteX13245" fmla="*/ 4251188 w 12192000"/>
            <a:gd name="connsiteY13245" fmla="*/ 1664126 h 6858000"/>
            <a:gd name="connsiteX13246" fmla="*/ 4216369 w 12192000"/>
            <a:gd name="connsiteY13246" fmla="*/ 1629307 h 6858000"/>
            <a:gd name="connsiteX13247" fmla="*/ 4251188 w 12192000"/>
            <a:gd name="connsiteY13247" fmla="*/ 1594488 h 6858000"/>
            <a:gd name="connsiteX13248" fmla="*/ 4286007 w 12192000"/>
            <a:gd name="connsiteY13248" fmla="*/ 1629307 h 6858000"/>
            <a:gd name="connsiteX13249" fmla="*/ 4251188 w 12192000"/>
            <a:gd name="connsiteY13249" fmla="*/ 1664126 h 6858000"/>
            <a:gd name="connsiteX13250" fmla="*/ 4336080 w 12192000"/>
            <a:gd name="connsiteY13250" fmla="*/ 1664126 h 6858000"/>
            <a:gd name="connsiteX13251" fmla="*/ 4301261 w 12192000"/>
            <a:gd name="connsiteY13251" fmla="*/ 1629307 h 6858000"/>
            <a:gd name="connsiteX13252" fmla="*/ 4336080 w 12192000"/>
            <a:gd name="connsiteY13252" fmla="*/ 1594488 h 6858000"/>
            <a:gd name="connsiteX13253" fmla="*/ 4370899 w 12192000"/>
            <a:gd name="connsiteY13253" fmla="*/ 1629307 h 6858000"/>
            <a:gd name="connsiteX13254" fmla="*/ 4336080 w 12192000"/>
            <a:gd name="connsiteY13254" fmla="*/ 1664126 h 6858000"/>
            <a:gd name="connsiteX13255" fmla="*/ 6373504 w 12192000"/>
            <a:gd name="connsiteY13255" fmla="*/ 1664126 h 6858000"/>
            <a:gd name="connsiteX13256" fmla="*/ 6338678 w 12192000"/>
            <a:gd name="connsiteY13256" fmla="*/ 1629307 h 6858000"/>
            <a:gd name="connsiteX13257" fmla="*/ 6373504 w 12192000"/>
            <a:gd name="connsiteY13257" fmla="*/ 1594488 h 6858000"/>
            <a:gd name="connsiteX13258" fmla="*/ 6408316 w 12192000"/>
            <a:gd name="connsiteY13258" fmla="*/ 1629307 h 6858000"/>
            <a:gd name="connsiteX13259" fmla="*/ 6373504 w 12192000"/>
            <a:gd name="connsiteY13259" fmla="*/ 1664126 h 6858000"/>
            <a:gd name="connsiteX13260" fmla="*/ 6458396 w 12192000"/>
            <a:gd name="connsiteY13260" fmla="*/ 1664126 h 6858000"/>
            <a:gd name="connsiteX13261" fmla="*/ 6423570 w 12192000"/>
            <a:gd name="connsiteY13261" fmla="*/ 1629307 h 6858000"/>
            <a:gd name="connsiteX13262" fmla="*/ 6458396 w 12192000"/>
            <a:gd name="connsiteY13262" fmla="*/ 1594488 h 6858000"/>
            <a:gd name="connsiteX13263" fmla="*/ 6493208 w 12192000"/>
            <a:gd name="connsiteY13263" fmla="*/ 1629307 h 6858000"/>
            <a:gd name="connsiteX13264" fmla="*/ 6458396 w 12192000"/>
            <a:gd name="connsiteY13264" fmla="*/ 1664126 h 6858000"/>
            <a:gd name="connsiteX13265" fmla="*/ 6543288 w 12192000"/>
            <a:gd name="connsiteY13265" fmla="*/ 1664126 h 6858000"/>
            <a:gd name="connsiteX13266" fmla="*/ 6508463 w 12192000"/>
            <a:gd name="connsiteY13266" fmla="*/ 1629307 h 6858000"/>
            <a:gd name="connsiteX13267" fmla="*/ 6543288 w 12192000"/>
            <a:gd name="connsiteY13267" fmla="*/ 1594488 h 6858000"/>
            <a:gd name="connsiteX13268" fmla="*/ 6578100 w 12192000"/>
            <a:gd name="connsiteY13268" fmla="*/ 1629307 h 6858000"/>
            <a:gd name="connsiteX13269" fmla="*/ 6543288 w 12192000"/>
            <a:gd name="connsiteY13269" fmla="*/ 1664126 h 6858000"/>
            <a:gd name="connsiteX13270" fmla="*/ 6628181 w 12192000"/>
            <a:gd name="connsiteY13270" fmla="*/ 1664126 h 6858000"/>
            <a:gd name="connsiteX13271" fmla="*/ 6593356 w 12192000"/>
            <a:gd name="connsiteY13271" fmla="*/ 1629307 h 6858000"/>
            <a:gd name="connsiteX13272" fmla="*/ 6628181 w 12192000"/>
            <a:gd name="connsiteY13272" fmla="*/ 1594488 h 6858000"/>
            <a:gd name="connsiteX13273" fmla="*/ 6662994 w 12192000"/>
            <a:gd name="connsiteY13273" fmla="*/ 1629307 h 6858000"/>
            <a:gd name="connsiteX13274" fmla="*/ 6628181 w 12192000"/>
            <a:gd name="connsiteY13274" fmla="*/ 1664126 h 6858000"/>
            <a:gd name="connsiteX13275" fmla="*/ 6713074 w 12192000"/>
            <a:gd name="connsiteY13275" fmla="*/ 1664126 h 6858000"/>
            <a:gd name="connsiteX13276" fmla="*/ 6678248 w 12192000"/>
            <a:gd name="connsiteY13276" fmla="*/ 1629307 h 6858000"/>
            <a:gd name="connsiteX13277" fmla="*/ 6713074 w 12192000"/>
            <a:gd name="connsiteY13277" fmla="*/ 1594488 h 6858000"/>
            <a:gd name="connsiteX13278" fmla="*/ 6747886 w 12192000"/>
            <a:gd name="connsiteY13278" fmla="*/ 1629307 h 6858000"/>
            <a:gd name="connsiteX13279" fmla="*/ 6713074 w 12192000"/>
            <a:gd name="connsiteY13279" fmla="*/ 1664126 h 6858000"/>
            <a:gd name="connsiteX13280" fmla="*/ 6797966 w 12192000"/>
            <a:gd name="connsiteY13280" fmla="*/ 1664126 h 6858000"/>
            <a:gd name="connsiteX13281" fmla="*/ 6763140 w 12192000"/>
            <a:gd name="connsiteY13281" fmla="*/ 1629307 h 6858000"/>
            <a:gd name="connsiteX13282" fmla="*/ 6797966 w 12192000"/>
            <a:gd name="connsiteY13282" fmla="*/ 1594488 h 6858000"/>
            <a:gd name="connsiteX13283" fmla="*/ 6832778 w 12192000"/>
            <a:gd name="connsiteY13283" fmla="*/ 1629307 h 6858000"/>
            <a:gd name="connsiteX13284" fmla="*/ 6797966 w 12192000"/>
            <a:gd name="connsiteY13284" fmla="*/ 1664126 h 6858000"/>
            <a:gd name="connsiteX13285" fmla="*/ 9429633 w 12192000"/>
            <a:gd name="connsiteY13285" fmla="*/ 1664126 h 6858000"/>
            <a:gd name="connsiteX13286" fmla="*/ 9394807 w 12192000"/>
            <a:gd name="connsiteY13286" fmla="*/ 1629307 h 6858000"/>
            <a:gd name="connsiteX13287" fmla="*/ 9429633 w 12192000"/>
            <a:gd name="connsiteY13287" fmla="*/ 1594488 h 6858000"/>
            <a:gd name="connsiteX13288" fmla="*/ 9464445 w 12192000"/>
            <a:gd name="connsiteY13288" fmla="*/ 1629307 h 6858000"/>
            <a:gd name="connsiteX13289" fmla="*/ 9429633 w 12192000"/>
            <a:gd name="connsiteY13289" fmla="*/ 1664126 h 6858000"/>
            <a:gd name="connsiteX13290" fmla="*/ 9514525 w 12192000"/>
            <a:gd name="connsiteY13290" fmla="*/ 1664126 h 6858000"/>
            <a:gd name="connsiteX13291" fmla="*/ 9479699 w 12192000"/>
            <a:gd name="connsiteY13291" fmla="*/ 1629307 h 6858000"/>
            <a:gd name="connsiteX13292" fmla="*/ 9514525 w 12192000"/>
            <a:gd name="connsiteY13292" fmla="*/ 1594488 h 6858000"/>
            <a:gd name="connsiteX13293" fmla="*/ 9549337 w 12192000"/>
            <a:gd name="connsiteY13293" fmla="*/ 1629307 h 6858000"/>
            <a:gd name="connsiteX13294" fmla="*/ 9514525 w 12192000"/>
            <a:gd name="connsiteY13294" fmla="*/ 1664126 h 6858000"/>
            <a:gd name="connsiteX13295" fmla="*/ 9599418 w 12192000"/>
            <a:gd name="connsiteY13295" fmla="*/ 1664126 h 6858000"/>
            <a:gd name="connsiteX13296" fmla="*/ 9564593 w 12192000"/>
            <a:gd name="connsiteY13296" fmla="*/ 1629307 h 6858000"/>
            <a:gd name="connsiteX13297" fmla="*/ 9599418 w 12192000"/>
            <a:gd name="connsiteY13297" fmla="*/ 1594488 h 6858000"/>
            <a:gd name="connsiteX13298" fmla="*/ 9634230 w 12192000"/>
            <a:gd name="connsiteY13298" fmla="*/ 1629307 h 6858000"/>
            <a:gd name="connsiteX13299" fmla="*/ 9599418 w 12192000"/>
            <a:gd name="connsiteY13299" fmla="*/ 1664126 h 6858000"/>
            <a:gd name="connsiteX13300" fmla="*/ 9684310 w 12192000"/>
            <a:gd name="connsiteY13300" fmla="*/ 1664126 h 6858000"/>
            <a:gd name="connsiteX13301" fmla="*/ 9649485 w 12192000"/>
            <a:gd name="connsiteY13301" fmla="*/ 1629307 h 6858000"/>
            <a:gd name="connsiteX13302" fmla="*/ 9684310 w 12192000"/>
            <a:gd name="connsiteY13302" fmla="*/ 1594488 h 6858000"/>
            <a:gd name="connsiteX13303" fmla="*/ 9719123 w 12192000"/>
            <a:gd name="connsiteY13303" fmla="*/ 1629307 h 6858000"/>
            <a:gd name="connsiteX13304" fmla="*/ 9684310 w 12192000"/>
            <a:gd name="connsiteY13304" fmla="*/ 1664126 h 6858000"/>
            <a:gd name="connsiteX13305" fmla="*/ 9769203 w 12192000"/>
            <a:gd name="connsiteY13305" fmla="*/ 1664126 h 6858000"/>
            <a:gd name="connsiteX13306" fmla="*/ 9734377 w 12192000"/>
            <a:gd name="connsiteY13306" fmla="*/ 1629307 h 6858000"/>
            <a:gd name="connsiteX13307" fmla="*/ 9769203 w 12192000"/>
            <a:gd name="connsiteY13307" fmla="*/ 1594488 h 6858000"/>
            <a:gd name="connsiteX13308" fmla="*/ 9804015 w 12192000"/>
            <a:gd name="connsiteY13308" fmla="*/ 1629307 h 6858000"/>
            <a:gd name="connsiteX13309" fmla="*/ 9769203 w 12192000"/>
            <a:gd name="connsiteY13309" fmla="*/ 1664126 h 6858000"/>
            <a:gd name="connsiteX13310" fmla="*/ 9854095 w 12192000"/>
            <a:gd name="connsiteY13310" fmla="*/ 1664126 h 6858000"/>
            <a:gd name="connsiteX13311" fmla="*/ 9819269 w 12192000"/>
            <a:gd name="connsiteY13311" fmla="*/ 1629307 h 6858000"/>
            <a:gd name="connsiteX13312" fmla="*/ 9854095 w 12192000"/>
            <a:gd name="connsiteY13312" fmla="*/ 1594488 h 6858000"/>
            <a:gd name="connsiteX13313" fmla="*/ 9888907 w 12192000"/>
            <a:gd name="connsiteY13313" fmla="*/ 1629307 h 6858000"/>
            <a:gd name="connsiteX13314" fmla="*/ 9854095 w 12192000"/>
            <a:gd name="connsiteY13314" fmla="*/ 1664126 h 6858000"/>
            <a:gd name="connsiteX13315" fmla="*/ 9938988 w 12192000"/>
            <a:gd name="connsiteY13315" fmla="*/ 1664126 h 6858000"/>
            <a:gd name="connsiteX13316" fmla="*/ 9904163 w 12192000"/>
            <a:gd name="connsiteY13316" fmla="*/ 1629307 h 6858000"/>
            <a:gd name="connsiteX13317" fmla="*/ 9938988 w 12192000"/>
            <a:gd name="connsiteY13317" fmla="*/ 1594488 h 6858000"/>
            <a:gd name="connsiteX13318" fmla="*/ 9973800 w 12192000"/>
            <a:gd name="connsiteY13318" fmla="*/ 1629307 h 6858000"/>
            <a:gd name="connsiteX13319" fmla="*/ 9938988 w 12192000"/>
            <a:gd name="connsiteY13319" fmla="*/ 1664126 h 6858000"/>
            <a:gd name="connsiteX13320" fmla="*/ 10023880 w 12192000"/>
            <a:gd name="connsiteY13320" fmla="*/ 1664126 h 6858000"/>
            <a:gd name="connsiteX13321" fmla="*/ 9989055 w 12192000"/>
            <a:gd name="connsiteY13321" fmla="*/ 1629307 h 6858000"/>
            <a:gd name="connsiteX13322" fmla="*/ 10023880 w 12192000"/>
            <a:gd name="connsiteY13322" fmla="*/ 1594488 h 6858000"/>
            <a:gd name="connsiteX13323" fmla="*/ 10058693 w 12192000"/>
            <a:gd name="connsiteY13323" fmla="*/ 1629307 h 6858000"/>
            <a:gd name="connsiteX13324" fmla="*/ 10023880 w 12192000"/>
            <a:gd name="connsiteY13324" fmla="*/ 1664126 h 6858000"/>
            <a:gd name="connsiteX13325" fmla="*/ 10108773 w 12192000"/>
            <a:gd name="connsiteY13325" fmla="*/ 1664126 h 6858000"/>
            <a:gd name="connsiteX13326" fmla="*/ 10073947 w 12192000"/>
            <a:gd name="connsiteY13326" fmla="*/ 1629307 h 6858000"/>
            <a:gd name="connsiteX13327" fmla="*/ 10108773 w 12192000"/>
            <a:gd name="connsiteY13327" fmla="*/ 1594488 h 6858000"/>
            <a:gd name="connsiteX13328" fmla="*/ 10143585 w 12192000"/>
            <a:gd name="connsiteY13328" fmla="*/ 1629307 h 6858000"/>
            <a:gd name="connsiteX13329" fmla="*/ 10108773 w 12192000"/>
            <a:gd name="connsiteY13329" fmla="*/ 1664126 h 6858000"/>
            <a:gd name="connsiteX13330" fmla="*/ 10193665 w 12192000"/>
            <a:gd name="connsiteY13330" fmla="*/ 1664126 h 6858000"/>
            <a:gd name="connsiteX13331" fmla="*/ 10158839 w 12192000"/>
            <a:gd name="connsiteY13331" fmla="*/ 1629307 h 6858000"/>
            <a:gd name="connsiteX13332" fmla="*/ 10193665 w 12192000"/>
            <a:gd name="connsiteY13332" fmla="*/ 1594488 h 6858000"/>
            <a:gd name="connsiteX13333" fmla="*/ 10228477 w 12192000"/>
            <a:gd name="connsiteY13333" fmla="*/ 1629307 h 6858000"/>
            <a:gd name="connsiteX13334" fmla="*/ 10193665 w 12192000"/>
            <a:gd name="connsiteY13334" fmla="*/ 1664126 h 6858000"/>
            <a:gd name="connsiteX13335" fmla="*/ 10278558 w 12192000"/>
            <a:gd name="connsiteY13335" fmla="*/ 1664126 h 6858000"/>
            <a:gd name="connsiteX13336" fmla="*/ 10243733 w 12192000"/>
            <a:gd name="connsiteY13336" fmla="*/ 1629307 h 6858000"/>
            <a:gd name="connsiteX13337" fmla="*/ 10278558 w 12192000"/>
            <a:gd name="connsiteY13337" fmla="*/ 1594488 h 6858000"/>
            <a:gd name="connsiteX13338" fmla="*/ 10313370 w 12192000"/>
            <a:gd name="connsiteY13338" fmla="*/ 1629307 h 6858000"/>
            <a:gd name="connsiteX13339" fmla="*/ 10278558 w 12192000"/>
            <a:gd name="connsiteY13339" fmla="*/ 1664126 h 6858000"/>
            <a:gd name="connsiteX13340" fmla="*/ 10363450 w 12192000"/>
            <a:gd name="connsiteY13340" fmla="*/ 1664126 h 6858000"/>
            <a:gd name="connsiteX13341" fmla="*/ 10328625 w 12192000"/>
            <a:gd name="connsiteY13341" fmla="*/ 1629307 h 6858000"/>
            <a:gd name="connsiteX13342" fmla="*/ 10363450 w 12192000"/>
            <a:gd name="connsiteY13342" fmla="*/ 1594488 h 6858000"/>
            <a:gd name="connsiteX13343" fmla="*/ 10398263 w 12192000"/>
            <a:gd name="connsiteY13343" fmla="*/ 1629307 h 6858000"/>
            <a:gd name="connsiteX13344" fmla="*/ 10363450 w 12192000"/>
            <a:gd name="connsiteY13344" fmla="*/ 1664126 h 6858000"/>
            <a:gd name="connsiteX13345" fmla="*/ 10448343 w 12192000"/>
            <a:gd name="connsiteY13345" fmla="*/ 1664126 h 6858000"/>
            <a:gd name="connsiteX13346" fmla="*/ 10413517 w 12192000"/>
            <a:gd name="connsiteY13346" fmla="*/ 1629307 h 6858000"/>
            <a:gd name="connsiteX13347" fmla="*/ 10448343 w 12192000"/>
            <a:gd name="connsiteY13347" fmla="*/ 1594488 h 6858000"/>
            <a:gd name="connsiteX13348" fmla="*/ 10483155 w 12192000"/>
            <a:gd name="connsiteY13348" fmla="*/ 1629307 h 6858000"/>
            <a:gd name="connsiteX13349" fmla="*/ 10448343 w 12192000"/>
            <a:gd name="connsiteY13349" fmla="*/ 1664126 h 6858000"/>
            <a:gd name="connsiteX13350" fmla="*/ 10533235 w 12192000"/>
            <a:gd name="connsiteY13350" fmla="*/ 1664126 h 6858000"/>
            <a:gd name="connsiteX13351" fmla="*/ 10498409 w 12192000"/>
            <a:gd name="connsiteY13351" fmla="*/ 1629307 h 6858000"/>
            <a:gd name="connsiteX13352" fmla="*/ 10533235 w 12192000"/>
            <a:gd name="connsiteY13352" fmla="*/ 1594488 h 6858000"/>
            <a:gd name="connsiteX13353" fmla="*/ 10568047 w 12192000"/>
            <a:gd name="connsiteY13353" fmla="*/ 1629307 h 6858000"/>
            <a:gd name="connsiteX13354" fmla="*/ 10533235 w 12192000"/>
            <a:gd name="connsiteY13354" fmla="*/ 1664126 h 6858000"/>
            <a:gd name="connsiteX13355" fmla="*/ 10618128 w 12192000"/>
            <a:gd name="connsiteY13355" fmla="*/ 1664126 h 6858000"/>
            <a:gd name="connsiteX13356" fmla="*/ 10583303 w 12192000"/>
            <a:gd name="connsiteY13356" fmla="*/ 1629307 h 6858000"/>
            <a:gd name="connsiteX13357" fmla="*/ 10618128 w 12192000"/>
            <a:gd name="connsiteY13357" fmla="*/ 1594488 h 6858000"/>
            <a:gd name="connsiteX13358" fmla="*/ 10652940 w 12192000"/>
            <a:gd name="connsiteY13358" fmla="*/ 1629307 h 6858000"/>
            <a:gd name="connsiteX13359" fmla="*/ 10618128 w 12192000"/>
            <a:gd name="connsiteY13359" fmla="*/ 1664126 h 6858000"/>
            <a:gd name="connsiteX13360" fmla="*/ 3741833 w 12192000"/>
            <a:gd name="connsiteY13360" fmla="*/ 1579266 h 6858000"/>
            <a:gd name="connsiteX13361" fmla="*/ 3707014 w 12192000"/>
            <a:gd name="connsiteY13361" fmla="*/ 1544447 h 6858000"/>
            <a:gd name="connsiteX13362" fmla="*/ 3741833 w 12192000"/>
            <a:gd name="connsiteY13362" fmla="*/ 1509629 h 6858000"/>
            <a:gd name="connsiteX13363" fmla="*/ 3776652 w 12192000"/>
            <a:gd name="connsiteY13363" fmla="*/ 1544447 h 6858000"/>
            <a:gd name="connsiteX13364" fmla="*/ 3741833 w 12192000"/>
            <a:gd name="connsiteY13364" fmla="*/ 1579266 h 6858000"/>
            <a:gd name="connsiteX13365" fmla="*/ 3826726 w 12192000"/>
            <a:gd name="connsiteY13365" fmla="*/ 1579266 h 6858000"/>
            <a:gd name="connsiteX13366" fmla="*/ 3791907 w 12192000"/>
            <a:gd name="connsiteY13366" fmla="*/ 1544447 h 6858000"/>
            <a:gd name="connsiteX13367" fmla="*/ 3826726 w 12192000"/>
            <a:gd name="connsiteY13367" fmla="*/ 1509629 h 6858000"/>
            <a:gd name="connsiteX13368" fmla="*/ 3861544 w 12192000"/>
            <a:gd name="connsiteY13368" fmla="*/ 1544447 h 6858000"/>
            <a:gd name="connsiteX13369" fmla="*/ 3826726 w 12192000"/>
            <a:gd name="connsiteY13369" fmla="*/ 1579266 h 6858000"/>
            <a:gd name="connsiteX13370" fmla="*/ 3911618 w 12192000"/>
            <a:gd name="connsiteY13370" fmla="*/ 1579266 h 6858000"/>
            <a:gd name="connsiteX13371" fmla="*/ 3876799 w 12192000"/>
            <a:gd name="connsiteY13371" fmla="*/ 1544447 h 6858000"/>
            <a:gd name="connsiteX13372" fmla="*/ 3911618 w 12192000"/>
            <a:gd name="connsiteY13372" fmla="*/ 1509629 h 6858000"/>
            <a:gd name="connsiteX13373" fmla="*/ 3946437 w 12192000"/>
            <a:gd name="connsiteY13373" fmla="*/ 1544447 h 6858000"/>
            <a:gd name="connsiteX13374" fmla="*/ 3911618 w 12192000"/>
            <a:gd name="connsiteY13374" fmla="*/ 1579266 h 6858000"/>
            <a:gd name="connsiteX13375" fmla="*/ 3996511 w 12192000"/>
            <a:gd name="connsiteY13375" fmla="*/ 1579266 h 6858000"/>
            <a:gd name="connsiteX13376" fmla="*/ 3961692 w 12192000"/>
            <a:gd name="connsiteY13376" fmla="*/ 1544447 h 6858000"/>
            <a:gd name="connsiteX13377" fmla="*/ 3996511 w 12192000"/>
            <a:gd name="connsiteY13377" fmla="*/ 1509629 h 6858000"/>
            <a:gd name="connsiteX13378" fmla="*/ 4031330 w 12192000"/>
            <a:gd name="connsiteY13378" fmla="*/ 1544447 h 6858000"/>
            <a:gd name="connsiteX13379" fmla="*/ 3996511 w 12192000"/>
            <a:gd name="connsiteY13379" fmla="*/ 1579266 h 6858000"/>
            <a:gd name="connsiteX13380" fmla="*/ 4081403 w 12192000"/>
            <a:gd name="connsiteY13380" fmla="*/ 1579266 h 6858000"/>
            <a:gd name="connsiteX13381" fmla="*/ 4046584 w 12192000"/>
            <a:gd name="connsiteY13381" fmla="*/ 1544447 h 6858000"/>
            <a:gd name="connsiteX13382" fmla="*/ 4081403 w 12192000"/>
            <a:gd name="connsiteY13382" fmla="*/ 1509629 h 6858000"/>
            <a:gd name="connsiteX13383" fmla="*/ 4116222 w 12192000"/>
            <a:gd name="connsiteY13383" fmla="*/ 1544447 h 6858000"/>
            <a:gd name="connsiteX13384" fmla="*/ 4081403 w 12192000"/>
            <a:gd name="connsiteY13384" fmla="*/ 1579266 h 6858000"/>
            <a:gd name="connsiteX13385" fmla="*/ 4166296 w 12192000"/>
            <a:gd name="connsiteY13385" fmla="*/ 1579266 h 6858000"/>
            <a:gd name="connsiteX13386" fmla="*/ 4131477 w 12192000"/>
            <a:gd name="connsiteY13386" fmla="*/ 1544447 h 6858000"/>
            <a:gd name="connsiteX13387" fmla="*/ 4166296 w 12192000"/>
            <a:gd name="connsiteY13387" fmla="*/ 1509629 h 6858000"/>
            <a:gd name="connsiteX13388" fmla="*/ 4201114 w 12192000"/>
            <a:gd name="connsiteY13388" fmla="*/ 1544447 h 6858000"/>
            <a:gd name="connsiteX13389" fmla="*/ 4166296 w 12192000"/>
            <a:gd name="connsiteY13389" fmla="*/ 1579266 h 6858000"/>
            <a:gd name="connsiteX13390" fmla="*/ 4251188 w 12192000"/>
            <a:gd name="connsiteY13390" fmla="*/ 1579266 h 6858000"/>
            <a:gd name="connsiteX13391" fmla="*/ 4216369 w 12192000"/>
            <a:gd name="connsiteY13391" fmla="*/ 1544447 h 6858000"/>
            <a:gd name="connsiteX13392" fmla="*/ 4251188 w 12192000"/>
            <a:gd name="connsiteY13392" fmla="*/ 1509629 h 6858000"/>
            <a:gd name="connsiteX13393" fmla="*/ 4286007 w 12192000"/>
            <a:gd name="connsiteY13393" fmla="*/ 1544447 h 6858000"/>
            <a:gd name="connsiteX13394" fmla="*/ 4251188 w 12192000"/>
            <a:gd name="connsiteY13394" fmla="*/ 1579266 h 6858000"/>
            <a:gd name="connsiteX13395" fmla="*/ 6458396 w 12192000"/>
            <a:gd name="connsiteY13395" fmla="*/ 1579266 h 6858000"/>
            <a:gd name="connsiteX13396" fmla="*/ 6423570 w 12192000"/>
            <a:gd name="connsiteY13396" fmla="*/ 1544447 h 6858000"/>
            <a:gd name="connsiteX13397" fmla="*/ 6458396 w 12192000"/>
            <a:gd name="connsiteY13397" fmla="*/ 1509629 h 6858000"/>
            <a:gd name="connsiteX13398" fmla="*/ 6493208 w 12192000"/>
            <a:gd name="connsiteY13398" fmla="*/ 1544447 h 6858000"/>
            <a:gd name="connsiteX13399" fmla="*/ 6458396 w 12192000"/>
            <a:gd name="connsiteY13399" fmla="*/ 1579266 h 6858000"/>
            <a:gd name="connsiteX13400" fmla="*/ 6543288 w 12192000"/>
            <a:gd name="connsiteY13400" fmla="*/ 1579266 h 6858000"/>
            <a:gd name="connsiteX13401" fmla="*/ 6508463 w 12192000"/>
            <a:gd name="connsiteY13401" fmla="*/ 1544447 h 6858000"/>
            <a:gd name="connsiteX13402" fmla="*/ 6543288 w 12192000"/>
            <a:gd name="connsiteY13402" fmla="*/ 1509629 h 6858000"/>
            <a:gd name="connsiteX13403" fmla="*/ 6578100 w 12192000"/>
            <a:gd name="connsiteY13403" fmla="*/ 1544447 h 6858000"/>
            <a:gd name="connsiteX13404" fmla="*/ 6543288 w 12192000"/>
            <a:gd name="connsiteY13404" fmla="*/ 1579266 h 6858000"/>
            <a:gd name="connsiteX13405" fmla="*/ 6628181 w 12192000"/>
            <a:gd name="connsiteY13405" fmla="*/ 1579266 h 6858000"/>
            <a:gd name="connsiteX13406" fmla="*/ 6593356 w 12192000"/>
            <a:gd name="connsiteY13406" fmla="*/ 1544447 h 6858000"/>
            <a:gd name="connsiteX13407" fmla="*/ 6628181 w 12192000"/>
            <a:gd name="connsiteY13407" fmla="*/ 1509629 h 6858000"/>
            <a:gd name="connsiteX13408" fmla="*/ 6662994 w 12192000"/>
            <a:gd name="connsiteY13408" fmla="*/ 1544447 h 6858000"/>
            <a:gd name="connsiteX13409" fmla="*/ 6628181 w 12192000"/>
            <a:gd name="connsiteY13409" fmla="*/ 1579266 h 6858000"/>
            <a:gd name="connsiteX13410" fmla="*/ 6713074 w 12192000"/>
            <a:gd name="connsiteY13410" fmla="*/ 1579266 h 6858000"/>
            <a:gd name="connsiteX13411" fmla="*/ 6678248 w 12192000"/>
            <a:gd name="connsiteY13411" fmla="*/ 1544447 h 6858000"/>
            <a:gd name="connsiteX13412" fmla="*/ 6713074 w 12192000"/>
            <a:gd name="connsiteY13412" fmla="*/ 1509629 h 6858000"/>
            <a:gd name="connsiteX13413" fmla="*/ 6747886 w 12192000"/>
            <a:gd name="connsiteY13413" fmla="*/ 1544447 h 6858000"/>
            <a:gd name="connsiteX13414" fmla="*/ 6713074 w 12192000"/>
            <a:gd name="connsiteY13414" fmla="*/ 1579266 h 6858000"/>
            <a:gd name="connsiteX13415" fmla="*/ 9429633 w 12192000"/>
            <a:gd name="connsiteY13415" fmla="*/ 1579266 h 6858000"/>
            <a:gd name="connsiteX13416" fmla="*/ 9394807 w 12192000"/>
            <a:gd name="connsiteY13416" fmla="*/ 1544447 h 6858000"/>
            <a:gd name="connsiteX13417" fmla="*/ 9429633 w 12192000"/>
            <a:gd name="connsiteY13417" fmla="*/ 1509629 h 6858000"/>
            <a:gd name="connsiteX13418" fmla="*/ 9464445 w 12192000"/>
            <a:gd name="connsiteY13418" fmla="*/ 1544447 h 6858000"/>
            <a:gd name="connsiteX13419" fmla="*/ 9429633 w 12192000"/>
            <a:gd name="connsiteY13419" fmla="*/ 1579266 h 6858000"/>
            <a:gd name="connsiteX13420" fmla="*/ 9514525 w 12192000"/>
            <a:gd name="connsiteY13420" fmla="*/ 1579266 h 6858000"/>
            <a:gd name="connsiteX13421" fmla="*/ 9479699 w 12192000"/>
            <a:gd name="connsiteY13421" fmla="*/ 1544447 h 6858000"/>
            <a:gd name="connsiteX13422" fmla="*/ 9514525 w 12192000"/>
            <a:gd name="connsiteY13422" fmla="*/ 1509629 h 6858000"/>
            <a:gd name="connsiteX13423" fmla="*/ 9549337 w 12192000"/>
            <a:gd name="connsiteY13423" fmla="*/ 1544447 h 6858000"/>
            <a:gd name="connsiteX13424" fmla="*/ 9514525 w 12192000"/>
            <a:gd name="connsiteY13424" fmla="*/ 1579266 h 6858000"/>
            <a:gd name="connsiteX13425" fmla="*/ 9599418 w 12192000"/>
            <a:gd name="connsiteY13425" fmla="*/ 1579266 h 6858000"/>
            <a:gd name="connsiteX13426" fmla="*/ 9564593 w 12192000"/>
            <a:gd name="connsiteY13426" fmla="*/ 1544447 h 6858000"/>
            <a:gd name="connsiteX13427" fmla="*/ 9599418 w 12192000"/>
            <a:gd name="connsiteY13427" fmla="*/ 1509629 h 6858000"/>
            <a:gd name="connsiteX13428" fmla="*/ 9634230 w 12192000"/>
            <a:gd name="connsiteY13428" fmla="*/ 1544447 h 6858000"/>
            <a:gd name="connsiteX13429" fmla="*/ 9599418 w 12192000"/>
            <a:gd name="connsiteY13429" fmla="*/ 1579266 h 6858000"/>
            <a:gd name="connsiteX13430" fmla="*/ 9684310 w 12192000"/>
            <a:gd name="connsiteY13430" fmla="*/ 1579266 h 6858000"/>
            <a:gd name="connsiteX13431" fmla="*/ 9649485 w 12192000"/>
            <a:gd name="connsiteY13431" fmla="*/ 1544447 h 6858000"/>
            <a:gd name="connsiteX13432" fmla="*/ 9684310 w 12192000"/>
            <a:gd name="connsiteY13432" fmla="*/ 1509629 h 6858000"/>
            <a:gd name="connsiteX13433" fmla="*/ 9719123 w 12192000"/>
            <a:gd name="connsiteY13433" fmla="*/ 1544447 h 6858000"/>
            <a:gd name="connsiteX13434" fmla="*/ 9684310 w 12192000"/>
            <a:gd name="connsiteY13434" fmla="*/ 1579266 h 6858000"/>
            <a:gd name="connsiteX13435" fmla="*/ 9769203 w 12192000"/>
            <a:gd name="connsiteY13435" fmla="*/ 1579266 h 6858000"/>
            <a:gd name="connsiteX13436" fmla="*/ 9734377 w 12192000"/>
            <a:gd name="connsiteY13436" fmla="*/ 1544447 h 6858000"/>
            <a:gd name="connsiteX13437" fmla="*/ 9769203 w 12192000"/>
            <a:gd name="connsiteY13437" fmla="*/ 1509629 h 6858000"/>
            <a:gd name="connsiteX13438" fmla="*/ 9804015 w 12192000"/>
            <a:gd name="connsiteY13438" fmla="*/ 1544447 h 6858000"/>
            <a:gd name="connsiteX13439" fmla="*/ 9769203 w 12192000"/>
            <a:gd name="connsiteY13439" fmla="*/ 1579266 h 6858000"/>
            <a:gd name="connsiteX13440" fmla="*/ 9854095 w 12192000"/>
            <a:gd name="connsiteY13440" fmla="*/ 1579266 h 6858000"/>
            <a:gd name="connsiteX13441" fmla="*/ 9819269 w 12192000"/>
            <a:gd name="connsiteY13441" fmla="*/ 1544447 h 6858000"/>
            <a:gd name="connsiteX13442" fmla="*/ 9854095 w 12192000"/>
            <a:gd name="connsiteY13442" fmla="*/ 1509629 h 6858000"/>
            <a:gd name="connsiteX13443" fmla="*/ 9888907 w 12192000"/>
            <a:gd name="connsiteY13443" fmla="*/ 1544447 h 6858000"/>
            <a:gd name="connsiteX13444" fmla="*/ 9854095 w 12192000"/>
            <a:gd name="connsiteY13444" fmla="*/ 1579266 h 6858000"/>
            <a:gd name="connsiteX13445" fmla="*/ 9938988 w 12192000"/>
            <a:gd name="connsiteY13445" fmla="*/ 1579266 h 6858000"/>
            <a:gd name="connsiteX13446" fmla="*/ 9904163 w 12192000"/>
            <a:gd name="connsiteY13446" fmla="*/ 1544447 h 6858000"/>
            <a:gd name="connsiteX13447" fmla="*/ 9938988 w 12192000"/>
            <a:gd name="connsiteY13447" fmla="*/ 1509629 h 6858000"/>
            <a:gd name="connsiteX13448" fmla="*/ 9973800 w 12192000"/>
            <a:gd name="connsiteY13448" fmla="*/ 1544447 h 6858000"/>
            <a:gd name="connsiteX13449" fmla="*/ 9938988 w 12192000"/>
            <a:gd name="connsiteY13449" fmla="*/ 1579266 h 6858000"/>
            <a:gd name="connsiteX13450" fmla="*/ 10023880 w 12192000"/>
            <a:gd name="connsiteY13450" fmla="*/ 1579266 h 6858000"/>
            <a:gd name="connsiteX13451" fmla="*/ 9989055 w 12192000"/>
            <a:gd name="connsiteY13451" fmla="*/ 1544447 h 6858000"/>
            <a:gd name="connsiteX13452" fmla="*/ 10023880 w 12192000"/>
            <a:gd name="connsiteY13452" fmla="*/ 1509629 h 6858000"/>
            <a:gd name="connsiteX13453" fmla="*/ 10058693 w 12192000"/>
            <a:gd name="connsiteY13453" fmla="*/ 1544447 h 6858000"/>
            <a:gd name="connsiteX13454" fmla="*/ 10023880 w 12192000"/>
            <a:gd name="connsiteY13454" fmla="*/ 1579266 h 6858000"/>
            <a:gd name="connsiteX13455" fmla="*/ 10108773 w 12192000"/>
            <a:gd name="connsiteY13455" fmla="*/ 1579266 h 6858000"/>
            <a:gd name="connsiteX13456" fmla="*/ 10073947 w 12192000"/>
            <a:gd name="connsiteY13456" fmla="*/ 1544447 h 6858000"/>
            <a:gd name="connsiteX13457" fmla="*/ 10108773 w 12192000"/>
            <a:gd name="connsiteY13457" fmla="*/ 1509629 h 6858000"/>
            <a:gd name="connsiteX13458" fmla="*/ 10143585 w 12192000"/>
            <a:gd name="connsiteY13458" fmla="*/ 1544447 h 6858000"/>
            <a:gd name="connsiteX13459" fmla="*/ 10108773 w 12192000"/>
            <a:gd name="connsiteY13459" fmla="*/ 1579266 h 6858000"/>
            <a:gd name="connsiteX13460" fmla="*/ 10193665 w 12192000"/>
            <a:gd name="connsiteY13460" fmla="*/ 1579266 h 6858000"/>
            <a:gd name="connsiteX13461" fmla="*/ 10158839 w 12192000"/>
            <a:gd name="connsiteY13461" fmla="*/ 1544447 h 6858000"/>
            <a:gd name="connsiteX13462" fmla="*/ 10193665 w 12192000"/>
            <a:gd name="connsiteY13462" fmla="*/ 1509629 h 6858000"/>
            <a:gd name="connsiteX13463" fmla="*/ 10228477 w 12192000"/>
            <a:gd name="connsiteY13463" fmla="*/ 1544447 h 6858000"/>
            <a:gd name="connsiteX13464" fmla="*/ 10193665 w 12192000"/>
            <a:gd name="connsiteY13464" fmla="*/ 1579266 h 6858000"/>
            <a:gd name="connsiteX13465" fmla="*/ 10278558 w 12192000"/>
            <a:gd name="connsiteY13465" fmla="*/ 1579266 h 6858000"/>
            <a:gd name="connsiteX13466" fmla="*/ 10243733 w 12192000"/>
            <a:gd name="connsiteY13466" fmla="*/ 1544447 h 6858000"/>
            <a:gd name="connsiteX13467" fmla="*/ 10278558 w 12192000"/>
            <a:gd name="connsiteY13467" fmla="*/ 1509629 h 6858000"/>
            <a:gd name="connsiteX13468" fmla="*/ 10313370 w 12192000"/>
            <a:gd name="connsiteY13468" fmla="*/ 1544447 h 6858000"/>
            <a:gd name="connsiteX13469" fmla="*/ 10278558 w 12192000"/>
            <a:gd name="connsiteY13469" fmla="*/ 1579266 h 6858000"/>
            <a:gd name="connsiteX13470" fmla="*/ 10363450 w 12192000"/>
            <a:gd name="connsiteY13470" fmla="*/ 1579266 h 6858000"/>
            <a:gd name="connsiteX13471" fmla="*/ 10328625 w 12192000"/>
            <a:gd name="connsiteY13471" fmla="*/ 1544447 h 6858000"/>
            <a:gd name="connsiteX13472" fmla="*/ 10363450 w 12192000"/>
            <a:gd name="connsiteY13472" fmla="*/ 1509629 h 6858000"/>
            <a:gd name="connsiteX13473" fmla="*/ 10398263 w 12192000"/>
            <a:gd name="connsiteY13473" fmla="*/ 1544447 h 6858000"/>
            <a:gd name="connsiteX13474" fmla="*/ 10363450 w 12192000"/>
            <a:gd name="connsiteY13474" fmla="*/ 1579266 h 6858000"/>
            <a:gd name="connsiteX13475" fmla="*/ 10448343 w 12192000"/>
            <a:gd name="connsiteY13475" fmla="*/ 1579266 h 6858000"/>
            <a:gd name="connsiteX13476" fmla="*/ 10413517 w 12192000"/>
            <a:gd name="connsiteY13476" fmla="*/ 1544447 h 6858000"/>
            <a:gd name="connsiteX13477" fmla="*/ 10448343 w 12192000"/>
            <a:gd name="connsiteY13477" fmla="*/ 1509629 h 6858000"/>
            <a:gd name="connsiteX13478" fmla="*/ 10483155 w 12192000"/>
            <a:gd name="connsiteY13478" fmla="*/ 1544447 h 6858000"/>
            <a:gd name="connsiteX13479" fmla="*/ 10448343 w 12192000"/>
            <a:gd name="connsiteY13479" fmla="*/ 1579266 h 6858000"/>
            <a:gd name="connsiteX13480" fmla="*/ 10533235 w 12192000"/>
            <a:gd name="connsiteY13480" fmla="*/ 1579266 h 6858000"/>
            <a:gd name="connsiteX13481" fmla="*/ 10498409 w 12192000"/>
            <a:gd name="connsiteY13481" fmla="*/ 1544447 h 6858000"/>
            <a:gd name="connsiteX13482" fmla="*/ 10533235 w 12192000"/>
            <a:gd name="connsiteY13482" fmla="*/ 1509629 h 6858000"/>
            <a:gd name="connsiteX13483" fmla="*/ 10568047 w 12192000"/>
            <a:gd name="connsiteY13483" fmla="*/ 1544447 h 6858000"/>
            <a:gd name="connsiteX13484" fmla="*/ 10533235 w 12192000"/>
            <a:gd name="connsiteY13484" fmla="*/ 1579266 h 6858000"/>
            <a:gd name="connsiteX13485" fmla="*/ 10618128 w 12192000"/>
            <a:gd name="connsiteY13485" fmla="*/ 1579266 h 6858000"/>
            <a:gd name="connsiteX13486" fmla="*/ 10583303 w 12192000"/>
            <a:gd name="connsiteY13486" fmla="*/ 1544447 h 6858000"/>
            <a:gd name="connsiteX13487" fmla="*/ 10618128 w 12192000"/>
            <a:gd name="connsiteY13487" fmla="*/ 1509629 h 6858000"/>
            <a:gd name="connsiteX13488" fmla="*/ 10652940 w 12192000"/>
            <a:gd name="connsiteY13488" fmla="*/ 1544447 h 6858000"/>
            <a:gd name="connsiteX13489" fmla="*/ 10618128 w 12192000"/>
            <a:gd name="connsiteY13489" fmla="*/ 1579266 h 6858000"/>
            <a:gd name="connsiteX13490" fmla="*/ 3741833 w 12192000"/>
            <a:gd name="connsiteY13490" fmla="*/ 1494406 h 6858000"/>
            <a:gd name="connsiteX13491" fmla="*/ 3707014 w 12192000"/>
            <a:gd name="connsiteY13491" fmla="*/ 1459588 h 6858000"/>
            <a:gd name="connsiteX13492" fmla="*/ 3741833 w 12192000"/>
            <a:gd name="connsiteY13492" fmla="*/ 1424769 h 6858000"/>
            <a:gd name="connsiteX13493" fmla="*/ 3776652 w 12192000"/>
            <a:gd name="connsiteY13493" fmla="*/ 1459588 h 6858000"/>
            <a:gd name="connsiteX13494" fmla="*/ 3741833 w 12192000"/>
            <a:gd name="connsiteY13494" fmla="*/ 1494406 h 6858000"/>
            <a:gd name="connsiteX13495" fmla="*/ 3826726 w 12192000"/>
            <a:gd name="connsiteY13495" fmla="*/ 1494406 h 6858000"/>
            <a:gd name="connsiteX13496" fmla="*/ 3791907 w 12192000"/>
            <a:gd name="connsiteY13496" fmla="*/ 1459588 h 6858000"/>
            <a:gd name="connsiteX13497" fmla="*/ 3826726 w 12192000"/>
            <a:gd name="connsiteY13497" fmla="*/ 1424769 h 6858000"/>
            <a:gd name="connsiteX13498" fmla="*/ 3861544 w 12192000"/>
            <a:gd name="connsiteY13498" fmla="*/ 1459588 h 6858000"/>
            <a:gd name="connsiteX13499" fmla="*/ 3826726 w 12192000"/>
            <a:gd name="connsiteY13499" fmla="*/ 1494406 h 6858000"/>
            <a:gd name="connsiteX13500" fmla="*/ 3911618 w 12192000"/>
            <a:gd name="connsiteY13500" fmla="*/ 1494406 h 6858000"/>
            <a:gd name="connsiteX13501" fmla="*/ 3876799 w 12192000"/>
            <a:gd name="connsiteY13501" fmla="*/ 1459588 h 6858000"/>
            <a:gd name="connsiteX13502" fmla="*/ 3911618 w 12192000"/>
            <a:gd name="connsiteY13502" fmla="*/ 1424769 h 6858000"/>
            <a:gd name="connsiteX13503" fmla="*/ 3946437 w 12192000"/>
            <a:gd name="connsiteY13503" fmla="*/ 1459588 h 6858000"/>
            <a:gd name="connsiteX13504" fmla="*/ 3911618 w 12192000"/>
            <a:gd name="connsiteY13504" fmla="*/ 1494406 h 6858000"/>
            <a:gd name="connsiteX13505" fmla="*/ 3996511 w 12192000"/>
            <a:gd name="connsiteY13505" fmla="*/ 1494406 h 6858000"/>
            <a:gd name="connsiteX13506" fmla="*/ 3961692 w 12192000"/>
            <a:gd name="connsiteY13506" fmla="*/ 1459588 h 6858000"/>
            <a:gd name="connsiteX13507" fmla="*/ 3996511 w 12192000"/>
            <a:gd name="connsiteY13507" fmla="*/ 1424769 h 6858000"/>
            <a:gd name="connsiteX13508" fmla="*/ 4031330 w 12192000"/>
            <a:gd name="connsiteY13508" fmla="*/ 1459588 h 6858000"/>
            <a:gd name="connsiteX13509" fmla="*/ 3996511 w 12192000"/>
            <a:gd name="connsiteY13509" fmla="*/ 1494406 h 6858000"/>
            <a:gd name="connsiteX13510" fmla="*/ 4081403 w 12192000"/>
            <a:gd name="connsiteY13510" fmla="*/ 1494406 h 6858000"/>
            <a:gd name="connsiteX13511" fmla="*/ 4046584 w 12192000"/>
            <a:gd name="connsiteY13511" fmla="*/ 1459588 h 6858000"/>
            <a:gd name="connsiteX13512" fmla="*/ 4081403 w 12192000"/>
            <a:gd name="connsiteY13512" fmla="*/ 1424769 h 6858000"/>
            <a:gd name="connsiteX13513" fmla="*/ 4116222 w 12192000"/>
            <a:gd name="connsiteY13513" fmla="*/ 1459588 h 6858000"/>
            <a:gd name="connsiteX13514" fmla="*/ 4081403 w 12192000"/>
            <a:gd name="connsiteY13514" fmla="*/ 1494406 h 6858000"/>
            <a:gd name="connsiteX13515" fmla="*/ 4166296 w 12192000"/>
            <a:gd name="connsiteY13515" fmla="*/ 1494406 h 6858000"/>
            <a:gd name="connsiteX13516" fmla="*/ 4131477 w 12192000"/>
            <a:gd name="connsiteY13516" fmla="*/ 1459588 h 6858000"/>
            <a:gd name="connsiteX13517" fmla="*/ 4166296 w 12192000"/>
            <a:gd name="connsiteY13517" fmla="*/ 1424769 h 6858000"/>
            <a:gd name="connsiteX13518" fmla="*/ 4201114 w 12192000"/>
            <a:gd name="connsiteY13518" fmla="*/ 1459588 h 6858000"/>
            <a:gd name="connsiteX13519" fmla="*/ 4166296 w 12192000"/>
            <a:gd name="connsiteY13519" fmla="*/ 1494406 h 6858000"/>
            <a:gd name="connsiteX13520" fmla="*/ 4251188 w 12192000"/>
            <a:gd name="connsiteY13520" fmla="*/ 1494406 h 6858000"/>
            <a:gd name="connsiteX13521" fmla="*/ 4216369 w 12192000"/>
            <a:gd name="connsiteY13521" fmla="*/ 1459588 h 6858000"/>
            <a:gd name="connsiteX13522" fmla="*/ 4251188 w 12192000"/>
            <a:gd name="connsiteY13522" fmla="*/ 1424769 h 6858000"/>
            <a:gd name="connsiteX13523" fmla="*/ 4286007 w 12192000"/>
            <a:gd name="connsiteY13523" fmla="*/ 1459588 h 6858000"/>
            <a:gd name="connsiteX13524" fmla="*/ 4251188 w 12192000"/>
            <a:gd name="connsiteY13524" fmla="*/ 1494406 h 6858000"/>
            <a:gd name="connsiteX13525" fmla="*/ 6458396 w 12192000"/>
            <a:gd name="connsiteY13525" fmla="*/ 1494406 h 6858000"/>
            <a:gd name="connsiteX13526" fmla="*/ 6423570 w 12192000"/>
            <a:gd name="connsiteY13526" fmla="*/ 1459588 h 6858000"/>
            <a:gd name="connsiteX13527" fmla="*/ 6458396 w 12192000"/>
            <a:gd name="connsiteY13527" fmla="*/ 1424769 h 6858000"/>
            <a:gd name="connsiteX13528" fmla="*/ 6493208 w 12192000"/>
            <a:gd name="connsiteY13528" fmla="*/ 1459588 h 6858000"/>
            <a:gd name="connsiteX13529" fmla="*/ 6458396 w 12192000"/>
            <a:gd name="connsiteY13529" fmla="*/ 1494406 h 6858000"/>
            <a:gd name="connsiteX13530" fmla="*/ 6543288 w 12192000"/>
            <a:gd name="connsiteY13530" fmla="*/ 1494406 h 6858000"/>
            <a:gd name="connsiteX13531" fmla="*/ 6508463 w 12192000"/>
            <a:gd name="connsiteY13531" fmla="*/ 1459588 h 6858000"/>
            <a:gd name="connsiteX13532" fmla="*/ 6543288 w 12192000"/>
            <a:gd name="connsiteY13532" fmla="*/ 1424769 h 6858000"/>
            <a:gd name="connsiteX13533" fmla="*/ 6578100 w 12192000"/>
            <a:gd name="connsiteY13533" fmla="*/ 1459588 h 6858000"/>
            <a:gd name="connsiteX13534" fmla="*/ 6543288 w 12192000"/>
            <a:gd name="connsiteY13534" fmla="*/ 1494406 h 6858000"/>
            <a:gd name="connsiteX13535" fmla="*/ 6628181 w 12192000"/>
            <a:gd name="connsiteY13535" fmla="*/ 1494406 h 6858000"/>
            <a:gd name="connsiteX13536" fmla="*/ 6593356 w 12192000"/>
            <a:gd name="connsiteY13536" fmla="*/ 1459588 h 6858000"/>
            <a:gd name="connsiteX13537" fmla="*/ 6628181 w 12192000"/>
            <a:gd name="connsiteY13537" fmla="*/ 1424769 h 6858000"/>
            <a:gd name="connsiteX13538" fmla="*/ 6662994 w 12192000"/>
            <a:gd name="connsiteY13538" fmla="*/ 1459588 h 6858000"/>
            <a:gd name="connsiteX13539" fmla="*/ 6628181 w 12192000"/>
            <a:gd name="connsiteY13539" fmla="*/ 1494406 h 6858000"/>
            <a:gd name="connsiteX13540" fmla="*/ 9429633 w 12192000"/>
            <a:gd name="connsiteY13540" fmla="*/ 1494406 h 6858000"/>
            <a:gd name="connsiteX13541" fmla="*/ 9394807 w 12192000"/>
            <a:gd name="connsiteY13541" fmla="*/ 1459588 h 6858000"/>
            <a:gd name="connsiteX13542" fmla="*/ 9429633 w 12192000"/>
            <a:gd name="connsiteY13542" fmla="*/ 1424769 h 6858000"/>
            <a:gd name="connsiteX13543" fmla="*/ 9464445 w 12192000"/>
            <a:gd name="connsiteY13543" fmla="*/ 1459588 h 6858000"/>
            <a:gd name="connsiteX13544" fmla="*/ 9429633 w 12192000"/>
            <a:gd name="connsiteY13544" fmla="*/ 1494406 h 6858000"/>
            <a:gd name="connsiteX13545" fmla="*/ 9514525 w 12192000"/>
            <a:gd name="connsiteY13545" fmla="*/ 1494406 h 6858000"/>
            <a:gd name="connsiteX13546" fmla="*/ 9479699 w 12192000"/>
            <a:gd name="connsiteY13546" fmla="*/ 1459588 h 6858000"/>
            <a:gd name="connsiteX13547" fmla="*/ 9514525 w 12192000"/>
            <a:gd name="connsiteY13547" fmla="*/ 1424769 h 6858000"/>
            <a:gd name="connsiteX13548" fmla="*/ 9549337 w 12192000"/>
            <a:gd name="connsiteY13548" fmla="*/ 1459588 h 6858000"/>
            <a:gd name="connsiteX13549" fmla="*/ 9514525 w 12192000"/>
            <a:gd name="connsiteY13549" fmla="*/ 1494406 h 6858000"/>
            <a:gd name="connsiteX13550" fmla="*/ 9599418 w 12192000"/>
            <a:gd name="connsiteY13550" fmla="*/ 1494406 h 6858000"/>
            <a:gd name="connsiteX13551" fmla="*/ 9564593 w 12192000"/>
            <a:gd name="connsiteY13551" fmla="*/ 1459588 h 6858000"/>
            <a:gd name="connsiteX13552" fmla="*/ 9599418 w 12192000"/>
            <a:gd name="connsiteY13552" fmla="*/ 1424769 h 6858000"/>
            <a:gd name="connsiteX13553" fmla="*/ 9634230 w 12192000"/>
            <a:gd name="connsiteY13553" fmla="*/ 1459588 h 6858000"/>
            <a:gd name="connsiteX13554" fmla="*/ 9599418 w 12192000"/>
            <a:gd name="connsiteY13554" fmla="*/ 1494406 h 6858000"/>
            <a:gd name="connsiteX13555" fmla="*/ 9684310 w 12192000"/>
            <a:gd name="connsiteY13555" fmla="*/ 1494406 h 6858000"/>
            <a:gd name="connsiteX13556" fmla="*/ 9649485 w 12192000"/>
            <a:gd name="connsiteY13556" fmla="*/ 1459588 h 6858000"/>
            <a:gd name="connsiteX13557" fmla="*/ 9684310 w 12192000"/>
            <a:gd name="connsiteY13557" fmla="*/ 1424769 h 6858000"/>
            <a:gd name="connsiteX13558" fmla="*/ 9719123 w 12192000"/>
            <a:gd name="connsiteY13558" fmla="*/ 1459588 h 6858000"/>
            <a:gd name="connsiteX13559" fmla="*/ 9684310 w 12192000"/>
            <a:gd name="connsiteY13559" fmla="*/ 1494406 h 6858000"/>
            <a:gd name="connsiteX13560" fmla="*/ 9769203 w 12192000"/>
            <a:gd name="connsiteY13560" fmla="*/ 1494406 h 6858000"/>
            <a:gd name="connsiteX13561" fmla="*/ 9734377 w 12192000"/>
            <a:gd name="connsiteY13561" fmla="*/ 1459588 h 6858000"/>
            <a:gd name="connsiteX13562" fmla="*/ 9769203 w 12192000"/>
            <a:gd name="connsiteY13562" fmla="*/ 1424769 h 6858000"/>
            <a:gd name="connsiteX13563" fmla="*/ 9804015 w 12192000"/>
            <a:gd name="connsiteY13563" fmla="*/ 1459588 h 6858000"/>
            <a:gd name="connsiteX13564" fmla="*/ 9769203 w 12192000"/>
            <a:gd name="connsiteY13564" fmla="*/ 1494406 h 6858000"/>
            <a:gd name="connsiteX13565" fmla="*/ 9854095 w 12192000"/>
            <a:gd name="connsiteY13565" fmla="*/ 1494406 h 6858000"/>
            <a:gd name="connsiteX13566" fmla="*/ 9819269 w 12192000"/>
            <a:gd name="connsiteY13566" fmla="*/ 1459588 h 6858000"/>
            <a:gd name="connsiteX13567" fmla="*/ 9854095 w 12192000"/>
            <a:gd name="connsiteY13567" fmla="*/ 1424769 h 6858000"/>
            <a:gd name="connsiteX13568" fmla="*/ 9888907 w 12192000"/>
            <a:gd name="connsiteY13568" fmla="*/ 1459588 h 6858000"/>
            <a:gd name="connsiteX13569" fmla="*/ 9854095 w 12192000"/>
            <a:gd name="connsiteY13569" fmla="*/ 1494406 h 6858000"/>
            <a:gd name="connsiteX13570" fmla="*/ 9938988 w 12192000"/>
            <a:gd name="connsiteY13570" fmla="*/ 1494406 h 6858000"/>
            <a:gd name="connsiteX13571" fmla="*/ 9904163 w 12192000"/>
            <a:gd name="connsiteY13571" fmla="*/ 1459588 h 6858000"/>
            <a:gd name="connsiteX13572" fmla="*/ 9938988 w 12192000"/>
            <a:gd name="connsiteY13572" fmla="*/ 1424769 h 6858000"/>
            <a:gd name="connsiteX13573" fmla="*/ 9973800 w 12192000"/>
            <a:gd name="connsiteY13573" fmla="*/ 1459588 h 6858000"/>
            <a:gd name="connsiteX13574" fmla="*/ 9938988 w 12192000"/>
            <a:gd name="connsiteY13574" fmla="*/ 1494406 h 6858000"/>
            <a:gd name="connsiteX13575" fmla="*/ 10023880 w 12192000"/>
            <a:gd name="connsiteY13575" fmla="*/ 1494406 h 6858000"/>
            <a:gd name="connsiteX13576" fmla="*/ 9989055 w 12192000"/>
            <a:gd name="connsiteY13576" fmla="*/ 1459588 h 6858000"/>
            <a:gd name="connsiteX13577" fmla="*/ 10023880 w 12192000"/>
            <a:gd name="connsiteY13577" fmla="*/ 1424769 h 6858000"/>
            <a:gd name="connsiteX13578" fmla="*/ 10058693 w 12192000"/>
            <a:gd name="connsiteY13578" fmla="*/ 1459588 h 6858000"/>
            <a:gd name="connsiteX13579" fmla="*/ 10023880 w 12192000"/>
            <a:gd name="connsiteY13579" fmla="*/ 1494406 h 6858000"/>
            <a:gd name="connsiteX13580" fmla="*/ 10108773 w 12192000"/>
            <a:gd name="connsiteY13580" fmla="*/ 1494406 h 6858000"/>
            <a:gd name="connsiteX13581" fmla="*/ 10073947 w 12192000"/>
            <a:gd name="connsiteY13581" fmla="*/ 1459588 h 6858000"/>
            <a:gd name="connsiteX13582" fmla="*/ 10108773 w 12192000"/>
            <a:gd name="connsiteY13582" fmla="*/ 1424769 h 6858000"/>
            <a:gd name="connsiteX13583" fmla="*/ 10143585 w 12192000"/>
            <a:gd name="connsiteY13583" fmla="*/ 1459588 h 6858000"/>
            <a:gd name="connsiteX13584" fmla="*/ 10108773 w 12192000"/>
            <a:gd name="connsiteY13584" fmla="*/ 1494406 h 6858000"/>
            <a:gd name="connsiteX13585" fmla="*/ 10193665 w 12192000"/>
            <a:gd name="connsiteY13585" fmla="*/ 1494406 h 6858000"/>
            <a:gd name="connsiteX13586" fmla="*/ 10158839 w 12192000"/>
            <a:gd name="connsiteY13586" fmla="*/ 1459588 h 6858000"/>
            <a:gd name="connsiteX13587" fmla="*/ 10193665 w 12192000"/>
            <a:gd name="connsiteY13587" fmla="*/ 1424769 h 6858000"/>
            <a:gd name="connsiteX13588" fmla="*/ 10228477 w 12192000"/>
            <a:gd name="connsiteY13588" fmla="*/ 1459588 h 6858000"/>
            <a:gd name="connsiteX13589" fmla="*/ 10193665 w 12192000"/>
            <a:gd name="connsiteY13589" fmla="*/ 1494406 h 6858000"/>
            <a:gd name="connsiteX13590" fmla="*/ 10278558 w 12192000"/>
            <a:gd name="connsiteY13590" fmla="*/ 1494406 h 6858000"/>
            <a:gd name="connsiteX13591" fmla="*/ 10243733 w 12192000"/>
            <a:gd name="connsiteY13591" fmla="*/ 1459588 h 6858000"/>
            <a:gd name="connsiteX13592" fmla="*/ 10278558 w 12192000"/>
            <a:gd name="connsiteY13592" fmla="*/ 1424769 h 6858000"/>
            <a:gd name="connsiteX13593" fmla="*/ 10313370 w 12192000"/>
            <a:gd name="connsiteY13593" fmla="*/ 1459588 h 6858000"/>
            <a:gd name="connsiteX13594" fmla="*/ 10278558 w 12192000"/>
            <a:gd name="connsiteY13594" fmla="*/ 1494406 h 6858000"/>
            <a:gd name="connsiteX13595" fmla="*/ 10363450 w 12192000"/>
            <a:gd name="connsiteY13595" fmla="*/ 1494406 h 6858000"/>
            <a:gd name="connsiteX13596" fmla="*/ 10328625 w 12192000"/>
            <a:gd name="connsiteY13596" fmla="*/ 1459588 h 6858000"/>
            <a:gd name="connsiteX13597" fmla="*/ 10363450 w 12192000"/>
            <a:gd name="connsiteY13597" fmla="*/ 1424769 h 6858000"/>
            <a:gd name="connsiteX13598" fmla="*/ 10398263 w 12192000"/>
            <a:gd name="connsiteY13598" fmla="*/ 1459588 h 6858000"/>
            <a:gd name="connsiteX13599" fmla="*/ 10363450 w 12192000"/>
            <a:gd name="connsiteY13599" fmla="*/ 1494406 h 6858000"/>
            <a:gd name="connsiteX13600" fmla="*/ 10448343 w 12192000"/>
            <a:gd name="connsiteY13600" fmla="*/ 1494406 h 6858000"/>
            <a:gd name="connsiteX13601" fmla="*/ 10413517 w 12192000"/>
            <a:gd name="connsiteY13601" fmla="*/ 1459588 h 6858000"/>
            <a:gd name="connsiteX13602" fmla="*/ 10448343 w 12192000"/>
            <a:gd name="connsiteY13602" fmla="*/ 1424769 h 6858000"/>
            <a:gd name="connsiteX13603" fmla="*/ 10483155 w 12192000"/>
            <a:gd name="connsiteY13603" fmla="*/ 1459588 h 6858000"/>
            <a:gd name="connsiteX13604" fmla="*/ 10448343 w 12192000"/>
            <a:gd name="connsiteY13604" fmla="*/ 1494406 h 6858000"/>
            <a:gd name="connsiteX13605" fmla="*/ 10533235 w 12192000"/>
            <a:gd name="connsiteY13605" fmla="*/ 1494406 h 6858000"/>
            <a:gd name="connsiteX13606" fmla="*/ 10498409 w 12192000"/>
            <a:gd name="connsiteY13606" fmla="*/ 1459588 h 6858000"/>
            <a:gd name="connsiteX13607" fmla="*/ 10533235 w 12192000"/>
            <a:gd name="connsiteY13607" fmla="*/ 1424769 h 6858000"/>
            <a:gd name="connsiteX13608" fmla="*/ 10568047 w 12192000"/>
            <a:gd name="connsiteY13608" fmla="*/ 1459588 h 6858000"/>
            <a:gd name="connsiteX13609" fmla="*/ 10533235 w 12192000"/>
            <a:gd name="connsiteY13609" fmla="*/ 1494406 h 6858000"/>
            <a:gd name="connsiteX13610" fmla="*/ 3741833 w 12192000"/>
            <a:gd name="connsiteY13610" fmla="*/ 1409547 h 6858000"/>
            <a:gd name="connsiteX13611" fmla="*/ 3707014 w 12192000"/>
            <a:gd name="connsiteY13611" fmla="*/ 1374728 h 6858000"/>
            <a:gd name="connsiteX13612" fmla="*/ 3741833 w 12192000"/>
            <a:gd name="connsiteY13612" fmla="*/ 1339909 h 6858000"/>
            <a:gd name="connsiteX13613" fmla="*/ 3776652 w 12192000"/>
            <a:gd name="connsiteY13613" fmla="*/ 1374728 h 6858000"/>
            <a:gd name="connsiteX13614" fmla="*/ 3741833 w 12192000"/>
            <a:gd name="connsiteY13614" fmla="*/ 1409547 h 6858000"/>
            <a:gd name="connsiteX13615" fmla="*/ 3826726 w 12192000"/>
            <a:gd name="connsiteY13615" fmla="*/ 1409547 h 6858000"/>
            <a:gd name="connsiteX13616" fmla="*/ 3791907 w 12192000"/>
            <a:gd name="connsiteY13616" fmla="*/ 1374728 h 6858000"/>
            <a:gd name="connsiteX13617" fmla="*/ 3826726 w 12192000"/>
            <a:gd name="connsiteY13617" fmla="*/ 1339909 h 6858000"/>
            <a:gd name="connsiteX13618" fmla="*/ 3861544 w 12192000"/>
            <a:gd name="connsiteY13618" fmla="*/ 1374728 h 6858000"/>
            <a:gd name="connsiteX13619" fmla="*/ 3826726 w 12192000"/>
            <a:gd name="connsiteY13619" fmla="*/ 1409547 h 6858000"/>
            <a:gd name="connsiteX13620" fmla="*/ 3911618 w 12192000"/>
            <a:gd name="connsiteY13620" fmla="*/ 1409547 h 6858000"/>
            <a:gd name="connsiteX13621" fmla="*/ 3876799 w 12192000"/>
            <a:gd name="connsiteY13621" fmla="*/ 1374728 h 6858000"/>
            <a:gd name="connsiteX13622" fmla="*/ 3911618 w 12192000"/>
            <a:gd name="connsiteY13622" fmla="*/ 1339909 h 6858000"/>
            <a:gd name="connsiteX13623" fmla="*/ 3946437 w 12192000"/>
            <a:gd name="connsiteY13623" fmla="*/ 1374728 h 6858000"/>
            <a:gd name="connsiteX13624" fmla="*/ 3911618 w 12192000"/>
            <a:gd name="connsiteY13624" fmla="*/ 1409547 h 6858000"/>
            <a:gd name="connsiteX13625" fmla="*/ 3996511 w 12192000"/>
            <a:gd name="connsiteY13625" fmla="*/ 1409547 h 6858000"/>
            <a:gd name="connsiteX13626" fmla="*/ 3961692 w 12192000"/>
            <a:gd name="connsiteY13626" fmla="*/ 1374728 h 6858000"/>
            <a:gd name="connsiteX13627" fmla="*/ 3996511 w 12192000"/>
            <a:gd name="connsiteY13627" fmla="*/ 1339909 h 6858000"/>
            <a:gd name="connsiteX13628" fmla="*/ 4031330 w 12192000"/>
            <a:gd name="connsiteY13628" fmla="*/ 1374728 h 6858000"/>
            <a:gd name="connsiteX13629" fmla="*/ 3996511 w 12192000"/>
            <a:gd name="connsiteY13629" fmla="*/ 1409547 h 6858000"/>
            <a:gd name="connsiteX13630" fmla="*/ 4081403 w 12192000"/>
            <a:gd name="connsiteY13630" fmla="*/ 1409547 h 6858000"/>
            <a:gd name="connsiteX13631" fmla="*/ 4046584 w 12192000"/>
            <a:gd name="connsiteY13631" fmla="*/ 1374728 h 6858000"/>
            <a:gd name="connsiteX13632" fmla="*/ 4081403 w 12192000"/>
            <a:gd name="connsiteY13632" fmla="*/ 1339909 h 6858000"/>
            <a:gd name="connsiteX13633" fmla="*/ 4116222 w 12192000"/>
            <a:gd name="connsiteY13633" fmla="*/ 1374728 h 6858000"/>
            <a:gd name="connsiteX13634" fmla="*/ 4081403 w 12192000"/>
            <a:gd name="connsiteY13634" fmla="*/ 1409547 h 6858000"/>
            <a:gd name="connsiteX13635" fmla="*/ 9429633 w 12192000"/>
            <a:gd name="connsiteY13635" fmla="*/ 1409547 h 6858000"/>
            <a:gd name="connsiteX13636" fmla="*/ 9394807 w 12192000"/>
            <a:gd name="connsiteY13636" fmla="*/ 1374728 h 6858000"/>
            <a:gd name="connsiteX13637" fmla="*/ 9429633 w 12192000"/>
            <a:gd name="connsiteY13637" fmla="*/ 1339909 h 6858000"/>
            <a:gd name="connsiteX13638" fmla="*/ 9464445 w 12192000"/>
            <a:gd name="connsiteY13638" fmla="*/ 1374728 h 6858000"/>
            <a:gd name="connsiteX13639" fmla="*/ 9429633 w 12192000"/>
            <a:gd name="connsiteY13639" fmla="*/ 1409547 h 6858000"/>
            <a:gd name="connsiteX13640" fmla="*/ 9514525 w 12192000"/>
            <a:gd name="connsiteY13640" fmla="*/ 1409547 h 6858000"/>
            <a:gd name="connsiteX13641" fmla="*/ 9479699 w 12192000"/>
            <a:gd name="connsiteY13641" fmla="*/ 1374728 h 6858000"/>
            <a:gd name="connsiteX13642" fmla="*/ 9514525 w 12192000"/>
            <a:gd name="connsiteY13642" fmla="*/ 1339909 h 6858000"/>
            <a:gd name="connsiteX13643" fmla="*/ 9549337 w 12192000"/>
            <a:gd name="connsiteY13643" fmla="*/ 1374728 h 6858000"/>
            <a:gd name="connsiteX13644" fmla="*/ 9514525 w 12192000"/>
            <a:gd name="connsiteY13644" fmla="*/ 1409547 h 6858000"/>
            <a:gd name="connsiteX13645" fmla="*/ 9599418 w 12192000"/>
            <a:gd name="connsiteY13645" fmla="*/ 1409547 h 6858000"/>
            <a:gd name="connsiteX13646" fmla="*/ 9564593 w 12192000"/>
            <a:gd name="connsiteY13646" fmla="*/ 1374728 h 6858000"/>
            <a:gd name="connsiteX13647" fmla="*/ 9599418 w 12192000"/>
            <a:gd name="connsiteY13647" fmla="*/ 1339909 h 6858000"/>
            <a:gd name="connsiteX13648" fmla="*/ 9634230 w 12192000"/>
            <a:gd name="connsiteY13648" fmla="*/ 1374728 h 6858000"/>
            <a:gd name="connsiteX13649" fmla="*/ 9599418 w 12192000"/>
            <a:gd name="connsiteY13649" fmla="*/ 1409547 h 6858000"/>
            <a:gd name="connsiteX13650" fmla="*/ 10023880 w 12192000"/>
            <a:gd name="connsiteY13650" fmla="*/ 1409547 h 6858000"/>
            <a:gd name="connsiteX13651" fmla="*/ 9989055 w 12192000"/>
            <a:gd name="connsiteY13651" fmla="*/ 1374728 h 6858000"/>
            <a:gd name="connsiteX13652" fmla="*/ 10023880 w 12192000"/>
            <a:gd name="connsiteY13652" fmla="*/ 1339909 h 6858000"/>
            <a:gd name="connsiteX13653" fmla="*/ 10058693 w 12192000"/>
            <a:gd name="connsiteY13653" fmla="*/ 1374728 h 6858000"/>
            <a:gd name="connsiteX13654" fmla="*/ 10023880 w 12192000"/>
            <a:gd name="connsiteY13654" fmla="*/ 1409547 h 6858000"/>
            <a:gd name="connsiteX13655" fmla="*/ 10108773 w 12192000"/>
            <a:gd name="connsiteY13655" fmla="*/ 1409547 h 6858000"/>
            <a:gd name="connsiteX13656" fmla="*/ 10073947 w 12192000"/>
            <a:gd name="connsiteY13656" fmla="*/ 1374728 h 6858000"/>
            <a:gd name="connsiteX13657" fmla="*/ 10108773 w 12192000"/>
            <a:gd name="connsiteY13657" fmla="*/ 1339909 h 6858000"/>
            <a:gd name="connsiteX13658" fmla="*/ 10143585 w 12192000"/>
            <a:gd name="connsiteY13658" fmla="*/ 1374728 h 6858000"/>
            <a:gd name="connsiteX13659" fmla="*/ 10108773 w 12192000"/>
            <a:gd name="connsiteY13659" fmla="*/ 1409547 h 6858000"/>
            <a:gd name="connsiteX13660" fmla="*/ 10193665 w 12192000"/>
            <a:gd name="connsiteY13660" fmla="*/ 1409547 h 6858000"/>
            <a:gd name="connsiteX13661" fmla="*/ 10158839 w 12192000"/>
            <a:gd name="connsiteY13661" fmla="*/ 1374728 h 6858000"/>
            <a:gd name="connsiteX13662" fmla="*/ 10193665 w 12192000"/>
            <a:gd name="connsiteY13662" fmla="*/ 1339909 h 6858000"/>
            <a:gd name="connsiteX13663" fmla="*/ 10228477 w 12192000"/>
            <a:gd name="connsiteY13663" fmla="*/ 1374728 h 6858000"/>
            <a:gd name="connsiteX13664" fmla="*/ 10193665 w 12192000"/>
            <a:gd name="connsiteY13664" fmla="*/ 1409547 h 6858000"/>
            <a:gd name="connsiteX13665" fmla="*/ 10278558 w 12192000"/>
            <a:gd name="connsiteY13665" fmla="*/ 1409547 h 6858000"/>
            <a:gd name="connsiteX13666" fmla="*/ 10243733 w 12192000"/>
            <a:gd name="connsiteY13666" fmla="*/ 1374728 h 6858000"/>
            <a:gd name="connsiteX13667" fmla="*/ 10278558 w 12192000"/>
            <a:gd name="connsiteY13667" fmla="*/ 1339909 h 6858000"/>
            <a:gd name="connsiteX13668" fmla="*/ 10313370 w 12192000"/>
            <a:gd name="connsiteY13668" fmla="*/ 1374728 h 6858000"/>
            <a:gd name="connsiteX13669" fmla="*/ 10278558 w 12192000"/>
            <a:gd name="connsiteY13669" fmla="*/ 1409547 h 6858000"/>
            <a:gd name="connsiteX13670" fmla="*/ 10363450 w 12192000"/>
            <a:gd name="connsiteY13670" fmla="*/ 1409547 h 6858000"/>
            <a:gd name="connsiteX13671" fmla="*/ 10328625 w 12192000"/>
            <a:gd name="connsiteY13671" fmla="*/ 1374728 h 6858000"/>
            <a:gd name="connsiteX13672" fmla="*/ 10363450 w 12192000"/>
            <a:gd name="connsiteY13672" fmla="*/ 1339909 h 6858000"/>
            <a:gd name="connsiteX13673" fmla="*/ 10398263 w 12192000"/>
            <a:gd name="connsiteY13673" fmla="*/ 1374728 h 6858000"/>
            <a:gd name="connsiteX13674" fmla="*/ 10363450 w 12192000"/>
            <a:gd name="connsiteY13674" fmla="*/ 1409547 h 6858000"/>
            <a:gd name="connsiteX13675" fmla="*/ 10448343 w 12192000"/>
            <a:gd name="connsiteY13675" fmla="*/ 1409547 h 6858000"/>
            <a:gd name="connsiteX13676" fmla="*/ 10413517 w 12192000"/>
            <a:gd name="connsiteY13676" fmla="*/ 1374728 h 6858000"/>
            <a:gd name="connsiteX13677" fmla="*/ 10448343 w 12192000"/>
            <a:gd name="connsiteY13677" fmla="*/ 1339909 h 6858000"/>
            <a:gd name="connsiteX13678" fmla="*/ 10483155 w 12192000"/>
            <a:gd name="connsiteY13678" fmla="*/ 1374728 h 6858000"/>
            <a:gd name="connsiteX13679" fmla="*/ 10448343 w 12192000"/>
            <a:gd name="connsiteY13679" fmla="*/ 1409547 h 6858000"/>
            <a:gd name="connsiteX13680" fmla="*/ 10533235 w 12192000"/>
            <a:gd name="connsiteY13680" fmla="*/ 1409547 h 6858000"/>
            <a:gd name="connsiteX13681" fmla="*/ 10498409 w 12192000"/>
            <a:gd name="connsiteY13681" fmla="*/ 1374728 h 6858000"/>
            <a:gd name="connsiteX13682" fmla="*/ 10533235 w 12192000"/>
            <a:gd name="connsiteY13682" fmla="*/ 1339909 h 6858000"/>
            <a:gd name="connsiteX13683" fmla="*/ 10568047 w 12192000"/>
            <a:gd name="connsiteY13683" fmla="*/ 1374728 h 6858000"/>
            <a:gd name="connsiteX13684" fmla="*/ 10533235 w 12192000"/>
            <a:gd name="connsiteY13684" fmla="*/ 1409547 h 6858000"/>
            <a:gd name="connsiteX13685" fmla="*/ 3656941 w 12192000"/>
            <a:gd name="connsiteY13685" fmla="*/ 1324686 h 6858000"/>
            <a:gd name="connsiteX13686" fmla="*/ 3622122 w 12192000"/>
            <a:gd name="connsiteY13686" fmla="*/ 1289867 h 6858000"/>
            <a:gd name="connsiteX13687" fmla="*/ 3656941 w 12192000"/>
            <a:gd name="connsiteY13687" fmla="*/ 1255048 h 6858000"/>
            <a:gd name="connsiteX13688" fmla="*/ 3691760 w 12192000"/>
            <a:gd name="connsiteY13688" fmla="*/ 1289867 h 6858000"/>
            <a:gd name="connsiteX13689" fmla="*/ 3656941 w 12192000"/>
            <a:gd name="connsiteY13689" fmla="*/ 1324686 h 6858000"/>
            <a:gd name="connsiteX13690" fmla="*/ 3741833 w 12192000"/>
            <a:gd name="connsiteY13690" fmla="*/ 1324686 h 6858000"/>
            <a:gd name="connsiteX13691" fmla="*/ 3707014 w 12192000"/>
            <a:gd name="connsiteY13691" fmla="*/ 1289867 h 6858000"/>
            <a:gd name="connsiteX13692" fmla="*/ 3741833 w 12192000"/>
            <a:gd name="connsiteY13692" fmla="*/ 1255048 h 6858000"/>
            <a:gd name="connsiteX13693" fmla="*/ 3776652 w 12192000"/>
            <a:gd name="connsiteY13693" fmla="*/ 1289867 h 6858000"/>
            <a:gd name="connsiteX13694" fmla="*/ 3741833 w 12192000"/>
            <a:gd name="connsiteY13694" fmla="*/ 1324686 h 6858000"/>
            <a:gd name="connsiteX13695" fmla="*/ 3826726 w 12192000"/>
            <a:gd name="connsiteY13695" fmla="*/ 1324686 h 6858000"/>
            <a:gd name="connsiteX13696" fmla="*/ 3791907 w 12192000"/>
            <a:gd name="connsiteY13696" fmla="*/ 1289867 h 6858000"/>
            <a:gd name="connsiteX13697" fmla="*/ 3826726 w 12192000"/>
            <a:gd name="connsiteY13697" fmla="*/ 1255048 h 6858000"/>
            <a:gd name="connsiteX13698" fmla="*/ 3861544 w 12192000"/>
            <a:gd name="connsiteY13698" fmla="*/ 1289867 h 6858000"/>
            <a:gd name="connsiteX13699" fmla="*/ 3826726 w 12192000"/>
            <a:gd name="connsiteY13699" fmla="*/ 1324686 h 6858000"/>
            <a:gd name="connsiteX13700" fmla="*/ 3911618 w 12192000"/>
            <a:gd name="connsiteY13700" fmla="*/ 1324686 h 6858000"/>
            <a:gd name="connsiteX13701" fmla="*/ 3876799 w 12192000"/>
            <a:gd name="connsiteY13701" fmla="*/ 1289867 h 6858000"/>
            <a:gd name="connsiteX13702" fmla="*/ 3911618 w 12192000"/>
            <a:gd name="connsiteY13702" fmla="*/ 1255048 h 6858000"/>
            <a:gd name="connsiteX13703" fmla="*/ 3946437 w 12192000"/>
            <a:gd name="connsiteY13703" fmla="*/ 1289867 h 6858000"/>
            <a:gd name="connsiteX13704" fmla="*/ 3911618 w 12192000"/>
            <a:gd name="connsiteY13704" fmla="*/ 1324686 h 6858000"/>
            <a:gd name="connsiteX13705" fmla="*/ 3996511 w 12192000"/>
            <a:gd name="connsiteY13705" fmla="*/ 1324686 h 6858000"/>
            <a:gd name="connsiteX13706" fmla="*/ 3961692 w 12192000"/>
            <a:gd name="connsiteY13706" fmla="*/ 1289867 h 6858000"/>
            <a:gd name="connsiteX13707" fmla="*/ 3996511 w 12192000"/>
            <a:gd name="connsiteY13707" fmla="*/ 1255048 h 6858000"/>
            <a:gd name="connsiteX13708" fmla="*/ 4031330 w 12192000"/>
            <a:gd name="connsiteY13708" fmla="*/ 1289867 h 6858000"/>
            <a:gd name="connsiteX13709" fmla="*/ 3996511 w 12192000"/>
            <a:gd name="connsiteY13709" fmla="*/ 1324686 h 6858000"/>
            <a:gd name="connsiteX13710" fmla="*/ 4081403 w 12192000"/>
            <a:gd name="connsiteY13710" fmla="*/ 1324686 h 6858000"/>
            <a:gd name="connsiteX13711" fmla="*/ 4046584 w 12192000"/>
            <a:gd name="connsiteY13711" fmla="*/ 1289867 h 6858000"/>
            <a:gd name="connsiteX13712" fmla="*/ 4081403 w 12192000"/>
            <a:gd name="connsiteY13712" fmla="*/ 1255048 h 6858000"/>
            <a:gd name="connsiteX13713" fmla="*/ 4116222 w 12192000"/>
            <a:gd name="connsiteY13713" fmla="*/ 1289867 h 6858000"/>
            <a:gd name="connsiteX13714" fmla="*/ 4081403 w 12192000"/>
            <a:gd name="connsiteY13714" fmla="*/ 1324686 h 6858000"/>
            <a:gd name="connsiteX13715" fmla="*/ 10108773 w 12192000"/>
            <a:gd name="connsiteY13715" fmla="*/ 1324686 h 6858000"/>
            <a:gd name="connsiteX13716" fmla="*/ 10073947 w 12192000"/>
            <a:gd name="connsiteY13716" fmla="*/ 1289867 h 6858000"/>
            <a:gd name="connsiteX13717" fmla="*/ 10108773 w 12192000"/>
            <a:gd name="connsiteY13717" fmla="*/ 1255048 h 6858000"/>
            <a:gd name="connsiteX13718" fmla="*/ 10143585 w 12192000"/>
            <a:gd name="connsiteY13718" fmla="*/ 1289867 h 6858000"/>
            <a:gd name="connsiteX13719" fmla="*/ 10108773 w 12192000"/>
            <a:gd name="connsiteY13719" fmla="*/ 1324686 h 6858000"/>
            <a:gd name="connsiteX13720" fmla="*/ 10193665 w 12192000"/>
            <a:gd name="connsiteY13720" fmla="*/ 1324686 h 6858000"/>
            <a:gd name="connsiteX13721" fmla="*/ 10158839 w 12192000"/>
            <a:gd name="connsiteY13721" fmla="*/ 1289867 h 6858000"/>
            <a:gd name="connsiteX13722" fmla="*/ 10193665 w 12192000"/>
            <a:gd name="connsiteY13722" fmla="*/ 1255048 h 6858000"/>
            <a:gd name="connsiteX13723" fmla="*/ 10228477 w 12192000"/>
            <a:gd name="connsiteY13723" fmla="*/ 1289867 h 6858000"/>
            <a:gd name="connsiteX13724" fmla="*/ 10193665 w 12192000"/>
            <a:gd name="connsiteY13724" fmla="*/ 1324686 h 6858000"/>
            <a:gd name="connsiteX13725" fmla="*/ 10278558 w 12192000"/>
            <a:gd name="connsiteY13725" fmla="*/ 1324686 h 6858000"/>
            <a:gd name="connsiteX13726" fmla="*/ 10243733 w 12192000"/>
            <a:gd name="connsiteY13726" fmla="*/ 1289867 h 6858000"/>
            <a:gd name="connsiteX13727" fmla="*/ 10278558 w 12192000"/>
            <a:gd name="connsiteY13727" fmla="*/ 1255048 h 6858000"/>
            <a:gd name="connsiteX13728" fmla="*/ 10313370 w 12192000"/>
            <a:gd name="connsiteY13728" fmla="*/ 1289867 h 6858000"/>
            <a:gd name="connsiteX13729" fmla="*/ 10278558 w 12192000"/>
            <a:gd name="connsiteY13729" fmla="*/ 1324686 h 6858000"/>
            <a:gd name="connsiteX13730" fmla="*/ 10363450 w 12192000"/>
            <a:gd name="connsiteY13730" fmla="*/ 1324686 h 6858000"/>
            <a:gd name="connsiteX13731" fmla="*/ 10328625 w 12192000"/>
            <a:gd name="connsiteY13731" fmla="*/ 1289867 h 6858000"/>
            <a:gd name="connsiteX13732" fmla="*/ 10363450 w 12192000"/>
            <a:gd name="connsiteY13732" fmla="*/ 1255048 h 6858000"/>
            <a:gd name="connsiteX13733" fmla="*/ 10398263 w 12192000"/>
            <a:gd name="connsiteY13733" fmla="*/ 1289867 h 6858000"/>
            <a:gd name="connsiteX13734" fmla="*/ 10363450 w 12192000"/>
            <a:gd name="connsiteY13734" fmla="*/ 1324686 h 6858000"/>
            <a:gd name="connsiteX13735" fmla="*/ 10448343 w 12192000"/>
            <a:gd name="connsiteY13735" fmla="*/ 1324686 h 6858000"/>
            <a:gd name="connsiteX13736" fmla="*/ 10413517 w 12192000"/>
            <a:gd name="connsiteY13736" fmla="*/ 1289867 h 6858000"/>
            <a:gd name="connsiteX13737" fmla="*/ 10448343 w 12192000"/>
            <a:gd name="connsiteY13737" fmla="*/ 1255048 h 6858000"/>
            <a:gd name="connsiteX13738" fmla="*/ 10483155 w 12192000"/>
            <a:gd name="connsiteY13738" fmla="*/ 1289867 h 6858000"/>
            <a:gd name="connsiteX13739" fmla="*/ 10448343 w 12192000"/>
            <a:gd name="connsiteY13739" fmla="*/ 1324686 h 6858000"/>
            <a:gd name="connsiteX13740" fmla="*/ 3741833 w 12192000"/>
            <a:gd name="connsiteY13740" fmla="*/ 1239826 h 6858000"/>
            <a:gd name="connsiteX13741" fmla="*/ 3707014 w 12192000"/>
            <a:gd name="connsiteY13741" fmla="*/ 1205007 h 6858000"/>
            <a:gd name="connsiteX13742" fmla="*/ 3741833 w 12192000"/>
            <a:gd name="connsiteY13742" fmla="*/ 1170189 h 6858000"/>
            <a:gd name="connsiteX13743" fmla="*/ 3776652 w 12192000"/>
            <a:gd name="connsiteY13743" fmla="*/ 1205007 h 6858000"/>
            <a:gd name="connsiteX13744" fmla="*/ 3741833 w 12192000"/>
            <a:gd name="connsiteY13744" fmla="*/ 1239826 h 6858000"/>
            <a:gd name="connsiteX13745" fmla="*/ 3826726 w 12192000"/>
            <a:gd name="connsiteY13745" fmla="*/ 1239826 h 6858000"/>
            <a:gd name="connsiteX13746" fmla="*/ 3791907 w 12192000"/>
            <a:gd name="connsiteY13746" fmla="*/ 1205007 h 6858000"/>
            <a:gd name="connsiteX13747" fmla="*/ 3826726 w 12192000"/>
            <a:gd name="connsiteY13747" fmla="*/ 1170189 h 6858000"/>
            <a:gd name="connsiteX13748" fmla="*/ 3861544 w 12192000"/>
            <a:gd name="connsiteY13748" fmla="*/ 1205007 h 6858000"/>
            <a:gd name="connsiteX13749" fmla="*/ 3826726 w 12192000"/>
            <a:gd name="connsiteY13749" fmla="*/ 1239826 h 6858000"/>
            <a:gd name="connsiteX13750" fmla="*/ 3911618 w 12192000"/>
            <a:gd name="connsiteY13750" fmla="*/ 1239826 h 6858000"/>
            <a:gd name="connsiteX13751" fmla="*/ 3876799 w 12192000"/>
            <a:gd name="connsiteY13751" fmla="*/ 1205007 h 6858000"/>
            <a:gd name="connsiteX13752" fmla="*/ 3911618 w 12192000"/>
            <a:gd name="connsiteY13752" fmla="*/ 1170189 h 6858000"/>
            <a:gd name="connsiteX13753" fmla="*/ 3946437 w 12192000"/>
            <a:gd name="connsiteY13753" fmla="*/ 1205007 h 6858000"/>
            <a:gd name="connsiteX13754" fmla="*/ 3911618 w 12192000"/>
            <a:gd name="connsiteY13754" fmla="*/ 1239826 h 6858000"/>
            <a:gd name="connsiteX13755" fmla="*/ 3996511 w 12192000"/>
            <a:gd name="connsiteY13755" fmla="*/ 1239826 h 6858000"/>
            <a:gd name="connsiteX13756" fmla="*/ 3961692 w 12192000"/>
            <a:gd name="connsiteY13756" fmla="*/ 1205007 h 6858000"/>
            <a:gd name="connsiteX13757" fmla="*/ 3996511 w 12192000"/>
            <a:gd name="connsiteY13757" fmla="*/ 1170189 h 6858000"/>
            <a:gd name="connsiteX13758" fmla="*/ 4031330 w 12192000"/>
            <a:gd name="connsiteY13758" fmla="*/ 1205007 h 6858000"/>
            <a:gd name="connsiteX13759" fmla="*/ 3996511 w 12192000"/>
            <a:gd name="connsiteY13759" fmla="*/ 1239826 h 6858000"/>
            <a:gd name="connsiteX13760" fmla="*/ 10193665 w 12192000"/>
            <a:gd name="connsiteY13760" fmla="*/ 1239826 h 6858000"/>
            <a:gd name="connsiteX13761" fmla="*/ 10158839 w 12192000"/>
            <a:gd name="connsiteY13761" fmla="*/ 1205007 h 6858000"/>
            <a:gd name="connsiteX13762" fmla="*/ 10193665 w 12192000"/>
            <a:gd name="connsiteY13762" fmla="*/ 1170189 h 6858000"/>
            <a:gd name="connsiteX13763" fmla="*/ 10228477 w 12192000"/>
            <a:gd name="connsiteY13763" fmla="*/ 1205007 h 6858000"/>
            <a:gd name="connsiteX13764" fmla="*/ 10193665 w 12192000"/>
            <a:gd name="connsiteY13764" fmla="*/ 1239826 h 6858000"/>
            <a:gd name="connsiteX13765" fmla="*/ 10278558 w 12192000"/>
            <a:gd name="connsiteY13765" fmla="*/ 1239826 h 6858000"/>
            <a:gd name="connsiteX13766" fmla="*/ 10243733 w 12192000"/>
            <a:gd name="connsiteY13766" fmla="*/ 1205007 h 6858000"/>
            <a:gd name="connsiteX13767" fmla="*/ 10278558 w 12192000"/>
            <a:gd name="connsiteY13767" fmla="*/ 1170189 h 6858000"/>
            <a:gd name="connsiteX13768" fmla="*/ 10313370 w 12192000"/>
            <a:gd name="connsiteY13768" fmla="*/ 1205007 h 6858000"/>
            <a:gd name="connsiteX13769" fmla="*/ 10278558 w 12192000"/>
            <a:gd name="connsiteY13769" fmla="*/ 1239826 h 6858000"/>
            <a:gd name="connsiteX13770" fmla="*/ 10363450 w 12192000"/>
            <a:gd name="connsiteY13770" fmla="*/ 1239826 h 6858000"/>
            <a:gd name="connsiteX13771" fmla="*/ 10328625 w 12192000"/>
            <a:gd name="connsiteY13771" fmla="*/ 1205007 h 6858000"/>
            <a:gd name="connsiteX13772" fmla="*/ 10363450 w 12192000"/>
            <a:gd name="connsiteY13772" fmla="*/ 1170189 h 6858000"/>
            <a:gd name="connsiteX13773" fmla="*/ 10398263 w 12192000"/>
            <a:gd name="connsiteY13773" fmla="*/ 1205007 h 6858000"/>
            <a:gd name="connsiteX13774" fmla="*/ 10363450 w 12192000"/>
            <a:gd name="connsiteY13774" fmla="*/ 1239826 h 6858000"/>
            <a:gd name="connsiteX13775" fmla="*/ 10448343 w 12192000"/>
            <a:gd name="connsiteY13775" fmla="*/ 1239826 h 6858000"/>
            <a:gd name="connsiteX13776" fmla="*/ 10413517 w 12192000"/>
            <a:gd name="connsiteY13776" fmla="*/ 1205007 h 6858000"/>
            <a:gd name="connsiteX13777" fmla="*/ 10448343 w 12192000"/>
            <a:gd name="connsiteY13777" fmla="*/ 1170189 h 6858000"/>
            <a:gd name="connsiteX13778" fmla="*/ 10483155 w 12192000"/>
            <a:gd name="connsiteY13778" fmla="*/ 1205007 h 6858000"/>
            <a:gd name="connsiteX13779" fmla="*/ 10448343 w 12192000"/>
            <a:gd name="connsiteY13779" fmla="*/ 1239826 h 6858000"/>
            <a:gd name="connsiteX13780" fmla="*/ 3741833 w 12192000"/>
            <a:gd name="connsiteY13780" fmla="*/ 1154966 h 6858000"/>
            <a:gd name="connsiteX13781" fmla="*/ 3707014 w 12192000"/>
            <a:gd name="connsiteY13781" fmla="*/ 1120148 h 6858000"/>
            <a:gd name="connsiteX13782" fmla="*/ 3741833 w 12192000"/>
            <a:gd name="connsiteY13782" fmla="*/ 1085329 h 6858000"/>
            <a:gd name="connsiteX13783" fmla="*/ 3776652 w 12192000"/>
            <a:gd name="connsiteY13783" fmla="*/ 1120148 h 6858000"/>
            <a:gd name="connsiteX13784" fmla="*/ 3741833 w 12192000"/>
            <a:gd name="connsiteY13784" fmla="*/ 1154966 h 6858000"/>
            <a:gd name="connsiteX13785" fmla="*/ 3826726 w 12192000"/>
            <a:gd name="connsiteY13785" fmla="*/ 1154966 h 6858000"/>
            <a:gd name="connsiteX13786" fmla="*/ 3791907 w 12192000"/>
            <a:gd name="connsiteY13786" fmla="*/ 1120148 h 6858000"/>
            <a:gd name="connsiteX13787" fmla="*/ 3826726 w 12192000"/>
            <a:gd name="connsiteY13787" fmla="*/ 1085329 h 6858000"/>
            <a:gd name="connsiteX13788" fmla="*/ 3861544 w 12192000"/>
            <a:gd name="connsiteY13788" fmla="*/ 1120148 h 6858000"/>
            <a:gd name="connsiteX13789" fmla="*/ 3826726 w 12192000"/>
            <a:gd name="connsiteY13789" fmla="*/ 1154966 h 6858000"/>
            <a:gd name="connsiteX13790" fmla="*/ 3911618 w 12192000"/>
            <a:gd name="connsiteY13790" fmla="*/ 1154966 h 6858000"/>
            <a:gd name="connsiteX13791" fmla="*/ 3876799 w 12192000"/>
            <a:gd name="connsiteY13791" fmla="*/ 1120148 h 6858000"/>
            <a:gd name="connsiteX13792" fmla="*/ 3911618 w 12192000"/>
            <a:gd name="connsiteY13792" fmla="*/ 1085329 h 6858000"/>
            <a:gd name="connsiteX13793" fmla="*/ 3946437 w 12192000"/>
            <a:gd name="connsiteY13793" fmla="*/ 1120148 h 6858000"/>
            <a:gd name="connsiteX13794" fmla="*/ 3911618 w 12192000"/>
            <a:gd name="connsiteY13794" fmla="*/ 1154966 h 6858000"/>
            <a:gd name="connsiteX13795" fmla="*/ 10193665 w 12192000"/>
            <a:gd name="connsiteY13795" fmla="*/ 1154966 h 6858000"/>
            <a:gd name="connsiteX13796" fmla="*/ 10158839 w 12192000"/>
            <a:gd name="connsiteY13796" fmla="*/ 1120148 h 6858000"/>
            <a:gd name="connsiteX13797" fmla="*/ 10193665 w 12192000"/>
            <a:gd name="connsiteY13797" fmla="*/ 1085329 h 6858000"/>
            <a:gd name="connsiteX13798" fmla="*/ 10228477 w 12192000"/>
            <a:gd name="connsiteY13798" fmla="*/ 1120148 h 6858000"/>
            <a:gd name="connsiteX13799" fmla="*/ 10193665 w 12192000"/>
            <a:gd name="connsiteY13799" fmla="*/ 1154966 h 6858000"/>
            <a:gd name="connsiteX13800" fmla="*/ 10278558 w 12192000"/>
            <a:gd name="connsiteY13800" fmla="*/ 1154966 h 6858000"/>
            <a:gd name="connsiteX13801" fmla="*/ 10243733 w 12192000"/>
            <a:gd name="connsiteY13801" fmla="*/ 1120148 h 6858000"/>
            <a:gd name="connsiteX13802" fmla="*/ 10278558 w 12192000"/>
            <a:gd name="connsiteY13802" fmla="*/ 1085329 h 6858000"/>
            <a:gd name="connsiteX13803" fmla="*/ 10313370 w 12192000"/>
            <a:gd name="connsiteY13803" fmla="*/ 1120148 h 6858000"/>
            <a:gd name="connsiteX13804" fmla="*/ 10278558 w 12192000"/>
            <a:gd name="connsiteY13804" fmla="*/ 1154966 h 6858000"/>
            <a:gd name="connsiteX13805" fmla="*/ 10363450 w 12192000"/>
            <a:gd name="connsiteY13805" fmla="*/ 1154966 h 6858000"/>
            <a:gd name="connsiteX13806" fmla="*/ 10328625 w 12192000"/>
            <a:gd name="connsiteY13806" fmla="*/ 1120148 h 6858000"/>
            <a:gd name="connsiteX13807" fmla="*/ 10363450 w 12192000"/>
            <a:gd name="connsiteY13807" fmla="*/ 1085329 h 6858000"/>
            <a:gd name="connsiteX13808" fmla="*/ 10398263 w 12192000"/>
            <a:gd name="connsiteY13808" fmla="*/ 1120148 h 6858000"/>
            <a:gd name="connsiteX13809" fmla="*/ 10363450 w 12192000"/>
            <a:gd name="connsiteY13809" fmla="*/ 1154966 h 6858000"/>
            <a:gd name="connsiteX13810" fmla="*/ 11212375 w 12192000"/>
            <a:gd name="connsiteY13810" fmla="*/ 1154966 h 6858000"/>
            <a:gd name="connsiteX13811" fmla="*/ 11177549 w 12192000"/>
            <a:gd name="connsiteY13811" fmla="*/ 1120148 h 6858000"/>
            <a:gd name="connsiteX13812" fmla="*/ 11212375 w 12192000"/>
            <a:gd name="connsiteY13812" fmla="*/ 1085329 h 6858000"/>
            <a:gd name="connsiteX13813" fmla="*/ 11247187 w 12192000"/>
            <a:gd name="connsiteY13813" fmla="*/ 1120148 h 6858000"/>
            <a:gd name="connsiteX13814" fmla="*/ 11212375 w 12192000"/>
            <a:gd name="connsiteY13814" fmla="*/ 1154966 h 6858000"/>
            <a:gd name="connsiteX13815" fmla="*/ 3741833 w 12192000"/>
            <a:gd name="connsiteY13815" fmla="*/ 1070107 h 6858000"/>
            <a:gd name="connsiteX13816" fmla="*/ 3707014 w 12192000"/>
            <a:gd name="connsiteY13816" fmla="*/ 1035288 h 6858000"/>
            <a:gd name="connsiteX13817" fmla="*/ 3741833 w 12192000"/>
            <a:gd name="connsiteY13817" fmla="*/ 1000469 h 6858000"/>
            <a:gd name="connsiteX13818" fmla="*/ 3776652 w 12192000"/>
            <a:gd name="connsiteY13818" fmla="*/ 1035288 h 6858000"/>
            <a:gd name="connsiteX13819" fmla="*/ 3741833 w 12192000"/>
            <a:gd name="connsiteY13819" fmla="*/ 1070107 h 6858000"/>
            <a:gd name="connsiteX13820" fmla="*/ 3826726 w 12192000"/>
            <a:gd name="connsiteY13820" fmla="*/ 1070107 h 6858000"/>
            <a:gd name="connsiteX13821" fmla="*/ 3791907 w 12192000"/>
            <a:gd name="connsiteY13821" fmla="*/ 1035288 h 6858000"/>
            <a:gd name="connsiteX13822" fmla="*/ 3826726 w 12192000"/>
            <a:gd name="connsiteY13822" fmla="*/ 1000469 h 6858000"/>
            <a:gd name="connsiteX13823" fmla="*/ 3861544 w 12192000"/>
            <a:gd name="connsiteY13823" fmla="*/ 1035288 h 6858000"/>
            <a:gd name="connsiteX13824" fmla="*/ 3826726 w 12192000"/>
            <a:gd name="connsiteY13824" fmla="*/ 1070107 h 6858000"/>
            <a:gd name="connsiteX13825" fmla="*/ 3911618 w 12192000"/>
            <a:gd name="connsiteY13825" fmla="*/ 1070107 h 6858000"/>
            <a:gd name="connsiteX13826" fmla="*/ 3876799 w 12192000"/>
            <a:gd name="connsiteY13826" fmla="*/ 1035288 h 6858000"/>
            <a:gd name="connsiteX13827" fmla="*/ 3911618 w 12192000"/>
            <a:gd name="connsiteY13827" fmla="*/ 1000469 h 6858000"/>
            <a:gd name="connsiteX13828" fmla="*/ 3946437 w 12192000"/>
            <a:gd name="connsiteY13828" fmla="*/ 1035288 h 6858000"/>
            <a:gd name="connsiteX13829" fmla="*/ 3911618 w 12192000"/>
            <a:gd name="connsiteY13829" fmla="*/ 1070107 h 6858000"/>
            <a:gd name="connsiteX13830" fmla="*/ 11212375 w 12192000"/>
            <a:gd name="connsiteY13830" fmla="*/ 1070107 h 6858000"/>
            <a:gd name="connsiteX13831" fmla="*/ 11177549 w 12192000"/>
            <a:gd name="connsiteY13831" fmla="*/ 1035288 h 6858000"/>
            <a:gd name="connsiteX13832" fmla="*/ 11212375 w 12192000"/>
            <a:gd name="connsiteY13832" fmla="*/ 1000469 h 6858000"/>
            <a:gd name="connsiteX13833" fmla="*/ 11247187 w 12192000"/>
            <a:gd name="connsiteY13833" fmla="*/ 1035288 h 6858000"/>
            <a:gd name="connsiteX13834" fmla="*/ 11212375 w 12192000"/>
            <a:gd name="connsiteY13834" fmla="*/ 1070107 h 6858000"/>
            <a:gd name="connsiteX13835" fmla="*/ 3741833 w 12192000"/>
            <a:gd name="connsiteY13835" fmla="*/ 985246 h 6858000"/>
            <a:gd name="connsiteX13836" fmla="*/ 3707014 w 12192000"/>
            <a:gd name="connsiteY13836" fmla="*/ 950427 h 6858000"/>
            <a:gd name="connsiteX13837" fmla="*/ 3741833 w 12192000"/>
            <a:gd name="connsiteY13837" fmla="*/ 915608 h 6858000"/>
            <a:gd name="connsiteX13838" fmla="*/ 3776652 w 12192000"/>
            <a:gd name="connsiteY13838" fmla="*/ 950427 h 6858000"/>
            <a:gd name="connsiteX13839" fmla="*/ 3741833 w 12192000"/>
            <a:gd name="connsiteY13839" fmla="*/ 985246 h 6858000"/>
            <a:gd name="connsiteX13840" fmla="*/ 3826726 w 12192000"/>
            <a:gd name="connsiteY13840" fmla="*/ 985246 h 6858000"/>
            <a:gd name="connsiteX13841" fmla="*/ 3791907 w 12192000"/>
            <a:gd name="connsiteY13841" fmla="*/ 950427 h 6858000"/>
            <a:gd name="connsiteX13842" fmla="*/ 3826726 w 12192000"/>
            <a:gd name="connsiteY13842" fmla="*/ 915608 h 6858000"/>
            <a:gd name="connsiteX13843" fmla="*/ 3861544 w 12192000"/>
            <a:gd name="connsiteY13843" fmla="*/ 950427 h 6858000"/>
            <a:gd name="connsiteX13844" fmla="*/ 3826726 w 12192000"/>
            <a:gd name="connsiteY13844" fmla="*/ 985246 h 6858000"/>
            <a:gd name="connsiteX13845" fmla="*/ 10278558 w 12192000"/>
            <a:gd name="connsiteY13845" fmla="*/ 985246 h 6858000"/>
            <a:gd name="connsiteX13846" fmla="*/ 10243733 w 12192000"/>
            <a:gd name="connsiteY13846" fmla="*/ 950427 h 6858000"/>
            <a:gd name="connsiteX13847" fmla="*/ 10278558 w 12192000"/>
            <a:gd name="connsiteY13847" fmla="*/ 915608 h 6858000"/>
            <a:gd name="connsiteX13848" fmla="*/ 10313370 w 12192000"/>
            <a:gd name="connsiteY13848" fmla="*/ 950427 h 6858000"/>
            <a:gd name="connsiteX13849" fmla="*/ 10278558 w 12192000"/>
            <a:gd name="connsiteY13849" fmla="*/ 985246 h 6858000"/>
            <a:gd name="connsiteX13850" fmla="*/ 11212375 w 12192000"/>
            <a:gd name="connsiteY13850" fmla="*/ 985246 h 6858000"/>
            <a:gd name="connsiteX13851" fmla="*/ 11177549 w 12192000"/>
            <a:gd name="connsiteY13851" fmla="*/ 950427 h 6858000"/>
            <a:gd name="connsiteX13852" fmla="*/ 11212375 w 12192000"/>
            <a:gd name="connsiteY13852" fmla="*/ 915608 h 6858000"/>
            <a:gd name="connsiteX13853" fmla="*/ 11247187 w 12192000"/>
            <a:gd name="connsiteY13853" fmla="*/ 950427 h 6858000"/>
            <a:gd name="connsiteX13854" fmla="*/ 11212375 w 12192000"/>
            <a:gd name="connsiteY13854" fmla="*/ 985246 h 6858000"/>
            <a:gd name="connsiteX13855" fmla="*/ 3741833 w 12192000"/>
            <a:gd name="connsiteY13855" fmla="*/ 900386 h 6858000"/>
            <a:gd name="connsiteX13856" fmla="*/ 3707014 w 12192000"/>
            <a:gd name="connsiteY13856" fmla="*/ 865567 h 6858000"/>
            <a:gd name="connsiteX13857" fmla="*/ 3741833 w 12192000"/>
            <a:gd name="connsiteY13857" fmla="*/ 830749 h 6858000"/>
            <a:gd name="connsiteX13858" fmla="*/ 3776652 w 12192000"/>
            <a:gd name="connsiteY13858" fmla="*/ 865567 h 6858000"/>
            <a:gd name="connsiteX13859" fmla="*/ 3741833 w 12192000"/>
            <a:gd name="connsiteY13859" fmla="*/ 900386 h 6858000"/>
            <a:gd name="connsiteX13860" fmla="*/ 3826726 w 12192000"/>
            <a:gd name="connsiteY13860" fmla="*/ 900386 h 6858000"/>
            <a:gd name="connsiteX13861" fmla="*/ 3791907 w 12192000"/>
            <a:gd name="connsiteY13861" fmla="*/ 865567 h 6858000"/>
            <a:gd name="connsiteX13862" fmla="*/ 3826726 w 12192000"/>
            <a:gd name="connsiteY13862" fmla="*/ 830749 h 6858000"/>
            <a:gd name="connsiteX13863" fmla="*/ 3861544 w 12192000"/>
            <a:gd name="connsiteY13863" fmla="*/ 865567 h 6858000"/>
            <a:gd name="connsiteX13864" fmla="*/ 3826726 w 12192000"/>
            <a:gd name="connsiteY13864" fmla="*/ 900386 h 6858000"/>
            <a:gd name="connsiteX13865" fmla="*/ 3911618 w 12192000"/>
            <a:gd name="connsiteY13865" fmla="*/ 900386 h 6858000"/>
            <a:gd name="connsiteX13866" fmla="*/ 3876799 w 12192000"/>
            <a:gd name="connsiteY13866" fmla="*/ 865567 h 6858000"/>
            <a:gd name="connsiteX13867" fmla="*/ 3911618 w 12192000"/>
            <a:gd name="connsiteY13867" fmla="*/ 830749 h 6858000"/>
            <a:gd name="connsiteX13868" fmla="*/ 3946437 w 12192000"/>
            <a:gd name="connsiteY13868" fmla="*/ 865567 h 6858000"/>
            <a:gd name="connsiteX13869" fmla="*/ 3911618 w 12192000"/>
            <a:gd name="connsiteY13869" fmla="*/ 900386 h 6858000"/>
            <a:gd name="connsiteX13870" fmla="*/ 10278558 w 12192000"/>
            <a:gd name="connsiteY13870" fmla="*/ 900386 h 6858000"/>
            <a:gd name="connsiteX13871" fmla="*/ 10243733 w 12192000"/>
            <a:gd name="connsiteY13871" fmla="*/ 865567 h 6858000"/>
            <a:gd name="connsiteX13872" fmla="*/ 10278558 w 12192000"/>
            <a:gd name="connsiteY13872" fmla="*/ 830749 h 6858000"/>
            <a:gd name="connsiteX13873" fmla="*/ 10313370 w 12192000"/>
            <a:gd name="connsiteY13873" fmla="*/ 865567 h 6858000"/>
            <a:gd name="connsiteX13874" fmla="*/ 10278558 w 12192000"/>
            <a:gd name="connsiteY13874" fmla="*/ 900386 h 6858000"/>
            <a:gd name="connsiteX13875" fmla="*/ 11127483 w 12192000"/>
            <a:gd name="connsiteY13875" fmla="*/ 900386 h 6858000"/>
            <a:gd name="connsiteX13876" fmla="*/ 11092657 w 12192000"/>
            <a:gd name="connsiteY13876" fmla="*/ 865567 h 6858000"/>
            <a:gd name="connsiteX13877" fmla="*/ 11127483 w 12192000"/>
            <a:gd name="connsiteY13877" fmla="*/ 830749 h 6858000"/>
            <a:gd name="connsiteX13878" fmla="*/ 11162295 w 12192000"/>
            <a:gd name="connsiteY13878" fmla="*/ 865567 h 6858000"/>
            <a:gd name="connsiteX13879" fmla="*/ 11127483 w 12192000"/>
            <a:gd name="connsiteY13879" fmla="*/ 900386 h 6858000"/>
            <a:gd name="connsiteX13880" fmla="*/ 3741833 w 12192000"/>
            <a:gd name="connsiteY13880" fmla="*/ 815526 h 6858000"/>
            <a:gd name="connsiteX13881" fmla="*/ 3707014 w 12192000"/>
            <a:gd name="connsiteY13881" fmla="*/ 780708 h 6858000"/>
            <a:gd name="connsiteX13882" fmla="*/ 3741833 w 12192000"/>
            <a:gd name="connsiteY13882" fmla="*/ 745889 h 6858000"/>
            <a:gd name="connsiteX13883" fmla="*/ 3776652 w 12192000"/>
            <a:gd name="connsiteY13883" fmla="*/ 780708 h 6858000"/>
            <a:gd name="connsiteX13884" fmla="*/ 3741833 w 12192000"/>
            <a:gd name="connsiteY13884" fmla="*/ 815526 h 6858000"/>
            <a:gd name="connsiteX13885" fmla="*/ 3826726 w 12192000"/>
            <a:gd name="connsiteY13885" fmla="*/ 815526 h 6858000"/>
            <a:gd name="connsiteX13886" fmla="*/ 3791907 w 12192000"/>
            <a:gd name="connsiteY13886" fmla="*/ 780708 h 6858000"/>
            <a:gd name="connsiteX13887" fmla="*/ 3826726 w 12192000"/>
            <a:gd name="connsiteY13887" fmla="*/ 745889 h 6858000"/>
            <a:gd name="connsiteX13888" fmla="*/ 3861544 w 12192000"/>
            <a:gd name="connsiteY13888" fmla="*/ 780708 h 6858000"/>
            <a:gd name="connsiteX13889" fmla="*/ 3826726 w 12192000"/>
            <a:gd name="connsiteY13889" fmla="*/ 815526 h 6858000"/>
            <a:gd name="connsiteX13890" fmla="*/ 11042590 w 12192000"/>
            <a:gd name="connsiteY13890" fmla="*/ 815526 h 6858000"/>
            <a:gd name="connsiteX13891" fmla="*/ 11007765 w 12192000"/>
            <a:gd name="connsiteY13891" fmla="*/ 780708 h 6858000"/>
            <a:gd name="connsiteX13892" fmla="*/ 11042590 w 12192000"/>
            <a:gd name="connsiteY13892" fmla="*/ 745889 h 6858000"/>
            <a:gd name="connsiteX13893" fmla="*/ 11077403 w 12192000"/>
            <a:gd name="connsiteY13893" fmla="*/ 780708 h 6858000"/>
            <a:gd name="connsiteX13894" fmla="*/ 11042590 w 12192000"/>
            <a:gd name="connsiteY13894" fmla="*/ 815526 h 6858000"/>
            <a:gd name="connsiteX13895" fmla="*/ 3741833 w 12192000"/>
            <a:gd name="connsiteY13895" fmla="*/ 730667 h 6858000"/>
            <a:gd name="connsiteX13896" fmla="*/ 3707014 w 12192000"/>
            <a:gd name="connsiteY13896" fmla="*/ 695848 h 6858000"/>
            <a:gd name="connsiteX13897" fmla="*/ 3741833 w 12192000"/>
            <a:gd name="connsiteY13897" fmla="*/ 661029 h 6858000"/>
            <a:gd name="connsiteX13898" fmla="*/ 3776652 w 12192000"/>
            <a:gd name="connsiteY13898" fmla="*/ 695848 h 6858000"/>
            <a:gd name="connsiteX13899" fmla="*/ 3741833 w 12192000"/>
            <a:gd name="connsiteY13899" fmla="*/ 730667 h 6858000"/>
            <a:gd name="connsiteX13900" fmla="*/ 3826726 w 12192000"/>
            <a:gd name="connsiteY13900" fmla="*/ 730667 h 6858000"/>
            <a:gd name="connsiteX13901" fmla="*/ 3791907 w 12192000"/>
            <a:gd name="connsiteY13901" fmla="*/ 695848 h 6858000"/>
            <a:gd name="connsiteX13902" fmla="*/ 3826726 w 12192000"/>
            <a:gd name="connsiteY13902" fmla="*/ 661029 h 6858000"/>
            <a:gd name="connsiteX13903" fmla="*/ 3861544 w 12192000"/>
            <a:gd name="connsiteY13903" fmla="*/ 695848 h 6858000"/>
            <a:gd name="connsiteX13904" fmla="*/ 3826726 w 12192000"/>
            <a:gd name="connsiteY13904" fmla="*/ 730667 h 6858000"/>
            <a:gd name="connsiteX13905" fmla="*/ 4166296 w 12192000"/>
            <a:gd name="connsiteY13905" fmla="*/ 730667 h 6858000"/>
            <a:gd name="connsiteX13906" fmla="*/ 4131477 w 12192000"/>
            <a:gd name="connsiteY13906" fmla="*/ 695848 h 6858000"/>
            <a:gd name="connsiteX13907" fmla="*/ 4166296 w 12192000"/>
            <a:gd name="connsiteY13907" fmla="*/ 661029 h 6858000"/>
            <a:gd name="connsiteX13908" fmla="*/ 4201114 w 12192000"/>
            <a:gd name="connsiteY13908" fmla="*/ 695848 h 6858000"/>
            <a:gd name="connsiteX13909" fmla="*/ 4166296 w 12192000"/>
            <a:gd name="connsiteY13909" fmla="*/ 730667 h 6858000"/>
            <a:gd name="connsiteX13910" fmla="*/ 10872805 w 12192000"/>
            <a:gd name="connsiteY13910" fmla="*/ 730667 h 6858000"/>
            <a:gd name="connsiteX13911" fmla="*/ 10837979 w 12192000"/>
            <a:gd name="connsiteY13911" fmla="*/ 695848 h 6858000"/>
            <a:gd name="connsiteX13912" fmla="*/ 10872805 w 12192000"/>
            <a:gd name="connsiteY13912" fmla="*/ 661029 h 6858000"/>
            <a:gd name="connsiteX13913" fmla="*/ 10907617 w 12192000"/>
            <a:gd name="connsiteY13913" fmla="*/ 695848 h 6858000"/>
            <a:gd name="connsiteX13914" fmla="*/ 10872805 w 12192000"/>
            <a:gd name="connsiteY13914" fmla="*/ 730667 h 6858000"/>
            <a:gd name="connsiteX13915" fmla="*/ 10957697 w 12192000"/>
            <a:gd name="connsiteY13915" fmla="*/ 730667 h 6858000"/>
            <a:gd name="connsiteX13916" fmla="*/ 10922872 w 12192000"/>
            <a:gd name="connsiteY13916" fmla="*/ 695848 h 6858000"/>
            <a:gd name="connsiteX13917" fmla="*/ 10957697 w 12192000"/>
            <a:gd name="connsiteY13917" fmla="*/ 661029 h 6858000"/>
            <a:gd name="connsiteX13918" fmla="*/ 10992509 w 12192000"/>
            <a:gd name="connsiteY13918" fmla="*/ 695848 h 6858000"/>
            <a:gd name="connsiteX13919" fmla="*/ 10957697 w 12192000"/>
            <a:gd name="connsiteY13919" fmla="*/ 730667 h 6858000"/>
            <a:gd name="connsiteX13920" fmla="*/ 3826726 w 12192000"/>
            <a:gd name="connsiteY13920" fmla="*/ 645806 h 6858000"/>
            <a:gd name="connsiteX13921" fmla="*/ 3791907 w 12192000"/>
            <a:gd name="connsiteY13921" fmla="*/ 610987 h 6858000"/>
            <a:gd name="connsiteX13922" fmla="*/ 3826726 w 12192000"/>
            <a:gd name="connsiteY13922" fmla="*/ 576168 h 6858000"/>
            <a:gd name="connsiteX13923" fmla="*/ 3861544 w 12192000"/>
            <a:gd name="connsiteY13923" fmla="*/ 610987 h 6858000"/>
            <a:gd name="connsiteX13924" fmla="*/ 3826726 w 12192000"/>
            <a:gd name="connsiteY13924" fmla="*/ 645806 h 6858000"/>
            <a:gd name="connsiteX13925" fmla="*/ 3911618 w 12192000"/>
            <a:gd name="connsiteY13925" fmla="*/ 645806 h 6858000"/>
            <a:gd name="connsiteX13926" fmla="*/ 3876799 w 12192000"/>
            <a:gd name="connsiteY13926" fmla="*/ 610987 h 6858000"/>
            <a:gd name="connsiteX13927" fmla="*/ 3911618 w 12192000"/>
            <a:gd name="connsiteY13927" fmla="*/ 576168 h 6858000"/>
            <a:gd name="connsiteX13928" fmla="*/ 3946437 w 12192000"/>
            <a:gd name="connsiteY13928" fmla="*/ 610987 h 6858000"/>
            <a:gd name="connsiteX13929" fmla="*/ 3911618 w 12192000"/>
            <a:gd name="connsiteY13929" fmla="*/ 645806 h 6858000"/>
            <a:gd name="connsiteX13930" fmla="*/ 10872805 w 12192000"/>
            <a:gd name="connsiteY13930" fmla="*/ 645806 h 6858000"/>
            <a:gd name="connsiteX13931" fmla="*/ 10837979 w 12192000"/>
            <a:gd name="connsiteY13931" fmla="*/ 610987 h 6858000"/>
            <a:gd name="connsiteX13932" fmla="*/ 10872805 w 12192000"/>
            <a:gd name="connsiteY13932" fmla="*/ 576168 h 6858000"/>
            <a:gd name="connsiteX13933" fmla="*/ 10907617 w 12192000"/>
            <a:gd name="connsiteY13933" fmla="*/ 610987 h 6858000"/>
            <a:gd name="connsiteX13934" fmla="*/ 10872805 w 12192000"/>
            <a:gd name="connsiteY13934" fmla="*/ 645806 h 6858000"/>
            <a:gd name="connsiteX13935" fmla="*/ 3911618 w 12192000"/>
            <a:gd name="connsiteY13935" fmla="*/ 560946 h 6858000"/>
            <a:gd name="connsiteX13936" fmla="*/ 3876799 w 12192000"/>
            <a:gd name="connsiteY13936" fmla="*/ 526127 h 6858000"/>
            <a:gd name="connsiteX13937" fmla="*/ 3911618 w 12192000"/>
            <a:gd name="connsiteY13937" fmla="*/ 491309 h 6858000"/>
            <a:gd name="connsiteX13938" fmla="*/ 3946437 w 12192000"/>
            <a:gd name="connsiteY13938" fmla="*/ 526127 h 6858000"/>
            <a:gd name="connsiteX13939" fmla="*/ 3911618 w 12192000"/>
            <a:gd name="connsiteY13939" fmla="*/ 560946 h 6858000"/>
            <a:gd name="connsiteX13940" fmla="*/ 3996511 w 12192000"/>
            <a:gd name="connsiteY13940" fmla="*/ 560946 h 6858000"/>
            <a:gd name="connsiteX13941" fmla="*/ 3961692 w 12192000"/>
            <a:gd name="connsiteY13941" fmla="*/ 526127 h 6858000"/>
            <a:gd name="connsiteX13942" fmla="*/ 3996511 w 12192000"/>
            <a:gd name="connsiteY13942" fmla="*/ 491309 h 6858000"/>
            <a:gd name="connsiteX13943" fmla="*/ 4031330 w 12192000"/>
            <a:gd name="connsiteY13943" fmla="*/ 526127 h 6858000"/>
            <a:gd name="connsiteX13944" fmla="*/ 3996511 w 12192000"/>
            <a:gd name="connsiteY13944" fmla="*/ 560946 h 685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 ang="0">
              <a:pos x="connsiteX701" y="connsiteY701"/>
            </a:cxn>
            <a:cxn ang="0">
              <a:pos x="connsiteX702" y="connsiteY702"/>
            </a:cxn>
            <a:cxn ang="0">
              <a:pos x="connsiteX703" y="connsiteY703"/>
            </a:cxn>
            <a:cxn ang="0">
              <a:pos x="connsiteX704" y="connsiteY704"/>
            </a:cxn>
            <a:cxn ang="0">
              <a:pos x="connsiteX705" y="connsiteY705"/>
            </a:cxn>
            <a:cxn ang="0">
              <a:pos x="connsiteX706" y="connsiteY706"/>
            </a:cxn>
            <a:cxn ang="0">
              <a:pos x="connsiteX707" y="connsiteY707"/>
            </a:cxn>
            <a:cxn ang="0">
              <a:pos x="connsiteX708" y="connsiteY708"/>
            </a:cxn>
            <a:cxn ang="0">
              <a:pos x="connsiteX709" y="connsiteY709"/>
            </a:cxn>
            <a:cxn ang="0">
              <a:pos x="connsiteX710" y="connsiteY710"/>
            </a:cxn>
            <a:cxn ang="0">
              <a:pos x="connsiteX711" y="connsiteY711"/>
            </a:cxn>
            <a:cxn ang="0">
              <a:pos x="connsiteX712" y="connsiteY712"/>
            </a:cxn>
            <a:cxn ang="0">
              <a:pos x="connsiteX713" y="connsiteY713"/>
            </a:cxn>
            <a:cxn ang="0">
              <a:pos x="connsiteX714" y="connsiteY714"/>
            </a:cxn>
            <a:cxn ang="0">
              <a:pos x="connsiteX715" y="connsiteY715"/>
            </a:cxn>
            <a:cxn ang="0">
              <a:pos x="connsiteX716" y="connsiteY716"/>
            </a:cxn>
            <a:cxn ang="0">
              <a:pos x="connsiteX717" y="connsiteY717"/>
            </a:cxn>
            <a:cxn ang="0">
              <a:pos x="connsiteX718" y="connsiteY718"/>
            </a:cxn>
            <a:cxn ang="0">
              <a:pos x="connsiteX719" y="connsiteY719"/>
            </a:cxn>
            <a:cxn ang="0">
              <a:pos x="connsiteX720" y="connsiteY720"/>
            </a:cxn>
            <a:cxn ang="0">
              <a:pos x="connsiteX721" y="connsiteY721"/>
            </a:cxn>
            <a:cxn ang="0">
              <a:pos x="connsiteX722" y="connsiteY722"/>
            </a:cxn>
            <a:cxn ang="0">
              <a:pos x="connsiteX723" y="connsiteY723"/>
            </a:cxn>
            <a:cxn ang="0">
              <a:pos x="connsiteX724" y="connsiteY724"/>
            </a:cxn>
            <a:cxn ang="0">
              <a:pos x="connsiteX725" y="connsiteY725"/>
            </a:cxn>
            <a:cxn ang="0">
              <a:pos x="connsiteX726" y="connsiteY726"/>
            </a:cxn>
            <a:cxn ang="0">
              <a:pos x="connsiteX727" y="connsiteY727"/>
            </a:cxn>
            <a:cxn ang="0">
              <a:pos x="connsiteX728" y="connsiteY728"/>
            </a:cxn>
            <a:cxn ang="0">
              <a:pos x="connsiteX729" y="connsiteY729"/>
            </a:cxn>
            <a:cxn ang="0">
              <a:pos x="connsiteX730" y="connsiteY730"/>
            </a:cxn>
            <a:cxn ang="0">
              <a:pos x="connsiteX731" y="connsiteY731"/>
            </a:cxn>
            <a:cxn ang="0">
              <a:pos x="connsiteX732" y="connsiteY732"/>
            </a:cxn>
            <a:cxn ang="0">
              <a:pos x="connsiteX733" y="connsiteY733"/>
            </a:cxn>
            <a:cxn ang="0">
              <a:pos x="connsiteX734" y="connsiteY734"/>
            </a:cxn>
            <a:cxn ang="0">
              <a:pos x="connsiteX735" y="connsiteY735"/>
            </a:cxn>
            <a:cxn ang="0">
              <a:pos x="connsiteX736" y="connsiteY736"/>
            </a:cxn>
            <a:cxn ang="0">
              <a:pos x="connsiteX737" y="connsiteY737"/>
            </a:cxn>
            <a:cxn ang="0">
              <a:pos x="connsiteX738" y="connsiteY738"/>
            </a:cxn>
            <a:cxn ang="0">
              <a:pos x="connsiteX739" y="connsiteY739"/>
            </a:cxn>
            <a:cxn ang="0">
              <a:pos x="connsiteX740" y="connsiteY740"/>
            </a:cxn>
            <a:cxn ang="0">
              <a:pos x="connsiteX741" y="connsiteY741"/>
            </a:cxn>
            <a:cxn ang="0">
              <a:pos x="connsiteX742" y="connsiteY742"/>
            </a:cxn>
            <a:cxn ang="0">
              <a:pos x="connsiteX743" y="connsiteY743"/>
            </a:cxn>
            <a:cxn ang="0">
              <a:pos x="connsiteX744" y="connsiteY744"/>
            </a:cxn>
            <a:cxn ang="0">
              <a:pos x="connsiteX745" y="connsiteY745"/>
            </a:cxn>
            <a:cxn ang="0">
              <a:pos x="connsiteX746" y="connsiteY746"/>
            </a:cxn>
            <a:cxn ang="0">
              <a:pos x="connsiteX747" y="connsiteY747"/>
            </a:cxn>
            <a:cxn ang="0">
              <a:pos x="connsiteX748" y="connsiteY748"/>
            </a:cxn>
            <a:cxn ang="0">
              <a:pos x="connsiteX749" y="connsiteY749"/>
            </a:cxn>
            <a:cxn ang="0">
              <a:pos x="connsiteX750" y="connsiteY750"/>
            </a:cxn>
            <a:cxn ang="0">
              <a:pos x="connsiteX751" y="connsiteY751"/>
            </a:cxn>
            <a:cxn ang="0">
              <a:pos x="connsiteX752" y="connsiteY752"/>
            </a:cxn>
            <a:cxn ang="0">
              <a:pos x="connsiteX753" y="connsiteY753"/>
            </a:cxn>
            <a:cxn ang="0">
              <a:pos x="connsiteX754" y="connsiteY754"/>
            </a:cxn>
            <a:cxn ang="0">
              <a:pos x="connsiteX755" y="connsiteY755"/>
            </a:cxn>
            <a:cxn ang="0">
              <a:pos x="connsiteX756" y="connsiteY756"/>
            </a:cxn>
            <a:cxn ang="0">
              <a:pos x="connsiteX757" y="connsiteY757"/>
            </a:cxn>
            <a:cxn ang="0">
              <a:pos x="connsiteX758" y="connsiteY758"/>
            </a:cxn>
            <a:cxn ang="0">
              <a:pos x="connsiteX759" y="connsiteY759"/>
            </a:cxn>
            <a:cxn ang="0">
              <a:pos x="connsiteX760" y="connsiteY760"/>
            </a:cxn>
            <a:cxn ang="0">
              <a:pos x="connsiteX761" y="connsiteY761"/>
            </a:cxn>
            <a:cxn ang="0">
              <a:pos x="connsiteX762" y="connsiteY762"/>
            </a:cxn>
            <a:cxn ang="0">
              <a:pos x="connsiteX763" y="connsiteY763"/>
            </a:cxn>
            <a:cxn ang="0">
              <a:pos x="connsiteX764" y="connsiteY764"/>
            </a:cxn>
            <a:cxn ang="0">
              <a:pos x="connsiteX765" y="connsiteY765"/>
            </a:cxn>
            <a:cxn ang="0">
              <a:pos x="connsiteX766" y="connsiteY766"/>
            </a:cxn>
            <a:cxn ang="0">
              <a:pos x="connsiteX767" y="connsiteY767"/>
            </a:cxn>
            <a:cxn ang="0">
              <a:pos x="connsiteX768" y="connsiteY768"/>
            </a:cxn>
            <a:cxn ang="0">
              <a:pos x="connsiteX769" y="connsiteY769"/>
            </a:cxn>
            <a:cxn ang="0">
              <a:pos x="connsiteX770" y="connsiteY770"/>
            </a:cxn>
            <a:cxn ang="0">
              <a:pos x="connsiteX771" y="connsiteY771"/>
            </a:cxn>
            <a:cxn ang="0">
              <a:pos x="connsiteX772" y="connsiteY772"/>
            </a:cxn>
            <a:cxn ang="0">
              <a:pos x="connsiteX773" y="connsiteY773"/>
            </a:cxn>
            <a:cxn ang="0">
              <a:pos x="connsiteX774" y="connsiteY774"/>
            </a:cxn>
            <a:cxn ang="0">
              <a:pos x="connsiteX775" y="connsiteY775"/>
            </a:cxn>
            <a:cxn ang="0">
              <a:pos x="connsiteX776" y="connsiteY776"/>
            </a:cxn>
            <a:cxn ang="0">
              <a:pos x="connsiteX777" y="connsiteY777"/>
            </a:cxn>
            <a:cxn ang="0">
              <a:pos x="connsiteX778" y="connsiteY778"/>
            </a:cxn>
            <a:cxn ang="0">
              <a:pos x="connsiteX779" y="connsiteY779"/>
            </a:cxn>
            <a:cxn ang="0">
              <a:pos x="connsiteX780" y="connsiteY780"/>
            </a:cxn>
            <a:cxn ang="0">
              <a:pos x="connsiteX781" y="connsiteY781"/>
            </a:cxn>
            <a:cxn ang="0">
              <a:pos x="connsiteX782" y="connsiteY782"/>
            </a:cxn>
            <a:cxn ang="0">
              <a:pos x="connsiteX783" y="connsiteY783"/>
            </a:cxn>
            <a:cxn ang="0">
              <a:pos x="connsiteX784" y="connsiteY784"/>
            </a:cxn>
            <a:cxn ang="0">
              <a:pos x="connsiteX785" y="connsiteY785"/>
            </a:cxn>
            <a:cxn ang="0">
              <a:pos x="connsiteX786" y="connsiteY786"/>
            </a:cxn>
            <a:cxn ang="0">
              <a:pos x="connsiteX787" y="connsiteY787"/>
            </a:cxn>
            <a:cxn ang="0">
              <a:pos x="connsiteX788" y="connsiteY788"/>
            </a:cxn>
            <a:cxn ang="0">
              <a:pos x="connsiteX789" y="connsiteY789"/>
            </a:cxn>
            <a:cxn ang="0">
              <a:pos x="connsiteX790" y="connsiteY790"/>
            </a:cxn>
            <a:cxn ang="0">
              <a:pos x="connsiteX791" y="connsiteY791"/>
            </a:cxn>
            <a:cxn ang="0">
              <a:pos x="connsiteX792" y="connsiteY792"/>
            </a:cxn>
            <a:cxn ang="0">
              <a:pos x="connsiteX793" y="connsiteY793"/>
            </a:cxn>
            <a:cxn ang="0">
              <a:pos x="connsiteX794" y="connsiteY794"/>
            </a:cxn>
            <a:cxn ang="0">
              <a:pos x="connsiteX795" y="connsiteY795"/>
            </a:cxn>
            <a:cxn ang="0">
              <a:pos x="connsiteX796" y="connsiteY796"/>
            </a:cxn>
            <a:cxn ang="0">
              <a:pos x="connsiteX797" y="connsiteY797"/>
            </a:cxn>
            <a:cxn ang="0">
              <a:pos x="connsiteX798" y="connsiteY798"/>
            </a:cxn>
            <a:cxn ang="0">
              <a:pos x="connsiteX799" y="connsiteY799"/>
            </a:cxn>
            <a:cxn ang="0">
              <a:pos x="connsiteX800" y="connsiteY800"/>
            </a:cxn>
            <a:cxn ang="0">
              <a:pos x="connsiteX801" y="connsiteY801"/>
            </a:cxn>
            <a:cxn ang="0">
              <a:pos x="connsiteX802" y="connsiteY802"/>
            </a:cxn>
            <a:cxn ang="0">
              <a:pos x="connsiteX803" y="connsiteY803"/>
            </a:cxn>
            <a:cxn ang="0">
              <a:pos x="connsiteX804" y="connsiteY804"/>
            </a:cxn>
            <a:cxn ang="0">
              <a:pos x="connsiteX805" y="connsiteY805"/>
            </a:cxn>
            <a:cxn ang="0">
              <a:pos x="connsiteX806" y="connsiteY806"/>
            </a:cxn>
            <a:cxn ang="0">
              <a:pos x="connsiteX807" y="connsiteY807"/>
            </a:cxn>
            <a:cxn ang="0">
              <a:pos x="connsiteX808" y="connsiteY808"/>
            </a:cxn>
            <a:cxn ang="0">
              <a:pos x="connsiteX809" y="connsiteY809"/>
            </a:cxn>
            <a:cxn ang="0">
              <a:pos x="connsiteX810" y="connsiteY810"/>
            </a:cxn>
            <a:cxn ang="0">
              <a:pos x="connsiteX811" y="connsiteY811"/>
            </a:cxn>
            <a:cxn ang="0">
              <a:pos x="connsiteX812" y="connsiteY812"/>
            </a:cxn>
            <a:cxn ang="0">
              <a:pos x="connsiteX813" y="connsiteY813"/>
            </a:cxn>
            <a:cxn ang="0">
              <a:pos x="connsiteX814" y="connsiteY814"/>
            </a:cxn>
            <a:cxn ang="0">
              <a:pos x="connsiteX815" y="connsiteY815"/>
            </a:cxn>
            <a:cxn ang="0">
              <a:pos x="connsiteX816" y="connsiteY816"/>
            </a:cxn>
            <a:cxn ang="0">
              <a:pos x="connsiteX817" y="connsiteY817"/>
            </a:cxn>
            <a:cxn ang="0">
              <a:pos x="connsiteX818" y="connsiteY818"/>
            </a:cxn>
            <a:cxn ang="0">
              <a:pos x="connsiteX819" y="connsiteY819"/>
            </a:cxn>
            <a:cxn ang="0">
              <a:pos x="connsiteX820" y="connsiteY820"/>
            </a:cxn>
            <a:cxn ang="0">
              <a:pos x="connsiteX821" y="connsiteY821"/>
            </a:cxn>
            <a:cxn ang="0">
              <a:pos x="connsiteX822" y="connsiteY822"/>
            </a:cxn>
            <a:cxn ang="0">
              <a:pos x="connsiteX823" y="connsiteY823"/>
            </a:cxn>
            <a:cxn ang="0">
              <a:pos x="connsiteX824" y="connsiteY824"/>
            </a:cxn>
            <a:cxn ang="0">
              <a:pos x="connsiteX825" y="connsiteY825"/>
            </a:cxn>
            <a:cxn ang="0">
              <a:pos x="connsiteX826" y="connsiteY826"/>
            </a:cxn>
            <a:cxn ang="0">
              <a:pos x="connsiteX827" y="connsiteY827"/>
            </a:cxn>
            <a:cxn ang="0">
              <a:pos x="connsiteX828" y="connsiteY828"/>
            </a:cxn>
            <a:cxn ang="0">
              <a:pos x="connsiteX829" y="connsiteY829"/>
            </a:cxn>
            <a:cxn ang="0">
              <a:pos x="connsiteX830" y="connsiteY830"/>
            </a:cxn>
            <a:cxn ang="0">
              <a:pos x="connsiteX831" y="connsiteY831"/>
            </a:cxn>
            <a:cxn ang="0">
              <a:pos x="connsiteX832" y="connsiteY832"/>
            </a:cxn>
            <a:cxn ang="0">
              <a:pos x="connsiteX833" y="connsiteY833"/>
            </a:cxn>
            <a:cxn ang="0">
              <a:pos x="connsiteX834" y="connsiteY834"/>
            </a:cxn>
            <a:cxn ang="0">
              <a:pos x="connsiteX835" y="connsiteY835"/>
            </a:cxn>
            <a:cxn ang="0">
              <a:pos x="connsiteX836" y="connsiteY836"/>
            </a:cxn>
            <a:cxn ang="0">
              <a:pos x="connsiteX837" y="connsiteY837"/>
            </a:cxn>
            <a:cxn ang="0">
              <a:pos x="connsiteX838" y="connsiteY838"/>
            </a:cxn>
            <a:cxn ang="0">
              <a:pos x="connsiteX839" y="connsiteY839"/>
            </a:cxn>
            <a:cxn ang="0">
              <a:pos x="connsiteX840" y="connsiteY840"/>
            </a:cxn>
            <a:cxn ang="0">
              <a:pos x="connsiteX841" y="connsiteY841"/>
            </a:cxn>
            <a:cxn ang="0">
              <a:pos x="connsiteX842" y="connsiteY842"/>
            </a:cxn>
            <a:cxn ang="0">
              <a:pos x="connsiteX843" y="connsiteY843"/>
            </a:cxn>
            <a:cxn ang="0">
              <a:pos x="connsiteX844" y="connsiteY844"/>
            </a:cxn>
            <a:cxn ang="0">
              <a:pos x="connsiteX845" y="connsiteY845"/>
            </a:cxn>
            <a:cxn ang="0">
              <a:pos x="connsiteX846" y="connsiteY846"/>
            </a:cxn>
            <a:cxn ang="0">
              <a:pos x="connsiteX847" y="connsiteY847"/>
            </a:cxn>
            <a:cxn ang="0">
              <a:pos x="connsiteX848" y="connsiteY848"/>
            </a:cxn>
            <a:cxn ang="0">
              <a:pos x="connsiteX849" y="connsiteY849"/>
            </a:cxn>
            <a:cxn ang="0">
              <a:pos x="connsiteX850" y="connsiteY850"/>
            </a:cxn>
            <a:cxn ang="0">
              <a:pos x="connsiteX851" y="connsiteY851"/>
            </a:cxn>
            <a:cxn ang="0">
              <a:pos x="connsiteX852" y="connsiteY852"/>
            </a:cxn>
            <a:cxn ang="0">
              <a:pos x="connsiteX853" y="connsiteY853"/>
            </a:cxn>
            <a:cxn ang="0">
              <a:pos x="connsiteX854" y="connsiteY854"/>
            </a:cxn>
            <a:cxn ang="0">
              <a:pos x="connsiteX855" y="connsiteY855"/>
            </a:cxn>
            <a:cxn ang="0">
              <a:pos x="connsiteX856" y="connsiteY856"/>
            </a:cxn>
            <a:cxn ang="0">
              <a:pos x="connsiteX857" y="connsiteY857"/>
            </a:cxn>
            <a:cxn ang="0">
              <a:pos x="connsiteX858" y="connsiteY858"/>
            </a:cxn>
            <a:cxn ang="0">
              <a:pos x="connsiteX859" y="connsiteY859"/>
            </a:cxn>
            <a:cxn ang="0">
              <a:pos x="connsiteX860" y="connsiteY860"/>
            </a:cxn>
            <a:cxn ang="0">
              <a:pos x="connsiteX861" y="connsiteY861"/>
            </a:cxn>
            <a:cxn ang="0">
              <a:pos x="connsiteX862" y="connsiteY862"/>
            </a:cxn>
            <a:cxn ang="0">
              <a:pos x="connsiteX863" y="connsiteY863"/>
            </a:cxn>
            <a:cxn ang="0">
              <a:pos x="connsiteX864" y="connsiteY864"/>
            </a:cxn>
            <a:cxn ang="0">
              <a:pos x="connsiteX865" y="connsiteY865"/>
            </a:cxn>
            <a:cxn ang="0">
              <a:pos x="connsiteX866" y="connsiteY866"/>
            </a:cxn>
            <a:cxn ang="0">
              <a:pos x="connsiteX867" y="connsiteY867"/>
            </a:cxn>
            <a:cxn ang="0">
              <a:pos x="connsiteX868" y="connsiteY868"/>
            </a:cxn>
            <a:cxn ang="0">
              <a:pos x="connsiteX869" y="connsiteY869"/>
            </a:cxn>
            <a:cxn ang="0">
              <a:pos x="connsiteX870" y="connsiteY870"/>
            </a:cxn>
            <a:cxn ang="0">
              <a:pos x="connsiteX871" y="connsiteY871"/>
            </a:cxn>
            <a:cxn ang="0">
              <a:pos x="connsiteX872" y="connsiteY872"/>
            </a:cxn>
            <a:cxn ang="0">
              <a:pos x="connsiteX873" y="connsiteY873"/>
            </a:cxn>
            <a:cxn ang="0">
              <a:pos x="connsiteX874" y="connsiteY874"/>
            </a:cxn>
            <a:cxn ang="0">
              <a:pos x="connsiteX875" y="connsiteY875"/>
            </a:cxn>
            <a:cxn ang="0">
              <a:pos x="connsiteX876" y="connsiteY876"/>
            </a:cxn>
            <a:cxn ang="0">
              <a:pos x="connsiteX877" y="connsiteY877"/>
            </a:cxn>
            <a:cxn ang="0">
              <a:pos x="connsiteX878" y="connsiteY878"/>
            </a:cxn>
            <a:cxn ang="0">
              <a:pos x="connsiteX879" y="connsiteY879"/>
            </a:cxn>
            <a:cxn ang="0">
              <a:pos x="connsiteX880" y="connsiteY880"/>
            </a:cxn>
            <a:cxn ang="0">
              <a:pos x="connsiteX881" y="connsiteY881"/>
            </a:cxn>
            <a:cxn ang="0">
              <a:pos x="connsiteX882" y="connsiteY882"/>
            </a:cxn>
            <a:cxn ang="0">
              <a:pos x="connsiteX883" y="connsiteY883"/>
            </a:cxn>
            <a:cxn ang="0">
              <a:pos x="connsiteX884" y="connsiteY884"/>
            </a:cxn>
            <a:cxn ang="0">
              <a:pos x="connsiteX885" y="connsiteY885"/>
            </a:cxn>
            <a:cxn ang="0">
              <a:pos x="connsiteX886" y="connsiteY886"/>
            </a:cxn>
            <a:cxn ang="0">
              <a:pos x="connsiteX887" y="connsiteY887"/>
            </a:cxn>
            <a:cxn ang="0">
              <a:pos x="connsiteX888" y="connsiteY888"/>
            </a:cxn>
            <a:cxn ang="0">
              <a:pos x="connsiteX889" y="connsiteY889"/>
            </a:cxn>
            <a:cxn ang="0">
              <a:pos x="connsiteX890" y="connsiteY890"/>
            </a:cxn>
            <a:cxn ang="0">
              <a:pos x="connsiteX891" y="connsiteY891"/>
            </a:cxn>
            <a:cxn ang="0">
              <a:pos x="connsiteX892" y="connsiteY892"/>
            </a:cxn>
            <a:cxn ang="0">
              <a:pos x="connsiteX893" y="connsiteY893"/>
            </a:cxn>
            <a:cxn ang="0">
              <a:pos x="connsiteX894" y="connsiteY894"/>
            </a:cxn>
            <a:cxn ang="0">
              <a:pos x="connsiteX895" y="connsiteY895"/>
            </a:cxn>
            <a:cxn ang="0">
              <a:pos x="connsiteX896" y="connsiteY896"/>
            </a:cxn>
            <a:cxn ang="0">
              <a:pos x="connsiteX897" y="connsiteY897"/>
            </a:cxn>
            <a:cxn ang="0">
              <a:pos x="connsiteX898" y="connsiteY898"/>
            </a:cxn>
            <a:cxn ang="0">
              <a:pos x="connsiteX899" y="connsiteY899"/>
            </a:cxn>
            <a:cxn ang="0">
              <a:pos x="connsiteX900" y="connsiteY900"/>
            </a:cxn>
            <a:cxn ang="0">
              <a:pos x="connsiteX901" y="connsiteY901"/>
            </a:cxn>
            <a:cxn ang="0">
              <a:pos x="connsiteX902" y="connsiteY902"/>
            </a:cxn>
            <a:cxn ang="0">
              <a:pos x="connsiteX903" y="connsiteY903"/>
            </a:cxn>
            <a:cxn ang="0">
              <a:pos x="connsiteX904" y="connsiteY904"/>
            </a:cxn>
            <a:cxn ang="0">
              <a:pos x="connsiteX905" y="connsiteY905"/>
            </a:cxn>
            <a:cxn ang="0">
              <a:pos x="connsiteX906" y="connsiteY906"/>
            </a:cxn>
            <a:cxn ang="0">
              <a:pos x="connsiteX907" y="connsiteY907"/>
            </a:cxn>
            <a:cxn ang="0">
              <a:pos x="connsiteX908" y="connsiteY908"/>
            </a:cxn>
            <a:cxn ang="0">
              <a:pos x="connsiteX909" y="connsiteY909"/>
            </a:cxn>
            <a:cxn ang="0">
              <a:pos x="connsiteX910" y="connsiteY910"/>
            </a:cxn>
            <a:cxn ang="0">
              <a:pos x="connsiteX911" y="connsiteY911"/>
            </a:cxn>
            <a:cxn ang="0">
              <a:pos x="connsiteX912" y="connsiteY912"/>
            </a:cxn>
            <a:cxn ang="0">
              <a:pos x="connsiteX913" y="connsiteY913"/>
            </a:cxn>
            <a:cxn ang="0">
              <a:pos x="connsiteX914" y="connsiteY914"/>
            </a:cxn>
            <a:cxn ang="0">
              <a:pos x="connsiteX915" y="connsiteY915"/>
            </a:cxn>
            <a:cxn ang="0">
              <a:pos x="connsiteX916" y="connsiteY916"/>
            </a:cxn>
            <a:cxn ang="0">
              <a:pos x="connsiteX917" y="connsiteY917"/>
            </a:cxn>
            <a:cxn ang="0">
              <a:pos x="connsiteX918" y="connsiteY918"/>
            </a:cxn>
            <a:cxn ang="0">
              <a:pos x="connsiteX919" y="connsiteY919"/>
            </a:cxn>
            <a:cxn ang="0">
              <a:pos x="connsiteX920" y="connsiteY920"/>
            </a:cxn>
            <a:cxn ang="0">
              <a:pos x="connsiteX921" y="connsiteY921"/>
            </a:cxn>
            <a:cxn ang="0">
              <a:pos x="connsiteX922" y="connsiteY922"/>
            </a:cxn>
            <a:cxn ang="0">
              <a:pos x="connsiteX923" y="connsiteY923"/>
            </a:cxn>
            <a:cxn ang="0">
              <a:pos x="connsiteX924" y="connsiteY924"/>
            </a:cxn>
            <a:cxn ang="0">
              <a:pos x="connsiteX925" y="connsiteY925"/>
            </a:cxn>
            <a:cxn ang="0">
              <a:pos x="connsiteX926" y="connsiteY926"/>
            </a:cxn>
            <a:cxn ang="0">
              <a:pos x="connsiteX927" y="connsiteY927"/>
            </a:cxn>
            <a:cxn ang="0">
              <a:pos x="connsiteX928" y="connsiteY928"/>
            </a:cxn>
            <a:cxn ang="0">
              <a:pos x="connsiteX929" y="connsiteY929"/>
            </a:cxn>
            <a:cxn ang="0">
              <a:pos x="connsiteX930" y="connsiteY930"/>
            </a:cxn>
            <a:cxn ang="0">
              <a:pos x="connsiteX931" y="connsiteY931"/>
            </a:cxn>
            <a:cxn ang="0">
              <a:pos x="connsiteX932" y="connsiteY932"/>
            </a:cxn>
            <a:cxn ang="0">
              <a:pos x="connsiteX933" y="connsiteY933"/>
            </a:cxn>
            <a:cxn ang="0">
              <a:pos x="connsiteX934" y="connsiteY934"/>
            </a:cxn>
            <a:cxn ang="0">
              <a:pos x="connsiteX935" y="connsiteY935"/>
            </a:cxn>
            <a:cxn ang="0">
              <a:pos x="connsiteX936" y="connsiteY936"/>
            </a:cxn>
            <a:cxn ang="0">
              <a:pos x="connsiteX937" y="connsiteY937"/>
            </a:cxn>
            <a:cxn ang="0">
              <a:pos x="connsiteX938" y="connsiteY938"/>
            </a:cxn>
            <a:cxn ang="0">
              <a:pos x="connsiteX939" y="connsiteY939"/>
            </a:cxn>
            <a:cxn ang="0">
              <a:pos x="connsiteX940" y="connsiteY940"/>
            </a:cxn>
            <a:cxn ang="0">
              <a:pos x="connsiteX941" y="connsiteY941"/>
            </a:cxn>
            <a:cxn ang="0">
              <a:pos x="connsiteX942" y="connsiteY942"/>
            </a:cxn>
            <a:cxn ang="0">
              <a:pos x="connsiteX943" y="connsiteY943"/>
            </a:cxn>
            <a:cxn ang="0">
              <a:pos x="connsiteX944" y="connsiteY944"/>
            </a:cxn>
            <a:cxn ang="0">
              <a:pos x="connsiteX945" y="connsiteY945"/>
            </a:cxn>
            <a:cxn ang="0">
              <a:pos x="connsiteX946" y="connsiteY946"/>
            </a:cxn>
            <a:cxn ang="0">
              <a:pos x="connsiteX947" y="connsiteY947"/>
            </a:cxn>
            <a:cxn ang="0">
              <a:pos x="connsiteX948" y="connsiteY948"/>
            </a:cxn>
            <a:cxn ang="0">
              <a:pos x="connsiteX949" y="connsiteY949"/>
            </a:cxn>
            <a:cxn ang="0">
              <a:pos x="connsiteX950" y="connsiteY950"/>
            </a:cxn>
            <a:cxn ang="0">
              <a:pos x="connsiteX951" y="connsiteY951"/>
            </a:cxn>
            <a:cxn ang="0">
              <a:pos x="connsiteX952" y="connsiteY952"/>
            </a:cxn>
            <a:cxn ang="0">
              <a:pos x="connsiteX953" y="connsiteY953"/>
            </a:cxn>
            <a:cxn ang="0">
              <a:pos x="connsiteX954" y="connsiteY954"/>
            </a:cxn>
            <a:cxn ang="0">
              <a:pos x="connsiteX955" y="connsiteY955"/>
            </a:cxn>
            <a:cxn ang="0">
              <a:pos x="connsiteX956" y="connsiteY956"/>
            </a:cxn>
            <a:cxn ang="0">
              <a:pos x="connsiteX957" y="connsiteY957"/>
            </a:cxn>
            <a:cxn ang="0">
              <a:pos x="connsiteX958" y="connsiteY958"/>
            </a:cxn>
            <a:cxn ang="0">
              <a:pos x="connsiteX959" y="connsiteY959"/>
            </a:cxn>
            <a:cxn ang="0">
              <a:pos x="connsiteX960" y="connsiteY960"/>
            </a:cxn>
            <a:cxn ang="0">
              <a:pos x="connsiteX961" y="connsiteY961"/>
            </a:cxn>
            <a:cxn ang="0">
              <a:pos x="connsiteX962" y="connsiteY962"/>
            </a:cxn>
            <a:cxn ang="0">
              <a:pos x="connsiteX963" y="connsiteY963"/>
            </a:cxn>
            <a:cxn ang="0">
              <a:pos x="connsiteX964" y="connsiteY964"/>
            </a:cxn>
            <a:cxn ang="0">
              <a:pos x="connsiteX965" y="connsiteY965"/>
            </a:cxn>
            <a:cxn ang="0">
              <a:pos x="connsiteX966" y="connsiteY966"/>
            </a:cxn>
            <a:cxn ang="0">
              <a:pos x="connsiteX967" y="connsiteY967"/>
            </a:cxn>
            <a:cxn ang="0">
              <a:pos x="connsiteX968" y="connsiteY968"/>
            </a:cxn>
            <a:cxn ang="0">
              <a:pos x="connsiteX969" y="connsiteY969"/>
            </a:cxn>
            <a:cxn ang="0">
              <a:pos x="connsiteX970" y="connsiteY970"/>
            </a:cxn>
            <a:cxn ang="0">
              <a:pos x="connsiteX971" y="connsiteY971"/>
            </a:cxn>
            <a:cxn ang="0">
              <a:pos x="connsiteX972" y="connsiteY972"/>
            </a:cxn>
            <a:cxn ang="0">
              <a:pos x="connsiteX973" y="connsiteY973"/>
            </a:cxn>
            <a:cxn ang="0">
              <a:pos x="connsiteX974" y="connsiteY974"/>
            </a:cxn>
            <a:cxn ang="0">
              <a:pos x="connsiteX975" y="connsiteY975"/>
            </a:cxn>
            <a:cxn ang="0">
              <a:pos x="connsiteX976" y="connsiteY976"/>
            </a:cxn>
            <a:cxn ang="0">
              <a:pos x="connsiteX977" y="connsiteY977"/>
            </a:cxn>
            <a:cxn ang="0">
              <a:pos x="connsiteX978" y="connsiteY978"/>
            </a:cxn>
            <a:cxn ang="0">
              <a:pos x="connsiteX979" y="connsiteY979"/>
            </a:cxn>
            <a:cxn ang="0">
              <a:pos x="connsiteX980" y="connsiteY980"/>
            </a:cxn>
            <a:cxn ang="0">
              <a:pos x="connsiteX981" y="connsiteY981"/>
            </a:cxn>
            <a:cxn ang="0">
              <a:pos x="connsiteX982" y="connsiteY982"/>
            </a:cxn>
            <a:cxn ang="0">
              <a:pos x="connsiteX983" y="connsiteY983"/>
            </a:cxn>
            <a:cxn ang="0">
              <a:pos x="connsiteX984" y="connsiteY984"/>
            </a:cxn>
            <a:cxn ang="0">
              <a:pos x="connsiteX985" y="connsiteY985"/>
            </a:cxn>
            <a:cxn ang="0">
              <a:pos x="connsiteX986" y="connsiteY986"/>
            </a:cxn>
            <a:cxn ang="0">
              <a:pos x="connsiteX987" y="connsiteY987"/>
            </a:cxn>
            <a:cxn ang="0">
              <a:pos x="connsiteX988" y="connsiteY988"/>
            </a:cxn>
            <a:cxn ang="0">
              <a:pos x="connsiteX989" y="connsiteY989"/>
            </a:cxn>
            <a:cxn ang="0">
              <a:pos x="connsiteX990" y="connsiteY990"/>
            </a:cxn>
            <a:cxn ang="0">
              <a:pos x="connsiteX991" y="connsiteY991"/>
            </a:cxn>
            <a:cxn ang="0">
              <a:pos x="connsiteX992" y="connsiteY992"/>
            </a:cxn>
            <a:cxn ang="0">
              <a:pos x="connsiteX993" y="connsiteY993"/>
            </a:cxn>
            <a:cxn ang="0">
              <a:pos x="connsiteX994" y="connsiteY994"/>
            </a:cxn>
            <a:cxn ang="0">
              <a:pos x="connsiteX995" y="connsiteY995"/>
            </a:cxn>
            <a:cxn ang="0">
              <a:pos x="connsiteX996" y="connsiteY996"/>
            </a:cxn>
            <a:cxn ang="0">
              <a:pos x="connsiteX997" y="connsiteY997"/>
            </a:cxn>
            <a:cxn ang="0">
              <a:pos x="connsiteX998" y="connsiteY998"/>
            </a:cxn>
            <a:cxn ang="0">
              <a:pos x="connsiteX999" y="connsiteY999"/>
            </a:cxn>
            <a:cxn ang="0">
              <a:pos x="connsiteX1000" y="connsiteY1000"/>
            </a:cxn>
            <a:cxn ang="0">
              <a:pos x="connsiteX1001" y="connsiteY1001"/>
            </a:cxn>
            <a:cxn ang="0">
              <a:pos x="connsiteX1002" y="connsiteY1002"/>
            </a:cxn>
            <a:cxn ang="0">
              <a:pos x="connsiteX1003" y="connsiteY1003"/>
            </a:cxn>
            <a:cxn ang="0">
              <a:pos x="connsiteX1004" y="connsiteY1004"/>
            </a:cxn>
            <a:cxn ang="0">
              <a:pos x="connsiteX1005" y="connsiteY1005"/>
            </a:cxn>
            <a:cxn ang="0">
              <a:pos x="connsiteX1006" y="connsiteY1006"/>
            </a:cxn>
            <a:cxn ang="0">
              <a:pos x="connsiteX1007" y="connsiteY1007"/>
            </a:cxn>
            <a:cxn ang="0">
              <a:pos x="connsiteX1008" y="connsiteY1008"/>
            </a:cxn>
            <a:cxn ang="0">
              <a:pos x="connsiteX1009" y="connsiteY1009"/>
            </a:cxn>
            <a:cxn ang="0">
              <a:pos x="connsiteX1010" y="connsiteY1010"/>
            </a:cxn>
            <a:cxn ang="0">
              <a:pos x="connsiteX1011" y="connsiteY1011"/>
            </a:cxn>
            <a:cxn ang="0">
              <a:pos x="connsiteX1012" y="connsiteY1012"/>
            </a:cxn>
            <a:cxn ang="0">
              <a:pos x="connsiteX1013" y="connsiteY1013"/>
            </a:cxn>
            <a:cxn ang="0">
              <a:pos x="connsiteX1014" y="connsiteY1014"/>
            </a:cxn>
            <a:cxn ang="0">
              <a:pos x="connsiteX1015" y="connsiteY1015"/>
            </a:cxn>
            <a:cxn ang="0">
              <a:pos x="connsiteX1016" y="connsiteY1016"/>
            </a:cxn>
            <a:cxn ang="0">
              <a:pos x="connsiteX1017" y="connsiteY1017"/>
            </a:cxn>
            <a:cxn ang="0">
              <a:pos x="connsiteX1018" y="connsiteY1018"/>
            </a:cxn>
            <a:cxn ang="0">
              <a:pos x="connsiteX1019" y="connsiteY1019"/>
            </a:cxn>
            <a:cxn ang="0">
              <a:pos x="connsiteX1020" y="connsiteY1020"/>
            </a:cxn>
            <a:cxn ang="0">
              <a:pos x="connsiteX1021" y="connsiteY1021"/>
            </a:cxn>
            <a:cxn ang="0">
              <a:pos x="connsiteX1022" y="connsiteY1022"/>
            </a:cxn>
            <a:cxn ang="0">
              <a:pos x="connsiteX1023" y="connsiteY1023"/>
            </a:cxn>
            <a:cxn ang="0">
              <a:pos x="connsiteX1024" y="connsiteY1024"/>
            </a:cxn>
            <a:cxn ang="0">
              <a:pos x="connsiteX1025" y="connsiteY1025"/>
            </a:cxn>
            <a:cxn ang="0">
              <a:pos x="connsiteX1026" y="connsiteY1026"/>
            </a:cxn>
            <a:cxn ang="0">
              <a:pos x="connsiteX1027" y="connsiteY1027"/>
            </a:cxn>
            <a:cxn ang="0">
              <a:pos x="connsiteX1028" y="connsiteY1028"/>
            </a:cxn>
            <a:cxn ang="0">
              <a:pos x="connsiteX1029" y="connsiteY1029"/>
            </a:cxn>
            <a:cxn ang="0">
              <a:pos x="connsiteX1030" y="connsiteY1030"/>
            </a:cxn>
            <a:cxn ang="0">
              <a:pos x="connsiteX1031" y="connsiteY1031"/>
            </a:cxn>
            <a:cxn ang="0">
              <a:pos x="connsiteX1032" y="connsiteY1032"/>
            </a:cxn>
            <a:cxn ang="0">
              <a:pos x="connsiteX1033" y="connsiteY1033"/>
            </a:cxn>
            <a:cxn ang="0">
              <a:pos x="connsiteX1034" y="connsiteY1034"/>
            </a:cxn>
            <a:cxn ang="0">
              <a:pos x="connsiteX1035" y="connsiteY1035"/>
            </a:cxn>
            <a:cxn ang="0">
              <a:pos x="connsiteX1036" y="connsiteY1036"/>
            </a:cxn>
            <a:cxn ang="0">
              <a:pos x="connsiteX1037" y="connsiteY1037"/>
            </a:cxn>
            <a:cxn ang="0">
              <a:pos x="connsiteX1038" y="connsiteY1038"/>
            </a:cxn>
            <a:cxn ang="0">
              <a:pos x="connsiteX1039" y="connsiteY1039"/>
            </a:cxn>
            <a:cxn ang="0">
              <a:pos x="connsiteX1040" y="connsiteY1040"/>
            </a:cxn>
            <a:cxn ang="0">
              <a:pos x="connsiteX1041" y="connsiteY1041"/>
            </a:cxn>
            <a:cxn ang="0">
              <a:pos x="connsiteX1042" y="connsiteY1042"/>
            </a:cxn>
            <a:cxn ang="0">
              <a:pos x="connsiteX1043" y="connsiteY1043"/>
            </a:cxn>
            <a:cxn ang="0">
              <a:pos x="connsiteX1044" y="connsiteY1044"/>
            </a:cxn>
            <a:cxn ang="0">
              <a:pos x="connsiteX1045" y="connsiteY1045"/>
            </a:cxn>
            <a:cxn ang="0">
              <a:pos x="connsiteX1046" y="connsiteY1046"/>
            </a:cxn>
            <a:cxn ang="0">
              <a:pos x="connsiteX1047" y="connsiteY1047"/>
            </a:cxn>
            <a:cxn ang="0">
              <a:pos x="connsiteX1048" y="connsiteY1048"/>
            </a:cxn>
            <a:cxn ang="0">
              <a:pos x="connsiteX1049" y="connsiteY1049"/>
            </a:cxn>
            <a:cxn ang="0">
              <a:pos x="connsiteX1050" y="connsiteY1050"/>
            </a:cxn>
            <a:cxn ang="0">
              <a:pos x="connsiteX1051" y="connsiteY1051"/>
            </a:cxn>
            <a:cxn ang="0">
              <a:pos x="connsiteX1052" y="connsiteY1052"/>
            </a:cxn>
            <a:cxn ang="0">
              <a:pos x="connsiteX1053" y="connsiteY1053"/>
            </a:cxn>
            <a:cxn ang="0">
              <a:pos x="connsiteX1054" y="connsiteY1054"/>
            </a:cxn>
            <a:cxn ang="0">
              <a:pos x="connsiteX1055" y="connsiteY1055"/>
            </a:cxn>
            <a:cxn ang="0">
              <a:pos x="connsiteX1056" y="connsiteY1056"/>
            </a:cxn>
            <a:cxn ang="0">
              <a:pos x="connsiteX1057" y="connsiteY1057"/>
            </a:cxn>
            <a:cxn ang="0">
              <a:pos x="connsiteX1058" y="connsiteY1058"/>
            </a:cxn>
            <a:cxn ang="0">
              <a:pos x="connsiteX1059" y="connsiteY1059"/>
            </a:cxn>
            <a:cxn ang="0">
              <a:pos x="connsiteX1060" y="connsiteY1060"/>
            </a:cxn>
            <a:cxn ang="0">
              <a:pos x="connsiteX1061" y="connsiteY1061"/>
            </a:cxn>
            <a:cxn ang="0">
              <a:pos x="connsiteX1062" y="connsiteY1062"/>
            </a:cxn>
            <a:cxn ang="0">
              <a:pos x="connsiteX1063" y="connsiteY1063"/>
            </a:cxn>
            <a:cxn ang="0">
              <a:pos x="connsiteX1064" y="connsiteY1064"/>
            </a:cxn>
            <a:cxn ang="0">
              <a:pos x="connsiteX1065" y="connsiteY1065"/>
            </a:cxn>
            <a:cxn ang="0">
              <a:pos x="connsiteX1066" y="connsiteY1066"/>
            </a:cxn>
            <a:cxn ang="0">
              <a:pos x="connsiteX1067" y="connsiteY1067"/>
            </a:cxn>
            <a:cxn ang="0">
              <a:pos x="connsiteX1068" y="connsiteY1068"/>
            </a:cxn>
            <a:cxn ang="0">
              <a:pos x="connsiteX1069" y="connsiteY1069"/>
            </a:cxn>
            <a:cxn ang="0">
              <a:pos x="connsiteX1070" y="connsiteY1070"/>
            </a:cxn>
            <a:cxn ang="0">
              <a:pos x="connsiteX1071" y="connsiteY1071"/>
            </a:cxn>
            <a:cxn ang="0">
              <a:pos x="connsiteX1072" y="connsiteY1072"/>
            </a:cxn>
            <a:cxn ang="0">
              <a:pos x="connsiteX1073" y="connsiteY1073"/>
            </a:cxn>
            <a:cxn ang="0">
              <a:pos x="connsiteX1074" y="connsiteY1074"/>
            </a:cxn>
            <a:cxn ang="0">
              <a:pos x="connsiteX1075" y="connsiteY1075"/>
            </a:cxn>
            <a:cxn ang="0">
              <a:pos x="connsiteX1076" y="connsiteY1076"/>
            </a:cxn>
            <a:cxn ang="0">
              <a:pos x="connsiteX1077" y="connsiteY1077"/>
            </a:cxn>
            <a:cxn ang="0">
              <a:pos x="connsiteX1078" y="connsiteY1078"/>
            </a:cxn>
            <a:cxn ang="0">
              <a:pos x="connsiteX1079" y="connsiteY1079"/>
            </a:cxn>
            <a:cxn ang="0">
              <a:pos x="connsiteX1080" y="connsiteY1080"/>
            </a:cxn>
            <a:cxn ang="0">
              <a:pos x="connsiteX1081" y="connsiteY1081"/>
            </a:cxn>
            <a:cxn ang="0">
              <a:pos x="connsiteX1082" y="connsiteY1082"/>
            </a:cxn>
            <a:cxn ang="0">
              <a:pos x="connsiteX1083" y="connsiteY1083"/>
            </a:cxn>
            <a:cxn ang="0">
              <a:pos x="connsiteX1084" y="connsiteY1084"/>
            </a:cxn>
            <a:cxn ang="0">
              <a:pos x="connsiteX1085" y="connsiteY1085"/>
            </a:cxn>
            <a:cxn ang="0">
              <a:pos x="connsiteX1086" y="connsiteY1086"/>
            </a:cxn>
            <a:cxn ang="0">
              <a:pos x="connsiteX1087" y="connsiteY1087"/>
            </a:cxn>
            <a:cxn ang="0">
              <a:pos x="connsiteX1088" y="connsiteY1088"/>
            </a:cxn>
            <a:cxn ang="0">
              <a:pos x="connsiteX1089" y="connsiteY1089"/>
            </a:cxn>
            <a:cxn ang="0">
              <a:pos x="connsiteX1090" y="connsiteY1090"/>
            </a:cxn>
            <a:cxn ang="0">
              <a:pos x="connsiteX1091" y="connsiteY1091"/>
            </a:cxn>
            <a:cxn ang="0">
              <a:pos x="connsiteX1092" y="connsiteY1092"/>
            </a:cxn>
            <a:cxn ang="0">
              <a:pos x="connsiteX1093" y="connsiteY1093"/>
            </a:cxn>
            <a:cxn ang="0">
              <a:pos x="connsiteX1094" y="connsiteY1094"/>
            </a:cxn>
            <a:cxn ang="0">
              <a:pos x="connsiteX1095" y="connsiteY1095"/>
            </a:cxn>
            <a:cxn ang="0">
              <a:pos x="connsiteX1096" y="connsiteY1096"/>
            </a:cxn>
            <a:cxn ang="0">
              <a:pos x="connsiteX1097" y="connsiteY1097"/>
            </a:cxn>
            <a:cxn ang="0">
              <a:pos x="connsiteX1098" y="connsiteY1098"/>
            </a:cxn>
            <a:cxn ang="0">
              <a:pos x="connsiteX1099" y="connsiteY1099"/>
            </a:cxn>
            <a:cxn ang="0">
              <a:pos x="connsiteX1100" y="connsiteY1100"/>
            </a:cxn>
            <a:cxn ang="0">
              <a:pos x="connsiteX1101" y="connsiteY1101"/>
            </a:cxn>
            <a:cxn ang="0">
              <a:pos x="connsiteX1102" y="connsiteY1102"/>
            </a:cxn>
            <a:cxn ang="0">
              <a:pos x="connsiteX1103" y="connsiteY1103"/>
            </a:cxn>
            <a:cxn ang="0">
              <a:pos x="connsiteX1104" y="connsiteY1104"/>
            </a:cxn>
            <a:cxn ang="0">
              <a:pos x="connsiteX1105" y="connsiteY1105"/>
            </a:cxn>
            <a:cxn ang="0">
              <a:pos x="connsiteX1106" y="connsiteY1106"/>
            </a:cxn>
            <a:cxn ang="0">
              <a:pos x="connsiteX1107" y="connsiteY1107"/>
            </a:cxn>
            <a:cxn ang="0">
              <a:pos x="connsiteX1108" y="connsiteY1108"/>
            </a:cxn>
            <a:cxn ang="0">
              <a:pos x="connsiteX1109" y="connsiteY1109"/>
            </a:cxn>
            <a:cxn ang="0">
              <a:pos x="connsiteX1110" y="connsiteY1110"/>
            </a:cxn>
            <a:cxn ang="0">
              <a:pos x="connsiteX1111" y="connsiteY1111"/>
            </a:cxn>
            <a:cxn ang="0">
              <a:pos x="connsiteX1112" y="connsiteY1112"/>
            </a:cxn>
            <a:cxn ang="0">
              <a:pos x="connsiteX1113" y="connsiteY1113"/>
            </a:cxn>
            <a:cxn ang="0">
              <a:pos x="connsiteX1114" y="connsiteY1114"/>
            </a:cxn>
            <a:cxn ang="0">
              <a:pos x="connsiteX1115" y="connsiteY1115"/>
            </a:cxn>
            <a:cxn ang="0">
              <a:pos x="connsiteX1116" y="connsiteY1116"/>
            </a:cxn>
            <a:cxn ang="0">
              <a:pos x="connsiteX1117" y="connsiteY1117"/>
            </a:cxn>
            <a:cxn ang="0">
              <a:pos x="connsiteX1118" y="connsiteY1118"/>
            </a:cxn>
            <a:cxn ang="0">
              <a:pos x="connsiteX1119" y="connsiteY1119"/>
            </a:cxn>
            <a:cxn ang="0">
              <a:pos x="connsiteX1120" y="connsiteY1120"/>
            </a:cxn>
            <a:cxn ang="0">
              <a:pos x="connsiteX1121" y="connsiteY1121"/>
            </a:cxn>
            <a:cxn ang="0">
              <a:pos x="connsiteX1122" y="connsiteY1122"/>
            </a:cxn>
            <a:cxn ang="0">
              <a:pos x="connsiteX1123" y="connsiteY1123"/>
            </a:cxn>
            <a:cxn ang="0">
              <a:pos x="connsiteX1124" y="connsiteY1124"/>
            </a:cxn>
            <a:cxn ang="0">
              <a:pos x="connsiteX1125" y="connsiteY1125"/>
            </a:cxn>
            <a:cxn ang="0">
              <a:pos x="connsiteX1126" y="connsiteY1126"/>
            </a:cxn>
            <a:cxn ang="0">
              <a:pos x="connsiteX1127" y="connsiteY1127"/>
            </a:cxn>
            <a:cxn ang="0">
              <a:pos x="connsiteX1128" y="connsiteY1128"/>
            </a:cxn>
            <a:cxn ang="0">
              <a:pos x="connsiteX1129" y="connsiteY1129"/>
            </a:cxn>
            <a:cxn ang="0">
              <a:pos x="connsiteX1130" y="connsiteY1130"/>
            </a:cxn>
            <a:cxn ang="0">
              <a:pos x="connsiteX1131" y="connsiteY1131"/>
            </a:cxn>
            <a:cxn ang="0">
              <a:pos x="connsiteX1132" y="connsiteY1132"/>
            </a:cxn>
            <a:cxn ang="0">
              <a:pos x="connsiteX1133" y="connsiteY1133"/>
            </a:cxn>
            <a:cxn ang="0">
              <a:pos x="connsiteX1134" y="connsiteY1134"/>
            </a:cxn>
            <a:cxn ang="0">
              <a:pos x="connsiteX1135" y="connsiteY1135"/>
            </a:cxn>
            <a:cxn ang="0">
              <a:pos x="connsiteX1136" y="connsiteY1136"/>
            </a:cxn>
            <a:cxn ang="0">
              <a:pos x="connsiteX1137" y="connsiteY1137"/>
            </a:cxn>
            <a:cxn ang="0">
              <a:pos x="connsiteX1138" y="connsiteY1138"/>
            </a:cxn>
            <a:cxn ang="0">
              <a:pos x="connsiteX1139" y="connsiteY1139"/>
            </a:cxn>
            <a:cxn ang="0">
              <a:pos x="connsiteX1140" y="connsiteY1140"/>
            </a:cxn>
            <a:cxn ang="0">
              <a:pos x="connsiteX1141" y="connsiteY1141"/>
            </a:cxn>
            <a:cxn ang="0">
              <a:pos x="connsiteX1142" y="connsiteY1142"/>
            </a:cxn>
            <a:cxn ang="0">
              <a:pos x="connsiteX1143" y="connsiteY1143"/>
            </a:cxn>
            <a:cxn ang="0">
              <a:pos x="connsiteX1144" y="connsiteY1144"/>
            </a:cxn>
            <a:cxn ang="0">
              <a:pos x="connsiteX1145" y="connsiteY1145"/>
            </a:cxn>
            <a:cxn ang="0">
              <a:pos x="connsiteX1146" y="connsiteY1146"/>
            </a:cxn>
            <a:cxn ang="0">
              <a:pos x="connsiteX1147" y="connsiteY1147"/>
            </a:cxn>
            <a:cxn ang="0">
              <a:pos x="connsiteX1148" y="connsiteY1148"/>
            </a:cxn>
            <a:cxn ang="0">
              <a:pos x="connsiteX1149" y="connsiteY1149"/>
            </a:cxn>
            <a:cxn ang="0">
              <a:pos x="connsiteX1150" y="connsiteY1150"/>
            </a:cxn>
            <a:cxn ang="0">
              <a:pos x="connsiteX1151" y="connsiteY1151"/>
            </a:cxn>
            <a:cxn ang="0">
              <a:pos x="connsiteX1152" y="connsiteY1152"/>
            </a:cxn>
            <a:cxn ang="0">
              <a:pos x="connsiteX1153" y="connsiteY1153"/>
            </a:cxn>
            <a:cxn ang="0">
              <a:pos x="connsiteX1154" y="connsiteY1154"/>
            </a:cxn>
            <a:cxn ang="0">
              <a:pos x="connsiteX1155" y="connsiteY1155"/>
            </a:cxn>
            <a:cxn ang="0">
              <a:pos x="connsiteX1156" y="connsiteY1156"/>
            </a:cxn>
            <a:cxn ang="0">
              <a:pos x="connsiteX1157" y="connsiteY1157"/>
            </a:cxn>
            <a:cxn ang="0">
              <a:pos x="connsiteX1158" y="connsiteY1158"/>
            </a:cxn>
            <a:cxn ang="0">
              <a:pos x="connsiteX1159" y="connsiteY1159"/>
            </a:cxn>
            <a:cxn ang="0">
              <a:pos x="connsiteX1160" y="connsiteY1160"/>
            </a:cxn>
            <a:cxn ang="0">
              <a:pos x="connsiteX1161" y="connsiteY1161"/>
            </a:cxn>
            <a:cxn ang="0">
              <a:pos x="connsiteX1162" y="connsiteY1162"/>
            </a:cxn>
            <a:cxn ang="0">
              <a:pos x="connsiteX1163" y="connsiteY1163"/>
            </a:cxn>
            <a:cxn ang="0">
              <a:pos x="connsiteX1164" y="connsiteY1164"/>
            </a:cxn>
            <a:cxn ang="0">
              <a:pos x="connsiteX1165" y="connsiteY1165"/>
            </a:cxn>
            <a:cxn ang="0">
              <a:pos x="connsiteX1166" y="connsiteY1166"/>
            </a:cxn>
            <a:cxn ang="0">
              <a:pos x="connsiteX1167" y="connsiteY1167"/>
            </a:cxn>
            <a:cxn ang="0">
              <a:pos x="connsiteX1168" y="connsiteY1168"/>
            </a:cxn>
            <a:cxn ang="0">
              <a:pos x="connsiteX1169" y="connsiteY1169"/>
            </a:cxn>
            <a:cxn ang="0">
              <a:pos x="connsiteX1170" y="connsiteY1170"/>
            </a:cxn>
            <a:cxn ang="0">
              <a:pos x="connsiteX1171" y="connsiteY1171"/>
            </a:cxn>
            <a:cxn ang="0">
              <a:pos x="connsiteX1172" y="connsiteY1172"/>
            </a:cxn>
            <a:cxn ang="0">
              <a:pos x="connsiteX1173" y="connsiteY1173"/>
            </a:cxn>
            <a:cxn ang="0">
              <a:pos x="connsiteX1174" y="connsiteY1174"/>
            </a:cxn>
            <a:cxn ang="0">
              <a:pos x="connsiteX1175" y="connsiteY1175"/>
            </a:cxn>
            <a:cxn ang="0">
              <a:pos x="connsiteX1176" y="connsiteY1176"/>
            </a:cxn>
            <a:cxn ang="0">
              <a:pos x="connsiteX1177" y="connsiteY1177"/>
            </a:cxn>
            <a:cxn ang="0">
              <a:pos x="connsiteX1178" y="connsiteY1178"/>
            </a:cxn>
            <a:cxn ang="0">
              <a:pos x="connsiteX1179" y="connsiteY1179"/>
            </a:cxn>
            <a:cxn ang="0">
              <a:pos x="connsiteX1180" y="connsiteY1180"/>
            </a:cxn>
            <a:cxn ang="0">
              <a:pos x="connsiteX1181" y="connsiteY1181"/>
            </a:cxn>
            <a:cxn ang="0">
              <a:pos x="connsiteX1182" y="connsiteY1182"/>
            </a:cxn>
            <a:cxn ang="0">
              <a:pos x="connsiteX1183" y="connsiteY1183"/>
            </a:cxn>
            <a:cxn ang="0">
              <a:pos x="connsiteX1184" y="connsiteY1184"/>
            </a:cxn>
            <a:cxn ang="0">
              <a:pos x="connsiteX1185" y="connsiteY1185"/>
            </a:cxn>
            <a:cxn ang="0">
              <a:pos x="connsiteX1186" y="connsiteY1186"/>
            </a:cxn>
            <a:cxn ang="0">
              <a:pos x="connsiteX1187" y="connsiteY1187"/>
            </a:cxn>
            <a:cxn ang="0">
              <a:pos x="connsiteX1188" y="connsiteY1188"/>
            </a:cxn>
            <a:cxn ang="0">
              <a:pos x="connsiteX1189" y="connsiteY1189"/>
            </a:cxn>
            <a:cxn ang="0">
              <a:pos x="connsiteX1190" y="connsiteY1190"/>
            </a:cxn>
            <a:cxn ang="0">
              <a:pos x="connsiteX1191" y="connsiteY1191"/>
            </a:cxn>
            <a:cxn ang="0">
              <a:pos x="connsiteX1192" y="connsiteY1192"/>
            </a:cxn>
            <a:cxn ang="0">
              <a:pos x="connsiteX1193" y="connsiteY1193"/>
            </a:cxn>
            <a:cxn ang="0">
              <a:pos x="connsiteX1194" y="connsiteY1194"/>
            </a:cxn>
            <a:cxn ang="0">
              <a:pos x="connsiteX1195" y="connsiteY1195"/>
            </a:cxn>
            <a:cxn ang="0">
              <a:pos x="connsiteX1196" y="connsiteY1196"/>
            </a:cxn>
            <a:cxn ang="0">
              <a:pos x="connsiteX1197" y="connsiteY1197"/>
            </a:cxn>
            <a:cxn ang="0">
              <a:pos x="connsiteX1198" y="connsiteY1198"/>
            </a:cxn>
            <a:cxn ang="0">
              <a:pos x="connsiteX1199" y="connsiteY1199"/>
            </a:cxn>
            <a:cxn ang="0">
              <a:pos x="connsiteX1200" y="connsiteY1200"/>
            </a:cxn>
            <a:cxn ang="0">
              <a:pos x="connsiteX1201" y="connsiteY1201"/>
            </a:cxn>
            <a:cxn ang="0">
              <a:pos x="connsiteX1202" y="connsiteY1202"/>
            </a:cxn>
            <a:cxn ang="0">
              <a:pos x="connsiteX1203" y="connsiteY1203"/>
            </a:cxn>
            <a:cxn ang="0">
              <a:pos x="connsiteX1204" y="connsiteY1204"/>
            </a:cxn>
            <a:cxn ang="0">
              <a:pos x="connsiteX1205" y="connsiteY1205"/>
            </a:cxn>
            <a:cxn ang="0">
              <a:pos x="connsiteX1206" y="connsiteY1206"/>
            </a:cxn>
            <a:cxn ang="0">
              <a:pos x="connsiteX1207" y="connsiteY1207"/>
            </a:cxn>
            <a:cxn ang="0">
              <a:pos x="connsiteX1208" y="connsiteY1208"/>
            </a:cxn>
            <a:cxn ang="0">
              <a:pos x="connsiteX1209" y="connsiteY1209"/>
            </a:cxn>
            <a:cxn ang="0">
              <a:pos x="connsiteX1210" y="connsiteY1210"/>
            </a:cxn>
            <a:cxn ang="0">
              <a:pos x="connsiteX1211" y="connsiteY1211"/>
            </a:cxn>
            <a:cxn ang="0">
              <a:pos x="connsiteX1212" y="connsiteY1212"/>
            </a:cxn>
            <a:cxn ang="0">
              <a:pos x="connsiteX1213" y="connsiteY1213"/>
            </a:cxn>
            <a:cxn ang="0">
              <a:pos x="connsiteX1214" y="connsiteY1214"/>
            </a:cxn>
            <a:cxn ang="0">
              <a:pos x="connsiteX1215" y="connsiteY1215"/>
            </a:cxn>
            <a:cxn ang="0">
              <a:pos x="connsiteX1216" y="connsiteY1216"/>
            </a:cxn>
            <a:cxn ang="0">
              <a:pos x="connsiteX1217" y="connsiteY1217"/>
            </a:cxn>
            <a:cxn ang="0">
              <a:pos x="connsiteX1218" y="connsiteY1218"/>
            </a:cxn>
            <a:cxn ang="0">
              <a:pos x="connsiteX1219" y="connsiteY1219"/>
            </a:cxn>
            <a:cxn ang="0">
              <a:pos x="connsiteX1220" y="connsiteY1220"/>
            </a:cxn>
            <a:cxn ang="0">
              <a:pos x="connsiteX1221" y="connsiteY1221"/>
            </a:cxn>
            <a:cxn ang="0">
              <a:pos x="connsiteX1222" y="connsiteY1222"/>
            </a:cxn>
            <a:cxn ang="0">
              <a:pos x="connsiteX1223" y="connsiteY1223"/>
            </a:cxn>
            <a:cxn ang="0">
              <a:pos x="connsiteX1224" y="connsiteY1224"/>
            </a:cxn>
            <a:cxn ang="0">
              <a:pos x="connsiteX1225" y="connsiteY1225"/>
            </a:cxn>
            <a:cxn ang="0">
              <a:pos x="connsiteX1226" y="connsiteY1226"/>
            </a:cxn>
            <a:cxn ang="0">
              <a:pos x="connsiteX1227" y="connsiteY1227"/>
            </a:cxn>
            <a:cxn ang="0">
              <a:pos x="connsiteX1228" y="connsiteY1228"/>
            </a:cxn>
            <a:cxn ang="0">
              <a:pos x="connsiteX1229" y="connsiteY1229"/>
            </a:cxn>
            <a:cxn ang="0">
              <a:pos x="connsiteX1230" y="connsiteY1230"/>
            </a:cxn>
            <a:cxn ang="0">
              <a:pos x="connsiteX1231" y="connsiteY1231"/>
            </a:cxn>
            <a:cxn ang="0">
              <a:pos x="connsiteX1232" y="connsiteY1232"/>
            </a:cxn>
            <a:cxn ang="0">
              <a:pos x="connsiteX1233" y="connsiteY1233"/>
            </a:cxn>
            <a:cxn ang="0">
              <a:pos x="connsiteX1234" y="connsiteY1234"/>
            </a:cxn>
            <a:cxn ang="0">
              <a:pos x="connsiteX1235" y="connsiteY1235"/>
            </a:cxn>
            <a:cxn ang="0">
              <a:pos x="connsiteX1236" y="connsiteY1236"/>
            </a:cxn>
            <a:cxn ang="0">
              <a:pos x="connsiteX1237" y="connsiteY1237"/>
            </a:cxn>
            <a:cxn ang="0">
              <a:pos x="connsiteX1238" y="connsiteY1238"/>
            </a:cxn>
            <a:cxn ang="0">
              <a:pos x="connsiteX1239" y="connsiteY1239"/>
            </a:cxn>
            <a:cxn ang="0">
              <a:pos x="connsiteX1240" y="connsiteY1240"/>
            </a:cxn>
            <a:cxn ang="0">
              <a:pos x="connsiteX1241" y="connsiteY1241"/>
            </a:cxn>
            <a:cxn ang="0">
              <a:pos x="connsiteX1242" y="connsiteY1242"/>
            </a:cxn>
            <a:cxn ang="0">
              <a:pos x="connsiteX1243" y="connsiteY1243"/>
            </a:cxn>
            <a:cxn ang="0">
              <a:pos x="connsiteX1244" y="connsiteY1244"/>
            </a:cxn>
            <a:cxn ang="0">
              <a:pos x="connsiteX1245" y="connsiteY1245"/>
            </a:cxn>
            <a:cxn ang="0">
              <a:pos x="connsiteX1246" y="connsiteY1246"/>
            </a:cxn>
            <a:cxn ang="0">
              <a:pos x="connsiteX1247" y="connsiteY1247"/>
            </a:cxn>
            <a:cxn ang="0">
              <a:pos x="connsiteX1248" y="connsiteY1248"/>
            </a:cxn>
            <a:cxn ang="0">
              <a:pos x="connsiteX1249" y="connsiteY1249"/>
            </a:cxn>
            <a:cxn ang="0">
              <a:pos x="connsiteX1250" y="connsiteY1250"/>
            </a:cxn>
            <a:cxn ang="0">
              <a:pos x="connsiteX1251" y="connsiteY1251"/>
            </a:cxn>
            <a:cxn ang="0">
              <a:pos x="connsiteX1252" y="connsiteY1252"/>
            </a:cxn>
            <a:cxn ang="0">
              <a:pos x="connsiteX1253" y="connsiteY1253"/>
            </a:cxn>
            <a:cxn ang="0">
              <a:pos x="connsiteX1254" y="connsiteY1254"/>
            </a:cxn>
            <a:cxn ang="0">
              <a:pos x="connsiteX1255" y="connsiteY1255"/>
            </a:cxn>
            <a:cxn ang="0">
              <a:pos x="connsiteX1256" y="connsiteY1256"/>
            </a:cxn>
            <a:cxn ang="0">
              <a:pos x="connsiteX1257" y="connsiteY1257"/>
            </a:cxn>
            <a:cxn ang="0">
              <a:pos x="connsiteX1258" y="connsiteY1258"/>
            </a:cxn>
            <a:cxn ang="0">
              <a:pos x="connsiteX1259" y="connsiteY1259"/>
            </a:cxn>
            <a:cxn ang="0">
              <a:pos x="connsiteX1260" y="connsiteY1260"/>
            </a:cxn>
            <a:cxn ang="0">
              <a:pos x="connsiteX1261" y="connsiteY1261"/>
            </a:cxn>
            <a:cxn ang="0">
              <a:pos x="connsiteX1262" y="connsiteY1262"/>
            </a:cxn>
            <a:cxn ang="0">
              <a:pos x="connsiteX1263" y="connsiteY1263"/>
            </a:cxn>
            <a:cxn ang="0">
              <a:pos x="connsiteX1264" y="connsiteY1264"/>
            </a:cxn>
            <a:cxn ang="0">
              <a:pos x="connsiteX1265" y="connsiteY1265"/>
            </a:cxn>
            <a:cxn ang="0">
              <a:pos x="connsiteX1266" y="connsiteY1266"/>
            </a:cxn>
            <a:cxn ang="0">
              <a:pos x="connsiteX1267" y="connsiteY1267"/>
            </a:cxn>
            <a:cxn ang="0">
              <a:pos x="connsiteX1268" y="connsiteY1268"/>
            </a:cxn>
            <a:cxn ang="0">
              <a:pos x="connsiteX1269" y="connsiteY1269"/>
            </a:cxn>
            <a:cxn ang="0">
              <a:pos x="connsiteX1270" y="connsiteY1270"/>
            </a:cxn>
            <a:cxn ang="0">
              <a:pos x="connsiteX1271" y="connsiteY1271"/>
            </a:cxn>
            <a:cxn ang="0">
              <a:pos x="connsiteX1272" y="connsiteY1272"/>
            </a:cxn>
            <a:cxn ang="0">
              <a:pos x="connsiteX1273" y="connsiteY1273"/>
            </a:cxn>
            <a:cxn ang="0">
              <a:pos x="connsiteX1274" y="connsiteY1274"/>
            </a:cxn>
            <a:cxn ang="0">
              <a:pos x="connsiteX1275" y="connsiteY1275"/>
            </a:cxn>
            <a:cxn ang="0">
              <a:pos x="connsiteX1276" y="connsiteY1276"/>
            </a:cxn>
            <a:cxn ang="0">
              <a:pos x="connsiteX1277" y="connsiteY1277"/>
            </a:cxn>
            <a:cxn ang="0">
              <a:pos x="connsiteX1278" y="connsiteY1278"/>
            </a:cxn>
            <a:cxn ang="0">
              <a:pos x="connsiteX1279" y="connsiteY1279"/>
            </a:cxn>
            <a:cxn ang="0">
              <a:pos x="connsiteX1280" y="connsiteY1280"/>
            </a:cxn>
            <a:cxn ang="0">
              <a:pos x="connsiteX1281" y="connsiteY1281"/>
            </a:cxn>
            <a:cxn ang="0">
              <a:pos x="connsiteX1282" y="connsiteY1282"/>
            </a:cxn>
            <a:cxn ang="0">
              <a:pos x="connsiteX1283" y="connsiteY1283"/>
            </a:cxn>
            <a:cxn ang="0">
              <a:pos x="connsiteX1284" y="connsiteY1284"/>
            </a:cxn>
            <a:cxn ang="0">
              <a:pos x="connsiteX1285" y="connsiteY1285"/>
            </a:cxn>
            <a:cxn ang="0">
              <a:pos x="connsiteX1286" y="connsiteY1286"/>
            </a:cxn>
            <a:cxn ang="0">
              <a:pos x="connsiteX1287" y="connsiteY1287"/>
            </a:cxn>
            <a:cxn ang="0">
              <a:pos x="connsiteX1288" y="connsiteY1288"/>
            </a:cxn>
            <a:cxn ang="0">
              <a:pos x="connsiteX1289" y="connsiteY1289"/>
            </a:cxn>
            <a:cxn ang="0">
              <a:pos x="connsiteX1290" y="connsiteY1290"/>
            </a:cxn>
            <a:cxn ang="0">
              <a:pos x="connsiteX1291" y="connsiteY1291"/>
            </a:cxn>
            <a:cxn ang="0">
              <a:pos x="connsiteX1292" y="connsiteY1292"/>
            </a:cxn>
            <a:cxn ang="0">
              <a:pos x="connsiteX1293" y="connsiteY1293"/>
            </a:cxn>
            <a:cxn ang="0">
              <a:pos x="connsiteX1294" y="connsiteY1294"/>
            </a:cxn>
            <a:cxn ang="0">
              <a:pos x="connsiteX1295" y="connsiteY1295"/>
            </a:cxn>
            <a:cxn ang="0">
              <a:pos x="connsiteX1296" y="connsiteY1296"/>
            </a:cxn>
            <a:cxn ang="0">
              <a:pos x="connsiteX1297" y="connsiteY1297"/>
            </a:cxn>
            <a:cxn ang="0">
              <a:pos x="connsiteX1298" y="connsiteY1298"/>
            </a:cxn>
            <a:cxn ang="0">
              <a:pos x="connsiteX1299" y="connsiteY1299"/>
            </a:cxn>
            <a:cxn ang="0">
              <a:pos x="connsiteX1300" y="connsiteY1300"/>
            </a:cxn>
            <a:cxn ang="0">
              <a:pos x="connsiteX1301" y="connsiteY1301"/>
            </a:cxn>
            <a:cxn ang="0">
              <a:pos x="connsiteX1302" y="connsiteY1302"/>
            </a:cxn>
            <a:cxn ang="0">
              <a:pos x="connsiteX1303" y="connsiteY1303"/>
            </a:cxn>
            <a:cxn ang="0">
              <a:pos x="connsiteX1304" y="connsiteY1304"/>
            </a:cxn>
            <a:cxn ang="0">
              <a:pos x="connsiteX1305" y="connsiteY1305"/>
            </a:cxn>
            <a:cxn ang="0">
              <a:pos x="connsiteX1306" y="connsiteY1306"/>
            </a:cxn>
            <a:cxn ang="0">
              <a:pos x="connsiteX1307" y="connsiteY1307"/>
            </a:cxn>
            <a:cxn ang="0">
              <a:pos x="connsiteX1308" y="connsiteY1308"/>
            </a:cxn>
            <a:cxn ang="0">
              <a:pos x="connsiteX1309" y="connsiteY1309"/>
            </a:cxn>
            <a:cxn ang="0">
              <a:pos x="connsiteX1310" y="connsiteY1310"/>
            </a:cxn>
            <a:cxn ang="0">
              <a:pos x="connsiteX1311" y="connsiteY1311"/>
            </a:cxn>
            <a:cxn ang="0">
              <a:pos x="connsiteX1312" y="connsiteY1312"/>
            </a:cxn>
            <a:cxn ang="0">
              <a:pos x="connsiteX1313" y="connsiteY1313"/>
            </a:cxn>
            <a:cxn ang="0">
              <a:pos x="connsiteX1314" y="connsiteY1314"/>
            </a:cxn>
            <a:cxn ang="0">
              <a:pos x="connsiteX1315" y="connsiteY1315"/>
            </a:cxn>
            <a:cxn ang="0">
              <a:pos x="connsiteX1316" y="connsiteY1316"/>
            </a:cxn>
            <a:cxn ang="0">
              <a:pos x="connsiteX1317" y="connsiteY1317"/>
            </a:cxn>
            <a:cxn ang="0">
              <a:pos x="connsiteX1318" y="connsiteY1318"/>
            </a:cxn>
            <a:cxn ang="0">
              <a:pos x="connsiteX1319" y="connsiteY1319"/>
            </a:cxn>
            <a:cxn ang="0">
              <a:pos x="connsiteX1320" y="connsiteY1320"/>
            </a:cxn>
            <a:cxn ang="0">
              <a:pos x="connsiteX1321" y="connsiteY1321"/>
            </a:cxn>
            <a:cxn ang="0">
              <a:pos x="connsiteX1322" y="connsiteY1322"/>
            </a:cxn>
            <a:cxn ang="0">
              <a:pos x="connsiteX1323" y="connsiteY1323"/>
            </a:cxn>
            <a:cxn ang="0">
              <a:pos x="connsiteX1324" y="connsiteY1324"/>
            </a:cxn>
            <a:cxn ang="0">
              <a:pos x="connsiteX1325" y="connsiteY1325"/>
            </a:cxn>
            <a:cxn ang="0">
              <a:pos x="connsiteX1326" y="connsiteY1326"/>
            </a:cxn>
            <a:cxn ang="0">
              <a:pos x="connsiteX1327" y="connsiteY1327"/>
            </a:cxn>
            <a:cxn ang="0">
              <a:pos x="connsiteX1328" y="connsiteY1328"/>
            </a:cxn>
            <a:cxn ang="0">
              <a:pos x="connsiteX1329" y="connsiteY1329"/>
            </a:cxn>
            <a:cxn ang="0">
              <a:pos x="connsiteX1330" y="connsiteY1330"/>
            </a:cxn>
            <a:cxn ang="0">
              <a:pos x="connsiteX1331" y="connsiteY1331"/>
            </a:cxn>
            <a:cxn ang="0">
              <a:pos x="connsiteX1332" y="connsiteY1332"/>
            </a:cxn>
            <a:cxn ang="0">
              <a:pos x="connsiteX1333" y="connsiteY1333"/>
            </a:cxn>
            <a:cxn ang="0">
              <a:pos x="connsiteX1334" y="connsiteY1334"/>
            </a:cxn>
            <a:cxn ang="0">
              <a:pos x="connsiteX1335" y="connsiteY1335"/>
            </a:cxn>
            <a:cxn ang="0">
              <a:pos x="connsiteX1336" y="connsiteY1336"/>
            </a:cxn>
            <a:cxn ang="0">
              <a:pos x="connsiteX1337" y="connsiteY1337"/>
            </a:cxn>
            <a:cxn ang="0">
              <a:pos x="connsiteX1338" y="connsiteY1338"/>
            </a:cxn>
            <a:cxn ang="0">
              <a:pos x="connsiteX1339" y="connsiteY1339"/>
            </a:cxn>
            <a:cxn ang="0">
              <a:pos x="connsiteX1340" y="connsiteY1340"/>
            </a:cxn>
            <a:cxn ang="0">
              <a:pos x="connsiteX1341" y="connsiteY1341"/>
            </a:cxn>
            <a:cxn ang="0">
              <a:pos x="connsiteX1342" y="connsiteY1342"/>
            </a:cxn>
            <a:cxn ang="0">
              <a:pos x="connsiteX1343" y="connsiteY1343"/>
            </a:cxn>
            <a:cxn ang="0">
              <a:pos x="connsiteX1344" y="connsiteY1344"/>
            </a:cxn>
            <a:cxn ang="0">
              <a:pos x="connsiteX1345" y="connsiteY1345"/>
            </a:cxn>
            <a:cxn ang="0">
              <a:pos x="connsiteX1346" y="connsiteY1346"/>
            </a:cxn>
            <a:cxn ang="0">
              <a:pos x="connsiteX1347" y="connsiteY1347"/>
            </a:cxn>
            <a:cxn ang="0">
              <a:pos x="connsiteX1348" y="connsiteY1348"/>
            </a:cxn>
            <a:cxn ang="0">
              <a:pos x="connsiteX1349" y="connsiteY1349"/>
            </a:cxn>
            <a:cxn ang="0">
              <a:pos x="connsiteX1350" y="connsiteY1350"/>
            </a:cxn>
            <a:cxn ang="0">
              <a:pos x="connsiteX1351" y="connsiteY1351"/>
            </a:cxn>
            <a:cxn ang="0">
              <a:pos x="connsiteX1352" y="connsiteY1352"/>
            </a:cxn>
            <a:cxn ang="0">
              <a:pos x="connsiteX1353" y="connsiteY1353"/>
            </a:cxn>
            <a:cxn ang="0">
              <a:pos x="connsiteX1354" y="connsiteY1354"/>
            </a:cxn>
            <a:cxn ang="0">
              <a:pos x="connsiteX1355" y="connsiteY1355"/>
            </a:cxn>
            <a:cxn ang="0">
              <a:pos x="connsiteX1356" y="connsiteY1356"/>
            </a:cxn>
            <a:cxn ang="0">
              <a:pos x="connsiteX1357" y="connsiteY1357"/>
            </a:cxn>
            <a:cxn ang="0">
              <a:pos x="connsiteX1358" y="connsiteY1358"/>
            </a:cxn>
            <a:cxn ang="0">
              <a:pos x="connsiteX1359" y="connsiteY1359"/>
            </a:cxn>
            <a:cxn ang="0">
              <a:pos x="connsiteX1360" y="connsiteY1360"/>
            </a:cxn>
            <a:cxn ang="0">
              <a:pos x="connsiteX1361" y="connsiteY1361"/>
            </a:cxn>
            <a:cxn ang="0">
              <a:pos x="connsiteX1362" y="connsiteY1362"/>
            </a:cxn>
            <a:cxn ang="0">
              <a:pos x="connsiteX1363" y="connsiteY1363"/>
            </a:cxn>
            <a:cxn ang="0">
              <a:pos x="connsiteX1364" y="connsiteY1364"/>
            </a:cxn>
            <a:cxn ang="0">
              <a:pos x="connsiteX1365" y="connsiteY1365"/>
            </a:cxn>
            <a:cxn ang="0">
              <a:pos x="connsiteX1366" y="connsiteY1366"/>
            </a:cxn>
            <a:cxn ang="0">
              <a:pos x="connsiteX1367" y="connsiteY1367"/>
            </a:cxn>
            <a:cxn ang="0">
              <a:pos x="connsiteX1368" y="connsiteY1368"/>
            </a:cxn>
            <a:cxn ang="0">
              <a:pos x="connsiteX1369" y="connsiteY1369"/>
            </a:cxn>
            <a:cxn ang="0">
              <a:pos x="connsiteX1370" y="connsiteY1370"/>
            </a:cxn>
            <a:cxn ang="0">
              <a:pos x="connsiteX1371" y="connsiteY1371"/>
            </a:cxn>
            <a:cxn ang="0">
              <a:pos x="connsiteX1372" y="connsiteY1372"/>
            </a:cxn>
            <a:cxn ang="0">
              <a:pos x="connsiteX1373" y="connsiteY1373"/>
            </a:cxn>
            <a:cxn ang="0">
              <a:pos x="connsiteX1374" y="connsiteY1374"/>
            </a:cxn>
            <a:cxn ang="0">
              <a:pos x="connsiteX1375" y="connsiteY1375"/>
            </a:cxn>
            <a:cxn ang="0">
              <a:pos x="connsiteX1376" y="connsiteY1376"/>
            </a:cxn>
            <a:cxn ang="0">
              <a:pos x="connsiteX1377" y="connsiteY1377"/>
            </a:cxn>
            <a:cxn ang="0">
              <a:pos x="connsiteX1378" y="connsiteY1378"/>
            </a:cxn>
            <a:cxn ang="0">
              <a:pos x="connsiteX1379" y="connsiteY1379"/>
            </a:cxn>
            <a:cxn ang="0">
              <a:pos x="connsiteX1380" y="connsiteY1380"/>
            </a:cxn>
            <a:cxn ang="0">
              <a:pos x="connsiteX1381" y="connsiteY1381"/>
            </a:cxn>
            <a:cxn ang="0">
              <a:pos x="connsiteX1382" y="connsiteY1382"/>
            </a:cxn>
            <a:cxn ang="0">
              <a:pos x="connsiteX1383" y="connsiteY1383"/>
            </a:cxn>
            <a:cxn ang="0">
              <a:pos x="connsiteX1384" y="connsiteY1384"/>
            </a:cxn>
            <a:cxn ang="0">
              <a:pos x="connsiteX1385" y="connsiteY1385"/>
            </a:cxn>
            <a:cxn ang="0">
              <a:pos x="connsiteX1386" y="connsiteY1386"/>
            </a:cxn>
            <a:cxn ang="0">
              <a:pos x="connsiteX1387" y="connsiteY1387"/>
            </a:cxn>
            <a:cxn ang="0">
              <a:pos x="connsiteX1388" y="connsiteY1388"/>
            </a:cxn>
            <a:cxn ang="0">
              <a:pos x="connsiteX1389" y="connsiteY1389"/>
            </a:cxn>
            <a:cxn ang="0">
              <a:pos x="connsiteX1390" y="connsiteY1390"/>
            </a:cxn>
            <a:cxn ang="0">
              <a:pos x="connsiteX1391" y="connsiteY1391"/>
            </a:cxn>
            <a:cxn ang="0">
              <a:pos x="connsiteX1392" y="connsiteY1392"/>
            </a:cxn>
            <a:cxn ang="0">
              <a:pos x="connsiteX1393" y="connsiteY1393"/>
            </a:cxn>
            <a:cxn ang="0">
              <a:pos x="connsiteX1394" y="connsiteY1394"/>
            </a:cxn>
            <a:cxn ang="0">
              <a:pos x="connsiteX1395" y="connsiteY1395"/>
            </a:cxn>
            <a:cxn ang="0">
              <a:pos x="connsiteX1396" y="connsiteY1396"/>
            </a:cxn>
            <a:cxn ang="0">
              <a:pos x="connsiteX1397" y="connsiteY1397"/>
            </a:cxn>
            <a:cxn ang="0">
              <a:pos x="connsiteX1398" y="connsiteY1398"/>
            </a:cxn>
            <a:cxn ang="0">
              <a:pos x="connsiteX1399" y="connsiteY1399"/>
            </a:cxn>
            <a:cxn ang="0">
              <a:pos x="connsiteX1400" y="connsiteY1400"/>
            </a:cxn>
            <a:cxn ang="0">
              <a:pos x="connsiteX1401" y="connsiteY1401"/>
            </a:cxn>
            <a:cxn ang="0">
              <a:pos x="connsiteX1402" y="connsiteY1402"/>
            </a:cxn>
            <a:cxn ang="0">
              <a:pos x="connsiteX1403" y="connsiteY1403"/>
            </a:cxn>
            <a:cxn ang="0">
              <a:pos x="connsiteX1404" y="connsiteY1404"/>
            </a:cxn>
            <a:cxn ang="0">
              <a:pos x="connsiteX1405" y="connsiteY1405"/>
            </a:cxn>
            <a:cxn ang="0">
              <a:pos x="connsiteX1406" y="connsiteY1406"/>
            </a:cxn>
            <a:cxn ang="0">
              <a:pos x="connsiteX1407" y="connsiteY1407"/>
            </a:cxn>
            <a:cxn ang="0">
              <a:pos x="connsiteX1408" y="connsiteY1408"/>
            </a:cxn>
            <a:cxn ang="0">
              <a:pos x="connsiteX1409" y="connsiteY1409"/>
            </a:cxn>
            <a:cxn ang="0">
              <a:pos x="connsiteX1410" y="connsiteY1410"/>
            </a:cxn>
            <a:cxn ang="0">
              <a:pos x="connsiteX1411" y="connsiteY1411"/>
            </a:cxn>
            <a:cxn ang="0">
              <a:pos x="connsiteX1412" y="connsiteY1412"/>
            </a:cxn>
            <a:cxn ang="0">
              <a:pos x="connsiteX1413" y="connsiteY1413"/>
            </a:cxn>
            <a:cxn ang="0">
              <a:pos x="connsiteX1414" y="connsiteY1414"/>
            </a:cxn>
            <a:cxn ang="0">
              <a:pos x="connsiteX1415" y="connsiteY1415"/>
            </a:cxn>
            <a:cxn ang="0">
              <a:pos x="connsiteX1416" y="connsiteY1416"/>
            </a:cxn>
            <a:cxn ang="0">
              <a:pos x="connsiteX1417" y="connsiteY1417"/>
            </a:cxn>
            <a:cxn ang="0">
              <a:pos x="connsiteX1418" y="connsiteY1418"/>
            </a:cxn>
            <a:cxn ang="0">
              <a:pos x="connsiteX1419" y="connsiteY1419"/>
            </a:cxn>
            <a:cxn ang="0">
              <a:pos x="connsiteX1420" y="connsiteY1420"/>
            </a:cxn>
            <a:cxn ang="0">
              <a:pos x="connsiteX1421" y="connsiteY1421"/>
            </a:cxn>
            <a:cxn ang="0">
              <a:pos x="connsiteX1422" y="connsiteY1422"/>
            </a:cxn>
            <a:cxn ang="0">
              <a:pos x="connsiteX1423" y="connsiteY1423"/>
            </a:cxn>
            <a:cxn ang="0">
              <a:pos x="connsiteX1424" y="connsiteY1424"/>
            </a:cxn>
            <a:cxn ang="0">
              <a:pos x="connsiteX1425" y="connsiteY1425"/>
            </a:cxn>
            <a:cxn ang="0">
              <a:pos x="connsiteX1426" y="connsiteY1426"/>
            </a:cxn>
            <a:cxn ang="0">
              <a:pos x="connsiteX1427" y="connsiteY1427"/>
            </a:cxn>
            <a:cxn ang="0">
              <a:pos x="connsiteX1428" y="connsiteY1428"/>
            </a:cxn>
            <a:cxn ang="0">
              <a:pos x="connsiteX1429" y="connsiteY1429"/>
            </a:cxn>
            <a:cxn ang="0">
              <a:pos x="connsiteX1430" y="connsiteY1430"/>
            </a:cxn>
            <a:cxn ang="0">
              <a:pos x="connsiteX1431" y="connsiteY1431"/>
            </a:cxn>
            <a:cxn ang="0">
              <a:pos x="connsiteX1432" y="connsiteY1432"/>
            </a:cxn>
            <a:cxn ang="0">
              <a:pos x="connsiteX1433" y="connsiteY1433"/>
            </a:cxn>
            <a:cxn ang="0">
              <a:pos x="connsiteX1434" y="connsiteY1434"/>
            </a:cxn>
            <a:cxn ang="0">
              <a:pos x="connsiteX1435" y="connsiteY1435"/>
            </a:cxn>
            <a:cxn ang="0">
              <a:pos x="connsiteX1436" y="connsiteY1436"/>
            </a:cxn>
            <a:cxn ang="0">
              <a:pos x="connsiteX1437" y="connsiteY1437"/>
            </a:cxn>
            <a:cxn ang="0">
              <a:pos x="connsiteX1438" y="connsiteY1438"/>
            </a:cxn>
            <a:cxn ang="0">
              <a:pos x="connsiteX1439" y="connsiteY1439"/>
            </a:cxn>
            <a:cxn ang="0">
              <a:pos x="connsiteX1440" y="connsiteY1440"/>
            </a:cxn>
            <a:cxn ang="0">
              <a:pos x="connsiteX1441" y="connsiteY1441"/>
            </a:cxn>
            <a:cxn ang="0">
              <a:pos x="connsiteX1442" y="connsiteY1442"/>
            </a:cxn>
            <a:cxn ang="0">
              <a:pos x="connsiteX1443" y="connsiteY1443"/>
            </a:cxn>
            <a:cxn ang="0">
              <a:pos x="connsiteX1444" y="connsiteY1444"/>
            </a:cxn>
            <a:cxn ang="0">
              <a:pos x="connsiteX1445" y="connsiteY1445"/>
            </a:cxn>
            <a:cxn ang="0">
              <a:pos x="connsiteX1446" y="connsiteY1446"/>
            </a:cxn>
            <a:cxn ang="0">
              <a:pos x="connsiteX1447" y="connsiteY1447"/>
            </a:cxn>
            <a:cxn ang="0">
              <a:pos x="connsiteX1448" y="connsiteY1448"/>
            </a:cxn>
            <a:cxn ang="0">
              <a:pos x="connsiteX1449" y="connsiteY1449"/>
            </a:cxn>
            <a:cxn ang="0">
              <a:pos x="connsiteX1450" y="connsiteY1450"/>
            </a:cxn>
            <a:cxn ang="0">
              <a:pos x="connsiteX1451" y="connsiteY1451"/>
            </a:cxn>
            <a:cxn ang="0">
              <a:pos x="connsiteX1452" y="connsiteY1452"/>
            </a:cxn>
            <a:cxn ang="0">
              <a:pos x="connsiteX1453" y="connsiteY1453"/>
            </a:cxn>
            <a:cxn ang="0">
              <a:pos x="connsiteX1454" y="connsiteY1454"/>
            </a:cxn>
            <a:cxn ang="0">
              <a:pos x="connsiteX1455" y="connsiteY1455"/>
            </a:cxn>
            <a:cxn ang="0">
              <a:pos x="connsiteX1456" y="connsiteY1456"/>
            </a:cxn>
            <a:cxn ang="0">
              <a:pos x="connsiteX1457" y="connsiteY1457"/>
            </a:cxn>
            <a:cxn ang="0">
              <a:pos x="connsiteX1458" y="connsiteY1458"/>
            </a:cxn>
            <a:cxn ang="0">
              <a:pos x="connsiteX1459" y="connsiteY1459"/>
            </a:cxn>
            <a:cxn ang="0">
              <a:pos x="connsiteX1460" y="connsiteY1460"/>
            </a:cxn>
            <a:cxn ang="0">
              <a:pos x="connsiteX1461" y="connsiteY1461"/>
            </a:cxn>
            <a:cxn ang="0">
              <a:pos x="connsiteX1462" y="connsiteY1462"/>
            </a:cxn>
            <a:cxn ang="0">
              <a:pos x="connsiteX1463" y="connsiteY1463"/>
            </a:cxn>
            <a:cxn ang="0">
              <a:pos x="connsiteX1464" y="connsiteY1464"/>
            </a:cxn>
            <a:cxn ang="0">
              <a:pos x="connsiteX1465" y="connsiteY1465"/>
            </a:cxn>
            <a:cxn ang="0">
              <a:pos x="connsiteX1466" y="connsiteY1466"/>
            </a:cxn>
            <a:cxn ang="0">
              <a:pos x="connsiteX1467" y="connsiteY1467"/>
            </a:cxn>
            <a:cxn ang="0">
              <a:pos x="connsiteX1468" y="connsiteY1468"/>
            </a:cxn>
            <a:cxn ang="0">
              <a:pos x="connsiteX1469" y="connsiteY1469"/>
            </a:cxn>
            <a:cxn ang="0">
              <a:pos x="connsiteX1470" y="connsiteY1470"/>
            </a:cxn>
            <a:cxn ang="0">
              <a:pos x="connsiteX1471" y="connsiteY1471"/>
            </a:cxn>
            <a:cxn ang="0">
              <a:pos x="connsiteX1472" y="connsiteY1472"/>
            </a:cxn>
            <a:cxn ang="0">
              <a:pos x="connsiteX1473" y="connsiteY1473"/>
            </a:cxn>
            <a:cxn ang="0">
              <a:pos x="connsiteX1474" y="connsiteY1474"/>
            </a:cxn>
            <a:cxn ang="0">
              <a:pos x="connsiteX1475" y="connsiteY1475"/>
            </a:cxn>
            <a:cxn ang="0">
              <a:pos x="connsiteX1476" y="connsiteY1476"/>
            </a:cxn>
            <a:cxn ang="0">
              <a:pos x="connsiteX1477" y="connsiteY1477"/>
            </a:cxn>
            <a:cxn ang="0">
              <a:pos x="connsiteX1478" y="connsiteY1478"/>
            </a:cxn>
            <a:cxn ang="0">
              <a:pos x="connsiteX1479" y="connsiteY1479"/>
            </a:cxn>
            <a:cxn ang="0">
              <a:pos x="connsiteX1480" y="connsiteY1480"/>
            </a:cxn>
            <a:cxn ang="0">
              <a:pos x="connsiteX1481" y="connsiteY1481"/>
            </a:cxn>
            <a:cxn ang="0">
              <a:pos x="connsiteX1482" y="connsiteY1482"/>
            </a:cxn>
            <a:cxn ang="0">
              <a:pos x="connsiteX1483" y="connsiteY1483"/>
            </a:cxn>
            <a:cxn ang="0">
              <a:pos x="connsiteX1484" y="connsiteY1484"/>
            </a:cxn>
            <a:cxn ang="0">
              <a:pos x="connsiteX1485" y="connsiteY1485"/>
            </a:cxn>
            <a:cxn ang="0">
              <a:pos x="connsiteX1486" y="connsiteY1486"/>
            </a:cxn>
            <a:cxn ang="0">
              <a:pos x="connsiteX1487" y="connsiteY1487"/>
            </a:cxn>
            <a:cxn ang="0">
              <a:pos x="connsiteX1488" y="connsiteY1488"/>
            </a:cxn>
            <a:cxn ang="0">
              <a:pos x="connsiteX1489" y="connsiteY1489"/>
            </a:cxn>
            <a:cxn ang="0">
              <a:pos x="connsiteX1490" y="connsiteY1490"/>
            </a:cxn>
            <a:cxn ang="0">
              <a:pos x="connsiteX1491" y="connsiteY1491"/>
            </a:cxn>
            <a:cxn ang="0">
              <a:pos x="connsiteX1492" y="connsiteY1492"/>
            </a:cxn>
            <a:cxn ang="0">
              <a:pos x="connsiteX1493" y="connsiteY1493"/>
            </a:cxn>
            <a:cxn ang="0">
              <a:pos x="connsiteX1494" y="connsiteY1494"/>
            </a:cxn>
            <a:cxn ang="0">
              <a:pos x="connsiteX1495" y="connsiteY1495"/>
            </a:cxn>
            <a:cxn ang="0">
              <a:pos x="connsiteX1496" y="connsiteY1496"/>
            </a:cxn>
            <a:cxn ang="0">
              <a:pos x="connsiteX1497" y="connsiteY1497"/>
            </a:cxn>
            <a:cxn ang="0">
              <a:pos x="connsiteX1498" y="connsiteY1498"/>
            </a:cxn>
            <a:cxn ang="0">
              <a:pos x="connsiteX1499" y="connsiteY1499"/>
            </a:cxn>
            <a:cxn ang="0">
              <a:pos x="connsiteX1500" y="connsiteY1500"/>
            </a:cxn>
            <a:cxn ang="0">
              <a:pos x="connsiteX1501" y="connsiteY1501"/>
            </a:cxn>
            <a:cxn ang="0">
              <a:pos x="connsiteX1502" y="connsiteY1502"/>
            </a:cxn>
            <a:cxn ang="0">
              <a:pos x="connsiteX1503" y="connsiteY1503"/>
            </a:cxn>
            <a:cxn ang="0">
              <a:pos x="connsiteX1504" y="connsiteY1504"/>
            </a:cxn>
            <a:cxn ang="0">
              <a:pos x="connsiteX1505" y="connsiteY1505"/>
            </a:cxn>
            <a:cxn ang="0">
              <a:pos x="connsiteX1506" y="connsiteY1506"/>
            </a:cxn>
            <a:cxn ang="0">
              <a:pos x="connsiteX1507" y="connsiteY1507"/>
            </a:cxn>
            <a:cxn ang="0">
              <a:pos x="connsiteX1508" y="connsiteY1508"/>
            </a:cxn>
            <a:cxn ang="0">
              <a:pos x="connsiteX1509" y="connsiteY1509"/>
            </a:cxn>
            <a:cxn ang="0">
              <a:pos x="connsiteX1510" y="connsiteY1510"/>
            </a:cxn>
            <a:cxn ang="0">
              <a:pos x="connsiteX1511" y="connsiteY1511"/>
            </a:cxn>
            <a:cxn ang="0">
              <a:pos x="connsiteX1512" y="connsiteY1512"/>
            </a:cxn>
            <a:cxn ang="0">
              <a:pos x="connsiteX1513" y="connsiteY1513"/>
            </a:cxn>
            <a:cxn ang="0">
              <a:pos x="connsiteX1514" y="connsiteY1514"/>
            </a:cxn>
            <a:cxn ang="0">
              <a:pos x="connsiteX1515" y="connsiteY1515"/>
            </a:cxn>
            <a:cxn ang="0">
              <a:pos x="connsiteX1516" y="connsiteY1516"/>
            </a:cxn>
            <a:cxn ang="0">
              <a:pos x="connsiteX1517" y="connsiteY1517"/>
            </a:cxn>
            <a:cxn ang="0">
              <a:pos x="connsiteX1518" y="connsiteY1518"/>
            </a:cxn>
            <a:cxn ang="0">
              <a:pos x="connsiteX1519" y="connsiteY1519"/>
            </a:cxn>
            <a:cxn ang="0">
              <a:pos x="connsiteX1520" y="connsiteY1520"/>
            </a:cxn>
            <a:cxn ang="0">
              <a:pos x="connsiteX1521" y="connsiteY1521"/>
            </a:cxn>
            <a:cxn ang="0">
              <a:pos x="connsiteX1522" y="connsiteY1522"/>
            </a:cxn>
            <a:cxn ang="0">
              <a:pos x="connsiteX1523" y="connsiteY1523"/>
            </a:cxn>
            <a:cxn ang="0">
              <a:pos x="connsiteX1524" y="connsiteY1524"/>
            </a:cxn>
            <a:cxn ang="0">
              <a:pos x="connsiteX1525" y="connsiteY1525"/>
            </a:cxn>
            <a:cxn ang="0">
              <a:pos x="connsiteX1526" y="connsiteY1526"/>
            </a:cxn>
            <a:cxn ang="0">
              <a:pos x="connsiteX1527" y="connsiteY1527"/>
            </a:cxn>
            <a:cxn ang="0">
              <a:pos x="connsiteX1528" y="connsiteY1528"/>
            </a:cxn>
            <a:cxn ang="0">
              <a:pos x="connsiteX1529" y="connsiteY1529"/>
            </a:cxn>
            <a:cxn ang="0">
              <a:pos x="connsiteX1530" y="connsiteY1530"/>
            </a:cxn>
            <a:cxn ang="0">
              <a:pos x="connsiteX1531" y="connsiteY1531"/>
            </a:cxn>
            <a:cxn ang="0">
              <a:pos x="connsiteX1532" y="connsiteY1532"/>
            </a:cxn>
            <a:cxn ang="0">
              <a:pos x="connsiteX1533" y="connsiteY1533"/>
            </a:cxn>
            <a:cxn ang="0">
              <a:pos x="connsiteX1534" y="connsiteY1534"/>
            </a:cxn>
            <a:cxn ang="0">
              <a:pos x="connsiteX1535" y="connsiteY1535"/>
            </a:cxn>
            <a:cxn ang="0">
              <a:pos x="connsiteX1536" y="connsiteY1536"/>
            </a:cxn>
            <a:cxn ang="0">
              <a:pos x="connsiteX1537" y="connsiteY1537"/>
            </a:cxn>
            <a:cxn ang="0">
              <a:pos x="connsiteX1538" y="connsiteY1538"/>
            </a:cxn>
            <a:cxn ang="0">
              <a:pos x="connsiteX1539" y="connsiteY1539"/>
            </a:cxn>
            <a:cxn ang="0">
              <a:pos x="connsiteX1540" y="connsiteY1540"/>
            </a:cxn>
            <a:cxn ang="0">
              <a:pos x="connsiteX1541" y="connsiteY1541"/>
            </a:cxn>
            <a:cxn ang="0">
              <a:pos x="connsiteX1542" y="connsiteY1542"/>
            </a:cxn>
            <a:cxn ang="0">
              <a:pos x="connsiteX1543" y="connsiteY1543"/>
            </a:cxn>
            <a:cxn ang="0">
              <a:pos x="connsiteX1544" y="connsiteY1544"/>
            </a:cxn>
            <a:cxn ang="0">
              <a:pos x="connsiteX1545" y="connsiteY1545"/>
            </a:cxn>
            <a:cxn ang="0">
              <a:pos x="connsiteX1546" y="connsiteY1546"/>
            </a:cxn>
            <a:cxn ang="0">
              <a:pos x="connsiteX1547" y="connsiteY1547"/>
            </a:cxn>
            <a:cxn ang="0">
              <a:pos x="connsiteX1548" y="connsiteY1548"/>
            </a:cxn>
            <a:cxn ang="0">
              <a:pos x="connsiteX1549" y="connsiteY1549"/>
            </a:cxn>
            <a:cxn ang="0">
              <a:pos x="connsiteX1550" y="connsiteY1550"/>
            </a:cxn>
            <a:cxn ang="0">
              <a:pos x="connsiteX1551" y="connsiteY1551"/>
            </a:cxn>
            <a:cxn ang="0">
              <a:pos x="connsiteX1552" y="connsiteY1552"/>
            </a:cxn>
            <a:cxn ang="0">
              <a:pos x="connsiteX1553" y="connsiteY1553"/>
            </a:cxn>
            <a:cxn ang="0">
              <a:pos x="connsiteX1554" y="connsiteY1554"/>
            </a:cxn>
            <a:cxn ang="0">
              <a:pos x="connsiteX1555" y="connsiteY1555"/>
            </a:cxn>
            <a:cxn ang="0">
              <a:pos x="connsiteX1556" y="connsiteY1556"/>
            </a:cxn>
            <a:cxn ang="0">
              <a:pos x="connsiteX1557" y="connsiteY1557"/>
            </a:cxn>
            <a:cxn ang="0">
              <a:pos x="connsiteX1558" y="connsiteY1558"/>
            </a:cxn>
            <a:cxn ang="0">
              <a:pos x="connsiteX1559" y="connsiteY1559"/>
            </a:cxn>
            <a:cxn ang="0">
              <a:pos x="connsiteX1560" y="connsiteY1560"/>
            </a:cxn>
            <a:cxn ang="0">
              <a:pos x="connsiteX1561" y="connsiteY1561"/>
            </a:cxn>
            <a:cxn ang="0">
              <a:pos x="connsiteX1562" y="connsiteY1562"/>
            </a:cxn>
            <a:cxn ang="0">
              <a:pos x="connsiteX1563" y="connsiteY1563"/>
            </a:cxn>
            <a:cxn ang="0">
              <a:pos x="connsiteX1564" y="connsiteY1564"/>
            </a:cxn>
            <a:cxn ang="0">
              <a:pos x="connsiteX1565" y="connsiteY1565"/>
            </a:cxn>
            <a:cxn ang="0">
              <a:pos x="connsiteX1566" y="connsiteY1566"/>
            </a:cxn>
            <a:cxn ang="0">
              <a:pos x="connsiteX1567" y="connsiteY1567"/>
            </a:cxn>
            <a:cxn ang="0">
              <a:pos x="connsiteX1568" y="connsiteY1568"/>
            </a:cxn>
            <a:cxn ang="0">
              <a:pos x="connsiteX1569" y="connsiteY1569"/>
            </a:cxn>
            <a:cxn ang="0">
              <a:pos x="connsiteX1570" y="connsiteY1570"/>
            </a:cxn>
            <a:cxn ang="0">
              <a:pos x="connsiteX1571" y="connsiteY1571"/>
            </a:cxn>
            <a:cxn ang="0">
              <a:pos x="connsiteX1572" y="connsiteY1572"/>
            </a:cxn>
            <a:cxn ang="0">
              <a:pos x="connsiteX1573" y="connsiteY1573"/>
            </a:cxn>
            <a:cxn ang="0">
              <a:pos x="connsiteX1574" y="connsiteY1574"/>
            </a:cxn>
            <a:cxn ang="0">
              <a:pos x="connsiteX1575" y="connsiteY1575"/>
            </a:cxn>
            <a:cxn ang="0">
              <a:pos x="connsiteX1576" y="connsiteY1576"/>
            </a:cxn>
            <a:cxn ang="0">
              <a:pos x="connsiteX1577" y="connsiteY1577"/>
            </a:cxn>
            <a:cxn ang="0">
              <a:pos x="connsiteX1578" y="connsiteY1578"/>
            </a:cxn>
            <a:cxn ang="0">
              <a:pos x="connsiteX1579" y="connsiteY1579"/>
            </a:cxn>
            <a:cxn ang="0">
              <a:pos x="connsiteX1580" y="connsiteY1580"/>
            </a:cxn>
            <a:cxn ang="0">
              <a:pos x="connsiteX1581" y="connsiteY1581"/>
            </a:cxn>
            <a:cxn ang="0">
              <a:pos x="connsiteX1582" y="connsiteY1582"/>
            </a:cxn>
            <a:cxn ang="0">
              <a:pos x="connsiteX1583" y="connsiteY1583"/>
            </a:cxn>
            <a:cxn ang="0">
              <a:pos x="connsiteX1584" y="connsiteY1584"/>
            </a:cxn>
            <a:cxn ang="0">
              <a:pos x="connsiteX1585" y="connsiteY1585"/>
            </a:cxn>
            <a:cxn ang="0">
              <a:pos x="connsiteX1586" y="connsiteY1586"/>
            </a:cxn>
            <a:cxn ang="0">
              <a:pos x="connsiteX1587" y="connsiteY1587"/>
            </a:cxn>
            <a:cxn ang="0">
              <a:pos x="connsiteX1588" y="connsiteY1588"/>
            </a:cxn>
            <a:cxn ang="0">
              <a:pos x="connsiteX1589" y="connsiteY1589"/>
            </a:cxn>
            <a:cxn ang="0">
              <a:pos x="connsiteX1590" y="connsiteY1590"/>
            </a:cxn>
            <a:cxn ang="0">
              <a:pos x="connsiteX1591" y="connsiteY1591"/>
            </a:cxn>
            <a:cxn ang="0">
              <a:pos x="connsiteX1592" y="connsiteY1592"/>
            </a:cxn>
            <a:cxn ang="0">
              <a:pos x="connsiteX1593" y="connsiteY1593"/>
            </a:cxn>
            <a:cxn ang="0">
              <a:pos x="connsiteX1594" y="connsiteY1594"/>
            </a:cxn>
            <a:cxn ang="0">
              <a:pos x="connsiteX1595" y="connsiteY1595"/>
            </a:cxn>
            <a:cxn ang="0">
              <a:pos x="connsiteX1596" y="connsiteY1596"/>
            </a:cxn>
            <a:cxn ang="0">
              <a:pos x="connsiteX1597" y="connsiteY1597"/>
            </a:cxn>
            <a:cxn ang="0">
              <a:pos x="connsiteX1598" y="connsiteY1598"/>
            </a:cxn>
            <a:cxn ang="0">
              <a:pos x="connsiteX1599" y="connsiteY1599"/>
            </a:cxn>
            <a:cxn ang="0">
              <a:pos x="connsiteX1600" y="connsiteY1600"/>
            </a:cxn>
            <a:cxn ang="0">
              <a:pos x="connsiteX1601" y="connsiteY1601"/>
            </a:cxn>
            <a:cxn ang="0">
              <a:pos x="connsiteX1602" y="connsiteY1602"/>
            </a:cxn>
            <a:cxn ang="0">
              <a:pos x="connsiteX1603" y="connsiteY1603"/>
            </a:cxn>
            <a:cxn ang="0">
              <a:pos x="connsiteX1604" y="connsiteY1604"/>
            </a:cxn>
            <a:cxn ang="0">
              <a:pos x="connsiteX1605" y="connsiteY1605"/>
            </a:cxn>
            <a:cxn ang="0">
              <a:pos x="connsiteX1606" y="connsiteY1606"/>
            </a:cxn>
            <a:cxn ang="0">
              <a:pos x="connsiteX1607" y="connsiteY1607"/>
            </a:cxn>
            <a:cxn ang="0">
              <a:pos x="connsiteX1608" y="connsiteY1608"/>
            </a:cxn>
            <a:cxn ang="0">
              <a:pos x="connsiteX1609" y="connsiteY1609"/>
            </a:cxn>
            <a:cxn ang="0">
              <a:pos x="connsiteX1610" y="connsiteY1610"/>
            </a:cxn>
            <a:cxn ang="0">
              <a:pos x="connsiteX1611" y="connsiteY1611"/>
            </a:cxn>
            <a:cxn ang="0">
              <a:pos x="connsiteX1612" y="connsiteY1612"/>
            </a:cxn>
            <a:cxn ang="0">
              <a:pos x="connsiteX1613" y="connsiteY1613"/>
            </a:cxn>
            <a:cxn ang="0">
              <a:pos x="connsiteX1614" y="connsiteY1614"/>
            </a:cxn>
            <a:cxn ang="0">
              <a:pos x="connsiteX1615" y="connsiteY1615"/>
            </a:cxn>
            <a:cxn ang="0">
              <a:pos x="connsiteX1616" y="connsiteY1616"/>
            </a:cxn>
            <a:cxn ang="0">
              <a:pos x="connsiteX1617" y="connsiteY1617"/>
            </a:cxn>
            <a:cxn ang="0">
              <a:pos x="connsiteX1618" y="connsiteY1618"/>
            </a:cxn>
            <a:cxn ang="0">
              <a:pos x="connsiteX1619" y="connsiteY1619"/>
            </a:cxn>
            <a:cxn ang="0">
              <a:pos x="connsiteX1620" y="connsiteY1620"/>
            </a:cxn>
            <a:cxn ang="0">
              <a:pos x="connsiteX1621" y="connsiteY1621"/>
            </a:cxn>
            <a:cxn ang="0">
              <a:pos x="connsiteX1622" y="connsiteY1622"/>
            </a:cxn>
            <a:cxn ang="0">
              <a:pos x="connsiteX1623" y="connsiteY1623"/>
            </a:cxn>
            <a:cxn ang="0">
              <a:pos x="connsiteX1624" y="connsiteY1624"/>
            </a:cxn>
            <a:cxn ang="0">
              <a:pos x="connsiteX1625" y="connsiteY1625"/>
            </a:cxn>
            <a:cxn ang="0">
              <a:pos x="connsiteX1626" y="connsiteY1626"/>
            </a:cxn>
            <a:cxn ang="0">
              <a:pos x="connsiteX1627" y="connsiteY1627"/>
            </a:cxn>
            <a:cxn ang="0">
              <a:pos x="connsiteX1628" y="connsiteY1628"/>
            </a:cxn>
            <a:cxn ang="0">
              <a:pos x="connsiteX1629" y="connsiteY1629"/>
            </a:cxn>
            <a:cxn ang="0">
              <a:pos x="connsiteX1630" y="connsiteY1630"/>
            </a:cxn>
            <a:cxn ang="0">
              <a:pos x="connsiteX1631" y="connsiteY1631"/>
            </a:cxn>
            <a:cxn ang="0">
              <a:pos x="connsiteX1632" y="connsiteY1632"/>
            </a:cxn>
            <a:cxn ang="0">
              <a:pos x="connsiteX1633" y="connsiteY1633"/>
            </a:cxn>
            <a:cxn ang="0">
              <a:pos x="connsiteX1634" y="connsiteY1634"/>
            </a:cxn>
            <a:cxn ang="0">
              <a:pos x="connsiteX1635" y="connsiteY1635"/>
            </a:cxn>
            <a:cxn ang="0">
              <a:pos x="connsiteX1636" y="connsiteY1636"/>
            </a:cxn>
            <a:cxn ang="0">
              <a:pos x="connsiteX1637" y="connsiteY1637"/>
            </a:cxn>
            <a:cxn ang="0">
              <a:pos x="connsiteX1638" y="connsiteY1638"/>
            </a:cxn>
            <a:cxn ang="0">
              <a:pos x="connsiteX1639" y="connsiteY1639"/>
            </a:cxn>
            <a:cxn ang="0">
              <a:pos x="connsiteX1640" y="connsiteY1640"/>
            </a:cxn>
            <a:cxn ang="0">
              <a:pos x="connsiteX1641" y="connsiteY1641"/>
            </a:cxn>
            <a:cxn ang="0">
              <a:pos x="connsiteX1642" y="connsiteY1642"/>
            </a:cxn>
            <a:cxn ang="0">
              <a:pos x="connsiteX1643" y="connsiteY1643"/>
            </a:cxn>
            <a:cxn ang="0">
              <a:pos x="connsiteX1644" y="connsiteY1644"/>
            </a:cxn>
            <a:cxn ang="0">
              <a:pos x="connsiteX1645" y="connsiteY1645"/>
            </a:cxn>
            <a:cxn ang="0">
              <a:pos x="connsiteX1646" y="connsiteY1646"/>
            </a:cxn>
            <a:cxn ang="0">
              <a:pos x="connsiteX1647" y="connsiteY1647"/>
            </a:cxn>
            <a:cxn ang="0">
              <a:pos x="connsiteX1648" y="connsiteY1648"/>
            </a:cxn>
            <a:cxn ang="0">
              <a:pos x="connsiteX1649" y="connsiteY1649"/>
            </a:cxn>
            <a:cxn ang="0">
              <a:pos x="connsiteX1650" y="connsiteY1650"/>
            </a:cxn>
            <a:cxn ang="0">
              <a:pos x="connsiteX1651" y="connsiteY1651"/>
            </a:cxn>
            <a:cxn ang="0">
              <a:pos x="connsiteX1652" y="connsiteY1652"/>
            </a:cxn>
            <a:cxn ang="0">
              <a:pos x="connsiteX1653" y="connsiteY1653"/>
            </a:cxn>
            <a:cxn ang="0">
              <a:pos x="connsiteX1654" y="connsiteY1654"/>
            </a:cxn>
            <a:cxn ang="0">
              <a:pos x="connsiteX1655" y="connsiteY1655"/>
            </a:cxn>
            <a:cxn ang="0">
              <a:pos x="connsiteX1656" y="connsiteY1656"/>
            </a:cxn>
            <a:cxn ang="0">
              <a:pos x="connsiteX1657" y="connsiteY1657"/>
            </a:cxn>
            <a:cxn ang="0">
              <a:pos x="connsiteX1658" y="connsiteY1658"/>
            </a:cxn>
            <a:cxn ang="0">
              <a:pos x="connsiteX1659" y="connsiteY1659"/>
            </a:cxn>
            <a:cxn ang="0">
              <a:pos x="connsiteX1660" y="connsiteY1660"/>
            </a:cxn>
            <a:cxn ang="0">
              <a:pos x="connsiteX1661" y="connsiteY1661"/>
            </a:cxn>
            <a:cxn ang="0">
              <a:pos x="connsiteX1662" y="connsiteY1662"/>
            </a:cxn>
            <a:cxn ang="0">
              <a:pos x="connsiteX1663" y="connsiteY1663"/>
            </a:cxn>
            <a:cxn ang="0">
              <a:pos x="connsiteX1664" y="connsiteY1664"/>
            </a:cxn>
            <a:cxn ang="0">
              <a:pos x="connsiteX1665" y="connsiteY1665"/>
            </a:cxn>
            <a:cxn ang="0">
              <a:pos x="connsiteX1666" y="connsiteY1666"/>
            </a:cxn>
            <a:cxn ang="0">
              <a:pos x="connsiteX1667" y="connsiteY1667"/>
            </a:cxn>
            <a:cxn ang="0">
              <a:pos x="connsiteX1668" y="connsiteY1668"/>
            </a:cxn>
            <a:cxn ang="0">
              <a:pos x="connsiteX1669" y="connsiteY1669"/>
            </a:cxn>
            <a:cxn ang="0">
              <a:pos x="connsiteX1670" y="connsiteY1670"/>
            </a:cxn>
            <a:cxn ang="0">
              <a:pos x="connsiteX1671" y="connsiteY1671"/>
            </a:cxn>
            <a:cxn ang="0">
              <a:pos x="connsiteX1672" y="connsiteY1672"/>
            </a:cxn>
            <a:cxn ang="0">
              <a:pos x="connsiteX1673" y="connsiteY1673"/>
            </a:cxn>
            <a:cxn ang="0">
              <a:pos x="connsiteX1674" y="connsiteY1674"/>
            </a:cxn>
            <a:cxn ang="0">
              <a:pos x="connsiteX1675" y="connsiteY1675"/>
            </a:cxn>
            <a:cxn ang="0">
              <a:pos x="connsiteX1676" y="connsiteY1676"/>
            </a:cxn>
            <a:cxn ang="0">
              <a:pos x="connsiteX1677" y="connsiteY1677"/>
            </a:cxn>
            <a:cxn ang="0">
              <a:pos x="connsiteX1678" y="connsiteY1678"/>
            </a:cxn>
            <a:cxn ang="0">
              <a:pos x="connsiteX1679" y="connsiteY1679"/>
            </a:cxn>
            <a:cxn ang="0">
              <a:pos x="connsiteX1680" y="connsiteY1680"/>
            </a:cxn>
            <a:cxn ang="0">
              <a:pos x="connsiteX1681" y="connsiteY1681"/>
            </a:cxn>
            <a:cxn ang="0">
              <a:pos x="connsiteX1682" y="connsiteY1682"/>
            </a:cxn>
            <a:cxn ang="0">
              <a:pos x="connsiteX1683" y="connsiteY1683"/>
            </a:cxn>
            <a:cxn ang="0">
              <a:pos x="connsiteX1684" y="connsiteY1684"/>
            </a:cxn>
            <a:cxn ang="0">
              <a:pos x="connsiteX1685" y="connsiteY1685"/>
            </a:cxn>
            <a:cxn ang="0">
              <a:pos x="connsiteX1686" y="connsiteY1686"/>
            </a:cxn>
            <a:cxn ang="0">
              <a:pos x="connsiteX1687" y="connsiteY1687"/>
            </a:cxn>
            <a:cxn ang="0">
              <a:pos x="connsiteX1688" y="connsiteY1688"/>
            </a:cxn>
            <a:cxn ang="0">
              <a:pos x="connsiteX1689" y="connsiteY1689"/>
            </a:cxn>
            <a:cxn ang="0">
              <a:pos x="connsiteX1690" y="connsiteY1690"/>
            </a:cxn>
            <a:cxn ang="0">
              <a:pos x="connsiteX1691" y="connsiteY1691"/>
            </a:cxn>
            <a:cxn ang="0">
              <a:pos x="connsiteX1692" y="connsiteY1692"/>
            </a:cxn>
            <a:cxn ang="0">
              <a:pos x="connsiteX1693" y="connsiteY1693"/>
            </a:cxn>
            <a:cxn ang="0">
              <a:pos x="connsiteX1694" y="connsiteY1694"/>
            </a:cxn>
            <a:cxn ang="0">
              <a:pos x="connsiteX1695" y="connsiteY1695"/>
            </a:cxn>
            <a:cxn ang="0">
              <a:pos x="connsiteX1696" y="connsiteY1696"/>
            </a:cxn>
            <a:cxn ang="0">
              <a:pos x="connsiteX1697" y="connsiteY1697"/>
            </a:cxn>
            <a:cxn ang="0">
              <a:pos x="connsiteX1698" y="connsiteY1698"/>
            </a:cxn>
            <a:cxn ang="0">
              <a:pos x="connsiteX1699" y="connsiteY1699"/>
            </a:cxn>
            <a:cxn ang="0">
              <a:pos x="connsiteX1700" y="connsiteY1700"/>
            </a:cxn>
            <a:cxn ang="0">
              <a:pos x="connsiteX1701" y="connsiteY1701"/>
            </a:cxn>
            <a:cxn ang="0">
              <a:pos x="connsiteX1702" y="connsiteY1702"/>
            </a:cxn>
            <a:cxn ang="0">
              <a:pos x="connsiteX1703" y="connsiteY1703"/>
            </a:cxn>
            <a:cxn ang="0">
              <a:pos x="connsiteX1704" y="connsiteY1704"/>
            </a:cxn>
            <a:cxn ang="0">
              <a:pos x="connsiteX1705" y="connsiteY1705"/>
            </a:cxn>
            <a:cxn ang="0">
              <a:pos x="connsiteX1706" y="connsiteY1706"/>
            </a:cxn>
            <a:cxn ang="0">
              <a:pos x="connsiteX1707" y="connsiteY1707"/>
            </a:cxn>
            <a:cxn ang="0">
              <a:pos x="connsiteX1708" y="connsiteY1708"/>
            </a:cxn>
            <a:cxn ang="0">
              <a:pos x="connsiteX1709" y="connsiteY1709"/>
            </a:cxn>
            <a:cxn ang="0">
              <a:pos x="connsiteX1710" y="connsiteY1710"/>
            </a:cxn>
            <a:cxn ang="0">
              <a:pos x="connsiteX1711" y="connsiteY1711"/>
            </a:cxn>
            <a:cxn ang="0">
              <a:pos x="connsiteX1712" y="connsiteY1712"/>
            </a:cxn>
            <a:cxn ang="0">
              <a:pos x="connsiteX1713" y="connsiteY1713"/>
            </a:cxn>
            <a:cxn ang="0">
              <a:pos x="connsiteX1714" y="connsiteY1714"/>
            </a:cxn>
            <a:cxn ang="0">
              <a:pos x="connsiteX1715" y="connsiteY1715"/>
            </a:cxn>
            <a:cxn ang="0">
              <a:pos x="connsiteX1716" y="connsiteY1716"/>
            </a:cxn>
            <a:cxn ang="0">
              <a:pos x="connsiteX1717" y="connsiteY1717"/>
            </a:cxn>
            <a:cxn ang="0">
              <a:pos x="connsiteX1718" y="connsiteY1718"/>
            </a:cxn>
            <a:cxn ang="0">
              <a:pos x="connsiteX1719" y="connsiteY1719"/>
            </a:cxn>
            <a:cxn ang="0">
              <a:pos x="connsiteX1720" y="connsiteY1720"/>
            </a:cxn>
            <a:cxn ang="0">
              <a:pos x="connsiteX1721" y="connsiteY1721"/>
            </a:cxn>
            <a:cxn ang="0">
              <a:pos x="connsiteX1722" y="connsiteY1722"/>
            </a:cxn>
            <a:cxn ang="0">
              <a:pos x="connsiteX1723" y="connsiteY1723"/>
            </a:cxn>
            <a:cxn ang="0">
              <a:pos x="connsiteX1724" y="connsiteY1724"/>
            </a:cxn>
            <a:cxn ang="0">
              <a:pos x="connsiteX1725" y="connsiteY1725"/>
            </a:cxn>
            <a:cxn ang="0">
              <a:pos x="connsiteX1726" y="connsiteY1726"/>
            </a:cxn>
            <a:cxn ang="0">
              <a:pos x="connsiteX1727" y="connsiteY1727"/>
            </a:cxn>
            <a:cxn ang="0">
              <a:pos x="connsiteX1728" y="connsiteY1728"/>
            </a:cxn>
            <a:cxn ang="0">
              <a:pos x="connsiteX1729" y="connsiteY1729"/>
            </a:cxn>
            <a:cxn ang="0">
              <a:pos x="connsiteX1730" y="connsiteY1730"/>
            </a:cxn>
            <a:cxn ang="0">
              <a:pos x="connsiteX1731" y="connsiteY1731"/>
            </a:cxn>
            <a:cxn ang="0">
              <a:pos x="connsiteX1732" y="connsiteY1732"/>
            </a:cxn>
            <a:cxn ang="0">
              <a:pos x="connsiteX1733" y="connsiteY1733"/>
            </a:cxn>
            <a:cxn ang="0">
              <a:pos x="connsiteX1734" y="connsiteY1734"/>
            </a:cxn>
            <a:cxn ang="0">
              <a:pos x="connsiteX1735" y="connsiteY1735"/>
            </a:cxn>
            <a:cxn ang="0">
              <a:pos x="connsiteX1736" y="connsiteY1736"/>
            </a:cxn>
            <a:cxn ang="0">
              <a:pos x="connsiteX1737" y="connsiteY1737"/>
            </a:cxn>
            <a:cxn ang="0">
              <a:pos x="connsiteX1738" y="connsiteY1738"/>
            </a:cxn>
            <a:cxn ang="0">
              <a:pos x="connsiteX1739" y="connsiteY1739"/>
            </a:cxn>
            <a:cxn ang="0">
              <a:pos x="connsiteX1740" y="connsiteY1740"/>
            </a:cxn>
            <a:cxn ang="0">
              <a:pos x="connsiteX1741" y="connsiteY1741"/>
            </a:cxn>
            <a:cxn ang="0">
              <a:pos x="connsiteX1742" y="connsiteY1742"/>
            </a:cxn>
            <a:cxn ang="0">
              <a:pos x="connsiteX1743" y="connsiteY1743"/>
            </a:cxn>
            <a:cxn ang="0">
              <a:pos x="connsiteX1744" y="connsiteY1744"/>
            </a:cxn>
            <a:cxn ang="0">
              <a:pos x="connsiteX1745" y="connsiteY1745"/>
            </a:cxn>
            <a:cxn ang="0">
              <a:pos x="connsiteX1746" y="connsiteY1746"/>
            </a:cxn>
            <a:cxn ang="0">
              <a:pos x="connsiteX1747" y="connsiteY1747"/>
            </a:cxn>
            <a:cxn ang="0">
              <a:pos x="connsiteX1748" y="connsiteY1748"/>
            </a:cxn>
            <a:cxn ang="0">
              <a:pos x="connsiteX1749" y="connsiteY1749"/>
            </a:cxn>
            <a:cxn ang="0">
              <a:pos x="connsiteX1750" y="connsiteY1750"/>
            </a:cxn>
            <a:cxn ang="0">
              <a:pos x="connsiteX1751" y="connsiteY1751"/>
            </a:cxn>
            <a:cxn ang="0">
              <a:pos x="connsiteX1752" y="connsiteY1752"/>
            </a:cxn>
            <a:cxn ang="0">
              <a:pos x="connsiteX1753" y="connsiteY1753"/>
            </a:cxn>
            <a:cxn ang="0">
              <a:pos x="connsiteX1754" y="connsiteY1754"/>
            </a:cxn>
            <a:cxn ang="0">
              <a:pos x="connsiteX1755" y="connsiteY1755"/>
            </a:cxn>
            <a:cxn ang="0">
              <a:pos x="connsiteX1756" y="connsiteY1756"/>
            </a:cxn>
            <a:cxn ang="0">
              <a:pos x="connsiteX1757" y="connsiteY1757"/>
            </a:cxn>
            <a:cxn ang="0">
              <a:pos x="connsiteX1758" y="connsiteY1758"/>
            </a:cxn>
            <a:cxn ang="0">
              <a:pos x="connsiteX1759" y="connsiteY1759"/>
            </a:cxn>
            <a:cxn ang="0">
              <a:pos x="connsiteX1760" y="connsiteY1760"/>
            </a:cxn>
            <a:cxn ang="0">
              <a:pos x="connsiteX1761" y="connsiteY1761"/>
            </a:cxn>
            <a:cxn ang="0">
              <a:pos x="connsiteX1762" y="connsiteY1762"/>
            </a:cxn>
            <a:cxn ang="0">
              <a:pos x="connsiteX1763" y="connsiteY1763"/>
            </a:cxn>
            <a:cxn ang="0">
              <a:pos x="connsiteX1764" y="connsiteY1764"/>
            </a:cxn>
            <a:cxn ang="0">
              <a:pos x="connsiteX1765" y="connsiteY1765"/>
            </a:cxn>
            <a:cxn ang="0">
              <a:pos x="connsiteX1766" y="connsiteY1766"/>
            </a:cxn>
            <a:cxn ang="0">
              <a:pos x="connsiteX1767" y="connsiteY1767"/>
            </a:cxn>
            <a:cxn ang="0">
              <a:pos x="connsiteX1768" y="connsiteY1768"/>
            </a:cxn>
            <a:cxn ang="0">
              <a:pos x="connsiteX1769" y="connsiteY1769"/>
            </a:cxn>
            <a:cxn ang="0">
              <a:pos x="connsiteX1770" y="connsiteY1770"/>
            </a:cxn>
            <a:cxn ang="0">
              <a:pos x="connsiteX1771" y="connsiteY1771"/>
            </a:cxn>
            <a:cxn ang="0">
              <a:pos x="connsiteX1772" y="connsiteY1772"/>
            </a:cxn>
            <a:cxn ang="0">
              <a:pos x="connsiteX1773" y="connsiteY1773"/>
            </a:cxn>
            <a:cxn ang="0">
              <a:pos x="connsiteX1774" y="connsiteY1774"/>
            </a:cxn>
            <a:cxn ang="0">
              <a:pos x="connsiteX1775" y="connsiteY1775"/>
            </a:cxn>
            <a:cxn ang="0">
              <a:pos x="connsiteX1776" y="connsiteY1776"/>
            </a:cxn>
            <a:cxn ang="0">
              <a:pos x="connsiteX1777" y="connsiteY1777"/>
            </a:cxn>
            <a:cxn ang="0">
              <a:pos x="connsiteX1778" y="connsiteY1778"/>
            </a:cxn>
            <a:cxn ang="0">
              <a:pos x="connsiteX1779" y="connsiteY1779"/>
            </a:cxn>
            <a:cxn ang="0">
              <a:pos x="connsiteX1780" y="connsiteY1780"/>
            </a:cxn>
            <a:cxn ang="0">
              <a:pos x="connsiteX1781" y="connsiteY1781"/>
            </a:cxn>
            <a:cxn ang="0">
              <a:pos x="connsiteX1782" y="connsiteY1782"/>
            </a:cxn>
            <a:cxn ang="0">
              <a:pos x="connsiteX1783" y="connsiteY1783"/>
            </a:cxn>
            <a:cxn ang="0">
              <a:pos x="connsiteX1784" y="connsiteY1784"/>
            </a:cxn>
            <a:cxn ang="0">
              <a:pos x="connsiteX1785" y="connsiteY1785"/>
            </a:cxn>
            <a:cxn ang="0">
              <a:pos x="connsiteX1786" y="connsiteY1786"/>
            </a:cxn>
            <a:cxn ang="0">
              <a:pos x="connsiteX1787" y="connsiteY1787"/>
            </a:cxn>
            <a:cxn ang="0">
              <a:pos x="connsiteX1788" y="connsiteY1788"/>
            </a:cxn>
            <a:cxn ang="0">
              <a:pos x="connsiteX1789" y="connsiteY1789"/>
            </a:cxn>
            <a:cxn ang="0">
              <a:pos x="connsiteX1790" y="connsiteY1790"/>
            </a:cxn>
            <a:cxn ang="0">
              <a:pos x="connsiteX1791" y="connsiteY1791"/>
            </a:cxn>
            <a:cxn ang="0">
              <a:pos x="connsiteX1792" y="connsiteY1792"/>
            </a:cxn>
            <a:cxn ang="0">
              <a:pos x="connsiteX1793" y="connsiteY1793"/>
            </a:cxn>
            <a:cxn ang="0">
              <a:pos x="connsiteX1794" y="connsiteY1794"/>
            </a:cxn>
            <a:cxn ang="0">
              <a:pos x="connsiteX1795" y="connsiteY1795"/>
            </a:cxn>
            <a:cxn ang="0">
              <a:pos x="connsiteX1796" y="connsiteY1796"/>
            </a:cxn>
            <a:cxn ang="0">
              <a:pos x="connsiteX1797" y="connsiteY1797"/>
            </a:cxn>
            <a:cxn ang="0">
              <a:pos x="connsiteX1798" y="connsiteY1798"/>
            </a:cxn>
            <a:cxn ang="0">
              <a:pos x="connsiteX1799" y="connsiteY1799"/>
            </a:cxn>
            <a:cxn ang="0">
              <a:pos x="connsiteX1800" y="connsiteY1800"/>
            </a:cxn>
            <a:cxn ang="0">
              <a:pos x="connsiteX1801" y="connsiteY1801"/>
            </a:cxn>
            <a:cxn ang="0">
              <a:pos x="connsiteX1802" y="connsiteY1802"/>
            </a:cxn>
            <a:cxn ang="0">
              <a:pos x="connsiteX1803" y="connsiteY1803"/>
            </a:cxn>
            <a:cxn ang="0">
              <a:pos x="connsiteX1804" y="connsiteY1804"/>
            </a:cxn>
            <a:cxn ang="0">
              <a:pos x="connsiteX1805" y="connsiteY1805"/>
            </a:cxn>
            <a:cxn ang="0">
              <a:pos x="connsiteX1806" y="connsiteY1806"/>
            </a:cxn>
            <a:cxn ang="0">
              <a:pos x="connsiteX1807" y="connsiteY1807"/>
            </a:cxn>
            <a:cxn ang="0">
              <a:pos x="connsiteX1808" y="connsiteY1808"/>
            </a:cxn>
            <a:cxn ang="0">
              <a:pos x="connsiteX1809" y="connsiteY1809"/>
            </a:cxn>
            <a:cxn ang="0">
              <a:pos x="connsiteX1810" y="connsiteY1810"/>
            </a:cxn>
            <a:cxn ang="0">
              <a:pos x="connsiteX1811" y="connsiteY1811"/>
            </a:cxn>
            <a:cxn ang="0">
              <a:pos x="connsiteX1812" y="connsiteY1812"/>
            </a:cxn>
            <a:cxn ang="0">
              <a:pos x="connsiteX1813" y="connsiteY1813"/>
            </a:cxn>
            <a:cxn ang="0">
              <a:pos x="connsiteX1814" y="connsiteY1814"/>
            </a:cxn>
            <a:cxn ang="0">
              <a:pos x="connsiteX1815" y="connsiteY1815"/>
            </a:cxn>
            <a:cxn ang="0">
              <a:pos x="connsiteX1816" y="connsiteY1816"/>
            </a:cxn>
            <a:cxn ang="0">
              <a:pos x="connsiteX1817" y="connsiteY1817"/>
            </a:cxn>
            <a:cxn ang="0">
              <a:pos x="connsiteX1818" y="connsiteY1818"/>
            </a:cxn>
            <a:cxn ang="0">
              <a:pos x="connsiteX1819" y="connsiteY1819"/>
            </a:cxn>
            <a:cxn ang="0">
              <a:pos x="connsiteX1820" y="connsiteY1820"/>
            </a:cxn>
            <a:cxn ang="0">
              <a:pos x="connsiteX1821" y="connsiteY1821"/>
            </a:cxn>
            <a:cxn ang="0">
              <a:pos x="connsiteX1822" y="connsiteY1822"/>
            </a:cxn>
            <a:cxn ang="0">
              <a:pos x="connsiteX1823" y="connsiteY1823"/>
            </a:cxn>
            <a:cxn ang="0">
              <a:pos x="connsiteX1824" y="connsiteY1824"/>
            </a:cxn>
            <a:cxn ang="0">
              <a:pos x="connsiteX1825" y="connsiteY1825"/>
            </a:cxn>
            <a:cxn ang="0">
              <a:pos x="connsiteX1826" y="connsiteY1826"/>
            </a:cxn>
            <a:cxn ang="0">
              <a:pos x="connsiteX1827" y="connsiteY1827"/>
            </a:cxn>
            <a:cxn ang="0">
              <a:pos x="connsiteX1828" y="connsiteY1828"/>
            </a:cxn>
            <a:cxn ang="0">
              <a:pos x="connsiteX1829" y="connsiteY1829"/>
            </a:cxn>
            <a:cxn ang="0">
              <a:pos x="connsiteX1830" y="connsiteY1830"/>
            </a:cxn>
            <a:cxn ang="0">
              <a:pos x="connsiteX1831" y="connsiteY1831"/>
            </a:cxn>
            <a:cxn ang="0">
              <a:pos x="connsiteX1832" y="connsiteY1832"/>
            </a:cxn>
            <a:cxn ang="0">
              <a:pos x="connsiteX1833" y="connsiteY1833"/>
            </a:cxn>
            <a:cxn ang="0">
              <a:pos x="connsiteX1834" y="connsiteY1834"/>
            </a:cxn>
            <a:cxn ang="0">
              <a:pos x="connsiteX1835" y="connsiteY1835"/>
            </a:cxn>
            <a:cxn ang="0">
              <a:pos x="connsiteX1836" y="connsiteY1836"/>
            </a:cxn>
            <a:cxn ang="0">
              <a:pos x="connsiteX1837" y="connsiteY1837"/>
            </a:cxn>
            <a:cxn ang="0">
              <a:pos x="connsiteX1838" y="connsiteY1838"/>
            </a:cxn>
            <a:cxn ang="0">
              <a:pos x="connsiteX1839" y="connsiteY1839"/>
            </a:cxn>
            <a:cxn ang="0">
              <a:pos x="connsiteX1840" y="connsiteY1840"/>
            </a:cxn>
            <a:cxn ang="0">
              <a:pos x="connsiteX1841" y="connsiteY1841"/>
            </a:cxn>
            <a:cxn ang="0">
              <a:pos x="connsiteX1842" y="connsiteY1842"/>
            </a:cxn>
            <a:cxn ang="0">
              <a:pos x="connsiteX1843" y="connsiteY1843"/>
            </a:cxn>
            <a:cxn ang="0">
              <a:pos x="connsiteX1844" y="connsiteY1844"/>
            </a:cxn>
            <a:cxn ang="0">
              <a:pos x="connsiteX1845" y="connsiteY1845"/>
            </a:cxn>
            <a:cxn ang="0">
              <a:pos x="connsiteX1846" y="connsiteY1846"/>
            </a:cxn>
            <a:cxn ang="0">
              <a:pos x="connsiteX1847" y="connsiteY1847"/>
            </a:cxn>
            <a:cxn ang="0">
              <a:pos x="connsiteX1848" y="connsiteY1848"/>
            </a:cxn>
            <a:cxn ang="0">
              <a:pos x="connsiteX1849" y="connsiteY1849"/>
            </a:cxn>
            <a:cxn ang="0">
              <a:pos x="connsiteX1850" y="connsiteY1850"/>
            </a:cxn>
            <a:cxn ang="0">
              <a:pos x="connsiteX1851" y="connsiteY1851"/>
            </a:cxn>
            <a:cxn ang="0">
              <a:pos x="connsiteX1852" y="connsiteY1852"/>
            </a:cxn>
            <a:cxn ang="0">
              <a:pos x="connsiteX1853" y="connsiteY1853"/>
            </a:cxn>
            <a:cxn ang="0">
              <a:pos x="connsiteX1854" y="connsiteY1854"/>
            </a:cxn>
            <a:cxn ang="0">
              <a:pos x="connsiteX1855" y="connsiteY1855"/>
            </a:cxn>
            <a:cxn ang="0">
              <a:pos x="connsiteX1856" y="connsiteY1856"/>
            </a:cxn>
            <a:cxn ang="0">
              <a:pos x="connsiteX1857" y="connsiteY1857"/>
            </a:cxn>
            <a:cxn ang="0">
              <a:pos x="connsiteX1858" y="connsiteY1858"/>
            </a:cxn>
            <a:cxn ang="0">
              <a:pos x="connsiteX1859" y="connsiteY1859"/>
            </a:cxn>
            <a:cxn ang="0">
              <a:pos x="connsiteX1860" y="connsiteY1860"/>
            </a:cxn>
            <a:cxn ang="0">
              <a:pos x="connsiteX1861" y="connsiteY1861"/>
            </a:cxn>
            <a:cxn ang="0">
              <a:pos x="connsiteX1862" y="connsiteY1862"/>
            </a:cxn>
            <a:cxn ang="0">
              <a:pos x="connsiteX1863" y="connsiteY1863"/>
            </a:cxn>
            <a:cxn ang="0">
              <a:pos x="connsiteX1864" y="connsiteY1864"/>
            </a:cxn>
            <a:cxn ang="0">
              <a:pos x="connsiteX1865" y="connsiteY1865"/>
            </a:cxn>
            <a:cxn ang="0">
              <a:pos x="connsiteX1866" y="connsiteY1866"/>
            </a:cxn>
            <a:cxn ang="0">
              <a:pos x="connsiteX1867" y="connsiteY1867"/>
            </a:cxn>
            <a:cxn ang="0">
              <a:pos x="connsiteX1868" y="connsiteY1868"/>
            </a:cxn>
            <a:cxn ang="0">
              <a:pos x="connsiteX1869" y="connsiteY1869"/>
            </a:cxn>
            <a:cxn ang="0">
              <a:pos x="connsiteX1870" y="connsiteY1870"/>
            </a:cxn>
            <a:cxn ang="0">
              <a:pos x="connsiteX1871" y="connsiteY1871"/>
            </a:cxn>
            <a:cxn ang="0">
              <a:pos x="connsiteX1872" y="connsiteY1872"/>
            </a:cxn>
            <a:cxn ang="0">
              <a:pos x="connsiteX1873" y="connsiteY1873"/>
            </a:cxn>
            <a:cxn ang="0">
              <a:pos x="connsiteX1874" y="connsiteY1874"/>
            </a:cxn>
            <a:cxn ang="0">
              <a:pos x="connsiteX1875" y="connsiteY1875"/>
            </a:cxn>
            <a:cxn ang="0">
              <a:pos x="connsiteX1876" y="connsiteY1876"/>
            </a:cxn>
            <a:cxn ang="0">
              <a:pos x="connsiteX1877" y="connsiteY1877"/>
            </a:cxn>
            <a:cxn ang="0">
              <a:pos x="connsiteX1878" y="connsiteY1878"/>
            </a:cxn>
            <a:cxn ang="0">
              <a:pos x="connsiteX1879" y="connsiteY1879"/>
            </a:cxn>
            <a:cxn ang="0">
              <a:pos x="connsiteX1880" y="connsiteY1880"/>
            </a:cxn>
            <a:cxn ang="0">
              <a:pos x="connsiteX1881" y="connsiteY1881"/>
            </a:cxn>
            <a:cxn ang="0">
              <a:pos x="connsiteX1882" y="connsiteY1882"/>
            </a:cxn>
            <a:cxn ang="0">
              <a:pos x="connsiteX1883" y="connsiteY1883"/>
            </a:cxn>
            <a:cxn ang="0">
              <a:pos x="connsiteX1884" y="connsiteY1884"/>
            </a:cxn>
            <a:cxn ang="0">
              <a:pos x="connsiteX1885" y="connsiteY1885"/>
            </a:cxn>
            <a:cxn ang="0">
              <a:pos x="connsiteX1886" y="connsiteY1886"/>
            </a:cxn>
            <a:cxn ang="0">
              <a:pos x="connsiteX1887" y="connsiteY1887"/>
            </a:cxn>
            <a:cxn ang="0">
              <a:pos x="connsiteX1888" y="connsiteY1888"/>
            </a:cxn>
            <a:cxn ang="0">
              <a:pos x="connsiteX1889" y="connsiteY1889"/>
            </a:cxn>
            <a:cxn ang="0">
              <a:pos x="connsiteX1890" y="connsiteY1890"/>
            </a:cxn>
            <a:cxn ang="0">
              <a:pos x="connsiteX1891" y="connsiteY1891"/>
            </a:cxn>
            <a:cxn ang="0">
              <a:pos x="connsiteX1892" y="connsiteY1892"/>
            </a:cxn>
            <a:cxn ang="0">
              <a:pos x="connsiteX1893" y="connsiteY1893"/>
            </a:cxn>
            <a:cxn ang="0">
              <a:pos x="connsiteX1894" y="connsiteY1894"/>
            </a:cxn>
            <a:cxn ang="0">
              <a:pos x="connsiteX1895" y="connsiteY1895"/>
            </a:cxn>
            <a:cxn ang="0">
              <a:pos x="connsiteX1896" y="connsiteY1896"/>
            </a:cxn>
            <a:cxn ang="0">
              <a:pos x="connsiteX1897" y="connsiteY1897"/>
            </a:cxn>
            <a:cxn ang="0">
              <a:pos x="connsiteX1898" y="connsiteY1898"/>
            </a:cxn>
            <a:cxn ang="0">
              <a:pos x="connsiteX1899" y="connsiteY1899"/>
            </a:cxn>
            <a:cxn ang="0">
              <a:pos x="connsiteX1900" y="connsiteY1900"/>
            </a:cxn>
            <a:cxn ang="0">
              <a:pos x="connsiteX1901" y="connsiteY1901"/>
            </a:cxn>
            <a:cxn ang="0">
              <a:pos x="connsiteX1902" y="connsiteY1902"/>
            </a:cxn>
            <a:cxn ang="0">
              <a:pos x="connsiteX1903" y="connsiteY1903"/>
            </a:cxn>
            <a:cxn ang="0">
              <a:pos x="connsiteX1904" y="connsiteY1904"/>
            </a:cxn>
            <a:cxn ang="0">
              <a:pos x="connsiteX1905" y="connsiteY1905"/>
            </a:cxn>
            <a:cxn ang="0">
              <a:pos x="connsiteX1906" y="connsiteY1906"/>
            </a:cxn>
            <a:cxn ang="0">
              <a:pos x="connsiteX1907" y="connsiteY1907"/>
            </a:cxn>
            <a:cxn ang="0">
              <a:pos x="connsiteX1908" y="connsiteY1908"/>
            </a:cxn>
            <a:cxn ang="0">
              <a:pos x="connsiteX1909" y="connsiteY1909"/>
            </a:cxn>
            <a:cxn ang="0">
              <a:pos x="connsiteX1910" y="connsiteY1910"/>
            </a:cxn>
            <a:cxn ang="0">
              <a:pos x="connsiteX1911" y="connsiteY1911"/>
            </a:cxn>
            <a:cxn ang="0">
              <a:pos x="connsiteX1912" y="connsiteY1912"/>
            </a:cxn>
            <a:cxn ang="0">
              <a:pos x="connsiteX1913" y="connsiteY1913"/>
            </a:cxn>
            <a:cxn ang="0">
              <a:pos x="connsiteX1914" y="connsiteY1914"/>
            </a:cxn>
            <a:cxn ang="0">
              <a:pos x="connsiteX1915" y="connsiteY1915"/>
            </a:cxn>
            <a:cxn ang="0">
              <a:pos x="connsiteX1916" y="connsiteY1916"/>
            </a:cxn>
            <a:cxn ang="0">
              <a:pos x="connsiteX1917" y="connsiteY1917"/>
            </a:cxn>
            <a:cxn ang="0">
              <a:pos x="connsiteX1918" y="connsiteY1918"/>
            </a:cxn>
            <a:cxn ang="0">
              <a:pos x="connsiteX1919" y="connsiteY1919"/>
            </a:cxn>
            <a:cxn ang="0">
              <a:pos x="connsiteX1920" y="connsiteY1920"/>
            </a:cxn>
            <a:cxn ang="0">
              <a:pos x="connsiteX1921" y="connsiteY1921"/>
            </a:cxn>
            <a:cxn ang="0">
              <a:pos x="connsiteX1922" y="connsiteY1922"/>
            </a:cxn>
            <a:cxn ang="0">
              <a:pos x="connsiteX1923" y="connsiteY1923"/>
            </a:cxn>
            <a:cxn ang="0">
              <a:pos x="connsiteX1924" y="connsiteY1924"/>
            </a:cxn>
            <a:cxn ang="0">
              <a:pos x="connsiteX1925" y="connsiteY1925"/>
            </a:cxn>
            <a:cxn ang="0">
              <a:pos x="connsiteX1926" y="connsiteY1926"/>
            </a:cxn>
            <a:cxn ang="0">
              <a:pos x="connsiteX1927" y="connsiteY1927"/>
            </a:cxn>
            <a:cxn ang="0">
              <a:pos x="connsiteX1928" y="connsiteY1928"/>
            </a:cxn>
            <a:cxn ang="0">
              <a:pos x="connsiteX1929" y="connsiteY1929"/>
            </a:cxn>
            <a:cxn ang="0">
              <a:pos x="connsiteX1930" y="connsiteY1930"/>
            </a:cxn>
            <a:cxn ang="0">
              <a:pos x="connsiteX1931" y="connsiteY1931"/>
            </a:cxn>
            <a:cxn ang="0">
              <a:pos x="connsiteX1932" y="connsiteY1932"/>
            </a:cxn>
            <a:cxn ang="0">
              <a:pos x="connsiteX1933" y="connsiteY1933"/>
            </a:cxn>
            <a:cxn ang="0">
              <a:pos x="connsiteX1934" y="connsiteY1934"/>
            </a:cxn>
            <a:cxn ang="0">
              <a:pos x="connsiteX1935" y="connsiteY1935"/>
            </a:cxn>
            <a:cxn ang="0">
              <a:pos x="connsiteX1936" y="connsiteY1936"/>
            </a:cxn>
            <a:cxn ang="0">
              <a:pos x="connsiteX1937" y="connsiteY1937"/>
            </a:cxn>
            <a:cxn ang="0">
              <a:pos x="connsiteX1938" y="connsiteY1938"/>
            </a:cxn>
            <a:cxn ang="0">
              <a:pos x="connsiteX1939" y="connsiteY1939"/>
            </a:cxn>
            <a:cxn ang="0">
              <a:pos x="connsiteX1940" y="connsiteY1940"/>
            </a:cxn>
            <a:cxn ang="0">
              <a:pos x="connsiteX1941" y="connsiteY1941"/>
            </a:cxn>
            <a:cxn ang="0">
              <a:pos x="connsiteX1942" y="connsiteY1942"/>
            </a:cxn>
            <a:cxn ang="0">
              <a:pos x="connsiteX1943" y="connsiteY1943"/>
            </a:cxn>
            <a:cxn ang="0">
              <a:pos x="connsiteX1944" y="connsiteY1944"/>
            </a:cxn>
            <a:cxn ang="0">
              <a:pos x="connsiteX1945" y="connsiteY1945"/>
            </a:cxn>
            <a:cxn ang="0">
              <a:pos x="connsiteX1946" y="connsiteY1946"/>
            </a:cxn>
            <a:cxn ang="0">
              <a:pos x="connsiteX1947" y="connsiteY1947"/>
            </a:cxn>
            <a:cxn ang="0">
              <a:pos x="connsiteX1948" y="connsiteY1948"/>
            </a:cxn>
            <a:cxn ang="0">
              <a:pos x="connsiteX1949" y="connsiteY1949"/>
            </a:cxn>
            <a:cxn ang="0">
              <a:pos x="connsiteX1950" y="connsiteY1950"/>
            </a:cxn>
            <a:cxn ang="0">
              <a:pos x="connsiteX1951" y="connsiteY1951"/>
            </a:cxn>
            <a:cxn ang="0">
              <a:pos x="connsiteX1952" y="connsiteY1952"/>
            </a:cxn>
            <a:cxn ang="0">
              <a:pos x="connsiteX1953" y="connsiteY1953"/>
            </a:cxn>
            <a:cxn ang="0">
              <a:pos x="connsiteX1954" y="connsiteY1954"/>
            </a:cxn>
            <a:cxn ang="0">
              <a:pos x="connsiteX1955" y="connsiteY1955"/>
            </a:cxn>
            <a:cxn ang="0">
              <a:pos x="connsiteX1956" y="connsiteY1956"/>
            </a:cxn>
            <a:cxn ang="0">
              <a:pos x="connsiteX1957" y="connsiteY1957"/>
            </a:cxn>
            <a:cxn ang="0">
              <a:pos x="connsiteX1958" y="connsiteY1958"/>
            </a:cxn>
            <a:cxn ang="0">
              <a:pos x="connsiteX1959" y="connsiteY1959"/>
            </a:cxn>
            <a:cxn ang="0">
              <a:pos x="connsiteX1960" y="connsiteY1960"/>
            </a:cxn>
            <a:cxn ang="0">
              <a:pos x="connsiteX1961" y="connsiteY1961"/>
            </a:cxn>
            <a:cxn ang="0">
              <a:pos x="connsiteX1962" y="connsiteY1962"/>
            </a:cxn>
            <a:cxn ang="0">
              <a:pos x="connsiteX1963" y="connsiteY1963"/>
            </a:cxn>
            <a:cxn ang="0">
              <a:pos x="connsiteX1964" y="connsiteY1964"/>
            </a:cxn>
            <a:cxn ang="0">
              <a:pos x="connsiteX1965" y="connsiteY1965"/>
            </a:cxn>
            <a:cxn ang="0">
              <a:pos x="connsiteX1966" y="connsiteY1966"/>
            </a:cxn>
            <a:cxn ang="0">
              <a:pos x="connsiteX1967" y="connsiteY1967"/>
            </a:cxn>
            <a:cxn ang="0">
              <a:pos x="connsiteX1968" y="connsiteY1968"/>
            </a:cxn>
            <a:cxn ang="0">
              <a:pos x="connsiteX1969" y="connsiteY1969"/>
            </a:cxn>
            <a:cxn ang="0">
              <a:pos x="connsiteX1970" y="connsiteY1970"/>
            </a:cxn>
            <a:cxn ang="0">
              <a:pos x="connsiteX1971" y="connsiteY1971"/>
            </a:cxn>
            <a:cxn ang="0">
              <a:pos x="connsiteX1972" y="connsiteY1972"/>
            </a:cxn>
            <a:cxn ang="0">
              <a:pos x="connsiteX1973" y="connsiteY1973"/>
            </a:cxn>
            <a:cxn ang="0">
              <a:pos x="connsiteX1974" y="connsiteY1974"/>
            </a:cxn>
            <a:cxn ang="0">
              <a:pos x="connsiteX1975" y="connsiteY1975"/>
            </a:cxn>
            <a:cxn ang="0">
              <a:pos x="connsiteX1976" y="connsiteY1976"/>
            </a:cxn>
            <a:cxn ang="0">
              <a:pos x="connsiteX1977" y="connsiteY1977"/>
            </a:cxn>
            <a:cxn ang="0">
              <a:pos x="connsiteX1978" y="connsiteY1978"/>
            </a:cxn>
            <a:cxn ang="0">
              <a:pos x="connsiteX1979" y="connsiteY1979"/>
            </a:cxn>
            <a:cxn ang="0">
              <a:pos x="connsiteX1980" y="connsiteY1980"/>
            </a:cxn>
            <a:cxn ang="0">
              <a:pos x="connsiteX1981" y="connsiteY1981"/>
            </a:cxn>
            <a:cxn ang="0">
              <a:pos x="connsiteX1982" y="connsiteY1982"/>
            </a:cxn>
            <a:cxn ang="0">
              <a:pos x="connsiteX1983" y="connsiteY1983"/>
            </a:cxn>
            <a:cxn ang="0">
              <a:pos x="connsiteX1984" y="connsiteY1984"/>
            </a:cxn>
            <a:cxn ang="0">
              <a:pos x="connsiteX1985" y="connsiteY1985"/>
            </a:cxn>
            <a:cxn ang="0">
              <a:pos x="connsiteX1986" y="connsiteY1986"/>
            </a:cxn>
            <a:cxn ang="0">
              <a:pos x="connsiteX1987" y="connsiteY1987"/>
            </a:cxn>
            <a:cxn ang="0">
              <a:pos x="connsiteX1988" y="connsiteY1988"/>
            </a:cxn>
            <a:cxn ang="0">
              <a:pos x="connsiteX1989" y="connsiteY1989"/>
            </a:cxn>
            <a:cxn ang="0">
              <a:pos x="connsiteX1990" y="connsiteY1990"/>
            </a:cxn>
            <a:cxn ang="0">
              <a:pos x="connsiteX1991" y="connsiteY1991"/>
            </a:cxn>
            <a:cxn ang="0">
              <a:pos x="connsiteX1992" y="connsiteY1992"/>
            </a:cxn>
            <a:cxn ang="0">
              <a:pos x="connsiteX1993" y="connsiteY1993"/>
            </a:cxn>
            <a:cxn ang="0">
              <a:pos x="connsiteX1994" y="connsiteY1994"/>
            </a:cxn>
            <a:cxn ang="0">
              <a:pos x="connsiteX1995" y="connsiteY1995"/>
            </a:cxn>
            <a:cxn ang="0">
              <a:pos x="connsiteX1996" y="connsiteY1996"/>
            </a:cxn>
            <a:cxn ang="0">
              <a:pos x="connsiteX1997" y="connsiteY1997"/>
            </a:cxn>
            <a:cxn ang="0">
              <a:pos x="connsiteX1998" y="connsiteY1998"/>
            </a:cxn>
            <a:cxn ang="0">
              <a:pos x="connsiteX1999" y="connsiteY1999"/>
            </a:cxn>
            <a:cxn ang="0">
              <a:pos x="connsiteX2000" y="connsiteY2000"/>
            </a:cxn>
            <a:cxn ang="0">
              <a:pos x="connsiteX2001" y="connsiteY2001"/>
            </a:cxn>
            <a:cxn ang="0">
              <a:pos x="connsiteX2002" y="connsiteY2002"/>
            </a:cxn>
            <a:cxn ang="0">
              <a:pos x="connsiteX2003" y="connsiteY2003"/>
            </a:cxn>
            <a:cxn ang="0">
              <a:pos x="connsiteX2004" y="connsiteY2004"/>
            </a:cxn>
            <a:cxn ang="0">
              <a:pos x="connsiteX2005" y="connsiteY2005"/>
            </a:cxn>
            <a:cxn ang="0">
              <a:pos x="connsiteX2006" y="connsiteY2006"/>
            </a:cxn>
            <a:cxn ang="0">
              <a:pos x="connsiteX2007" y="connsiteY2007"/>
            </a:cxn>
            <a:cxn ang="0">
              <a:pos x="connsiteX2008" y="connsiteY2008"/>
            </a:cxn>
            <a:cxn ang="0">
              <a:pos x="connsiteX2009" y="connsiteY2009"/>
            </a:cxn>
            <a:cxn ang="0">
              <a:pos x="connsiteX2010" y="connsiteY2010"/>
            </a:cxn>
            <a:cxn ang="0">
              <a:pos x="connsiteX2011" y="connsiteY2011"/>
            </a:cxn>
            <a:cxn ang="0">
              <a:pos x="connsiteX2012" y="connsiteY2012"/>
            </a:cxn>
            <a:cxn ang="0">
              <a:pos x="connsiteX2013" y="connsiteY2013"/>
            </a:cxn>
            <a:cxn ang="0">
              <a:pos x="connsiteX2014" y="connsiteY2014"/>
            </a:cxn>
            <a:cxn ang="0">
              <a:pos x="connsiteX2015" y="connsiteY2015"/>
            </a:cxn>
            <a:cxn ang="0">
              <a:pos x="connsiteX2016" y="connsiteY2016"/>
            </a:cxn>
            <a:cxn ang="0">
              <a:pos x="connsiteX2017" y="connsiteY2017"/>
            </a:cxn>
            <a:cxn ang="0">
              <a:pos x="connsiteX2018" y="connsiteY2018"/>
            </a:cxn>
            <a:cxn ang="0">
              <a:pos x="connsiteX2019" y="connsiteY2019"/>
            </a:cxn>
            <a:cxn ang="0">
              <a:pos x="connsiteX2020" y="connsiteY2020"/>
            </a:cxn>
            <a:cxn ang="0">
              <a:pos x="connsiteX2021" y="connsiteY2021"/>
            </a:cxn>
            <a:cxn ang="0">
              <a:pos x="connsiteX2022" y="connsiteY2022"/>
            </a:cxn>
            <a:cxn ang="0">
              <a:pos x="connsiteX2023" y="connsiteY2023"/>
            </a:cxn>
            <a:cxn ang="0">
              <a:pos x="connsiteX2024" y="connsiteY2024"/>
            </a:cxn>
            <a:cxn ang="0">
              <a:pos x="connsiteX2025" y="connsiteY2025"/>
            </a:cxn>
            <a:cxn ang="0">
              <a:pos x="connsiteX2026" y="connsiteY2026"/>
            </a:cxn>
            <a:cxn ang="0">
              <a:pos x="connsiteX2027" y="connsiteY2027"/>
            </a:cxn>
            <a:cxn ang="0">
              <a:pos x="connsiteX2028" y="connsiteY2028"/>
            </a:cxn>
            <a:cxn ang="0">
              <a:pos x="connsiteX2029" y="connsiteY2029"/>
            </a:cxn>
            <a:cxn ang="0">
              <a:pos x="connsiteX2030" y="connsiteY2030"/>
            </a:cxn>
            <a:cxn ang="0">
              <a:pos x="connsiteX2031" y="connsiteY2031"/>
            </a:cxn>
            <a:cxn ang="0">
              <a:pos x="connsiteX2032" y="connsiteY2032"/>
            </a:cxn>
            <a:cxn ang="0">
              <a:pos x="connsiteX2033" y="connsiteY2033"/>
            </a:cxn>
            <a:cxn ang="0">
              <a:pos x="connsiteX2034" y="connsiteY2034"/>
            </a:cxn>
            <a:cxn ang="0">
              <a:pos x="connsiteX2035" y="connsiteY2035"/>
            </a:cxn>
            <a:cxn ang="0">
              <a:pos x="connsiteX2036" y="connsiteY2036"/>
            </a:cxn>
            <a:cxn ang="0">
              <a:pos x="connsiteX2037" y="connsiteY2037"/>
            </a:cxn>
            <a:cxn ang="0">
              <a:pos x="connsiteX2038" y="connsiteY2038"/>
            </a:cxn>
            <a:cxn ang="0">
              <a:pos x="connsiteX2039" y="connsiteY2039"/>
            </a:cxn>
            <a:cxn ang="0">
              <a:pos x="connsiteX2040" y="connsiteY2040"/>
            </a:cxn>
            <a:cxn ang="0">
              <a:pos x="connsiteX2041" y="connsiteY2041"/>
            </a:cxn>
            <a:cxn ang="0">
              <a:pos x="connsiteX2042" y="connsiteY2042"/>
            </a:cxn>
            <a:cxn ang="0">
              <a:pos x="connsiteX2043" y="connsiteY2043"/>
            </a:cxn>
            <a:cxn ang="0">
              <a:pos x="connsiteX2044" y="connsiteY2044"/>
            </a:cxn>
            <a:cxn ang="0">
              <a:pos x="connsiteX2045" y="connsiteY2045"/>
            </a:cxn>
            <a:cxn ang="0">
              <a:pos x="connsiteX2046" y="connsiteY2046"/>
            </a:cxn>
            <a:cxn ang="0">
              <a:pos x="connsiteX2047" y="connsiteY2047"/>
            </a:cxn>
            <a:cxn ang="0">
              <a:pos x="connsiteX2048" y="connsiteY2048"/>
            </a:cxn>
            <a:cxn ang="0">
              <a:pos x="connsiteX2049" y="connsiteY2049"/>
            </a:cxn>
            <a:cxn ang="0">
              <a:pos x="connsiteX2050" y="connsiteY2050"/>
            </a:cxn>
            <a:cxn ang="0">
              <a:pos x="connsiteX2051" y="connsiteY2051"/>
            </a:cxn>
            <a:cxn ang="0">
              <a:pos x="connsiteX2052" y="connsiteY2052"/>
            </a:cxn>
            <a:cxn ang="0">
              <a:pos x="connsiteX2053" y="connsiteY2053"/>
            </a:cxn>
            <a:cxn ang="0">
              <a:pos x="connsiteX2054" y="connsiteY2054"/>
            </a:cxn>
            <a:cxn ang="0">
              <a:pos x="connsiteX2055" y="connsiteY2055"/>
            </a:cxn>
            <a:cxn ang="0">
              <a:pos x="connsiteX2056" y="connsiteY2056"/>
            </a:cxn>
            <a:cxn ang="0">
              <a:pos x="connsiteX2057" y="connsiteY2057"/>
            </a:cxn>
            <a:cxn ang="0">
              <a:pos x="connsiteX2058" y="connsiteY2058"/>
            </a:cxn>
            <a:cxn ang="0">
              <a:pos x="connsiteX2059" y="connsiteY2059"/>
            </a:cxn>
            <a:cxn ang="0">
              <a:pos x="connsiteX2060" y="connsiteY2060"/>
            </a:cxn>
            <a:cxn ang="0">
              <a:pos x="connsiteX2061" y="connsiteY2061"/>
            </a:cxn>
            <a:cxn ang="0">
              <a:pos x="connsiteX2062" y="connsiteY2062"/>
            </a:cxn>
            <a:cxn ang="0">
              <a:pos x="connsiteX2063" y="connsiteY2063"/>
            </a:cxn>
            <a:cxn ang="0">
              <a:pos x="connsiteX2064" y="connsiteY2064"/>
            </a:cxn>
            <a:cxn ang="0">
              <a:pos x="connsiteX2065" y="connsiteY2065"/>
            </a:cxn>
            <a:cxn ang="0">
              <a:pos x="connsiteX2066" y="connsiteY2066"/>
            </a:cxn>
            <a:cxn ang="0">
              <a:pos x="connsiteX2067" y="connsiteY2067"/>
            </a:cxn>
            <a:cxn ang="0">
              <a:pos x="connsiteX2068" y="connsiteY2068"/>
            </a:cxn>
            <a:cxn ang="0">
              <a:pos x="connsiteX2069" y="connsiteY2069"/>
            </a:cxn>
            <a:cxn ang="0">
              <a:pos x="connsiteX2070" y="connsiteY2070"/>
            </a:cxn>
            <a:cxn ang="0">
              <a:pos x="connsiteX2071" y="connsiteY2071"/>
            </a:cxn>
            <a:cxn ang="0">
              <a:pos x="connsiteX2072" y="connsiteY2072"/>
            </a:cxn>
            <a:cxn ang="0">
              <a:pos x="connsiteX2073" y="connsiteY2073"/>
            </a:cxn>
            <a:cxn ang="0">
              <a:pos x="connsiteX2074" y="connsiteY2074"/>
            </a:cxn>
            <a:cxn ang="0">
              <a:pos x="connsiteX2075" y="connsiteY2075"/>
            </a:cxn>
            <a:cxn ang="0">
              <a:pos x="connsiteX2076" y="connsiteY2076"/>
            </a:cxn>
            <a:cxn ang="0">
              <a:pos x="connsiteX2077" y="connsiteY2077"/>
            </a:cxn>
            <a:cxn ang="0">
              <a:pos x="connsiteX2078" y="connsiteY2078"/>
            </a:cxn>
            <a:cxn ang="0">
              <a:pos x="connsiteX2079" y="connsiteY2079"/>
            </a:cxn>
            <a:cxn ang="0">
              <a:pos x="connsiteX2080" y="connsiteY2080"/>
            </a:cxn>
            <a:cxn ang="0">
              <a:pos x="connsiteX2081" y="connsiteY2081"/>
            </a:cxn>
            <a:cxn ang="0">
              <a:pos x="connsiteX2082" y="connsiteY2082"/>
            </a:cxn>
            <a:cxn ang="0">
              <a:pos x="connsiteX2083" y="connsiteY2083"/>
            </a:cxn>
            <a:cxn ang="0">
              <a:pos x="connsiteX2084" y="connsiteY2084"/>
            </a:cxn>
            <a:cxn ang="0">
              <a:pos x="connsiteX2085" y="connsiteY2085"/>
            </a:cxn>
            <a:cxn ang="0">
              <a:pos x="connsiteX2086" y="connsiteY2086"/>
            </a:cxn>
            <a:cxn ang="0">
              <a:pos x="connsiteX2087" y="connsiteY2087"/>
            </a:cxn>
            <a:cxn ang="0">
              <a:pos x="connsiteX2088" y="connsiteY2088"/>
            </a:cxn>
            <a:cxn ang="0">
              <a:pos x="connsiteX2089" y="connsiteY2089"/>
            </a:cxn>
            <a:cxn ang="0">
              <a:pos x="connsiteX2090" y="connsiteY2090"/>
            </a:cxn>
            <a:cxn ang="0">
              <a:pos x="connsiteX2091" y="connsiteY2091"/>
            </a:cxn>
            <a:cxn ang="0">
              <a:pos x="connsiteX2092" y="connsiteY2092"/>
            </a:cxn>
            <a:cxn ang="0">
              <a:pos x="connsiteX2093" y="connsiteY2093"/>
            </a:cxn>
            <a:cxn ang="0">
              <a:pos x="connsiteX2094" y="connsiteY2094"/>
            </a:cxn>
            <a:cxn ang="0">
              <a:pos x="connsiteX2095" y="connsiteY2095"/>
            </a:cxn>
            <a:cxn ang="0">
              <a:pos x="connsiteX2096" y="connsiteY2096"/>
            </a:cxn>
            <a:cxn ang="0">
              <a:pos x="connsiteX2097" y="connsiteY2097"/>
            </a:cxn>
            <a:cxn ang="0">
              <a:pos x="connsiteX2098" y="connsiteY2098"/>
            </a:cxn>
            <a:cxn ang="0">
              <a:pos x="connsiteX2099" y="connsiteY2099"/>
            </a:cxn>
            <a:cxn ang="0">
              <a:pos x="connsiteX2100" y="connsiteY2100"/>
            </a:cxn>
            <a:cxn ang="0">
              <a:pos x="connsiteX2101" y="connsiteY2101"/>
            </a:cxn>
            <a:cxn ang="0">
              <a:pos x="connsiteX2102" y="connsiteY2102"/>
            </a:cxn>
            <a:cxn ang="0">
              <a:pos x="connsiteX2103" y="connsiteY2103"/>
            </a:cxn>
            <a:cxn ang="0">
              <a:pos x="connsiteX2104" y="connsiteY2104"/>
            </a:cxn>
            <a:cxn ang="0">
              <a:pos x="connsiteX2105" y="connsiteY2105"/>
            </a:cxn>
            <a:cxn ang="0">
              <a:pos x="connsiteX2106" y="connsiteY2106"/>
            </a:cxn>
            <a:cxn ang="0">
              <a:pos x="connsiteX2107" y="connsiteY2107"/>
            </a:cxn>
            <a:cxn ang="0">
              <a:pos x="connsiteX2108" y="connsiteY2108"/>
            </a:cxn>
            <a:cxn ang="0">
              <a:pos x="connsiteX2109" y="connsiteY2109"/>
            </a:cxn>
            <a:cxn ang="0">
              <a:pos x="connsiteX2110" y="connsiteY2110"/>
            </a:cxn>
            <a:cxn ang="0">
              <a:pos x="connsiteX2111" y="connsiteY2111"/>
            </a:cxn>
            <a:cxn ang="0">
              <a:pos x="connsiteX2112" y="connsiteY2112"/>
            </a:cxn>
            <a:cxn ang="0">
              <a:pos x="connsiteX2113" y="connsiteY2113"/>
            </a:cxn>
            <a:cxn ang="0">
              <a:pos x="connsiteX2114" y="connsiteY2114"/>
            </a:cxn>
            <a:cxn ang="0">
              <a:pos x="connsiteX2115" y="connsiteY2115"/>
            </a:cxn>
            <a:cxn ang="0">
              <a:pos x="connsiteX2116" y="connsiteY2116"/>
            </a:cxn>
            <a:cxn ang="0">
              <a:pos x="connsiteX2117" y="connsiteY2117"/>
            </a:cxn>
            <a:cxn ang="0">
              <a:pos x="connsiteX2118" y="connsiteY2118"/>
            </a:cxn>
            <a:cxn ang="0">
              <a:pos x="connsiteX2119" y="connsiteY2119"/>
            </a:cxn>
            <a:cxn ang="0">
              <a:pos x="connsiteX2120" y="connsiteY2120"/>
            </a:cxn>
            <a:cxn ang="0">
              <a:pos x="connsiteX2121" y="connsiteY2121"/>
            </a:cxn>
            <a:cxn ang="0">
              <a:pos x="connsiteX2122" y="connsiteY2122"/>
            </a:cxn>
            <a:cxn ang="0">
              <a:pos x="connsiteX2123" y="connsiteY2123"/>
            </a:cxn>
            <a:cxn ang="0">
              <a:pos x="connsiteX2124" y="connsiteY2124"/>
            </a:cxn>
            <a:cxn ang="0">
              <a:pos x="connsiteX2125" y="connsiteY2125"/>
            </a:cxn>
            <a:cxn ang="0">
              <a:pos x="connsiteX2126" y="connsiteY2126"/>
            </a:cxn>
            <a:cxn ang="0">
              <a:pos x="connsiteX2127" y="connsiteY2127"/>
            </a:cxn>
            <a:cxn ang="0">
              <a:pos x="connsiteX2128" y="connsiteY2128"/>
            </a:cxn>
            <a:cxn ang="0">
              <a:pos x="connsiteX2129" y="connsiteY2129"/>
            </a:cxn>
            <a:cxn ang="0">
              <a:pos x="connsiteX2130" y="connsiteY2130"/>
            </a:cxn>
            <a:cxn ang="0">
              <a:pos x="connsiteX2131" y="connsiteY2131"/>
            </a:cxn>
            <a:cxn ang="0">
              <a:pos x="connsiteX2132" y="connsiteY2132"/>
            </a:cxn>
            <a:cxn ang="0">
              <a:pos x="connsiteX2133" y="connsiteY2133"/>
            </a:cxn>
            <a:cxn ang="0">
              <a:pos x="connsiteX2134" y="connsiteY2134"/>
            </a:cxn>
            <a:cxn ang="0">
              <a:pos x="connsiteX2135" y="connsiteY2135"/>
            </a:cxn>
            <a:cxn ang="0">
              <a:pos x="connsiteX2136" y="connsiteY2136"/>
            </a:cxn>
            <a:cxn ang="0">
              <a:pos x="connsiteX2137" y="connsiteY2137"/>
            </a:cxn>
            <a:cxn ang="0">
              <a:pos x="connsiteX2138" y="connsiteY2138"/>
            </a:cxn>
            <a:cxn ang="0">
              <a:pos x="connsiteX2139" y="connsiteY2139"/>
            </a:cxn>
            <a:cxn ang="0">
              <a:pos x="connsiteX2140" y="connsiteY2140"/>
            </a:cxn>
            <a:cxn ang="0">
              <a:pos x="connsiteX2141" y="connsiteY2141"/>
            </a:cxn>
            <a:cxn ang="0">
              <a:pos x="connsiteX2142" y="connsiteY2142"/>
            </a:cxn>
            <a:cxn ang="0">
              <a:pos x="connsiteX2143" y="connsiteY2143"/>
            </a:cxn>
            <a:cxn ang="0">
              <a:pos x="connsiteX2144" y="connsiteY2144"/>
            </a:cxn>
            <a:cxn ang="0">
              <a:pos x="connsiteX2145" y="connsiteY2145"/>
            </a:cxn>
            <a:cxn ang="0">
              <a:pos x="connsiteX2146" y="connsiteY2146"/>
            </a:cxn>
            <a:cxn ang="0">
              <a:pos x="connsiteX2147" y="connsiteY2147"/>
            </a:cxn>
            <a:cxn ang="0">
              <a:pos x="connsiteX2148" y="connsiteY2148"/>
            </a:cxn>
            <a:cxn ang="0">
              <a:pos x="connsiteX2149" y="connsiteY2149"/>
            </a:cxn>
            <a:cxn ang="0">
              <a:pos x="connsiteX2150" y="connsiteY2150"/>
            </a:cxn>
            <a:cxn ang="0">
              <a:pos x="connsiteX2151" y="connsiteY2151"/>
            </a:cxn>
            <a:cxn ang="0">
              <a:pos x="connsiteX2152" y="connsiteY2152"/>
            </a:cxn>
            <a:cxn ang="0">
              <a:pos x="connsiteX2153" y="connsiteY2153"/>
            </a:cxn>
            <a:cxn ang="0">
              <a:pos x="connsiteX2154" y="connsiteY2154"/>
            </a:cxn>
            <a:cxn ang="0">
              <a:pos x="connsiteX2155" y="connsiteY2155"/>
            </a:cxn>
            <a:cxn ang="0">
              <a:pos x="connsiteX2156" y="connsiteY2156"/>
            </a:cxn>
            <a:cxn ang="0">
              <a:pos x="connsiteX2157" y="connsiteY2157"/>
            </a:cxn>
            <a:cxn ang="0">
              <a:pos x="connsiteX2158" y="connsiteY2158"/>
            </a:cxn>
            <a:cxn ang="0">
              <a:pos x="connsiteX2159" y="connsiteY2159"/>
            </a:cxn>
            <a:cxn ang="0">
              <a:pos x="connsiteX2160" y="connsiteY2160"/>
            </a:cxn>
            <a:cxn ang="0">
              <a:pos x="connsiteX2161" y="connsiteY2161"/>
            </a:cxn>
            <a:cxn ang="0">
              <a:pos x="connsiteX2162" y="connsiteY2162"/>
            </a:cxn>
            <a:cxn ang="0">
              <a:pos x="connsiteX2163" y="connsiteY2163"/>
            </a:cxn>
            <a:cxn ang="0">
              <a:pos x="connsiteX2164" y="connsiteY2164"/>
            </a:cxn>
            <a:cxn ang="0">
              <a:pos x="connsiteX2165" y="connsiteY2165"/>
            </a:cxn>
            <a:cxn ang="0">
              <a:pos x="connsiteX2166" y="connsiteY2166"/>
            </a:cxn>
            <a:cxn ang="0">
              <a:pos x="connsiteX2167" y="connsiteY2167"/>
            </a:cxn>
            <a:cxn ang="0">
              <a:pos x="connsiteX2168" y="connsiteY2168"/>
            </a:cxn>
            <a:cxn ang="0">
              <a:pos x="connsiteX2169" y="connsiteY2169"/>
            </a:cxn>
            <a:cxn ang="0">
              <a:pos x="connsiteX2170" y="connsiteY2170"/>
            </a:cxn>
            <a:cxn ang="0">
              <a:pos x="connsiteX2171" y="connsiteY2171"/>
            </a:cxn>
            <a:cxn ang="0">
              <a:pos x="connsiteX2172" y="connsiteY2172"/>
            </a:cxn>
            <a:cxn ang="0">
              <a:pos x="connsiteX2173" y="connsiteY2173"/>
            </a:cxn>
            <a:cxn ang="0">
              <a:pos x="connsiteX2174" y="connsiteY2174"/>
            </a:cxn>
            <a:cxn ang="0">
              <a:pos x="connsiteX2175" y="connsiteY2175"/>
            </a:cxn>
            <a:cxn ang="0">
              <a:pos x="connsiteX2176" y="connsiteY2176"/>
            </a:cxn>
            <a:cxn ang="0">
              <a:pos x="connsiteX2177" y="connsiteY2177"/>
            </a:cxn>
            <a:cxn ang="0">
              <a:pos x="connsiteX2178" y="connsiteY2178"/>
            </a:cxn>
            <a:cxn ang="0">
              <a:pos x="connsiteX2179" y="connsiteY2179"/>
            </a:cxn>
            <a:cxn ang="0">
              <a:pos x="connsiteX2180" y="connsiteY2180"/>
            </a:cxn>
            <a:cxn ang="0">
              <a:pos x="connsiteX2181" y="connsiteY2181"/>
            </a:cxn>
            <a:cxn ang="0">
              <a:pos x="connsiteX2182" y="connsiteY2182"/>
            </a:cxn>
            <a:cxn ang="0">
              <a:pos x="connsiteX2183" y="connsiteY2183"/>
            </a:cxn>
            <a:cxn ang="0">
              <a:pos x="connsiteX2184" y="connsiteY2184"/>
            </a:cxn>
            <a:cxn ang="0">
              <a:pos x="connsiteX2185" y="connsiteY2185"/>
            </a:cxn>
            <a:cxn ang="0">
              <a:pos x="connsiteX2186" y="connsiteY2186"/>
            </a:cxn>
            <a:cxn ang="0">
              <a:pos x="connsiteX2187" y="connsiteY2187"/>
            </a:cxn>
            <a:cxn ang="0">
              <a:pos x="connsiteX2188" y="connsiteY2188"/>
            </a:cxn>
            <a:cxn ang="0">
              <a:pos x="connsiteX2189" y="connsiteY2189"/>
            </a:cxn>
            <a:cxn ang="0">
              <a:pos x="connsiteX2190" y="connsiteY2190"/>
            </a:cxn>
            <a:cxn ang="0">
              <a:pos x="connsiteX2191" y="connsiteY2191"/>
            </a:cxn>
            <a:cxn ang="0">
              <a:pos x="connsiteX2192" y="connsiteY2192"/>
            </a:cxn>
            <a:cxn ang="0">
              <a:pos x="connsiteX2193" y="connsiteY2193"/>
            </a:cxn>
            <a:cxn ang="0">
              <a:pos x="connsiteX2194" y="connsiteY2194"/>
            </a:cxn>
            <a:cxn ang="0">
              <a:pos x="connsiteX2195" y="connsiteY2195"/>
            </a:cxn>
            <a:cxn ang="0">
              <a:pos x="connsiteX2196" y="connsiteY2196"/>
            </a:cxn>
            <a:cxn ang="0">
              <a:pos x="connsiteX2197" y="connsiteY2197"/>
            </a:cxn>
            <a:cxn ang="0">
              <a:pos x="connsiteX2198" y="connsiteY2198"/>
            </a:cxn>
            <a:cxn ang="0">
              <a:pos x="connsiteX2199" y="connsiteY2199"/>
            </a:cxn>
            <a:cxn ang="0">
              <a:pos x="connsiteX2200" y="connsiteY2200"/>
            </a:cxn>
            <a:cxn ang="0">
              <a:pos x="connsiteX2201" y="connsiteY2201"/>
            </a:cxn>
            <a:cxn ang="0">
              <a:pos x="connsiteX2202" y="connsiteY2202"/>
            </a:cxn>
            <a:cxn ang="0">
              <a:pos x="connsiteX2203" y="connsiteY2203"/>
            </a:cxn>
            <a:cxn ang="0">
              <a:pos x="connsiteX2204" y="connsiteY2204"/>
            </a:cxn>
            <a:cxn ang="0">
              <a:pos x="connsiteX2205" y="connsiteY2205"/>
            </a:cxn>
            <a:cxn ang="0">
              <a:pos x="connsiteX2206" y="connsiteY2206"/>
            </a:cxn>
            <a:cxn ang="0">
              <a:pos x="connsiteX2207" y="connsiteY2207"/>
            </a:cxn>
            <a:cxn ang="0">
              <a:pos x="connsiteX2208" y="connsiteY2208"/>
            </a:cxn>
            <a:cxn ang="0">
              <a:pos x="connsiteX2209" y="connsiteY2209"/>
            </a:cxn>
            <a:cxn ang="0">
              <a:pos x="connsiteX2210" y="connsiteY2210"/>
            </a:cxn>
            <a:cxn ang="0">
              <a:pos x="connsiteX2211" y="connsiteY2211"/>
            </a:cxn>
            <a:cxn ang="0">
              <a:pos x="connsiteX2212" y="connsiteY2212"/>
            </a:cxn>
            <a:cxn ang="0">
              <a:pos x="connsiteX2213" y="connsiteY2213"/>
            </a:cxn>
            <a:cxn ang="0">
              <a:pos x="connsiteX2214" y="connsiteY2214"/>
            </a:cxn>
            <a:cxn ang="0">
              <a:pos x="connsiteX2215" y="connsiteY2215"/>
            </a:cxn>
            <a:cxn ang="0">
              <a:pos x="connsiteX2216" y="connsiteY2216"/>
            </a:cxn>
            <a:cxn ang="0">
              <a:pos x="connsiteX2217" y="connsiteY2217"/>
            </a:cxn>
            <a:cxn ang="0">
              <a:pos x="connsiteX2218" y="connsiteY2218"/>
            </a:cxn>
            <a:cxn ang="0">
              <a:pos x="connsiteX2219" y="connsiteY2219"/>
            </a:cxn>
            <a:cxn ang="0">
              <a:pos x="connsiteX2220" y="connsiteY2220"/>
            </a:cxn>
            <a:cxn ang="0">
              <a:pos x="connsiteX2221" y="connsiteY2221"/>
            </a:cxn>
            <a:cxn ang="0">
              <a:pos x="connsiteX2222" y="connsiteY2222"/>
            </a:cxn>
            <a:cxn ang="0">
              <a:pos x="connsiteX2223" y="connsiteY2223"/>
            </a:cxn>
            <a:cxn ang="0">
              <a:pos x="connsiteX2224" y="connsiteY2224"/>
            </a:cxn>
            <a:cxn ang="0">
              <a:pos x="connsiteX2225" y="connsiteY2225"/>
            </a:cxn>
            <a:cxn ang="0">
              <a:pos x="connsiteX2226" y="connsiteY2226"/>
            </a:cxn>
            <a:cxn ang="0">
              <a:pos x="connsiteX2227" y="connsiteY2227"/>
            </a:cxn>
            <a:cxn ang="0">
              <a:pos x="connsiteX2228" y="connsiteY2228"/>
            </a:cxn>
            <a:cxn ang="0">
              <a:pos x="connsiteX2229" y="connsiteY2229"/>
            </a:cxn>
            <a:cxn ang="0">
              <a:pos x="connsiteX2230" y="connsiteY2230"/>
            </a:cxn>
            <a:cxn ang="0">
              <a:pos x="connsiteX2231" y="connsiteY2231"/>
            </a:cxn>
            <a:cxn ang="0">
              <a:pos x="connsiteX2232" y="connsiteY2232"/>
            </a:cxn>
            <a:cxn ang="0">
              <a:pos x="connsiteX2233" y="connsiteY2233"/>
            </a:cxn>
            <a:cxn ang="0">
              <a:pos x="connsiteX2234" y="connsiteY2234"/>
            </a:cxn>
            <a:cxn ang="0">
              <a:pos x="connsiteX2235" y="connsiteY2235"/>
            </a:cxn>
            <a:cxn ang="0">
              <a:pos x="connsiteX2236" y="connsiteY2236"/>
            </a:cxn>
            <a:cxn ang="0">
              <a:pos x="connsiteX2237" y="connsiteY2237"/>
            </a:cxn>
            <a:cxn ang="0">
              <a:pos x="connsiteX2238" y="connsiteY2238"/>
            </a:cxn>
            <a:cxn ang="0">
              <a:pos x="connsiteX2239" y="connsiteY2239"/>
            </a:cxn>
            <a:cxn ang="0">
              <a:pos x="connsiteX2240" y="connsiteY2240"/>
            </a:cxn>
            <a:cxn ang="0">
              <a:pos x="connsiteX2241" y="connsiteY2241"/>
            </a:cxn>
            <a:cxn ang="0">
              <a:pos x="connsiteX2242" y="connsiteY2242"/>
            </a:cxn>
            <a:cxn ang="0">
              <a:pos x="connsiteX2243" y="connsiteY2243"/>
            </a:cxn>
            <a:cxn ang="0">
              <a:pos x="connsiteX2244" y="connsiteY2244"/>
            </a:cxn>
            <a:cxn ang="0">
              <a:pos x="connsiteX2245" y="connsiteY2245"/>
            </a:cxn>
            <a:cxn ang="0">
              <a:pos x="connsiteX2246" y="connsiteY2246"/>
            </a:cxn>
            <a:cxn ang="0">
              <a:pos x="connsiteX2247" y="connsiteY2247"/>
            </a:cxn>
            <a:cxn ang="0">
              <a:pos x="connsiteX2248" y="connsiteY2248"/>
            </a:cxn>
            <a:cxn ang="0">
              <a:pos x="connsiteX2249" y="connsiteY2249"/>
            </a:cxn>
            <a:cxn ang="0">
              <a:pos x="connsiteX2250" y="connsiteY2250"/>
            </a:cxn>
            <a:cxn ang="0">
              <a:pos x="connsiteX2251" y="connsiteY2251"/>
            </a:cxn>
            <a:cxn ang="0">
              <a:pos x="connsiteX2252" y="connsiteY2252"/>
            </a:cxn>
            <a:cxn ang="0">
              <a:pos x="connsiteX2253" y="connsiteY2253"/>
            </a:cxn>
            <a:cxn ang="0">
              <a:pos x="connsiteX2254" y="connsiteY2254"/>
            </a:cxn>
            <a:cxn ang="0">
              <a:pos x="connsiteX2255" y="connsiteY2255"/>
            </a:cxn>
            <a:cxn ang="0">
              <a:pos x="connsiteX2256" y="connsiteY2256"/>
            </a:cxn>
            <a:cxn ang="0">
              <a:pos x="connsiteX2257" y="connsiteY2257"/>
            </a:cxn>
            <a:cxn ang="0">
              <a:pos x="connsiteX2258" y="connsiteY2258"/>
            </a:cxn>
            <a:cxn ang="0">
              <a:pos x="connsiteX2259" y="connsiteY2259"/>
            </a:cxn>
            <a:cxn ang="0">
              <a:pos x="connsiteX2260" y="connsiteY2260"/>
            </a:cxn>
            <a:cxn ang="0">
              <a:pos x="connsiteX2261" y="connsiteY2261"/>
            </a:cxn>
            <a:cxn ang="0">
              <a:pos x="connsiteX2262" y="connsiteY2262"/>
            </a:cxn>
            <a:cxn ang="0">
              <a:pos x="connsiteX2263" y="connsiteY2263"/>
            </a:cxn>
            <a:cxn ang="0">
              <a:pos x="connsiteX2264" y="connsiteY2264"/>
            </a:cxn>
            <a:cxn ang="0">
              <a:pos x="connsiteX2265" y="connsiteY2265"/>
            </a:cxn>
            <a:cxn ang="0">
              <a:pos x="connsiteX2266" y="connsiteY2266"/>
            </a:cxn>
            <a:cxn ang="0">
              <a:pos x="connsiteX2267" y="connsiteY2267"/>
            </a:cxn>
            <a:cxn ang="0">
              <a:pos x="connsiteX2268" y="connsiteY2268"/>
            </a:cxn>
            <a:cxn ang="0">
              <a:pos x="connsiteX2269" y="connsiteY2269"/>
            </a:cxn>
            <a:cxn ang="0">
              <a:pos x="connsiteX2270" y="connsiteY2270"/>
            </a:cxn>
            <a:cxn ang="0">
              <a:pos x="connsiteX2271" y="connsiteY2271"/>
            </a:cxn>
            <a:cxn ang="0">
              <a:pos x="connsiteX2272" y="connsiteY2272"/>
            </a:cxn>
            <a:cxn ang="0">
              <a:pos x="connsiteX2273" y="connsiteY2273"/>
            </a:cxn>
            <a:cxn ang="0">
              <a:pos x="connsiteX2274" y="connsiteY2274"/>
            </a:cxn>
            <a:cxn ang="0">
              <a:pos x="connsiteX2275" y="connsiteY2275"/>
            </a:cxn>
            <a:cxn ang="0">
              <a:pos x="connsiteX2276" y="connsiteY2276"/>
            </a:cxn>
            <a:cxn ang="0">
              <a:pos x="connsiteX2277" y="connsiteY2277"/>
            </a:cxn>
            <a:cxn ang="0">
              <a:pos x="connsiteX2278" y="connsiteY2278"/>
            </a:cxn>
            <a:cxn ang="0">
              <a:pos x="connsiteX2279" y="connsiteY2279"/>
            </a:cxn>
            <a:cxn ang="0">
              <a:pos x="connsiteX2280" y="connsiteY2280"/>
            </a:cxn>
            <a:cxn ang="0">
              <a:pos x="connsiteX2281" y="connsiteY2281"/>
            </a:cxn>
            <a:cxn ang="0">
              <a:pos x="connsiteX2282" y="connsiteY2282"/>
            </a:cxn>
            <a:cxn ang="0">
              <a:pos x="connsiteX2283" y="connsiteY2283"/>
            </a:cxn>
            <a:cxn ang="0">
              <a:pos x="connsiteX2284" y="connsiteY2284"/>
            </a:cxn>
            <a:cxn ang="0">
              <a:pos x="connsiteX2285" y="connsiteY2285"/>
            </a:cxn>
            <a:cxn ang="0">
              <a:pos x="connsiteX2286" y="connsiteY2286"/>
            </a:cxn>
            <a:cxn ang="0">
              <a:pos x="connsiteX2287" y="connsiteY2287"/>
            </a:cxn>
            <a:cxn ang="0">
              <a:pos x="connsiteX2288" y="connsiteY2288"/>
            </a:cxn>
            <a:cxn ang="0">
              <a:pos x="connsiteX2289" y="connsiteY2289"/>
            </a:cxn>
            <a:cxn ang="0">
              <a:pos x="connsiteX2290" y="connsiteY2290"/>
            </a:cxn>
            <a:cxn ang="0">
              <a:pos x="connsiteX2291" y="connsiteY2291"/>
            </a:cxn>
            <a:cxn ang="0">
              <a:pos x="connsiteX2292" y="connsiteY2292"/>
            </a:cxn>
            <a:cxn ang="0">
              <a:pos x="connsiteX2293" y="connsiteY2293"/>
            </a:cxn>
            <a:cxn ang="0">
              <a:pos x="connsiteX2294" y="connsiteY2294"/>
            </a:cxn>
            <a:cxn ang="0">
              <a:pos x="connsiteX2295" y="connsiteY2295"/>
            </a:cxn>
            <a:cxn ang="0">
              <a:pos x="connsiteX2296" y="connsiteY2296"/>
            </a:cxn>
            <a:cxn ang="0">
              <a:pos x="connsiteX2297" y="connsiteY2297"/>
            </a:cxn>
            <a:cxn ang="0">
              <a:pos x="connsiteX2298" y="connsiteY2298"/>
            </a:cxn>
            <a:cxn ang="0">
              <a:pos x="connsiteX2299" y="connsiteY2299"/>
            </a:cxn>
            <a:cxn ang="0">
              <a:pos x="connsiteX2300" y="connsiteY2300"/>
            </a:cxn>
            <a:cxn ang="0">
              <a:pos x="connsiteX2301" y="connsiteY2301"/>
            </a:cxn>
            <a:cxn ang="0">
              <a:pos x="connsiteX2302" y="connsiteY2302"/>
            </a:cxn>
            <a:cxn ang="0">
              <a:pos x="connsiteX2303" y="connsiteY2303"/>
            </a:cxn>
            <a:cxn ang="0">
              <a:pos x="connsiteX2304" y="connsiteY2304"/>
            </a:cxn>
            <a:cxn ang="0">
              <a:pos x="connsiteX2305" y="connsiteY2305"/>
            </a:cxn>
            <a:cxn ang="0">
              <a:pos x="connsiteX2306" y="connsiteY2306"/>
            </a:cxn>
            <a:cxn ang="0">
              <a:pos x="connsiteX2307" y="connsiteY2307"/>
            </a:cxn>
            <a:cxn ang="0">
              <a:pos x="connsiteX2308" y="connsiteY2308"/>
            </a:cxn>
            <a:cxn ang="0">
              <a:pos x="connsiteX2309" y="connsiteY2309"/>
            </a:cxn>
            <a:cxn ang="0">
              <a:pos x="connsiteX2310" y="connsiteY2310"/>
            </a:cxn>
            <a:cxn ang="0">
              <a:pos x="connsiteX2311" y="connsiteY2311"/>
            </a:cxn>
            <a:cxn ang="0">
              <a:pos x="connsiteX2312" y="connsiteY2312"/>
            </a:cxn>
            <a:cxn ang="0">
              <a:pos x="connsiteX2313" y="connsiteY2313"/>
            </a:cxn>
            <a:cxn ang="0">
              <a:pos x="connsiteX2314" y="connsiteY2314"/>
            </a:cxn>
            <a:cxn ang="0">
              <a:pos x="connsiteX2315" y="connsiteY2315"/>
            </a:cxn>
            <a:cxn ang="0">
              <a:pos x="connsiteX2316" y="connsiteY2316"/>
            </a:cxn>
            <a:cxn ang="0">
              <a:pos x="connsiteX2317" y="connsiteY2317"/>
            </a:cxn>
            <a:cxn ang="0">
              <a:pos x="connsiteX2318" y="connsiteY2318"/>
            </a:cxn>
            <a:cxn ang="0">
              <a:pos x="connsiteX2319" y="connsiteY2319"/>
            </a:cxn>
            <a:cxn ang="0">
              <a:pos x="connsiteX2320" y="connsiteY2320"/>
            </a:cxn>
            <a:cxn ang="0">
              <a:pos x="connsiteX2321" y="connsiteY2321"/>
            </a:cxn>
            <a:cxn ang="0">
              <a:pos x="connsiteX2322" y="connsiteY2322"/>
            </a:cxn>
            <a:cxn ang="0">
              <a:pos x="connsiteX2323" y="connsiteY2323"/>
            </a:cxn>
            <a:cxn ang="0">
              <a:pos x="connsiteX2324" y="connsiteY2324"/>
            </a:cxn>
            <a:cxn ang="0">
              <a:pos x="connsiteX2325" y="connsiteY2325"/>
            </a:cxn>
            <a:cxn ang="0">
              <a:pos x="connsiteX2326" y="connsiteY2326"/>
            </a:cxn>
            <a:cxn ang="0">
              <a:pos x="connsiteX2327" y="connsiteY2327"/>
            </a:cxn>
            <a:cxn ang="0">
              <a:pos x="connsiteX2328" y="connsiteY2328"/>
            </a:cxn>
            <a:cxn ang="0">
              <a:pos x="connsiteX2329" y="connsiteY2329"/>
            </a:cxn>
            <a:cxn ang="0">
              <a:pos x="connsiteX2330" y="connsiteY2330"/>
            </a:cxn>
            <a:cxn ang="0">
              <a:pos x="connsiteX2331" y="connsiteY2331"/>
            </a:cxn>
            <a:cxn ang="0">
              <a:pos x="connsiteX2332" y="connsiteY2332"/>
            </a:cxn>
            <a:cxn ang="0">
              <a:pos x="connsiteX2333" y="connsiteY2333"/>
            </a:cxn>
            <a:cxn ang="0">
              <a:pos x="connsiteX2334" y="connsiteY2334"/>
            </a:cxn>
            <a:cxn ang="0">
              <a:pos x="connsiteX2335" y="connsiteY2335"/>
            </a:cxn>
            <a:cxn ang="0">
              <a:pos x="connsiteX2336" y="connsiteY2336"/>
            </a:cxn>
            <a:cxn ang="0">
              <a:pos x="connsiteX2337" y="connsiteY2337"/>
            </a:cxn>
            <a:cxn ang="0">
              <a:pos x="connsiteX2338" y="connsiteY2338"/>
            </a:cxn>
            <a:cxn ang="0">
              <a:pos x="connsiteX2339" y="connsiteY2339"/>
            </a:cxn>
            <a:cxn ang="0">
              <a:pos x="connsiteX2340" y="connsiteY2340"/>
            </a:cxn>
            <a:cxn ang="0">
              <a:pos x="connsiteX2341" y="connsiteY2341"/>
            </a:cxn>
            <a:cxn ang="0">
              <a:pos x="connsiteX2342" y="connsiteY2342"/>
            </a:cxn>
            <a:cxn ang="0">
              <a:pos x="connsiteX2343" y="connsiteY2343"/>
            </a:cxn>
            <a:cxn ang="0">
              <a:pos x="connsiteX2344" y="connsiteY2344"/>
            </a:cxn>
            <a:cxn ang="0">
              <a:pos x="connsiteX2345" y="connsiteY2345"/>
            </a:cxn>
            <a:cxn ang="0">
              <a:pos x="connsiteX2346" y="connsiteY2346"/>
            </a:cxn>
            <a:cxn ang="0">
              <a:pos x="connsiteX2347" y="connsiteY2347"/>
            </a:cxn>
            <a:cxn ang="0">
              <a:pos x="connsiteX2348" y="connsiteY2348"/>
            </a:cxn>
            <a:cxn ang="0">
              <a:pos x="connsiteX2349" y="connsiteY2349"/>
            </a:cxn>
            <a:cxn ang="0">
              <a:pos x="connsiteX2350" y="connsiteY2350"/>
            </a:cxn>
            <a:cxn ang="0">
              <a:pos x="connsiteX2351" y="connsiteY2351"/>
            </a:cxn>
            <a:cxn ang="0">
              <a:pos x="connsiteX2352" y="connsiteY2352"/>
            </a:cxn>
            <a:cxn ang="0">
              <a:pos x="connsiteX2353" y="connsiteY2353"/>
            </a:cxn>
            <a:cxn ang="0">
              <a:pos x="connsiteX2354" y="connsiteY2354"/>
            </a:cxn>
            <a:cxn ang="0">
              <a:pos x="connsiteX2355" y="connsiteY2355"/>
            </a:cxn>
            <a:cxn ang="0">
              <a:pos x="connsiteX2356" y="connsiteY2356"/>
            </a:cxn>
            <a:cxn ang="0">
              <a:pos x="connsiteX2357" y="connsiteY2357"/>
            </a:cxn>
            <a:cxn ang="0">
              <a:pos x="connsiteX2358" y="connsiteY2358"/>
            </a:cxn>
            <a:cxn ang="0">
              <a:pos x="connsiteX2359" y="connsiteY2359"/>
            </a:cxn>
            <a:cxn ang="0">
              <a:pos x="connsiteX2360" y="connsiteY2360"/>
            </a:cxn>
            <a:cxn ang="0">
              <a:pos x="connsiteX2361" y="connsiteY2361"/>
            </a:cxn>
            <a:cxn ang="0">
              <a:pos x="connsiteX2362" y="connsiteY2362"/>
            </a:cxn>
            <a:cxn ang="0">
              <a:pos x="connsiteX2363" y="connsiteY2363"/>
            </a:cxn>
            <a:cxn ang="0">
              <a:pos x="connsiteX2364" y="connsiteY2364"/>
            </a:cxn>
            <a:cxn ang="0">
              <a:pos x="connsiteX2365" y="connsiteY2365"/>
            </a:cxn>
            <a:cxn ang="0">
              <a:pos x="connsiteX2366" y="connsiteY2366"/>
            </a:cxn>
            <a:cxn ang="0">
              <a:pos x="connsiteX2367" y="connsiteY2367"/>
            </a:cxn>
            <a:cxn ang="0">
              <a:pos x="connsiteX2368" y="connsiteY2368"/>
            </a:cxn>
            <a:cxn ang="0">
              <a:pos x="connsiteX2369" y="connsiteY2369"/>
            </a:cxn>
            <a:cxn ang="0">
              <a:pos x="connsiteX2370" y="connsiteY2370"/>
            </a:cxn>
            <a:cxn ang="0">
              <a:pos x="connsiteX2371" y="connsiteY2371"/>
            </a:cxn>
            <a:cxn ang="0">
              <a:pos x="connsiteX2372" y="connsiteY2372"/>
            </a:cxn>
            <a:cxn ang="0">
              <a:pos x="connsiteX2373" y="connsiteY2373"/>
            </a:cxn>
            <a:cxn ang="0">
              <a:pos x="connsiteX2374" y="connsiteY2374"/>
            </a:cxn>
            <a:cxn ang="0">
              <a:pos x="connsiteX2375" y="connsiteY2375"/>
            </a:cxn>
            <a:cxn ang="0">
              <a:pos x="connsiteX2376" y="connsiteY2376"/>
            </a:cxn>
            <a:cxn ang="0">
              <a:pos x="connsiteX2377" y="connsiteY2377"/>
            </a:cxn>
            <a:cxn ang="0">
              <a:pos x="connsiteX2378" y="connsiteY2378"/>
            </a:cxn>
            <a:cxn ang="0">
              <a:pos x="connsiteX2379" y="connsiteY2379"/>
            </a:cxn>
            <a:cxn ang="0">
              <a:pos x="connsiteX2380" y="connsiteY2380"/>
            </a:cxn>
            <a:cxn ang="0">
              <a:pos x="connsiteX2381" y="connsiteY2381"/>
            </a:cxn>
            <a:cxn ang="0">
              <a:pos x="connsiteX2382" y="connsiteY2382"/>
            </a:cxn>
            <a:cxn ang="0">
              <a:pos x="connsiteX2383" y="connsiteY2383"/>
            </a:cxn>
            <a:cxn ang="0">
              <a:pos x="connsiteX2384" y="connsiteY2384"/>
            </a:cxn>
            <a:cxn ang="0">
              <a:pos x="connsiteX2385" y="connsiteY2385"/>
            </a:cxn>
            <a:cxn ang="0">
              <a:pos x="connsiteX2386" y="connsiteY2386"/>
            </a:cxn>
            <a:cxn ang="0">
              <a:pos x="connsiteX2387" y="connsiteY2387"/>
            </a:cxn>
            <a:cxn ang="0">
              <a:pos x="connsiteX2388" y="connsiteY2388"/>
            </a:cxn>
            <a:cxn ang="0">
              <a:pos x="connsiteX2389" y="connsiteY2389"/>
            </a:cxn>
            <a:cxn ang="0">
              <a:pos x="connsiteX2390" y="connsiteY2390"/>
            </a:cxn>
            <a:cxn ang="0">
              <a:pos x="connsiteX2391" y="connsiteY2391"/>
            </a:cxn>
            <a:cxn ang="0">
              <a:pos x="connsiteX2392" y="connsiteY2392"/>
            </a:cxn>
            <a:cxn ang="0">
              <a:pos x="connsiteX2393" y="connsiteY2393"/>
            </a:cxn>
            <a:cxn ang="0">
              <a:pos x="connsiteX2394" y="connsiteY2394"/>
            </a:cxn>
            <a:cxn ang="0">
              <a:pos x="connsiteX2395" y="connsiteY2395"/>
            </a:cxn>
            <a:cxn ang="0">
              <a:pos x="connsiteX2396" y="connsiteY2396"/>
            </a:cxn>
            <a:cxn ang="0">
              <a:pos x="connsiteX2397" y="connsiteY2397"/>
            </a:cxn>
            <a:cxn ang="0">
              <a:pos x="connsiteX2398" y="connsiteY2398"/>
            </a:cxn>
            <a:cxn ang="0">
              <a:pos x="connsiteX2399" y="connsiteY2399"/>
            </a:cxn>
            <a:cxn ang="0">
              <a:pos x="connsiteX2400" y="connsiteY2400"/>
            </a:cxn>
            <a:cxn ang="0">
              <a:pos x="connsiteX2401" y="connsiteY2401"/>
            </a:cxn>
            <a:cxn ang="0">
              <a:pos x="connsiteX2402" y="connsiteY2402"/>
            </a:cxn>
            <a:cxn ang="0">
              <a:pos x="connsiteX2403" y="connsiteY2403"/>
            </a:cxn>
            <a:cxn ang="0">
              <a:pos x="connsiteX2404" y="connsiteY2404"/>
            </a:cxn>
            <a:cxn ang="0">
              <a:pos x="connsiteX2405" y="connsiteY2405"/>
            </a:cxn>
            <a:cxn ang="0">
              <a:pos x="connsiteX2406" y="connsiteY2406"/>
            </a:cxn>
            <a:cxn ang="0">
              <a:pos x="connsiteX2407" y="connsiteY2407"/>
            </a:cxn>
            <a:cxn ang="0">
              <a:pos x="connsiteX2408" y="connsiteY2408"/>
            </a:cxn>
            <a:cxn ang="0">
              <a:pos x="connsiteX2409" y="connsiteY2409"/>
            </a:cxn>
            <a:cxn ang="0">
              <a:pos x="connsiteX2410" y="connsiteY2410"/>
            </a:cxn>
            <a:cxn ang="0">
              <a:pos x="connsiteX2411" y="connsiteY2411"/>
            </a:cxn>
            <a:cxn ang="0">
              <a:pos x="connsiteX2412" y="connsiteY2412"/>
            </a:cxn>
            <a:cxn ang="0">
              <a:pos x="connsiteX2413" y="connsiteY2413"/>
            </a:cxn>
            <a:cxn ang="0">
              <a:pos x="connsiteX2414" y="connsiteY2414"/>
            </a:cxn>
            <a:cxn ang="0">
              <a:pos x="connsiteX2415" y="connsiteY2415"/>
            </a:cxn>
            <a:cxn ang="0">
              <a:pos x="connsiteX2416" y="connsiteY2416"/>
            </a:cxn>
            <a:cxn ang="0">
              <a:pos x="connsiteX2417" y="connsiteY2417"/>
            </a:cxn>
            <a:cxn ang="0">
              <a:pos x="connsiteX2418" y="connsiteY2418"/>
            </a:cxn>
            <a:cxn ang="0">
              <a:pos x="connsiteX2419" y="connsiteY2419"/>
            </a:cxn>
            <a:cxn ang="0">
              <a:pos x="connsiteX2420" y="connsiteY2420"/>
            </a:cxn>
            <a:cxn ang="0">
              <a:pos x="connsiteX2421" y="connsiteY2421"/>
            </a:cxn>
            <a:cxn ang="0">
              <a:pos x="connsiteX2422" y="connsiteY2422"/>
            </a:cxn>
            <a:cxn ang="0">
              <a:pos x="connsiteX2423" y="connsiteY2423"/>
            </a:cxn>
            <a:cxn ang="0">
              <a:pos x="connsiteX2424" y="connsiteY2424"/>
            </a:cxn>
            <a:cxn ang="0">
              <a:pos x="connsiteX2425" y="connsiteY2425"/>
            </a:cxn>
            <a:cxn ang="0">
              <a:pos x="connsiteX2426" y="connsiteY2426"/>
            </a:cxn>
            <a:cxn ang="0">
              <a:pos x="connsiteX2427" y="connsiteY2427"/>
            </a:cxn>
            <a:cxn ang="0">
              <a:pos x="connsiteX2428" y="connsiteY2428"/>
            </a:cxn>
            <a:cxn ang="0">
              <a:pos x="connsiteX2429" y="connsiteY2429"/>
            </a:cxn>
            <a:cxn ang="0">
              <a:pos x="connsiteX2430" y="connsiteY2430"/>
            </a:cxn>
            <a:cxn ang="0">
              <a:pos x="connsiteX2431" y="connsiteY2431"/>
            </a:cxn>
            <a:cxn ang="0">
              <a:pos x="connsiteX2432" y="connsiteY2432"/>
            </a:cxn>
            <a:cxn ang="0">
              <a:pos x="connsiteX2433" y="connsiteY2433"/>
            </a:cxn>
            <a:cxn ang="0">
              <a:pos x="connsiteX2434" y="connsiteY2434"/>
            </a:cxn>
            <a:cxn ang="0">
              <a:pos x="connsiteX2435" y="connsiteY2435"/>
            </a:cxn>
            <a:cxn ang="0">
              <a:pos x="connsiteX2436" y="connsiteY2436"/>
            </a:cxn>
            <a:cxn ang="0">
              <a:pos x="connsiteX2437" y="connsiteY2437"/>
            </a:cxn>
            <a:cxn ang="0">
              <a:pos x="connsiteX2438" y="connsiteY2438"/>
            </a:cxn>
            <a:cxn ang="0">
              <a:pos x="connsiteX2439" y="connsiteY2439"/>
            </a:cxn>
            <a:cxn ang="0">
              <a:pos x="connsiteX2440" y="connsiteY2440"/>
            </a:cxn>
            <a:cxn ang="0">
              <a:pos x="connsiteX2441" y="connsiteY2441"/>
            </a:cxn>
            <a:cxn ang="0">
              <a:pos x="connsiteX2442" y="connsiteY2442"/>
            </a:cxn>
            <a:cxn ang="0">
              <a:pos x="connsiteX2443" y="connsiteY2443"/>
            </a:cxn>
            <a:cxn ang="0">
              <a:pos x="connsiteX2444" y="connsiteY2444"/>
            </a:cxn>
            <a:cxn ang="0">
              <a:pos x="connsiteX2445" y="connsiteY2445"/>
            </a:cxn>
            <a:cxn ang="0">
              <a:pos x="connsiteX2446" y="connsiteY2446"/>
            </a:cxn>
            <a:cxn ang="0">
              <a:pos x="connsiteX2447" y="connsiteY2447"/>
            </a:cxn>
            <a:cxn ang="0">
              <a:pos x="connsiteX2448" y="connsiteY2448"/>
            </a:cxn>
            <a:cxn ang="0">
              <a:pos x="connsiteX2449" y="connsiteY2449"/>
            </a:cxn>
            <a:cxn ang="0">
              <a:pos x="connsiteX2450" y="connsiteY2450"/>
            </a:cxn>
            <a:cxn ang="0">
              <a:pos x="connsiteX2451" y="connsiteY2451"/>
            </a:cxn>
            <a:cxn ang="0">
              <a:pos x="connsiteX2452" y="connsiteY2452"/>
            </a:cxn>
            <a:cxn ang="0">
              <a:pos x="connsiteX2453" y="connsiteY2453"/>
            </a:cxn>
            <a:cxn ang="0">
              <a:pos x="connsiteX2454" y="connsiteY2454"/>
            </a:cxn>
            <a:cxn ang="0">
              <a:pos x="connsiteX2455" y="connsiteY2455"/>
            </a:cxn>
            <a:cxn ang="0">
              <a:pos x="connsiteX2456" y="connsiteY2456"/>
            </a:cxn>
            <a:cxn ang="0">
              <a:pos x="connsiteX2457" y="connsiteY2457"/>
            </a:cxn>
            <a:cxn ang="0">
              <a:pos x="connsiteX2458" y="connsiteY2458"/>
            </a:cxn>
            <a:cxn ang="0">
              <a:pos x="connsiteX2459" y="connsiteY2459"/>
            </a:cxn>
            <a:cxn ang="0">
              <a:pos x="connsiteX2460" y="connsiteY2460"/>
            </a:cxn>
            <a:cxn ang="0">
              <a:pos x="connsiteX2461" y="connsiteY2461"/>
            </a:cxn>
            <a:cxn ang="0">
              <a:pos x="connsiteX2462" y="connsiteY2462"/>
            </a:cxn>
            <a:cxn ang="0">
              <a:pos x="connsiteX2463" y="connsiteY2463"/>
            </a:cxn>
            <a:cxn ang="0">
              <a:pos x="connsiteX2464" y="connsiteY2464"/>
            </a:cxn>
            <a:cxn ang="0">
              <a:pos x="connsiteX2465" y="connsiteY2465"/>
            </a:cxn>
            <a:cxn ang="0">
              <a:pos x="connsiteX2466" y="connsiteY2466"/>
            </a:cxn>
            <a:cxn ang="0">
              <a:pos x="connsiteX2467" y="connsiteY2467"/>
            </a:cxn>
            <a:cxn ang="0">
              <a:pos x="connsiteX2468" y="connsiteY2468"/>
            </a:cxn>
            <a:cxn ang="0">
              <a:pos x="connsiteX2469" y="connsiteY2469"/>
            </a:cxn>
            <a:cxn ang="0">
              <a:pos x="connsiteX2470" y="connsiteY2470"/>
            </a:cxn>
            <a:cxn ang="0">
              <a:pos x="connsiteX2471" y="connsiteY2471"/>
            </a:cxn>
            <a:cxn ang="0">
              <a:pos x="connsiteX2472" y="connsiteY2472"/>
            </a:cxn>
            <a:cxn ang="0">
              <a:pos x="connsiteX2473" y="connsiteY2473"/>
            </a:cxn>
            <a:cxn ang="0">
              <a:pos x="connsiteX2474" y="connsiteY2474"/>
            </a:cxn>
            <a:cxn ang="0">
              <a:pos x="connsiteX2475" y="connsiteY2475"/>
            </a:cxn>
            <a:cxn ang="0">
              <a:pos x="connsiteX2476" y="connsiteY2476"/>
            </a:cxn>
            <a:cxn ang="0">
              <a:pos x="connsiteX2477" y="connsiteY2477"/>
            </a:cxn>
            <a:cxn ang="0">
              <a:pos x="connsiteX2478" y="connsiteY2478"/>
            </a:cxn>
            <a:cxn ang="0">
              <a:pos x="connsiteX2479" y="connsiteY2479"/>
            </a:cxn>
            <a:cxn ang="0">
              <a:pos x="connsiteX2480" y="connsiteY2480"/>
            </a:cxn>
            <a:cxn ang="0">
              <a:pos x="connsiteX2481" y="connsiteY2481"/>
            </a:cxn>
            <a:cxn ang="0">
              <a:pos x="connsiteX2482" y="connsiteY2482"/>
            </a:cxn>
            <a:cxn ang="0">
              <a:pos x="connsiteX2483" y="connsiteY2483"/>
            </a:cxn>
            <a:cxn ang="0">
              <a:pos x="connsiteX2484" y="connsiteY2484"/>
            </a:cxn>
            <a:cxn ang="0">
              <a:pos x="connsiteX2485" y="connsiteY2485"/>
            </a:cxn>
            <a:cxn ang="0">
              <a:pos x="connsiteX2486" y="connsiteY2486"/>
            </a:cxn>
            <a:cxn ang="0">
              <a:pos x="connsiteX2487" y="connsiteY2487"/>
            </a:cxn>
            <a:cxn ang="0">
              <a:pos x="connsiteX2488" y="connsiteY2488"/>
            </a:cxn>
            <a:cxn ang="0">
              <a:pos x="connsiteX2489" y="connsiteY2489"/>
            </a:cxn>
            <a:cxn ang="0">
              <a:pos x="connsiteX2490" y="connsiteY2490"/>
            </a:cxn>
            <a:cxn ang="0">
              <a:pos x="connsiteX2491" y="connsiteY2491"/>
            </a:cxn>
            <a:cxn ang="0">
              <a:pos x="connsiteX2492" y="connsiteY2492"/>
            </a:cxn>
            <a:cxn ang="0">
              <a:pos x="connsiteX2493" y="connsiteY2493"/>
            </a:cxn>
            <a:cxn ang="0">
              <a:pos x="connsiteX2494" y="connsiteY2494"/>
            </a:cxn>
            <a:cxn ang="0">
              <a:pos x="connsiteX2495" y="connsiteY2495"/>
            </a:cxn>
            <a:cxn ang="0">
              <a:pos x="connsiteX2496" y="connsiteY2496"/>
            </a:cxn>
            <a:cxn ang="0">
              <a:pos x="connsiteX2497" y="connsiteY2497"/>
            </a:cxn>
            <a:cxn ang="0">
              <a:pos x="connsiteX2498" y="connsiteY2498"/>
            </a:cxn>
            <a:cxn ang="0">
              <a:pos x="connsiteX2499" y="connsiteY2499"/>
            </a:cxn>
            <a:cxn ang="0">
              <a:pos x="connsiteX2500" y="connsiteY2500"/>
            </a:cxn>
            <a:cxn ang="0">
              <a:pos x="connsiteX2501" y="connsiteY2501"/>
            </a:cxn>
            <a:cxn ang="0">
              <a:pos x="connsiteX2502" y="connsiteY2502"/>
            </a:cxn>
            <a:cxn ang="0">
              <a:pos x="connsiteX2503" y="connsiteY2503"/>
            </a:cxn>
            <a:cxn ang="0">
              <a:pos x="connsiteX2504" y="connsiteY2504"/>
            </a:cxn>
            <a:cxn ang="0">
              <a:pos x="connsiteX2505" y="connsiteY2505"/>
            </a:cxn>
            <a:cxn ang="0">
              <a:pos x="connsiteX2506" y="connsiteY2506"/>
            </a:cxn>
            <a:cxn ang="0">
              <a:pos x="connsiteX2507" y="connsiteY2507"/>
            </a:cxn>
            <a:cxn ang="0">
              <a:pos x="connsiteX2508" y="connsiteY2508"/>
            </a:cxn>
            <a:cxn ang="0">
              <a:pos x="connsiteX2509" y="connsiteY2509"/>
            </a:cxn>
            <a:cxn ang="0">
              <a:pos x="connsiteX2510" y="connsiteY2510"/>
            </a:cxn>
            <a:cxn ang="0">
              <a:pos x="connsiteX2511" y="connsiteY2511"/>
            </a:cxn>
            <a:cxn ang="0">
              <a:pos x="connsiteX2512" y="connsiteY2512"/>
            </a:cxn>
            <a:cxn ang="0">
              <a:pos x="connsiteX2513" y="connsiteY2513"/>
            </a:cxn>
            <a:cxn ang="0">
              <a:pos x="connsiteX2514" y="connsiteY2514"/>
            </a:cxn>
            <a:cxn ang="0">
              <a:pos x="connsiteX2515" y="connsiteY2515"/>
            </a:cxn>
            <a:cxn ang="0">
              <a:pos x="connsiteX2516" y="connsiteY2516"/>
            </a:cxn>
            <a:cxn ang="0">
              <a:pos x="connsiteX2517" y="connsiteY2517"/>
            </a:cxn>
            <a:cxn ang="0">
              <a:pos x="connsiteX2518" y="connsiteY2518"/>
            </a:cxn>
            <a:cxn ang="0">
              <a:pos x="connsiteX2519" y="connsiteY2519"/>
            </a:cxn>
            <a:cxn ang="0">
              <a:pos x="connsiteX2520" y="connsiteY2520"/>
            </a:cxn>
            <a:cxn ang="0">
              <a:pos x="connsiteX2521" y="connsiteY2521"/>
            </a:cxn>
            <a:cxn ang="0">
              <a:pos x="connsiteX2522" y="connsiteY2522"/>
            </a:cxn>
            <a:cxn ang="0">
              <a:pos x="connsiteX2523" y="connsiteY2523"/>
            </a:cxn>
            <a:cxn ang="0">
              <a:pos x="connsiteX2524" y="connsiteY2524"/>
            </a:cxn>
            <a:cxn ang="0">
              <a:pos x="connsiteX2525" y="connsiteY2525"/>
            </a:cxn>
            <a:cxn ang="0">
              <a:pos x="connsiteX2526" y="connsiteY2526"/>
            </a:cxn>
            <a:cxn ang="0">
              <a:pos x="connsiteX2527" y="connsiteY2527"/>
            </a:cxn>
            <a:cxn ang="0">
              <a:pos x="connsiteX2528" y="connsiteY2528"/>
            </a:cxn>
            <a:cxn ang="0">
              <a:pos x="connsiteX2529" y="connsiteY2529"/>
            </a:cxn>
            <a:cxn ang="0">
              <a:pos x="connsiteX2530" y="connsiteY2530"/>
            </a:cxn>
            <a:cxn ang="0">
              <a:pos x="connsiteX2531" y="connsiteY2531"/>
            </a:cxn>
            <a:cxn ang="0">
              <a:pos x="connsiteX2532" y="connsiteY2532"/>
            </a:cxn>
            <a:cxn ang="0">
              <a:pos x="connsiteX2533" y="connsiteY2533"/>
            </a:cxn>
            <a:cxn ang="0">
              <a:pos x="connsiteX2534" y="connsiteY2534"/>
            </a:cxn>
            <a:cxn ang="0">
              <a:pos x="connsiteX2535" y="connsiteY2535"/>
            </a:cxn>
            <a:cxn ang="0">
              <a:pos x="connsiteX2536" y="connsiteY2536"/>
            </a:cxn>
            <a:cxn ang="0">
              <a:pos x="connsiteX2537" y="connsiteY2537"/>
            </a:cxn>
            <a:cxn ang="0">
              <a:pos x="connsiteX2538" y="connsiteY2538"/>
            </a:cxn>
            <a:cxn ang="0">
              <a:pos x="connsiteX2539" y="connsiteY2539"/>
            </a:cxn>
            <a:cxn ang="0">
              <a:pos x="connsiteX2540" y="connsiteY2540"/>
            </a:cxn>
            <a:cxn ang="0">
              <a:pos x="connsiteX2541" y="connsiteY2541"/>
            </a:cxn>
            <a:cxn ang="0">
              <a:pos x="connsiteX2542" y="connsiteY2542"/>
            </a:cxn>
            <a:cxn ang="0">
              <a:pos x="connsiteX2543" y="connsiteY2543"/>
            </a:cxn>
            <a:cxn ang="0">
              <a:pos x="connsiteX2544" y="connsiteY2544"/>
            </a:cxn>
            <a:cxn ang="0">
              <a:pos x="connsiteX2545" y="connsiteY2545"/>
            </a:cxn>
            <a:cxn ang="0">
              <a:pos x="connsiteX2546" y="connsiteY2546"/>
            </a:cxn>
            <a:cxn ang="0">
              <a:pos x="connsiteX2547" y="connsiteY2547"/>
            </a:cxn>
            <a:cxn ang="0">
              <a:pos x="connsiteX2548" y="connsiteY2548"/>
            </a:cxn>
            <a:cxn ang="0">
              <a:pos x="connsiteX2549" y="connsiteY2549"/>
            </a:cxn>
            <a:cxn ang="0">
              <a:pos x="connsiteX2550" y="connsiteY2550"/>
            </a:cxn>
            <a:cxn ang="0">
              <a:pos x="connsiteX2551" y="connsiteY2551"/>
            </a:cxn>
            <a:cxn ang="0">
              <a:pos x="connsiteX2552" y="connsiteY2552"/>
            </a:cxn>
            <a:cxn ang="0">
              <a:pos x="connsiteX2553" y="connsiteY2553"/>
            </a:cxn>
            <a:cxn ang="0">
              <a:pos x="connsiteX2554" y="connsiteY2554"/>
            </a:cxn>
            <a:cxn ang="0">
              <a:pos x="connsiteX2555" y="connsiteY2555"/>
            </a:cxn>
            <a:cxn ang="0">
              <a:pos x="connsiteX2556" y="connsiteY2556"/>
            </a:cxn>
            <a:cxn ang="0">
              <a:pos x="connsiteX2557" y="connsiteY2557"/>
            </a:cxn>
            <a:cxn ang="0">
              <a:pos x="connsiteX2558" y="connsiteY2558"/>
            </a:cxn>
            <a:cxn ang="0">
              <a:pos x="connsiteX2559" y="connsiteY2559"/>
            </a:cxn>
            <a:cxn ang="0">
              <a:pos x="connsiteX2560" y="connsiteY2560"/>
            </a:cxn>
            <a:cxn ang="0">
              <a:pos x="connsiteX2561" y="connsiteY2561"/>
            </a:cxn>
            <a:cxn ang="0">
              <a:pos x="connsiteX2562" y="connsiteY2562"/>
            </a:cxn>
            <a:cxn ang="0">
              <a:pos x="connsiteX2563" y="connsiteY2563"/>
            </a:cxn>
            <a:cxn ang="0">
              <a:pos x="connsiteX2564" y="connsiteY2564"/>
            </a:cxn>
            <a:cxn ang="0">
              <a:pos x="connsiteX2565" y="connsiteY2565"/>
            </a:cxn>
            <a:cxn ang="0">
              <a:pos x="connsiteX2566" y="connsiteY2566"/>
            </a:cxn>
            <a:cxn ang="0">
              <a:pos x="connsiteX2567" y="connsiteY2567"/>
            </a:cxn>
            <a:cxn ang="0">
              <a:pos x="connsiteX2568" y="connsiteY2568"/>
            </a:cxn>
            <a:cxn ang="0">
              <a:pos x="connsiteX2569" y="connsiteY2569"/>
            </a:cxn>
            <a:cxn ang="0">
              <a:pos x="connsiteX2570" y="connsiteY2570"/>
            </a:cxn>
            <a:cxn ang="0">
              <a:pos x="connsiteX2571" y="connsiteY2571"/>
            </a:cxn>
            <a:cxn ang="0">
              <a:pos x="connsiteX2572" y="connsiteY2572"/>
            </a:cxn>
            <a:cxn ang="0">
              <a:pos x="connsiteX2573" y="connsiteY2573"/>
            </a:cxn>
            <a:cxn ang="0">
              <a:pos x="connsiteX2574" y="connsiteY2574"/>
            </a:cxn>
            <a:cxn ang="0">
              <a:pos x="connsiteX2575" y="connsiteY2575"/>
            </a:cxn>
            <a:cxn ang="0">
              <a:pos x="connsiteX2576" y="connsiteY2576"/>
            </a:cxn>
            <a:cxn ang="0">
              <a:pos x="connsiteX2577" y="connsiteY2577"/>
            </a:cxn>
            <a:cxn ang="0">
              <a:pos x="connsiteX2578" y="connsiteY2578"/>
            </a:cxn>
            <a:cxn ang="0">
              <a:pos x="connsiteX2579" y="connsiteY2579"/>
            </a:cxn>
            <a:cxn ang="0">
              <a:pos x="connsiteX2580" y="connsiteY2580"/>
            </a:cxn>
            <a:cxn ang="0">
              <a:pos x="connsiteX2581" y="connsiteY2581"/>
            </a:cxn>
            <a:cxn ang="0">
              <a:pos x="connsiteX2582" y="connsiteY2582"/>
            </a:cxn>
            <a:cxn ang="0">
              <a:pos x="connsiteX2583" y="connsiteY2583"/>
            </a:cxn>
            <a:cxn ang="0">
              <a:pos x="connsiteX2584" y="connsiteY2584"/>
            </a:cxn>
            <a:cxn ang="0">
              <a:pos x="connsiteX2585" y="connsiteY2585"/>
            </a:cxn>
            <a:cxn ang="0">
              <a:pos x="connsiteX2586" y="connsiteY2586"/>
            </a:cxn>
            <a:cxn ang="0">
              <a:pos x="connsiteX2587" y="connsiteY2587"/>
            </a:cxn>
            <a:cxn ang="0">
              <a:pos x="connsiteX2588" y="connsiteY2588"/>
            </a:cxn>
            <a:cxn ang="0">
              <a:pos x="connsiteX2589" y="connsiteY2589"/>
            </a:cxn>
            <a:cxn ang="0">
              <a:pos x="connsiteX2590" y="connsiteY2590"/>
            </a:cxn>
            <a:cxn ang="0">
              <a:pos x="connsiteX2591" y="connsiteY2591"/>
            </a:cxn>
            <a:cxn ang="0">
              <a:pos x="connsiteX2592" y="connsiteY2592"/>
            </a:cxn>
            <a:cxn ang="0">
              <a:pos x="connsiteX2593" y="connsiteY2593"/>
            </a:cxn>
            <a:cxn ang="0">
              <a:pos x="connsiteX2594" y="connsiteY2594"/>
            </a:cxn>
            <a:cxn ang="0">
              <a:pos x="connsiteX2595" y="connsiteY2595"/>
            </a:cxn>
            <a:cxn ang="0">
              <a:pos x="connsiteX2596" y="connsiteY2596"/>
            </a:cxn>
            <a:cxn ang="0">
              <a:pos x="connsiteX2597" y="connsiteY2597"/>
            </a:cxn>
            <a:cxn ang="0">
              <a:pos x="connsiteX2598" y="connsiteY2598"/>
            </a:cxn>
            <a:cxn ang="0">
              <a:pos x="connsiteX2599" y="connsiteY2599"/>
            </a:cxn>
            <a:cxn ang="0">
              <a:pos x="connsiteX2600" y="connsiteY2600"/>
            </a:cxn>
            <a:cxn ang="0">
              <a:pos x="connsiteX2601" y="connsiteY2601"/>
            </a:cxn>
            <a:cxn ang="0">
              <a:pos x="connsiteX2602" y="connsiteY2602"/>
            </a:cxn>
            <a:cxn ang="0">
              <a:pos x="connsiteX2603" y="connsiteY2603"/>
            </a:cxn>
            <a:cxn ang="0">
              <a:pos x="connsiteX2604" y="connsiteY2604"/>
            </a:cxn>
            <a:cxn ang="0">
              <a:pos x="connsiteX2605" y="connsiteY2605"/>
            </a:cxn>
            <a:cxn ang="0">
              <a:pos x="connsiteX2606" y="connsiteY2606"/>
            </a:cxn>
            <a:cxn ang="0">
              <a:pos x="connsiteX2607" y="connsiteY2607"/>
            </a:cxn>
            <a:cxn ang="0">
              <a:pos x="connsiteX2608" y="connsiteY2608"/>
            </a:cxn>
            <a:cxn ang="0">
              <a:pos x="connsiteX2609" y="connsiteY2609"/>
            </a:cxn>
            <a:cxn ang="0">
              <a:pos x="connsiteX2610" y="connsiteY2610"/>
            </a:cxn>
            <a:cxn ang="0">
              <a:pos x="connsiteX2611" y="connsiteY2611"/>
            </a:cxn>
            <a:cxn ang="0">
              <a:pos x="connsiteX2612" y="connsiteY2612"/>
            </a:cxn>
            <a:cxn ang="0">
              <a:pos x="connsiteX2613" y="connsiteY2613"/>
            </a:cxn>
            <a:cxn ang="0">
              <a:pos x="connsiteX2614" y="connsiteY2614"/>
            </a:cxn>
            <a:cxn ang="0">
              <a:pos x="connsiteX2615" y="connsiteY2615"/>
            </a:cxn>
            <a:cxn ang="0">
              <a:pos x="connsiteX2616" y="connsiteY2616"/>
            </a:cxn>
            <a:cxn ang="0">
              <a:pos x="connsiteX2617" y="connsiteY2617"/>
            </a:cxn>
            <a:cxn ang="0">
              <a:pos x="connsiteX2618" y="connsiteY2618"/>
            </a:cxn>
            <a:cxn ang="0">
              <a:pos x="connsiteX2619" y="connsiteY2619"/>
            </a:cxn>
            <a:cxn ang="0">
              <a:pos x="connsiteX2620" y="connsiteY2620"/>
            </a:cxn>
            <a:cxn ang="0">
              <a:pos x="connsiteX2621" y="connsiteY2621"/>
            </a:cxn>
            <a:cxn ang="0">
              <a:pos x="connsiteX2622" y="connsiteY2622"/>
            </a:cxn>
            <a:cxn ang="0">
              <a:pos x="connsiteX2623" y="connsiteY2623"/>
            </a:cxn>
            <a:cxn ang="0">
              <a:pos x="connsiteX2624" y="connsiteY2624"/>
            </a:cxn>
            <a:cxn ang="0">
              <a:pos x="connsiteX2625" y="connsiteY2625"/>
            </a:cxn>
            <a:cxn ang="0">
              <a:pos x="connsiteX2626" y="connsiteY2626"/>
            </a:cxn>
            <a:cxn ang="0">
              <a:pos x="connsiteX2627" y="connsiteY2627"/>
            </a:cxn>
            <a:cxn ang="0">
              <a:pos x="connsiteX2628" y="connsiteY2628"/>
            </a:cxn>
            <a:cxn ang="0">
              <a:pos x="connsiteX2629" y="connsiteY2629"/>
            </a:cxn>
            <a:cxn ang="0">
              <a:pos x="connsiteX2630" y="connsiteY2630"/>
            </a:cxn>
            <a:cxn ang="0">
              <a:pos x="connsiteX2631" y="connsiteY2631"/>
            </a:cxn>
            <a:cxn ang="0">
              <a:pos x="connsiteX2632" y="connsiteY2632"/>
            </a:cxn>
            <a:cxn ang="0">
              <a:pos x="connsiteX2633" y="connsiteY2633"/>
            </a:cxn>
            <a:cxn ang="0">
              <a:pos x="connsiteX2634" y="connsiteY2634"/>
            </a:cxn>
            <a:cxn ang="0">
              <a:pos x="connsiteX2635" y="connsiteY2635"/>
            </a:cxn>
            <a:cxn ang="0">
              <a:pos x="connsiteX2636" y="connsiteY2636"/>
            </a:cxn>
            <a:cxn ang="0">
              <a:pos x="connsiteX2637" y="connsiteY2637"/>
            </a:cxn>
            <a:cxn ang="0">
              <a:pos x="connsiteX2638" y="connsiteY2638"/>
            </a:cxn>
            <a:cxn ang="0">
              <a:pos x="connsiteX2639" y="connsiteY2639"/>
            </a:cxn>
            <a:cxn ang="0">
              <a:pos x="connsiteX2640" y="connsiteY2640"/>
            </a:cxn>
            <a:cxn ang="0">
              <a:pos x="connsiteX2641" y="connsiteY2641"/>
            </a:cxn>
            <a:cxn ang="0">
              <a:pos x="connsiteX2642" y="connsiteY2642"/>
            </a:cxn>
            <a:cxn ang="0">
              <a:pos x="connsiteX2643" y="connsiteY2643"/>
            </a:cxn>
            <a:cxn ang="0">
              <a:pos x="connsiteX2644" y="connsiteY2644"/>
            </a:cxn>
            <a:cxn ang="0">
              <a:pos x="connsiteX2645" y="connsiteY2645"/>
            </a:cxn>
            <a:cxn ang="0">
              <a:pos x="connsiteX2646" y="connsiteY2646"/>
            </a:cxn>
            <a:cxn ang="0">
              <a:pos x="connsiteX2647" y="connsiteY2647"/>
            </a:cxn>
            <a:cxn ang="0">
              <a:pos x="connsiteX2648" y="connsiteY2648"/>
            </a:cxn>
            <a:cxn ang="0">
              <a:pos x="connsiteX2649" y="connsiteY2649"/>
            </a:cxn>
            <a:cxn ang="0">
              <a:pos x="connsiteX2650" y="connsiteY2650"/>
            </a:cxn>
            <a:cxn ang="0">
              <a:pos x="connsiteX2651" y="connsiteY2651"/>
            </a:cxn>
            <a:cxn ang="0">
              <a:pos x="connsiteX2652" y="connsiteY2652"/>
            </a:cxn>
            <a:cxn ang="0">
              <a:pos x="connsiteX2653" y="connsiteY2653"/>
            </a:cxn>
            <a:cxn ang="0">
              <a:pos x="connsiteX2654" y="connsiteY2654"/>
            </a:cxn>
            <a:cxn ang="0">
              <a:pos x="connsiteX2655" y="connsiteY2655"/>
            </a:cxn>
            <a:cxn ang="0">
              <a:pos x="connsiteX2656" y="connsiteY2656"/>
            </a:cxn>
            <a:cxn ang="0">
              <a:pos x="connsiteX2657" y="connsiteY2657"/>
            </a:cxn>
            <a:cxn ang="0">
              <a:pos x="connsiteX2658" y="connsiteY2658"/>
            </a:cxn>
            <a:cxn ang="0">
              <a:pos x="connsiteX2659" y="connsiteY2659"/>
            </a:cxn>
            <a:cxn ang="0">
              <a:pos x="connsiteX2660" y="connsiteY2660"/>
            </a:cxn>
            <a:cxn ang="0">
              <a:pos x="connsiteX2661" y="connsiteY2661"/>
            </a:cxn>
            <a:cxn ang="0">
              <a:pos x="connsiteX2662" y="connsiteY2662"/>
            </a:cxn>
            <a:cxn ang="0">
              <a:pos x="connsiteX2663" y="connsiteY2663"/>
            </a:cxn>
            <a:cxn ang="0">
              <a:pos x="connsiteX2664" y="connsiteY2664"/>
            </a:cxn>
            <a:cxn ang="0">
              <a:pos x="connsiteX2665" y="connsiteY2665"/>
            </a:cxn>
            <a:cxn ang="0">
              <a:pos x="connsiteX2666" y="connsiteY2666"/>
            </a:cxn>
            <a:cxn ang="0">
              <a:pos x="connsiteX2667" y="connsiteY2667"/>
            </a:cxn>
            <a:cxn ang="0">
              <a:pos x="connsiteX2668" y="connsiteY2668"/>
            </a:cxn>
            <a:cxn ang="0">
              <a:pos x="connsiteX2669" y="connsiteY2669"/>
            </a:cxn>
            <a:cxn ang="0">
              <a:pos x="connsiteX2670" y="connsiteY2670"/>
            </a:cxn>
            <a:cxn ang="0">
              <a:pos x="connsiteX2671" y="connsiteY2671"/>
            </a:cxn>
            <a:cxn ang="0">
              <a:pos x="connsiteX2672" y="connsiteY2672"/>
            </a:cxn>
            <a:cxn ang="0">
              <a:pos x="connsiteX2673" y="connsiteY2673"/>
            </a:cxn>
            <a:cxn ang="0">
              <a:pos x="connsiteX2674" y="connsiteY2674"/>
            </a:cxn>
            <a:cxn ang="0">
              <a:pos x="connsiteX2675" y="connsiteY2675"/>
            </a:cxn>
            <a:cxn ang="0">
              <a:pos x="connsiteX2676" y="connsiteY2676"/>
            </a:cxn>
            <a:cxn ang="0">
              <a:pos x="connsiteX2677" y="connsiteY2677"/>
            </a:cxn>
            <a:cxn ang="0">
              <a:pos x="connsiteX2678" y="connsiteY2678"/>
            </a:cxn>
            <a:cxn ang="0">
              <a:pos x="connsiteX2679" y="connsiteY2679"/>
            </a:cxn>
            <a:cxn ang="0">
              <a:pos x="connsiteX2680" y="connsiteY2680"/>
            </a:cxn>
            <a:cxn ang="0">
              <a:pos x="connsiteX2681" y="connsiteY2681"/>
            </a:cxn>
            <a:cxn ang="0">
              <a:pos x="connsiteX2682" y="connsiteY2682"/>
            </a:cxn>
            <a:cxn ang="0">
              <a:pos x="connsiteX2683" y="connsiteY2683"/>
            </a:cxn>
            <a:cxn ang="0">
              <a:pos x="connsiteX2684" y="connsiteY2684"/>
            </a:cxn>
            <a:cxn ang="0">
              <a:pos x="connsiteX2685" y="connsiteY2685"/>
            </a:cxn>
            <a:cxn ang="0">
              <a:pos x="connsiteX2686" y="connsiteY2686"/>
            </a:cxn>
            <a:cxn ang="0">
              <a:pos x="connsiteX2687" y="connsiteY2687"/>
            </a:cxn>
            <a:cxn ang="0">
              <a:pos x="connsiteX2688" y="connsiteY2688"/>
            </a:cxn>
            <a:cxn ang="0">
              <a:pos x="connsiteX2689" y="connsiteY2689"/>
            </a:cxn>
            <a:cxn ang="0">
              <a:pos x="connsiteX2690" y="connsiteY2690"/>
            </a:cxn>
            <a:cxn ang="0">
              <a:pos x="connsiteX2691" y="connsiteY2691"/>
            </a:cxn>
            <a:cxn ang="0">
              <a:pos x="connsiteX2692" y="connsiteY2692"/>
            </a:cxn>
            <a:cxn ang="0">
              <a:pos x="connsiteX2693" y="connsiteY2693"/>
            </a:cxn>
            <a:cxn ang="0">
              <a:pos x="connsiteX2694" y="connsiteY2694"/>
            </a:cxn>
            <a:cxn ang="0">
              <a:pos x="connsiteX2695" y="connsiteY2695"/>
            </a:cxn>
            <a:cxn ang="0">
              <a:pos x="connsiteX2696" y="connsiteY2696"/>
            </a:cxn>
            <a:cxn ang="0">
              <a:pos x="connsiteX2697" y="connsiteY2697"/>
            </a:cxn>
            <a:cxn ang="0">
              <a:pos x="connsiteX2698" y="connsiteY2698"/>
            </a:cxn>
            <a:cxn ang="0">
              <a:pos x="connsiteX2699" y="connsiteY2699"/>
            </a:cxn>
            <a:cxn ang="0">
              <a:pos x="connsiteX2700" y="connsiteY2700"/>
            </a:cxn>
            <a:cxn ang="0">
              <a:pos x="connsiteX2701" y="connsiteY2701"/>
            </a:cxn>
            <a:cxn ang="0">
              <a:pos x="connsiteX2702" y="connsiteY2702"/>
            </a:cxn>
            <a:cxn ang="0">
              <a:pos x="connsiteX2703" y="connsiteY2703"/>
            </a:cxn>
            <a:cxn ang="0">
              <a:pos x="connsiteX2704" y="connsiteY2704"/>
            </a:cxn>
            <a:cxn ang="0">
              <a:pos x="connsiteX2705" y="connsiteY2705"/>
            </a:cxn>
            <a:cxn ang="0">
              <a:pos x="connsiteX2706" y="connsiteY2706"/>
            </a:cxn>
            <a:cxn ang="0">
              <a:pos x="connsiteX2707" y="connsiteY2707"/>
            </a:cxn>
            <a:cxn ang="0">
              <a:pos x="connsiteX2708" y="connsiteY2708"/>
            </a:cxn>
            <a:cxn ang="0">
              <a:pos x="connsiteX2709" y="connsiteY2709"/>
            </a:cxn>
            <a:cxn ang="0">
              <a:pos x="connsiteX2710" y="connsiteY2710"/>
            </a:cxn>
            <a:cxn ang="0">
              <a:pos x="connsiteX2711" y="connsiteY2711"/>
            </a:cxn>
            <a:cxn ang="0">
              <a:pos x="connsiteX2712" y="connsiteY2712"/>
            </a:cxn>
            <a:cxn ang="0">
              <a:pos x="connsiteX2713" y="connsiteY2713"/>
            </a:cxn>
            <a:cxn ang="0">
              <a:pos x="connsiteX2714" y="connsiteY2714"/>
            </a:cxn>
            <a:cxn ang="0">
              <a:pos x="connsiteX2715" y="connsiteY2715"/>
            </a:cxn>
            <a:cxn ang="0">
              <a:pos x="connsiteX2716" y="connsiteY2716"/>
            </a:cxn>
            <a:cxn ang="0">
              <a:pos x="connsiteX2717" y="connsiteY2717"/>
            </a:cxn>
            <a:cxn ang="0">
              <a:pos x="connsiteX2718" y="connsiteY2718"/>
            </a:cxn>
            <a:cxn ang="0">
              <a:pos x="connsiteX2719" y="connsiteY2719"/>
            </a:cxn>
            <a:cxn ang="0">
              <a:pos x="connsiteX2720" y="connsiteY2720"/>
            </a:cxn>
            <a:cxn ang="0">
              <a:pos x="connsiteX2721" y="connsiteY2721"/>
            </a:cxn>
            <a:cxn ang="0">
              <a:pos x="connsiteX2722" y="connsiteY2722"/>
            </a:cxn>
            <a:cxn ang="0">
              <a:pos x="connsiteX2723" y="connsiteY2723"/>
            </a:cxn>
            <a:cxn ang="0">
              <a:pos x="connsiteX2724" y="connsiteY2724"/>
            </a:cxn>
            <a:cxn ang="0">
              <a:pos x="connsiteX2725" y="connsiteY2725"/>
            </a:cxn>
            <a:cxn ang="0">
              <a:pos x="connsiteX2726" y="connsiteY2726"/>
            </a:cxn>
            <a:cxn ang="0">
              <a:pos x="connsiteX2727" y="connsiteY2727"/>
            </a:cxn>
            <a:cxn ang="0">
              <a:pos x="connsiteX2728" y="connsiteY2728"/>
            </a:cxn>
            <a:cxn ang="0">
              <a:pos x="connsiteX2729" y="connsiteY2729"/>
            </a:cxn>
            <a:cxn ang="0">
              <a:pos x="connsiteX2730" y="connsiteY2730"/>
            </a:cxn>
            <a:cxn ang="0">
              <a:pos x="connsiteX2731" y="connsiteY2731"/>
            </a:cxn>
            <a:cxn ang="0">
              <a:pos x="connsiteX2732" y="connsiteY2732"/>
            </a:cxn>
            <a:cxn ang="0">
              <a:pos x="connsiteX2733" y="connsiteY2733"/>
            </a:cxn>
            <a:cxn ang="0">
              <a:pos x="connsiteX2734" y="connsiteY2734"/>
            </a:cxn>
            <a:cxn ang="0">
              <a:pos x="connsiteX2735" y="connsiteY2735"/>
            </a:cxn>
            <a:cxn ang="0">
              <a:pos x="connsiteX2736" y="connsiteY2736"/>
            </a:cxn>
            <a:cxn ang="0">
              <a:pos x="connsiteX2737" y="connsiteY2737"/>
            </a:cxn>
            <a:cxn ang="0">
              <a:pos x="connsiteX2738" y="connsiteY2738"/>
            </a:cxn>
            <a:cxn ang="0">
              <a:pos x="connsiteX2739" y="connsiteY2739"/>
            </a:cxn>
            <a:cxn ang="0">
              <a:pos x="connsiteX2740" y="connsiteY2740"/>
            </a:cxn>
            <a:cxn ang="0">
              <a:pos x="connsiteX2741" y="connsiteY2741"/>
            </a:cxn>
            <a:cxn ang="0">
              <a:pos x="connsiteX2742" y="connsiteY2742"/>
            </a:cxn>
            <a:cxn ang="0">
              <a:pos x="connsiteX2743" y="connsiteY2743"/>
            </a:cxn>
            <a:cxn ang="0">
              <a:pos x="connsiteX2744" y="connsiteY2744"/>
            </a:cxn>
            <a:cxn ang="0">
              <a:pos x="connsiteX2745" y="connsiteY2745"/>
            </a:cxn>
            <a:cxn ang="0">
              <a:pos x="connsiteX2746" y="connsiteY2746"/>
            </a:cxn>
            <a:cxn ang="0">
              <a:pos x="connsiteX2747" y="connsiteY2747"/>
            </a:cxn>
            <a:cxn ang="0">
              <a:pos x="connsiteX2748" y="connsiteY2748"/>
            </a:cxn>
            <a:cxn ang="0">
              <a:pos x="connsiteX2749" y="connsiteY2749"/>
            </a:cxn>
            <a:cxn ang="0">
              <a:pos x="connsiteX2750" y="connsiteY2750"/>
            </a:cxn>
            <a:cxn ang="0">
              <a:pos x="connsiteX2751" y="connsiteY2751"/>
            </a:cxn>
            <a:cxn ang="0">
              <a:pos x="connsiteX2752" y="connsiteY2752"/>
            </a:cxn>
            <a:cxn ang="0">
              <a:pos x="connsiteX2753" y="connsiteY2753"/>
            </a:cxn>
            <a:cxn ang="0">
              <a:pos x="connsiteX2754" y="connsiteY2754"/>
            </a:cxn>
            <a:cxn ang="0">
              <a:pos x="connsiteX2755" y="connsiteY2755"/>
            </a:cxn>
            <a:cxn ang="0">
              <a:pos x="connsiteX2756" y="connsiteY2756"/>
            </a:cxn>
            <a:cxn ang="0">
              <a:pos x="connsiteX2757" y="connsiteY2757"/>
            </a:cxn>
            <a:cxn ang="0">
              <a:pos x="connsiteX2758" y="connsiteY2758"/>
            </a:cxn>
            <a:cxn ang="0">
              <a:pos x="connsiteX2759" y="connsiteY2759"/>
            </a:cxn>
            <a:cxn ang="0">
              <a:pos x="connsiteX2760" y="connsiteY2760"/>
            </a:cxn>
            <a:cxn ang="0">
              <a:pos x="connsiteX2761" y="connsiteY2761"/>
            </a:cxn>
            <a:cxn ang="0">
              <a:pos x="connsiteX2762" y="connsiteY2762"/>
            </a:cxn>
            <a:cxn ang="0">
              <a:pos x="connsiteX2763" y="connsiteY2763"/>
            </a:cxn>
            <a:cxn ang="0">
              <a:pos x="connsiteX2764" y="connsiteY2764"/>
            </a:cxn>
            <a:cxn ang="0">
              <a:pos x="connsiteX2765" y="connsiteY2765"/>
            </a:cxn>
            <a:cxn ang="0">
              <a:pos x="connsiteX2766" y="connsiteY2766"/>
            </a:cxn>
            <a:cxn ang="0">
              <a:pos x="connsiteX2767" y="connsiteY2767"/>
            </a:cxn>
            <a:cxn ang="0">
              <a:pos x="connsiteX2768" y="connsiteY2768"/>
            </a:cxn>
            <a:cxn ang="0">
              <a:pos x="connsiteX2769" y="connsiteY2769"/>
            </a:cxn>
            <a:cxn ang="0">
              <a:pos x="connsiteX2770" y="connsiteY2770"/>
            </a:cxn>
            <a:cxn ang="0">
              <a:pos x="connsiteX2771" y="connsiteY2771"/>
            </a:cxn>
            <a:cxn ang="0">
              <a:pos x="connsiteX2772" y="connsiteY2772"/>
            </a:cxn>
            <a:cxn ang="0">
              <a:pos x="connsiteX2773" y="connsiteY2773"/>
            </a:cxn>
            <a:cxn ang="0">
              <a:pos x="connsiteX2774" y="connsiteY2774"/>
            </a:cxn>
            <a:cxn ang="0">
              <a:pos x="connsiteX2775" y="connsiteY2775"/>
            </a:cxn>
            <a:cxn ang="0">
              <a:pos x="connsiteX2776" y="connsiteY2776"/>
            </a:cxn>
            <a:cxn ang="0">
              <a:pos x="connsiteX2777" y="connsiteY2777"/>
            </a:cxn>
            <a:cxn ang="0">
              <a:pos x="connsiteX2778" y="connsiteY2778"/>
            </a:cxn>
            <a:cxn ang="0">
              <a:pos x="connsiteX2779" y="connsiteY2779"/>
            </a:cxn>
            <a:cxn ang="0">
              <a:pos x="connsiteX2780" y="connsiteY2780"/>
            </a:cxn>
            <a:cxn ang="0">
              <a:pos x="connsiteX2781" y="connsiteY2781"/>
            </a:cxn>
            <a:cxn ang="0">
              <a:pos x="connsiteX2782" y="connsiteY2782"/>
            </a:cxn>
            <a:cxn ang="0">
              <a:pos x="connsiteX2783" y="connsiteY2783"/>
            </a:cxn>
            <a:cxn ang="0">
              <a:pos x="connsiteX2784" y="connsiteY2784"/>
            </a:cxn>
            <a:cxn ang="0">
              <a:pos x="connsiteX2785" y="connsiteY2785"/>
            </a:cxn>
            <a:cxn ang="0">
              <a:pos x="connsiteX2786" y="connsiteY2786"/>
            </a:cxn>
            <a:cxn ang="0">
              <a:pos x="connsiteX2787" y="connsiteY2787"/>
            </a:cxn>
            <a:cxn ang="0">
              <a:pos x="connsiteX2788" y="connsiteY2788"/>
            </a:cxn>
            <a:cxn ang="0">
              <a:pos x="connsiteX2789" y="connsiteY2789"/>
            </a:cxn>
            <a:cxn ang="0">
              <a:pos x="connsiteX2790" y="connsiteY2790"/>
            </a:cxn>
            <a:cxn ang="0">
              <a:pos x="connsiteX2791" y="connsiteY2791"/>
            </a:cxn>
            <a:cxn ang="0">
              <a:pos x="connsiteX2792" y="connsiteY2792"/>
            </a:cxn>
            <a:cxn ang="0">
              <a:pos x="connsiteX2793" y="connsiteY2793"/>
            </a:cxn>
            <a:cxn ang="0">
              <a:pos x="connsiteX2794" y="connsiteY2794"/>
            </a:cxn>
            <a:cxn ang="0">
              <a:pos x="connsiteX2795" y="connsiteY2795"/>
            </a:cxn>
            <a:cxn ang="0">
              <a:pos x="connsiteX2796" y="connsiteY2796"/>
            </a:cxn>
            <a:cxn ang="0">
              <a:pos x="connsiteX2797" y="connsiteY2797"/>
            </a:cxn>
            <a:cxn ang="0">
              <a:pos x="connsiteX2798" y="connsiteY2798"/>
            </a:cxn>
            <a:cxn ang="0">
              <a:pos x="connsiteX2799" y="connsiteY2799"/>
            </a:cxn>
            <a:cxn ang="0">
              <a:pos x="connsiteX2800" y="connsiteY2800"/>
            </a:cxn>
            <a:cxn ang="0">
              <a:pos x="connsiteX2801" y="connsiteY2801"/>
            </a:cxn>
            <a:cxn ang="0">
              <a:pos x="connsiteX2802" y="connsiteY2802"/>
            </a:cxn>
            <a:cxn ang="0">
              <a:pos x="connsiteX2803" y="connsiteY2803"/>
            </a:cxn>
            <a:cxn ang="0">
              <a:pos x="connsiteX2804" y="connsiteY2804"/>
            </a:cxn>
            <a:cxn ang="0">
              <a:pos x="connsiteX2805" y="connsiteY2805"/>
            </a:cxn>
            <a:cxn ang="0">
              <a:pos x="connsiteX2806" y="connsiteY2806"/>
            </a:cxn>
            <a:cxn ang="0">
              <a:pos x="connsiteX2807" y="connsiteY2807"/>
            </a:cxn>
            <a:cxn ang="0">
              <a:pos x="connsiteX2808" y="connsiteY2808"/>
            </a:cxn>
            <a:cxn ang="0">
              <a:pos x="connsiteX2809" y="connsiteY2809"/>
            </a:cxn>
            <a:cxn ang="0">
              <a:pos x="connsiteX2810" y="connsiteY2810"/>
            </a:cxn>
            <a:cxn ang="0">
              <a:pos x="connsiteX2811" y="connsiteY2811"/>
            </a:cxn>
            <a:cxn ang="0">
              <a:pos x="connsiteX2812" y="connsiteY2812"/>
            </a:cxn>
            <a:cxn ang="0">
              <a:pos x="connsiteX2813" y="connsiteY2813"/>
            </a:cxn>
            <a:cxn ang="0">
              <a:pos x="connsiteX2814" y="connsiteY2814"/>
            </a:cxn>
            <a:cxn ang="0">
              <a:pos x="connsiteX2815" y="connsiteY2815"/>
            </a:cxn>
            <a:cxn ang="0">
              <a:pos x="connsiteX2816" y="connsiteY2816"/>
            </a:cxn>
            <a:cxn ang="0">
              <a:pos x="connsiteX2817" y="connsiteY2817"/>
            </a:cxn>
            <a:cxn ang="0">
              <a:pos x="connsiteX2818" y="connsiteY2818"/>
            </a:cxn>
            <a:cxn ang="0">
              <a:pos x="connsiteX2819" y="connsiteY2819"/>
            </a:cxn>
            <a:cxn ang="0">
              <a:pos x="connsiteX2820" y="connsiteY2820"/>
            </a:cxn>
            <a:cxn ang="0">
              <a:pos x="connsiteX2821" y="connsiteY2821"/>
            </a:cxn>
            <a:cxn ang="0">
              <a:pos x="connsiteX2822" y="connsiteY2822"/>
            </a:cxn>
            <a:cxn ang="0">
              <a:pos x="connsiteX2823" y="connsiteY2823"/>
            </a:cxn>
            <a:cxn ang="0">
              <a:pos x="connsiteX2824" y="connsiteY2824"/>
            </a:cxn>
            <a:cxn ang="0">
              <a:pos x="connsiteX2825" y="connsiteY2825"/>
            </a:cxn>
            <a:cxn ang="0">
              <a:pos x="connsiteX2826" y="connsiteY2826"/>
            </a:cxn>
            <a:cxn ang="0">
              <a:pos x="connsiteX2827" y="connsiteY2827"/>
            </a:cxn>
            <a:cxn ang="0">
              <a:pos x="connsiteX2828" y="connsiteY2828"/>
            </a:cxn>
            <a:cxn ang="0">
              <a:pos x="connsiteX2829" y="connsiteY2829"/>
            </a:cxn>
            <a:cxn ang="0">
              <a:pos x="connsiteX2830" y="connsiteY2830"/>
            </a:cxn>
            <a:cxn ang="0">
              <a:pos x="connsiteX2831" y="connsiteY2831"/>
            </a:cxn>
            <a:cxn ang="0">
              <a:pos x="connsiteX2832" y="connsiteY2832"/>
            </a:cxn>
            <a:cxn ang="0">
              <a:pos x="connsiteX2833" y="connsiteY2833"/>
            </a:cxn>
            <a:cxn ang="0">
              <a:pos x="connsiteX2834" y="connsiteY2834"/>
            </a:cxn>
            <a:cxn ang="0">
              <a:pos x="connsiteX2835" y="connsiteY2835"/>
            </a:cxn>
            <a:cxn ang="0">
              <a:pos x="connsiteX2836" y="connsiteY2836"/>
            </a:cxn>
            <a:cxn ang="0">
              <a:pos x="connsiteX2837" y="connsiteY2837"/>
            </a:cxn>
            <a:cxn ang="0">
              <a:pos x="connsiteX2838" y="connsiteY2838"/>
            </a:cxn>
            <a:cxn ang="0">
              <a:pos x="connsiteX2839" y="connsiteY2839"/>
            </a:cxn>
            <a:cxn ang="0">
              <a:pos x="connsiteX2840" y="connsiteY2840"/>
            </a:cxn>
            <a:cxn ang="0">
              <a:pos x="connsiteX2841" y="connsiteY2841"/>
            </a:cxn>
            <a:cxn ang="0">
              <a:pos x="connsiteX2842" y="connsiteY2842"/>
            </a:cxn>
            <a:cxn ang="0">
              <a:pos x="connsiteX2843" y="connsiteY2843"/>
            </a:cxn>
            <a:cxn ang="0">
              <a:pos x="connsiteX2844" y="connsiteY2844"/>
            </a:cxn>
            <a:cxn ang="0">
              <a:pos x="connsiteX2845" y="connsiteY2845"/>
            </a:cxn>
            <a:cxn ang="0">
              <a:pos x="connsiteX2846" y="connsiteY2846"/>
            </a:cxn>
            <a:cxn ang="0">
              <a:pos x="connsiteX2847" y="connsiteY2847"/>
            </a:cxn>
            <a:cxn ang="0">
              <a:pos x="connsiteX2848" y="connsiteY2848"/>
            </a:cxn>
            <a:cxn ang="0">
              <a:pos x="connsiteX2849" y="connsiteY2849"/>
            </a:cxn>
            <a:cxn ang="0">
              <a:pos x="connsiteX2850" y="connsiteY2850"/>
            </a:cxn>
            <a:cxn ang="0">
              <a:pos x="connsiteX2851" y="connsiteY2851"/>
            </a:cxn>
            <a:cxn ang="0">
              <a:pos x="connsiteX2852" y="connsiteY2852"/>
            </a:cxn>
            <a:cxn ang="0">
              <a:pos x="connsiteX2853" y="connsiteY2853"/>
            </a:cxn>
            <a:cxn ang="0">
              <a:pos x="connsiteX2854" y="connsiteY2854"/>
            </a:cxn>
            <a:cxn ang="0">
              <a:pos x="connsiteX2855" y="connsiteY2855"/>
            </a:cxn>
            <a:cxn ang="0">
              <a:pos x="connsiteX2856" y="connsiteY2856"/>
            </a:cxn>
            <a:cxn ang="0">
              <a:pos x="connsiteX2857" y="connsiteY2857"/>
            </a:cxn>
            <a:cxn ang="0">
              <a:pos x="connsiteX2858" y="connsiteY2858"/>
            </a:cxn>
            <a:cxn ang="0">
              <a:pos x="connsiteX2859" y="connsiteY2859"/>
            </a:cxn>
            <a:cxn ang="0">
              <a:pos x="connsiteX2860" y="connsiteY2860"/>
            </a:cxn>
            <a:cxn ang="0">
              <a:pos x="connsiteX2861" y="connsiteY2861"/>
            </a:cxn>
            <a:cxn ang="0">
              <a:pos x="connsiteX2862" y="connsiteY2862"/>
            </a:cxn>
            <a:cxn ang="0">
              <a:pos x="connsiteX2863" y="connsiteY2863"/>
            </a:cxn>
            <a:cxn ang="0">
              <a:pos x="connsiteX2864" y="connsiteY2864"/>
            </a:cxn>
            <a:cxn ang="0">
              <a:pos x="connsiteX2865" y="connsiteY2865"/>
            </a:cxn>
            <a:cxn ang="0">
              <a:pos x="connsiteX2866" y="connsiteY2866"/>
            </a:cxn>
            <a:cxn ang="0">
              <a:pos x="connsiteX2867" y="connsiteY2867"/>
            </a:cxn>
            <a:cxn ang="0">
              <a:pos x="connsiteX2868" y="connsiteY2868"/>
            </a:cxn>
            <a:cxn ang="0">
              <a:pos x="connsiteX2869" y="connsiteY2869"/>
            </a:cxn>
            <a:cxn ang="0">
              <a:pos x="connsiteX2870" y="connsiteY2870"/>
            </a:cxn>
            <a:cxn ang="0">
              <a:pos x="connsiteX2871" y="connsiteY2871"/>
            </a:cxn>
            <a:cxn ang="0">
              <a:pos x="connsiteX2872" y="connsiteY2872"/>
            </a:cxn>
            <a:cxn ang="0">
              <a:pos x="connsiteX2873" y="connsiteY2873"/>
            </a:cxn>
            <a:cxn ang="0">
              <a:pos x="connsiteX2874" y="connsiteY2874"/>
            </a:cxn>
            <a:cxn ang="0">
              <a:pos x="connsiteX2875" y="connsiteY2875"/>
            </a:cxn>
            <a:cxn ang="0">
              <a:pos x="connsiteX2876" y="connsiteY2876"/>
            </a:cxn>
            <a:cxn ang="0">
              <a:pos x="connsiteX2877" y="connsiteY2877"/>
            </a:cxn>
            <a:cxn ang="0">
              <a:pos x="connsiteX2878" y="connsiteY2878"/>
            </a:cxn>
            <a:cxn ang="0">
              <a:pos x="connsiteX2879" y="connsiteY2879"/>
            </a:cxn>
            <a:cxn ang="0">
              <a:pos x="connsiteX2880" y="connsiteY2880"/>
            </a:cxn>
            <a:cxn ang="0">
              <a:pos x="connsiteX2881" y="connsiteY2881"/>
            </a:cxn>
            <a:cxn ang="0">
              <a:pos x="connsiteX2882" y="connsiteY2882"/>
            </a:cxn>
            <a:cxn ang="0">
              <a:pos x="connsiteX2883" y="connsiteY2883"/>
            </a:cxn>
            <a:cxn ang="0">
              <a:pos x="connsiteX2884" y="connsiteY2884"/>
            </a:cxn>
            <a:cxn ang="0">
              <a:pos x="connsiteX2885" y="connsiteY2885"/>
            </a:cxn>
            <a:cxn ang="0">
              <a:pos x="connsiteX2886" y="connsiteY2886"/>
            </a:cxn>
            <a:cxn ang="0">
              <a:pos x="connsiteX2887" y="connsiteY2887"/>
            </a:cxn>
            <a:cxn ang="0">
              <a:pos x="connsiteX2888" y="connsiteY2888"/>
            </a:cxn>
            <a:cxn ang="0">
              <a:pos x="connsiteX2889" y="connsiteY2889"/>
            </a:cxn>
            <a:cxn ang="0">
              <a:pos x="connsiteX2890" y="connsiteY2890"/>
            </a:cxn>
            <a:cxn ang="0">
              <a:pos x="connsiteX2891" y="connsiteY2891"/>
            </a:cxn>
            <a:cxn ang="0">
              <a:pos x="connsiteX2892" y="connsiteY2892"/>
            </a:cxn>
            <a:cxn ang="0">
              <a:pos x="connsiteX2893" y="connsiteY2893"/>
            </a:cxn>
            <a:cxn ang="0">
              <a:pos x="connsiteX2894" y="connsiteY2894"/>
            </a:cxn>
            <a:cxn ang="0">
              <a:pos x="connsiteX2895" y="connsiteY2895"/>
            </a:cxn>
            <a:cxn ang="0">
              <a:pos x="connsiteX2896" y="connsiteY2896"/>
            </a:cxn>
            <a:cxn ang="0">
              <a:pos x="connsiteX2897" y="connsiteY2897"/>
            </a:cxn>
            <a:cxn ang="0">
              <a:pos x="connsiteX2898" y="connsiteY2898"/>
            </a:cxn>
            <a:cxn ang="0">
              <a:pos x="connsiteX2899" y="connsiteY2899"/>
            </a:cxn>
            <a:cxn ang="0">
              <a:pos x="connsiteX2900" y="connsiteY2900"/>
            </a:cxn>
            <a:cxn ang="0">
              <a:pos x="connsiteX2901" y="connsiteY2901"/>
            </a:cxn>
            <a:cxn ang="0">
              <a:pos x="connsiteX2902" y="connsiteY2902"/>
            </a:cxn>
            <a:cxn ang="0">
              <a:pos x="connsiteX2903" y="connsiteY2903"/>
            </a:cxn>
            <a:cxn ang="0">
              <a:pos x="connsiteX2904" y="connsiteY2904"/>
            </a:cxn>
            <a:cxn ang="0">
              <a:pos x="connsiteX2905" y="connsiteY2905"/>
            </a:cxn>
            <a:cxn ang="0">
              <a:pos x="connsiteX2906" y="connsiteY2906"/>
            </a:cxn>
            <a:cxn ang="0">
              <a:pos x="connsiteX2907" y="connsiteY2907"/>
            </a:cxn>
            <a:cxn ang="0">
              <a:pos x="connsiteX2908" y="connsiteY2908"/>
            </a:cxn>
            <a:cxn ang="0">
              <a:pos x="connsiteX2909" y="connsiteY2909"/>
            </a:cxn>
            <a:cxn ang="0">
              <a:pos x="connsiteX2910" y="connsiteY2910"/>
            </a:cxn>
            <a:cxn ang="0">
              <a:pos x="connsiteX2911" y="connsiteY2911"/>
            </a:cxn>
            <a:cxn ang="0">
              <a:pos x="connsiteX2912" y="connsiteY2912"/>
            </a:cxn>
            <a:cxn ang="0">
              <a:pos x="connsiteX2913" y="connsiteY2913"/>
            </a:cxn>
            <a:cxn ang="0">
              <a:pos x="connsiteX2914" y="connsiteY2914"/>
            </a:cxn>
            <a:cxn ang="0">
              <a:pos x="connsiteX2915" y="connsiteY2915"/>
            </a:cxn>
            <a:cxn ang="0">
              <a:pos x="connsiteX2916" y="connsiteY2916"/>
            </a:cxn>
            <a:cxn ang="0">
              <a:pos x="connsiteX2917" y="connsiteY2917"/>
            </a:cxn>
            <a:cxn ang="0">
              <a:pos x="connsiteX2918" y="connsiteY2918"/>
            </a:cxn>
            <a:cxn ang="0">
              <a:pos x="connsiteX2919" y="connsiteY2919"/>
            </a:cxn>
            <a:cxn ang="0">
              <a:pos x="connsiteX2920" y="connsiteY2920"/>
            </a:cxn>
            <a:cxn ang="0">
              <a:pos x="connsiteX2921" y="connsiteY2921"/>
            </a:cxn>
            <a:cxn ang="0">
              <a:pos x="connsiteX2922" y="connsiteY2922"/>
            </a:cxn>
            <a:cxn ang="0">
              <a:pos x="connsiteX2923" y="connsiteY2923"/>
            </a:cxn>
            <a:cxn ang="0">
              <a:pos x="connsiteX2924" y="connsiteY2924"/>
            </a:cxn>
            <a:cxn ang="0">
              <a:pos x="connsiteX2925" y="connsiteY2925"/>
            </a:cxn>
            <a:cxn ang="0">
              <a:pos x="connsiteX2926" y="connsiteY2926"/>
            </a:cxn>
            <a:cxn ang="0">
              <a:pos x="connsiteX2927" y="connsiteY2927"/>
            </a:cxn>
            <a:cxn ang="0">
              <a:pos x="connsiteX2928" y="connsiteY2928"/>
            </a:cxn>
            <a:cxn ang="0">
              <a:pos x="connsiteX2929" y="connsiteY2929"/>
            </a:cxn>
            <a:cxn ang="0">
              <a:pos x="connsiteX2930" y="connsiteY2930"/>
            </a:cxn>
            <a:cxn ang="0">
              <a:pos x="connsiteX2931" y="connsiteY2931"/>
            </a:cxn>
            <a:cxn ang="0">
              <a:pos x="connsiteX2932" y="connsiteY2932"/>
            </a:cxn>
            <a:cxn ang="0">
              <a:pos x="connsiteX2933" y="connsiteY2933"/>
            </a:cxn>
            <a:cxn ang="0">
              <a:pos x="connsiteX2934" y="connsiteY2934"/>
            </a:cxn>
            <a:cxn ang="0">
              <a:pos x="connsiteX2935" y="connsiteY2935"/>
            </a:cxn>
            <a:cxn ang="0">
              <a:pos x="connsiteX2936" y="connsiteY2936"/>
            </a:cxn>
            <a:cxn ang="0">
              <a:pos x="connsiteX2937" y="connsiteY2937"/>
            </a:cxn>
            <a:cxn ang="0">
              <a:pos x="connsiteX2938" y="connsiteY2938"/>
            </a:cxn>
            <a:cxn ang="0">
              <a:pos x="connsiteX2939" y="connsiteY2939"/>
            </a:cxn>
            <a:cxn ang="0">
              <a:pos x="connsiteX2940" y="connsiteY2940"/>
            </a:cxn>
            <a:cxn ang="0">
              <a:pos x="connsiteX2941" y="connsiteY2941"/>
            </a:cxn>
            <a:cxn ang="0">
              <a:pos x="connsiteX2942" y="connsiteY2942"/>
            </a:cxn>
            <a:cxn ang="0">
              <a:pos x="connsiteX2943" y="connsiteY2943"/>
            </a:cxn>
            <a:cxn ang="0">
              <a:pos x="connsiteX2944" y="connsiteY2944"/>
            </a:cxn>
            <a:cxn ang="0">
              <a:pos x="connsiteX2945" y="connsiteY2945"/>
            </a:cxn>
            <a:cxn ang="0">
              <a:pos x="connsiteX2946" y="connsiteY2946"/>
            </a:cxn>
            <a:cxn ang="0">
              <a:pos x="connsiteX2947" y="connsiteY2947"/>
            </a:cxn>
            <a:cxn ang="0">
              <a:pos x="connsiteX2948" y="connsiteY2948"/>
            </a:cxn>
            <a:cxn ang="0">
              <a:pos x="connsiteX2949" y="connsiteY2949"/>
            </a:cxn>
            <a:cxn ang="0">
              <a:pos x="connsiteX2950" y="connsiteY2950"/>
            </a:cxn>
            <a:cxn ang="0">
              <a:pos x="connsiteX2951" y="connsiteY2951"/>
            </a:cxn>
            <a:cxn ang="0">
              <a:pos x="connsiteX2952" y="connsiteY2952"/>
            </a:cxn>
            <a:cxn ang="0">
              <a:pos x="connsiteX2953" y="connsiteY2953"/>
            </a:cxn>
            <a:cxn ang="0">
              <a:pos x="connsiteX2954" y="connsiteY2954"/>
            </a:cxn>
            <a:cxn ang="0">
              <a:pos x="connsiteX2955" y="connsiteY2955"/>
            </a:cxn>
            <a:cxn ang="0">
              <a:pos x="connsiteX2956" y="connsiteY2956"/>
            </a:cxn>
            <a:cxn ang="0">
              <a:pos x="connsiteX2957" y="connsiteY2957"/>
            </a:cxn>
            <a:cxn ang="0">
              <a:pos x="connsiteX2958" y="connsiteY2958"/>
            </a:cxn>
            <a:cxn ang="0">
              <a:pos x="connsiteX2959" y="connsiteY2959"/>
            </a:cxn>
            <a:cxn ang="0">
              <a:pos x="connsiteX2960" y="connsiteY2960"/>
            </a:cxn>
            <a:cxn ang="0">
              <a:pos x="connsiteX2961" y="connsiteY2961"/>
            </a:cxn>
            <a:cxn ang="0">
              <a:pos x="connsiteX2962" y="connsiteY2962"/>
            </a:cxn>
            <a:cxn ang="0">
              <a:pos x="connsiteX2963" y="connsiteY2963"/>
            </a:cxn>
            <a:cxn ang="0">
              <a:pos x="connsiteX2964" y="connsiteY2964"/>
            </a:cxn>
            <a:cxn ang="0">
              <a:pos x="connsiteX2965" y="connsiteY2965"/>
            </a:cxn>
            <a:cxn ang="0">
              <a:pos x="connsiteX2966" y="connsiteY2966"/>
            </a:cxn>
            <a:cxn ang="0">
              <a:pos x="connsiteX2967" y="connsiteY2967"/>
            </a:cxn>
            <a:cxn ang="0">
              <a:pos x="connsiteX2968" y="connsiteY2968"/>
            </a:cxn>
            <a:cxn ang="0">
              <a:pos x="connsiteX2969" y="connsiteY2969"/>
            </a:cxn>
            <a:cxn ang="0">
              <a:pos x="connsiteX2970" y="connsiteY2970"/>
            </a:cxn>
            <a:cxn ang="0">
              <a:pos x="connsiteX2971" y="connsiteY2971"/>
            </a:cxn>
            <a:cxn ang="0">
              <a:pos x="connsiteX2972" y="connsiteY2972"/>
            </a:cxn>
            <a:cxn ang="0">
              <a:pos x="connsiteX2973" y="connsiteY2973"/>
            </a:cxn>
            <a:cxn ang="0">
              <a:pos x="connsiteX2974" y="connsiteY2974"/>
            </a:cxn>
            <a:cxn ang="0">
              <a:pos x="connsiteX2975" y="connsiteY2975"/>
            </a:cxn>
            <a:cxn ang="0">
              <a:pos x="connsiteX2976" y="connsiteY2976"/>
            </a:cxn>
            <a:cxn ang="0">
              <a:pos x="connsiteX2977" y="connsiteY2977"/>
            </a:cxn>
            <a:cxn ang="0">
              <a:pos x="connsiteX2978" y="connsiteY2978"/>
            </a:cxn>
            <a:cxn ang="0">
              <a:pos x="connsiteX2979" y="connsiteY2979"/>
            </a:cxn>
            <a:cxn ang="0">
              <a:pos x="connsiteX2980" y="connsiteY2980"/>
            </a:cxn>
            <a:cxn ang="0">
              <a:pos x="connsiteX2981" y="connsiteY2981"/>
            </a:cxn>
            <a:cxn ang="0">
              <a:pos x="connsiteX2982" y="connsiteY2982"/>
            </a:cxn>
            <a:cxn ang="0">
              <a:pos x="connsiteX2983" y="connsiteY2983"/>
            </a:cxn>
            <a:cxn ang="0">
              <a:pos x="connsiteX2984" y="connsiteY2984"/>
            </a:cxn>
            <a:cxn ang="0">
              <a:pos x="connsiteX2985" y="connsiteY2985"/>
            </a:cxn>
            <a:cxn ang="0">
              <a:pos x="connsiteX2986" y="connsiteY2986"/>
            </a:cxn>
            <a:cxn ang="0">
              <a:pos x="connsiteX2987" y="connsiteY2987"/>
            </a:cxn>
            <a:cxn ang="0">
              <a:pos x="connsiteX2988" y="connsiteY2988"/>
            </a:cxn>
            <a:cxn ang="0">
              <a:pos x="connsiteX2989" y="connsiteY2989"/>
            </a:cxn>
            <a:cxn ang="0">
              <a:pos x="connsiteX2990" y="connsiteY2990"/>
            </a:cxn>
            <a:cxn ang="0">
              <a:pos x="connsiteX2991" y="connsiteY2991"/>
            </a:cxn>
            <a:cxn ang="0">
              <a:pos x="connsiteX2992" y="connsiteY2992"/>
            </a:cxn>
            <a:cxn ang="0">
              <a:pos x="connsiteX2993" y="connsiteY2993"/>
            </a:cxn>
            <a:cxn ang="0">
              <a:pos x="connsiteX2994" y="connsiteY2994"/>
            </a:cxn>
            <a:cxn ang="0">
              <a:pos x="connsiteX2995" y="connsiteY2995"/>
            </a:cxn>
            <a:cxn ang="0">
              <a:pos x="connsiteX2996" y="connsiteY2996"/>
            </a:cxn>
            <a:cxn ang="0">
              <a:pos x="connsiteX2997" y="connsiteY2997"/>
            </a:cxn>
            <a:cxn ang="0">
              <a:pos x="connsiteX2998" y="connsiteY2998"/>
            </a:cxn>
            <a:cxn ang="0">
              <a:pos x="connsiteX2999" y="connsiteY2999"/>
            </a:cxn>
            <a:cxn ang="0">
              <a:pos x="connsiteX3000" y="connsiteY3000"/>
            </a:cxn>
            <a:cxn ang="0">
              <a:pos x="connsiteX3001" y="connsiteY3001"/>
            </a:cxn>
            <a:cxn ang="0">
              <a:pos x="connsiteX3002" y="connsiteY3002"/>
            </a:cxn>
            <a:cxn ang="0">
              <a:pos x="connsiteX3003" y="connsiteY3003"/>
            </a:cxn>
            <a:cxn ang="0">
              <a:pos x="connsiteX3004" y="connsiteY3004"/>
            </a:cxn>
            <a:cxn ang="0">
              <a:pos x="connsiteX3005" y="connsiteY3005"/>
            </a:cxn>
            <a:cxn ang="0">
              <a:pos x="connsiteX3006" y="connsiteY3006"/>
            </a:cxn>
            <a:cxn ang="0">
              <a:pos x="connsiteX3007" y="connsiteY3007"/>
            </a:cxn>
            <a:cxn ang="0">
              <a:pos x="connsiteX3008" y="connsiteY3008"/>
            </a:cxn>
            <a:cxn ang="0">
              <a:pos x="connsiteX3009" y="connsiteY3009"/>
            </a:cxn>
            <a:cxn ang="0">
              <a:pos x="connsiteX3010" y="connsiteY3010"/>
            </a:cxn>
            <a:cxn ang="0">
              <a:pos x="connsiteX3011" y="connsiteY3011"/>
            </a:cxn>
            <a:cxn ang="0">
              <a:pos x="connsiteX3012" y="connsiteY3012"/>
            </a:cxn>
            <a:cxn ang="0">
              <a:pos x="connsiteX3013" y="connsiteY3013"/>
            </a:cxn>
            <a:cxn ang="0">
              <a:pos x="connsiteX3014" y="connsiteY3014"/>
            </a:cxn>
            <a:cxn ang="0">
              <a:pos x="connsiteX3015" y="connsiteY3015"/>
            </a:cxn>
            <a:cxn ang="0">
              <a:pos x="connsiteX3016" y="connsiteY3016"/>
            </a:cxn>
            <a:cxn ang="0">
              <a:pos x="connsiteX3017" y="connsiteY3017"/>
            </a:cxn>
            <a:cxn ang="0">
              <a:pos x="connsiteX3018" y="connsiteY3018"/>
            </a:cxn>
            <a:cxn ang="0">
              <a:pos x="connsiteX3019" y="connsiteY3019"/>
            </a:cxn>
            <a:cxn ang="0">
              <a:pos x="connsiteX3020" y="connsiteY3020"/>
            </a:cxn>
            <a:cxn ang="0">
              <a:pos x="connsiteX3021" y="connsiteY3021"/>
            </a:cxn>
            <a:cxn ang="0">
              <a:pos x="connsiteX3022" y="connsiteY3022"/>
            </a:cxn>
            <a:cxn ang="0">
              <a:pos x="connsiteX3023" y="connsiteY3023"/>
            </a:cxn>
            <a:cxn ang="0">
              <a:pos x="connsiteX3024" y="connsiteY3024"/>
            </a:cxn>
            <a:cxn ang="0">
              <a:pos x="connsiteX3025" y="connsiteY3025"/>
            </a:cxn>
            <a:cxn ang="0">
              <a:pos x="connsiteX3026" y="connsiteY3026"/>
            </a:cxn>
            <a:cxn ang="0">
              <a:pos x="connsiteX3027" y="connsiteY3027"/>
            </a:cxn>
            <a:cxn ang="0">
              <a:pos x="connsiteX3028" y="connsiteY3028"/>
            </a:cxn>
            <a:cxn ang="0">
              <a:pos x="connsiteX3029" y="connsiteY3029"/>
            </a:cxn>
            <a:cxn ang="0">
              <a:pos x="connsiteX3030" y="connsiteY3030"/>
            </a:cxn>
            <a:cxn ang="0">
              <a:pos x="connsiteX3031" y="connsiteY3031"/>
            </a:cxn>
            <a:cxn ang="0">
              <a:pos x="connsiteX3032" y="connsiteY3032"/>
            </a:cxn>
            <a:cxn ang="0">
              <a:pos x="connsiteX3033" y="connsiteY3033"/>
            </a:cxn>
            <a:cxn ang="0">
              <a:pos x="connsiteX3034" y="connsiteY3034"/>
            </a:cxn>
            <a:cxn ang="0">
              <a:pos x="connsiteX3035" y="connsiteY3035"/>
            </a:cxn>
            <a:cxn ang="0">
              <a:pos x="connsiteX3036" y="connsiteY3036"/>
            </a:cxn>
            <a:cxn ang="0">
              <a:pos x="connsiteX3037" y="connsiteY3037"/>
            </a:cxn>
            <a:cxn ang="0">
              <a:pos x="connsiteX3038" y="connsiteY3038"/>
            </a:cxn>
            <a:cxn ang="0">
              <a:pos x="connsiteX3039" y="connsiteY3039"/>
            </a:cxn>
            <a:cxn ang="0">
              <a:pos x="connsiteX3040" y="connsiteY3040"/>
            </a:cxn>
            <a:cxn ang="0">
              <a:pos x="connsiteX3041" y="connsiteY3041"/>
            </a:cxn>
            <a:cxn ang="0">
              <a:pos x="connsiteX3042" y="connsiteY3042"/>
            </a:cxn>
            <a:cxn ang="0">
              <a:pos x="connsiteX3043" y="connsiteY3043"/>
            </a:cxn>
            <a:cxn ang="0">
              <a:pos x="connsiteX3044" y="connsiteY3044"/>
            </a:cxn>
            <a:cxn ang="0">
              <a:pos x="connsiteX3045" y="connsiteY3045"/>
            </a:cxn>
            <a:cxn ang="0">
              <a:pos x="connsiteX3046" y="connsiteY3046"/>
            </a:cxn>
            <a:cxn ang="0">
              <a:pos x="connsiteX3047" y="connsiteY3047"/>
            </a:cxn>
            <a:cxn ang="0">
              <a:pos x="connsiteX3048" y="connsiteY3048"/>
            </a:cxn>
            <a:cxn ang="0">
              <a:pos x="connsiteX3049" y="connsiteY3049"/>
            </a:cxn>
            <a:cxn ang="0">
              <a:pos x="connsiteX3050" y="connsiteY3050"/>
            </a:cxn>
            <a:cxn ang="0">
              <a:pos x="connsiteX3051" y="connsiteY3051"/>
            </a:cxn>
            <a:cxn ang="0">
              <a:pos x="connsiteX3052" y="connsiteY3052"/>
            </a:cxn>
            <a:cxn ang="0">
              <a:pos x="connsiteX3053" y="connsiteY3053"/>
            </a:cxn>
            <a:cxn ang="0">
              <a:pos x="connsiteX3054" y="connsiteY3054"/>
            </a:cxn>
            <a:cxn ang="0">
              <a:pos x="connsiteX3055" y="connsiteY3055"/>
            </a:cxn>
            <a:cxn ang="0">
              <a:pos x="connsiteX3056" y="connsiteY3056"/>
            </a:cxn>
            <a:cxn ang="0">
              <a:pos x="connsiteX3057" y="connsiteY3057"/>
            </a:cxn>
            <a:cxn ang="0">
              <a:pos x="connsiteX3058" y="connsiteY3058"/>
            </a:cxn>
            <a:cxn ang="0">
              <a:pos x="connsiteX3059" y="connsiteY3059"/>
            </a:cxn>
            <a:cxn ang="0">
              <a:pos x="connsiteX3060" y="connsiteY3060"/>
            </a:cxn>
            <a:cxn ang="0">
              <a:pos x="connsiteX3061" y="connsiteY3061"/>
            </a:cxn>
            <a:cxn ang="0">
              <a:pos x="connsiteX3062" y="connsiteY3062"/>
            </a:cxn>
            <a:cxn ang="0">
              <a:pos x="connsiteX3063" y="connsiteY3063"/>
            </a:cxn>
            <a:cxn ang="0">
              <a:pos x="connsiteX3064" y="connsiteY3064"/>
            </a:cxn>
            <a:cxn ang="0">
              <a:pos x="connsiteX3065" y="connsiteY3065"/>
            </a:cxn>
            <a:cxn ang="0">
              <a:pos x="connsiteX3066" y="connsiteY3066"/>
            </a:cxn>
            <a:cxn ang="0">
              <a:pos x="connsiteX3067" y="connsiteY3067"/>
            </a:cxn>
            <a:cxn ang="0">
              <a:pos x="connsiteX3068" y="connsiteY3068"/>
            </a:cxn>
            <a:cxn ang="0">
              <a:pos x="connsiteX3069" y="connsiteY3069"/>
            </a:cxn>
            <a:cxn ang="0">
              <a:pos x="connsiteX3070" y="connsiteY3070"/>
            </a:cxn>
            <a:cxn ang="0">
              <a:pos x="connsiteX3071" y="connsiteY3071"/>
            </a:cxn>
            <a:cxn ang="0">
              <a:pos x="connsiteX3072" y="connsiteY3072"/>
            </a:cxn>
            <a:cxn ang="0">
              <a:pos x="connsiteX3073" y="connsiteY3073"/>
            </a:cxn>
            <a:cxn ang="0">
              <a:pos x="connsiteX3074" y="connsiteY3074"/>
            </a:cxn>
            <a:cxn ang="0">
              <a:pos x="connsiteX3075" y="connsiteY3075"/>
            </a:cxn>
            <a:cxn ang="0">
              <a:pos x="connsiteX3076" y="connsiteY3076"/>
            </a:cxn>
            <a:cxn ang="0">
              <a:pos x="connsiteX3077" y="connsiteY3077"/>
            </a:cxn>
            <a:cxn ang="0">
              <a:pos x="connsiteX3078" y="connsiteY3078"/>
            </a:cxn>
            <a:cxn ang="0">
              <a:pos x="connsiteX3079" y="connsiteY3079"/>
            </a:cxn>
            <a:cxn ang="0">
              <a:pos x="connsiteX3080" y="connsiteY3080"/>
            </a:cxn>
            <a:cxn ang="0">
              <a:pos x="connsiteX3081" y="connsiteY3081"/>
            </a:cxn>
            <a:cxn ang="0">
              <a:pos x="connsiteX3082" y="connsiteY3082"/>
            </a:cxn>
            <a:cxn ang="0">
              <a:pos x="connsiteX3083" y="connsiteY3083"/>
            </a:cxn>
            <a:cxn ang="0">
              <a:pos x="connsiteX3084" y="connsiteY3084"/>
            </a:cxn>
            <a:cxn ang="0">
              <a:pos x="connsiteX3085" y="connsiteY3085"/>
            </a:cxn>
            <a:cxn ang="0">
              <a:pos x="connsiteX3086" y="connsiteY3086"/>
            </a:cxn>
            <a:cxn ang="0">
              <a:pos x="connsiteX3087" y="connsiteY3087"/>
            </a:cxn>
            <a:cxn ang="0">
              <a:pos x="connsiteX3088" y="connsiteY3088"/>
            </a:cxn>
            <a:cxn ang="0">
              <a:pos x="connsiteX3089" y="connsiteY3089"/>
            </a:cxn>
            <a:cxn ang="0">
              <a:pos x="connsiteX3090" y="connsiteY3090"/>
            </a:cxn>
            <a:cxn ang="0">
              <a:pos x="connsiteX3091" y="connsiteY3091"/>
            </a:cxn>
            <a:cxn ang="0">
              <a:pos x="connsiteX3092" y="connsiteY3092"/>
            </a:cxn>
            <a:cxn ang="0">
              <a:pos x="connsiteX3093" y="connsiteY3093"/>
            </a:cxn>
            <a:cxn ang="0">
              <a:pos x="connsiteX3094" y="connsiteY3094"/>
            </a:cxn>
            <a:cxn ang="0">
              <a:pos x="connsiteX3095" y="connsiteY3095"/>
            </a:cxn>
            <a:cxn ang="0">
              <a:pos x="connsiteX3096" y="connsiteY3096"/>
            </a:cxn>
            <a:cxn ang="0">
              <a:pos x="connsiteX3097" y="connsiteY3097"/>
            </a:cxn>
            <a:cxn ang="0">
              <a:pos x="connsiteX3098" y="connsiteY3098"/>
            </a:cxn>
            <a:cxn ang="0">
              <a:pos x="connsiteX3099" y="connsiteY3099"/>
            </a:cxn>
            <a:cxn ang="0">
              <a:pos x="connsiteX3100" y="connsiteY3100"/>
            </a:cxn>
            <a:cxn ang="0">
              <a:pos x="connsiteX3101" y="connsiteY3101"/>
            </a:cxn>
            <a:cxn ang="0">
              <a:pos x="connsiteX3102" y="connsiteY3102"/>
            </a:cxn>
            <a:cxn ang="0">
              <a:pos x="connsiteX3103" y="connsiteY3103"/>
            </a:cxn>
            <a:cxn ang="0">
              <a:pos x="connsiteX3104" y="connsiteY3104"/>
            </a:cxn>
            <a:cxn ang="0">
              <a:pos x="connsiteX3105" y="connsiteY3105"/>
            </a:cxn>
            <a:cxn ang="0">
              <a:pos x="connsiteX3106" y="connsiteY3106"/>
            </a:cxn>
            <a:cxn ang="0">
              <a:pos x="connsiteX3107" y="connsiteY3107"/>
            </a:cxn>
            <a:cxn ang="0">
              <a:pos x="connsiteX3108" y="connsiteY3108"/>
            </a:cxn>
            <a:cxn ang="0">
              <a:pos x="connsiteX3109" y="connsiteY3109"/>
            </a:cxn>
            <a:cxn ang="0">
              <a:pos x="connsiteX3110" y="connsiteY3110"/>
            </a:cxn>
            <a:cxn ang="0">
              <a:pos x="connsiteX3111" y="connsiteY3111"/>
            </a:cxn>
            <a:cxn ang="0">
              <a:pos x="connsiteX3112" y="connsiteY3112"/>
            </a:cxn>
            <a:cxn ang="0">
              <a:pos x="connsiteX3113" y="connsiteY3113"/>
            </a:cxn>
            <a:cxn ang="0">
              <a:pos x="connsiteX3114" y="connsiteY3114"/>
            </a:cxn>
            <a:cxn ang="0">
              <a:pos x="connsiteX3115" y="connsiteY3115"/>
            </a:cxn>
            <a:cxn ang="0">
              <a:pos x="connsiteX3116" y="connsiteY3116"/>
            </a:cxn>
            <a:cxn ang="0">
              <a:pos x="connsiteX3117" y="connsiteY3117"/>
            </a:cxn>
            <a:cxn ang="0">
              <a:pos x="connsiteX3118" y="connsiteY3118"/>
            </a:cxn>
            <a:cxn ang="0">
              <a:pos x="connsiteX3119" y="connsiteY3119"/>
            </a:cxn>
            <a:cxn ang="0">
              <a:pos x="connsiteX3120" y="connsiteY3120"/>
            </a:cxn>
            <a:cxn ang="0">
              <a:pos x="connsiteX3121" y="connsiteY3121"/>
            </a:cxn>
            <a:cxn ang="0">
              <a:pos x="connsiteX3122" y="connsiteY3122"/>
            </a:cxn>
            <a:cxn ang="0">
              <a:pos x="connsiteX3123" y="connsiteY3123"/>
            </a:cxn>
            <a:cxn ang="0">
              <a:pos x="connsiteX3124" y="connsiteY3124"/>
            </a:cxn>
            <a:cxn ang="0">
              <a:pos x="connsiteX3125" y="connsiteY3125"/>
            </a:cxn>
            <a:cxn ang="0">
              <a:pos x="connsiteX3126" y="connsiteY3126"/>
            </a:cxn>
            <a:cxn ang="0">
              <a:pos x="connsiteX3127" y="connsiteY3127"/>
            </a:cxn>
            <a:cxn ang="0">
              <a:pos x="connsiteX3128" y="connsiteY3128"/>
            </a:cxn>
            <a:cxn ang="0">
              <a:pos x="connsiteX3129" y="connsiteY3129"/>
            </a:cxn>
            <a:cxn ang="0">
              <a:pos x="connsiteX3130" y="connsiteY3130"/>
            </a:cxn>
            <a:cxn ang="0">
              <a:pos x="connsiteX3131" y="connsiteY3131"/>
            </a:cxn>
            <a:cxn ang="0">
              <a:pos x="connsiteX3132" y="connsiteY3132"/>
            </a:cxn>
            <a:cxn ang="0">
              <a:pos x="connsiteX3133" y="connsiteY3133"/>
            </a:cxn>
            <a:cxn ang="0">
              <a:pos x="connsiteX3134" y="connsiteY3134"/>
            </a:cxn>
            <a:cxn ang="0">
              <a:pos x="connsiteX3135" y="connsiteY3135"/>
            </a:cxn>
            <a:cxn ang="0">
              <a:pos x="connsiteX3136" y="connsiteY3136"/>
            </a:cxn>
            <a:cxn ang="0">
              <a:pos x="connsiteX3137" y="connsiteY3137"/>
            </a:cxn>
            <a:cxn ang="0">
              <a:pos x="connsiteX3138" y="connsiteY3138"/>
            </a:cxn>
            <a:cxn ang="0">
              <a:pos x="connsiteX3139" y="connsiteY3139"/>
            </a:cxn>
            <a:cxn ang="0">
              <a:pos x="connsiteX3140" y="connsiteY3140"/>
            </a:cxn>
            <a:cxn ang="0">
              <a:pos x="connsiteX3141" y="connsiteY3141"/>
            </a:cxn>
            <a:cxn ang="0">
              <a:pos x="connsiteX3142" y="connsiteY3142"/>
            </a:cxn>
            <a:cxn ang="0">
              <a:pos x="connsiteX3143" y="connsiteY3143"/>
            </a:cxn>
            <a:cxn ang="0">
              <a:pos x="connsiteX3144" y="connsiteY3144"/>
            </a:cxn>
            <a:cxn ang="0">
              <a:pos x="connsiteX3145" y="connsiteY3145"/>
            </a:cxn>
            <a:cxn ang="0">
              <a:pos x="connsiteX3146" y="connsiteY3146"/>
            </a:cxn>
            <a:cxn ang="0">
              <a:pos x="connsiteX3147" y="connsiteY3147"/>
            </a:cxn>
            <a:cxn ang="0">
              <a:pos x="connsiteX3148" y="connsiteY3148"/>
            </a:cxn>
            <a:cxn ang="0">
              <a:pos x="connsiteX3149" y="connsiteY3149"/>
            </a:cxn>
            <a:cxn ang="0">
              <a:pos x="connsiteX3150" y="connsiteY3150"/>
            </a:cxn>
            <a:cxn ang="0">
              <a:pos x="connsiteX3151" y="connsiteY3151"/>
            </a:cxn>
            <a:cxn ang="0">
              <a:pos x="connsiteX3152" y="connsiteY3152"/>
            </a:cxn>
            <a:cxn ang="0">
              <a:pos x="connsiteX3153" y="connsiteY3153"/>
            </a:cxn>
            <a:cxn ang="0">
              <a:pos x="connsiteX3154" y="connsiteY3154"/>
            </a:cxn>
            <a:cxn ang="0">
              <a:pos x="connsiteX3155" y="connsiteY3155"/>
            </a:cxn>
            <a:cxn ang="0">
              <a:pos x="connsiteX3156" y="connsiteY3156"/>
            </a:cxn>
            <a:cxn ang="0">
              <a:pos x="connsiteX3157" y="connsiteY3157"/>
            </a:cxn>
            <a:cxn ang="0">
              <a:pos x="connsiteX3158" y="connsiteY3158"/>
            </a:cxn>
            <a:cxn ang="0">
              <a:pos x="connsiteX3159" y="connsiteY3159"/>
            </a:cxn>
            <a:cxn ang="0">
              <a:pos x="connsiteX3160" y="connsiteY3160"/>
            </a:cxn>
            <a:cxn ang="0">
              <a:pos x="connsiteX3161" y="connsiteY3161"/>
            </a:cxn>
            <a:cxn ang="0">
              <a:pos x="connsiteX3162" y="connsiteY3162"/>
            </a:cxn>
            <a:cxn ang="0">
              <a:pos x="connsiteX3163" y="connsiteY3163"/>
            </a:cxn>
            <a:cxn ang="0">
              <a:pos x="connsiteX3164" y="connsiteY3164"/>
            </a:cxn>
            <a:cxn ang="0">
              <a:pos x="connsiteX3165" y="connsiteY3165"/>
            </a:cxn>
            <a:cxn ang="0">
              <a:pos x="connsiteX3166" y="connsiteY3166"/>
            </a:cxn>
            <a:cxn ang="0">
              <a:pos x="connsiteX3167" y="connsiteY3167"/>
            </a:cxn>
            <a:cxn ang="0">
              <a:pos x="connsiteX3168" y="connsiteY3168"/>
            </a:cxn>
            <a:cxn ang="0">
              <a:pos x="connsiteX3169" y="connsiteY3169"/>
            </a:cxn>
            <a:cxn ang="0">
              <a:pos x="connsiteX3170" y="connsiteY3170"/>
            </a:cxn>
            <a:cxn ang="0">
              <a:pos x="connsiteX3171" y="connsiteY3171"/>
            </a:cxn>
            <a:cxn ang="0">
              <a:pos x="connsiteX3172" y="connsiteY3172"/>
            </a:cxn>
            <a:cxn ang="0">
              <a:pos x="connsiteX3173" y="connsiteY3173"/>
            </a:cxn>
            <a:cxn ang="0">
              <a:pos x="connsiteX3174" y="connsiteY3174"/>
            </a:cxn>
            <a:cxn ang="0">
              <a:pos x="connsiteX3175" y="connsiteY3175"/>
            </a:cxn>
            <a:cxn ang="0">
              <a:pos x="connsiteX3176" y="connsiteY3176"/>
            </a:cxn>
            <a:cxn ang="0">
              <a:pos x="connsiteX3177" y="connsiteY3177"/>
            </a:cxn>
            <a:cxn ang="0">
              <a:pos x="connsiteX3178" y="connsiteY3178"/>
            </a:cxn>
            <a:cxn ang="0">
              <a:pos x="connsiteX3179" y="connsiteY3179"/>
            </a:cxn>
            <a:cxn ang="0">
              <a:pos x="connsiteX3180" y="connsiteY3180"/>
            </a:cxn>
            <a:cxn ang="0">
              <a:pos x="connsiteX3181" y="connsiteY3181"/>
            </a:cxn>
            <a:cxn ang="0">
              <a:pos x="connsiteX3182" y="connsiteY3182"/>
            </a:cxn>
            <a:cxn ang="0">
              <a:pos x="connsiteX3183" y="connsiteY3183"/>
            </a:cxn>
            <a:cxn ang="0">
              <a:pos x="connsiteX3184" y="connsiteY3184"/>
            </a:cxn>
            <a:cxn ang="0">
              <a:pos x="connsiteX3185" y="connsiteY3185"/>
            </a:cxn>
            <a:cxn ang="0">
              <a:pos x="connsiteX3186" y="connsiteY3186"/>
            </a:cxn>
            <a:cxn ang="0">
              <a:pos x="connsiteX3187" y="connsiteY3187"/>
            </a:cxn>
            <a:cxn ang="0">
              <a:pos x="connsiteX3188" y="connsiteY3188"/>
            </a:cxn>
            <a:cxn ang="0">
              <a:pos x="connsiteX3189" y="connsiteY3189"/>
            </a:cxn>
            <a:cxn ang="0">
              <a:pos x="connsiteX3190" y="connsiteY3190"/>
            </a:cxn>
            <a:cxn ang="0">
              <a:pos x="connsiteX3191" y="connsiteY3191"/>
            </a:cxn>
            <a:cxn ang="0">
              <a:pos x="connsiteX3192" y="connsiteY3192"/>
            </a:cxn>
            <a:cxn ang="0">
              <a:pos x="connsiteX3193" y="connsiteY3193"/>
            </a:cxn>
            <a:cxn ang="0">
              <a:pos x="connsiteX3194" y="connsiteY3194"/>
            </a:cxn>
            <a:cxn ang="0">
              <a:pos x="connsiteX3195" y="connsiteY3195"/>
            </a:cxn>
            <a:cxn ang="0">
              <a:pos x="connsiteX3196" y="connsiteY3196"/>
            </a:cxn>
            <a:cxn ang="0">
              <a:pos x="connsiteX3197" y="connsiteY3197"/>
            </a:cxn>
            <a:cxn ang="0">
              <a:pos x="connsiteX3198" y="connsiteY3198"/>
            </a:cxn>
            <a:cxn ang="0">
              <a:pos x="connsiteX3199" y="connsiteY3199"/>
            </a:cxn>
            <a:cxn ang="0">
              <a:pos x="connsiteX3200" y="connsiteY3200"/>
            </a:cxn>
            <a:cxn ang="0">
              <a:pos x="connsiteX3201" y="connsiteY3201"/>
            </a:cxn>
            <a:cxn ang="0">
              <a:pos x="connsiteX3202" y="connsiteY3202"/>
            </a:cxn>
            <a:cxn ang="0">
              <a:pos x="connsiteX3203" y="connsiteY3203"/>
            </a:cxn>
            <a:cxn ang="0">
              <a:pos x="connsiteX3204" y="connsiteY3204"/>
            </a:cxn>
            <a:cxn ang="0">
              <a:pos x="connsiteX3205" y="connsiteY3205"/>
            </a:cxn>
            <a:cxn ang="0">
              <a:pos x="connsiteX3206" y="connsiteY3206"/>
            </a:cxn>
            <a:cxn ang="0">
              <a:pos x="connsiteX3207" y="connsiteY3207"/>
            </a:cxn>
            <a:cxn ang="0">
              <a:pos x="connsiteX3208" y="connsiteY3208"/>
            </a:cxn>
            <a:cxn ang="0">
              <a:pos x="connsiteX3209" y="connsiteY3209"/>
            </a:cxn>
            <a:cxn ang="0">
              <a:pos x="connsiteX3210" y="connsiteY3210"/>
            </a:cxn>
            <a:cxn ang="0">
              <a:pos x="connsiteX3211" y="connsiteY3211"/>
            </a:cxn>
            <a:cxn ang="0">
              <a:pos x="connsiteX3212" y="connsiteY3212"/>
            </a:cxn>
            <a:cxn ang="0">
              <a:pos x="connsiteX3213" y="connsiteY3213"/>
            </a:cxn>
            <a:cxn ang="0">
              <a:pos x="connsiteX3214" y="connsiteY3214"/>
            </a:cxn>
            <a:cxn ang="0">
              <a:pos x="connsiteX3215" y="connsiteY3215"/>
            </a:cxn>
            <a:cxn ang="0">
              <a:pos x="connsiteX3216" y="connsiteY3216"/>
            </a:cxn>
            <a:cxn ang="0">
              <a:pos x="connsiteX3217" y="connsiteY3217"/>
            </a:cxn>
            <a:cxn ang="0">
              <a:pos x="connsiteX3218" y="connsiteY3218"/>
            </a:cxn>
            <a:cxn ang="0">
              <a:pos x="connsiteX3219" y="connsiteY3219"/>
            </a:cxn>
            <a:cxn ang="0">
              <a:pos x="connsiteX3220" y="connsiteY3220"/>
            </a:cxn>
            <a:cxn ang="0">
              <a:pos x="connsiteX3221" y="connsiteY3221"/>
            </a:cxn>
            <a:cxn ang="0">
              <a:pos x="connsiteX3222" y="connsiteY3222"/>
            </a:cxn>
            <a:cxn ang="0">
              <a:pos x="connsiteX3223" y="connsiteY3223"/>
            </a:cxn>
            <a:cxn ang="0">
              <a:pos x="connsiteX3224" y="connsiteY3224"/>
            </a:cxn>
            <a:cxn ang="0">
              <a:pos x="connsiteX3225" y="connsiteY3225"/>
            </a:cxn>
            <a:cxn ang="0">
              <a:pos x="connsiteX3226" y="connsiteY3226"/>
            </a:cxn>
            <a:cxn ang="0">
              <a:pos x="connsiteX3227" y="connsiteY3227"/>
            </a:cxn>
            <a:cxn ang="0">
              <a:pos x="connsiteX3228" y="connsiteY3228"/>
            </a:cxn>
            <a:cxn ang="0">
              <a:pos x="connsiteX3229" y="connsiteY3229"/>
            </a:cxn>
            <a:cxn ang="0">
              <a:pos x="connsiteX3230" y="connsiteY3230"/>
            </a:cxn>
            <a:cxn ang="0">
              <a:pos x="connsiteX3231" y="connsiteY3231"/>
            </a:cxn>
            <a:cxn ang="0">
              <a:pos x="connsiteX3232" y="connsiteY3232"/>
            </a:cxn>
            <a:cxn ang="0">
              <a:pos x="connsiteX3233" y="connsiteY3233"/>
            </a:cxn>
            <a:cxn ang="0">
              <a:pos x="connsiteX3234" y="connsiteY3234"/>
            </a:cxn>
            <a:cxn ang="0">
              <a:pos x="connsiteX3235" y="connsiteY3235"/>
            </a:cxn>
            <a:cxn ang="0">
              <a:pos x="connsiteX3236" y="connsiteY3236"/>
            </a:cxn>
            <a:cxn ang="0">
              <a:pos x="connsiteX3237" y="connsiteY3237"/>
            </a:cxn>
            <a:cxn ang="0">
              <a:pos x="connsiteX3238" y="connsiteY3238"/>
            </a:cxn>
            <a:cxn ang="0">
              <a:pos x="connsiteX3239" y="connsiteY3239"/>
            </a:cxn>
            <a:cxn ang="0">
              <a:pos x="connsiteX3240" y="connsiteY3240"/>
            </a:cxn>
            <a:cxn ang="0">
              <a:pos x="connsiteX3241" y="connsiteY3241"/>
            </a:cxn>
            <a:cxn ang="0">
              <a:pos x="connsiteX3242" y="connsiteY3242"/>
            </a:cxn>
            <a:cxn ang="0">
              <a:pos x="connsiteX3243" y="connsiteY3243"/>
            </a:cxn>
            <a:cxn ang="0">
              <a:pos x="connsiteX3244" y="connsiteY3244"/>
            </a:cxn>
            <a:cxn ang="0">
              <a:pos x="connsiteX3245" y="connsiteY3245"/>
            </a:cxn>
            <a:cxn ang="0">
              <a:pos x="connsiteX3246" y="connsiteY3246"/>
            </a:cxn>
            <a:cxn ang="0">
              <a:pos x="connsiteX3247" y="connsiteY3247"/>
            </a:cxn>
            <a:cxn ang="0">
              <a:pos x="connsiteX3248" y="connsiteY3248"/>
            </a:cxn>
            <a:cxn ang="0">
              <a:pos x="connsiteX3249" y="connsiteY3249"/>
            </a:cxn>
            <a:cxn ang="0">
              <a:pos x="connsiteX3250" y="connsiteY3250"/>
            </a:cxn>
            <a:cxn ang="0">
              <a:pos x="connsiteX3251" y="connsiteY3251"/>
            </a:cxn>
            <a:cxn ang="0">
              <a:pos x="connsiteX3252" y="connsiteY3252"/>
            </a:cxn>
            <a:cxn ang="0">
              <a:pos x="connsiteX3253" y="connsiteY3253"/>
            </a:cxn>
            <a:cxn ang="0">
              <a:pos x="connsiteX3254" y="connsiteY3254"/>
            </a:cxn>
            <a:cxn ang="0">
              <a:pos x="connsiteX3255" y="connsiteY3255"/>
            </a:cxn>
            <a:cxn ang="0">
              <a:pos x="connsiteX3256" y="connsiteY3256"/>
            </a:cxn>
            <a:cxn ang="0">
              <a:pos x="connsiteX3257" y="connsiteY3257"/>
            </a:cxn>
            <a:cxn ang="0">
              <a:pos x="connsiteX3258" y="connsiteY3258"/>
            </a:cxn>
            <a:cxn ang="0">
              <a:pos x="connsiteX3259" y="connsiteY3259"/>
            </a:cxn>
            <a:cxn ang="0">
              <a:pos x="connsiteX3260" y="connsiteY3260"/>
            </a:cxn>
            <a:cxn ang="0">
              <a:pos x="connsiteX3261" y="connsiteY3261"/>
            </a:cxn>
            <a:cxn ang="0">
              <a:pos x="connsiteX3262" y="connsiteY3262"/>
            </a:cxn>
            <a:cxn ang="0">
              <a:pos x="connsiteX3263" y="connsiteY3263"/>
            </a:cxn>
            <a:cxn ang="0">
              <a:pos x="connsiteX3264" y="connsiteY3264"/>
            </a:cxn>
            <a:cxn ang="0">
              <a:pos x="connsiteX3265" y="connsiteY3265"/>
            </a:cxn>
            <a:cxn ang="0">
              <a:pos x="connsiteX3266" y="connsiteY3266"/>
            </a:cxn>
            <a:cxn ang="0">
              <a:pos x="connsiteX3267" y="connsiteY3267"/>
            </a:cxn>
            <a:cxn ang="0">
              <a:pos x="connsiteX3268" y="connsiteY3268"/>
            </a:cxn>
            <a:cxn ang="0">
              <a:pos x="connsiteX3269" y="connsiteY3269"/>
            </a:cxn>
            <a:cxn ang="0">
              <a:pos x="connsiteX3270" y="connsiteY3270"/>
            </a:cxn>
            <a:cxn ang="0">
              <a:pos x="connsiteX3271" y="connsiteY3271"/>
            </a:cxn>
            <a:cxn ang="0">
              <a:pos x="connsiteX3272" y="connsiteY3272"/>
            </a:cxn>
            <a:cxn ang="0">
              <a:pos x="connsiteX3273" y="connsiteY3273"/>
            </a:cxn>
            <a:cxn ang="0">
              <a:pos x="connsiteX3274" y="connsiteY3274"/>
            </a:cxn>
            <a:cxn ang="0">
              <a:pos x="connsiteX3275" y="connsiteY3275"/>
            </a:cxn>
            <a:cxn ang="0">
              <a:pos x="connsiteX3276" y="connsiteY3276"/>
            </a:cxn>
            <a:cxn ang="0">
              <a:pos x="connsiteX3277" y="connsiteY3277"/>
            </a:cxn>
            <a:cxn ang="0">
              <a:pos x="connsiteX3278" y="connsiteY3278"/>
            </a:cxn>
            <a:cxn ang="0">
              <a:pos x="connsiteX3279" y="connsiteY3279"/>
            </a:cxn>
            <a:cxn ang="0">
              <a:pos x="connsiteX3280" y="connsiteY3280"/>
            </a:cxn>
            <a:cxn ang="0">
              <a:pos x="connsiteX3281" y="connsiteY3281"/>
            </a:cxn>
            <a:cxn ang="0">
              <a:pos x="connsiteX3282" y="connsiteY3282"/>
            </a:cxn>
            <a:cxn ang="0">
              <a:pos x="connsiteX3283" y="connsiteY3283"/>
            </a:cxn>
            <a:cxn ang="0">
              <a:pos x="connsiteX3284" y="connsiteY3284"/>
            </a:cxn>
            <a:cxn ang="0">
              <a:pos x="connsiteX3285" y="connsiteY3285"/>
            </a:cxn>
            <a:cxn ang="0">
              <a:pos x="connsiteX3286" y="connsiteY3286"/>
            </a:cxn>
            <a:cxn ang="0">
              <a:pos x="connsiteX3287" y="connsiteY3287"/>
            </a:cxn>
            <a:cxn ang="0">
              <a:pos x="connsiteX3288" y="connsiteY3288"/>
            </a:cxn>
            <a:cxn ang="0">
              <a:pos x="connsiteX3289" y="connsiteY3289"/>
            </a:cxn>
            <a:cxn ang="0">
              <a:pos x="connsiteX3290" y="connsiteY3290"/>
            </a:cxn>
            <a:cxn ang="0">
              <a:pos x="connsiteX3291" y="connsiteY3291"/>
            </a:cxn>
            <a:cxn ang="0">
              <a:pos x="connsiteX3292" y="connsiteY3292"/>
            </a:cxn>
            <a:cxn ang="0">
              <a:pos x="connsiteX3293" y="connsiteY3293"/>
            </a:cxn>
            <a:cxn ang="0">
              <a:pos x="connsiteX3294" y="connsiteY3294"/>
            </a:cxn>
            <a:cxn ang="0">
              <a:pos x="connsiteX3295" y="connsiteY3295"/>
            </a:cxn>
            <a:cxn ang="0">
              <a:pos x="connsiteX3296" y="connsiteY3296"/>
            </a:cxn>
            <a:cxn ang="0">
              <a:pos x="connsiteX3297" y="connsiteY3297"/>
            </a:cxn>
            <a:cxn ang="0">
              <a:pos x="connsiteX3298" y="connsiteY3298"/>
            </a:cxn>
            <a:cxn ang="0">
              <a:pos x="connsiteX3299" y="connsiteY3299"/>
            </a:cxn>
            <a:cxn ang="0">
              <a:pos x="connsiteX3300" y="connsiteY3300"/>
            </a:cxn>
            <a:cxn ang="0">
              <a:pos x="connsiteX3301" y="connsiteY3301"/>
            </a:cxn>
            <a:cxn ang="0">
              <a:pos x="connsiteX3302" y="connsiteY3302"/>
            </a:cxn>
            <a:cxn ang="0">
              <a:pos x="connsiteX3303" y="connsiteY3303"/>
            </a:cxn>
            <a:cxn ang="0">
              <a:pos x="connsiteX3304" y="connsiteY3304"/>
            </a:cxn>
            <a:cxn ang="0">
              <a:pos x="connsiteX3305" y="connsiteY3305"/>
            </a:cxn>
            <a:cxn ang="0">
              <a:pos x="connsiteX3306" y="connsiteY3306"/>
            </a:cxn>
            <a:cxn ang="0">
              <a:pos x="connsiteX3307" y="connsiteY3307"/>
            </a:cxn>
            <a:cxn ang="0">
              <a:pos x="connsiteX3308" y="connsiteY3308"/>
            </a:cxn>
            <a:cxn ang="0">
              <a:pos x="connsiteX3309" y="connsiteY3309"/>
            </a:cxn>
            <a:cxn ang="0">
              <a:pos x="connsiteX3310" y="connsiteY3310"/>
            </a:cxn>
            <a:cxn ang="0">
              <a:pos x="connsiteX3311" y="connsiteY3311"/>
            </a:cxn>
            <a:cxn ang="0">
              <a:pos x="connsiteX3312" y="connsiteY3312"/>
            </a:cxn>
            <a:cxn ang="0">
              <a:pos x="connsiteX3313" y="connsiteY3313"/>
            </a:cxn>
            <a:cxn ang="0">
              <a:pos x="connsiteX3314" y="connsiteY3314"/>
            </a:cxn>
            <a:cxn ang="0">
              <a:pos x="connsiteX3315" y="connsiteY3315"/>
            </a:cxn>
            <a:cxn ang="0">
              <a:pos x="connsiteX3316" y="connsiteY3316"/>
            </a:cxn>
            <a:cxn ang="0">
              <a:pos x="connsiteX3317" y="connsiteY3317"/>
            </a:cxn>
            <a:cxn ang="0">
              <a:pos x="connsiteX3318" y="connsiteY3318"/>
            </a:cxn>
            <a:cxn ang="0">
              <a:pos x="connsiteX3319" y="connsiteY3319"/>
            </a:cxn>
            <a:cxn ang="0">
              <a:pos x="connsiteX3320" y="connsiteY3320"/>
            </a:cxn>
            <a:cxn ang="0">
              <a:pos x="connsiteX3321" y="connsiteY3321"/>
            </a:cxn>
            <a:cxn ang="0">
              <a:pos x="connsiteX3322" y="connsiteY3322"/>
            </a:cxn>
            <a:cxn ang="0">
              <a:pos x="connsiteX3323" y="connsiteY3323"/>
            </a:cxn>
            <a:cxn ang="0">
              <a:pos x="connsiteX3324" y="connsiteY3324"/>
            </a:cxn>
            <a:cxn ang="0">
              <a:pos x="connsiteX3325" y="connsiteY3325"/>
            </a:cxn>
            <a:cxn ang="0">
              <a:pos x="connsiteX3326" y="connsiteY3326"/>
            </a:cxn>
            <a:cxn ang="0">
              <a:pos x="connsiteX3327" y="connsiteY3327"/>
            </a:cxn>
            <a:cxn ang="0">
              <a:pos x="connsiteX3328" y="connsiteY3328"/>
            </a:cxn>
            <a:cxn ang="0">
              <a:pos x="connsiteX3329" y="connsiteY3329"/>
            </a:cxn>
            <a:cxn ang="0">
              <a:pos x="connsiteX3330" y="connsiteY3330"/>
            </a:cxn>
            <a:cxn ang="0">
              <a:pos x="connsiteX3331" y="connsiteY3331"/>
            </a:cxn>
            <a:cxn ang="0">
              <a:pos x="connsiteX3332" y="connsiteY3332"/>
            </a:cxn>
            <a:cxn ang="0">
              <a:pos x="connsiteX3333" y="connsiteY3333"/>
            </a:cxn>
            <a:cxn ang="0">
              <a:pos x="connsiteX3334" y="connsiteY3334"/>
            </a:cxn>
            <a:cxn ang="0">
              <a:pos x="connsiteX3335" y="connsiteY3335"/>
            </a:cxn>
            <a:cxn ang="0">
              <a:pos x="connsiteX3336" y="connsiteY3336"/>
            </a:cxn>
            <a:cxn ang="0">
              <a:pos x="connsiteX3337" y="connsiteY3337"/>
            </a:cxn>
            <a:cxn ang="0">
              <a:pos x="connsiteX3338" y="connsiteY3338"/>
            </a:cxn>
            <a:cxn ang="0">
              <a:pos x="connsiteX3339" y="connsiteY3339"/>
            </a:cxn>
            <a:cxn ang="0">
              <a:pos x="connsiteX3340" y="connsiteY3340"/>
            </a:cxn>
            <a:cxn ang="0">
              <a:pos x="connsiteX3341" y="connsiteY3341"/>
            </a:cxn>
            <a:cxn ang="0">
              <a:pos x="connsiteX3342" y="connsiteY3342"/>
            </a:cxn>
            <a:cxn ang="0">
              <a:pos x="connsiteX3343" y="connsiteY3343"/>
            </a:cxn>
            <a:cxn ang="0">
              <a:pos x="connsiteX3344" y="connsiteY3344"/>
            </a:cxn>
            <a:cxn ang="0">
              <a:pos x="connsiteX3345" y="connsiteY3345"/>
            </a:cxn>
            <a:cxn ang="0">
              <a:pos x="connsiteX3346" y="connsiteY3346"/>
            </a:cxn>
            <a:cxn ang="0">
              <a:pos x="connsiteX3347" y="connsiteY3347"/>
            </a:cxn>
            <a:cxn ang="0">
              <a:pos x="connsiteX3348" y="connsiteY3348"/>
            </a:cxn>
            <a:cxn ang="0">
              <a:pos x="connsiteX3349" y="connsiteY3349"/>
            </a:cxn>
            <a:cxn ang="0">
              <a:pos x="connsiteX3350" y="connsiteY3350"/>
            </a:cxn>
            <a:cxn ang="0">
              <a:pos x="connsiteX3351" y="connsiteY3351"/>
            </a:cxn>
            <a:cxn ang="0">
              <a:pos x="connsiteX3352" y="connsiteY3352"/>
            </a:cxn>
            <a:cxn ang="0">
              <a:pos x="connsiteX3353" y="connsiteY3353"/>
            </a:cxn>
            <a:cxn ang="0">
              <a:pos x="connsiteX3354" y="connsiteY3354"/>
            </a:cxn>
            <a:cxn ang="0">
              <a:pos x="connsiteX3355" y="connsiteY3355"/>
            </a:cxn>
            <a:cxn ang="0">
              <a:pos x="connsiteX3356" y="connsiteY3356"/>
            </a:cxn>
            <a:cxn ang="0">
              <a:pos x="connsiteX3357" y="connsiteY3357"/>
            </a:cxn>
            <a:cxn ang="0">
              <a:pos x="connsiteX3358" y="connsiteY3358"/>
            </a:cxn>
            <a:cxn ang="0">
              <a:pos x="connsiteX3359" y="connsiteY3359"/>
            </a:cxn>
            <a:cxn ang="0">
              <a:pos x="connsiteX3360" y="connsiteY3360"/>
            </a:cxn>
            <a:cxn ang="0">
              <a:pos x="connsiteX3361" y="connsiteY3361"/>
            </a:cxn>
            <a:cxn ang="0">
              <a:pos x="connsiteX3362" y="connsiteY3362"/>
            </a:cxn>
            <a:cxn ang="0">
              <a:pos x="connsiteX3363" y="connsiteY3363"/>
            </a:cxn>
            <a:cxn ang="0">
              <a:pos x="connsiteX3364" y="connsiteY3364"/>
            </a:cxn>
            <a:cxn ang="0">
              <a:pos x="connsiteX3365" y="connsiteY3365"/>
            </a:cxn>
            <a:cxn ang="0">
              <a:pos x="connsiteX3366" y="connsiteY3366"/>
            </a:cxn>
            <a:cxn ang="0">
              <a:pos x="connsiteX3367" y="connsiteY3367"/>
            </a:cxn>
            <a:cxn ang="0">
              <a:pos x="connsiteX3368" y="connsiteY3368"/>
            </a:cxn>
            <a:cxn ang="0">
              <a:pos x="connsiteX3369" y="connsiteY3369"/>
            </a:cxn>
            <a:cxn ang="0">
              <a:pos x="connsiteX3370" y="connsiteY3370"/>
            </a:cxn>
            <a:cxn ang="0">
              <a:pos x="connsiteX3371" y="connsiteY3371"/>
            </a:cxn>
            <a:cxn ang="0">
              <a:pos x="connsiteX3372" y="connsiteY3372"/>
            </a:cxn>
            <a:cxn ang="0">
              <a:pos x="connsiteX3373" y="connsiteY3373"/>
            </a:cxn>
            <a:cxn ang="0">
              <a:pos x="connsiteX3374" y="connsiteY3374"/>
            </a:cxn>
            <a:cxn ang="0">
              <a:pos x="connsiteX3375" y="connsiteY3375"/>
            </a:cxn>
            <a:cxn ang="0">
              <a:pos x="connsiteX3376" y="connsiteY3376"/>
            </a:cxn>
            <a:cxn ang="0">
              <a:pos x="connsiteX3377" y="connsiteY3377"/>
            </a:cxn>
            <a:cxn ang="0">
              <a:pos x="connsiteX3378" y="connsiteY3378"/>
            </a:cxn>
            <a:cxn ang="0">
              <a:pos x="connsiteX3379" y="connsiteY3379"/>
            </a:cxn>
            <a:cxn ang="0">
              <a:pos x="connsiteX3380" y="connsiteY3380"/>
            </a:cxn>
            <a:cxn ang="0">
              <a:pos x="connsiteX3381" y="connsiteY3381"/>
            </a:cxn>
            <a:cxn ang="0">
              <a:pos x="connsiteX3382" y="connsiteY3382"/>
            </a:cxn>
            <a:cxn ang="0">
              <a:pos x="connsiteX3383" y="connsiteY3383"/>
            </a:cxn>
            <a:cxn ang="0">
              <a:pos x="connsiteX3384" y="connsiteY3384"/>
            </a:cxn>
            <a:cxn ang="0">
              <a:pos x="connsiteX3385" y="connsiteY3385"/>
            </a:cxn>
            <a:cxn ang="0">
              <a:pos x="connsiteX3386" y="connsiteY3386"/>
            </a:cxn>
            <a:cxn ang="0">
              <a:pos x="connsiteX3387" y="connsiteY3387"/>
            </a:cxn>
            <a:cxn ang="0">
              <a:pos x="connsiteX3388" y="connsiteY3388"/>
            </a:cxn>
            <a:cxn ang="0">
              <a:pos x="connsiteX3389" y="connsiteY3389"/>
            </a:cxn>
            <a:cxn ang="0">
              <a:pos x="connsiteX3390" y="connsiteY3390"/>
            </a:cxn>
            <a:cxn ang="0">
              <a:pos x="connsiteX3391" y="connsiteY3391"/>
            </a:cxn>
            <a:cxn ang="0">
              <a:pos x="connsiteX3392" y="connsiteY3392"/>
            </a:cxn>
            <a:cxn ang="0">
              <a:pos x="connsiteX3393" y="connsiteY3393"/>
            </a:cxn>
            <a:cxn ang="0">
              <a:pos x="connsiteX3394" y="connsiteY3394"/>
            </a:cxn>
            <a:cxn ang="0">
              <a:pos x="connsiteX3395" y="connsiteY3395"/>
            </a:cxn>
            <a:cxn ang="0">
              <a:pos x="connsiteX3396" y="connsiteY3396"/>
            </a:cxn>
            <a:cxn ang="0">
              <a:pos x="connsiteX3397" y="connsiteY3397"/>
            </a:cxn>
            <a:cxn ang="0">
              <a:pos x="connsiteX3398" y="connsiteY3398"/>
            </a:cxn>
            <a:cxn ang="0">
              <a:pos x="connsiteX3399" y="connsiteY3399"/>
            </a:cxn>
            <a:cxn ang="0">
              <a:pos x="connsiteX3400" y="connsiteY3400"/>
            </a:cxn>
            <a:cxn ang="0">
              <a:pos x="connsiteX3401" y="connsiteY3401"/>
            </a:cxn>
            <a:cxn ang="0">
              <a:pos x="connsiteX3402" y="connsiteY3402"/>
            </a:cxn>
            <a:cxn ang="0">
              <a:pos x="connsiteX3403" y="connsiteY3403"/>
            </a:cxn>
            <a:cxn ang="0">
              <a:pos x="connsiteX3404" y="connsiteY3404"/>
            </a:cxn>
            <a:cxn ang="0">
              <a:pos x="connsiteX3405" y="connsiteY3405"/>
            </a:cxn>
            <a:cxn ang="0">
              <a:pos x="connsiteX3406" y="connsiteY3406"/>
            </a:cxn>
            <a:cxn ang="0">
              <a:pos x="connsiteX3407" y="connsiteY3407"/>
            </a:cxn>
            <a:cxn ang="0">
              <a:pos x="connsiteX3408" y="connsiteY3408"/>
            </a:cxn>
            <a:cxn ang="0">
              <a:pos x="connsiteX3409" y="connsiteY3409"/>
            </a:cxn>
            <a:cxn ang="0">
              <a:pos x="connsiteX3410" y="connsiteY3410"/>
            </a:cxn>
            <a:cxn ang="0">
              <a:pos x="connsiteX3411" y="connsiteY3411"/>
            </a:cxn>
            <a:cxn ang="0">
              <a:pos x="connsiteX3412" y="connsiteY3412"/>
            </a:cxn>
            <a:cxn ang="0">
              <a:pos x="connsiteX3413" y="connsiteY3413"/>
            </a:cxn>
            <a:cxn ang="0">
              <a:pos x="connsiteX3414" y="connsiteY3414"/>
            </a:cxn>
            <a:cxn ang="0">
              <a:pos x="connsiteX3415" y="connsiteY3415"/>
            </a:cxn>
            <a:cxn ang="0">
              <a:pos x="connsiteX3416" y="connsiteY3416"/>
            </a:cxn>
            <a:cxn ang="0">
              <a:pos x="connsiteX3417" y="connsiteY3417"/>
            </a:cxn>
            <a:cxn ang="0">
              <a:pos x="connsiteX3418" y="connsiteY3418"/>
            </a:cxn>
            <a:cxn ang="0">
              <a:pos x="connsiteX3419" y="connsiteY3419"/>
            </a:cxn>
            <a:cxn ang="0">
              <a:pos x="connsiteX3420" y="connsiteY3420"/>
            </a:cxn>
            <a:cxn ang="0">
              <a:pos x="connsiteX3421" y="connsiteY3421"/>
            </a:cxn>
            <a:cxn ang="0">
              <a:pos x="connsiteX3422" y="connsiteY3422"/>
            </a:cxn>
            <a:cxn ang="0">
              <a:pos x="connsiteX3423" y="connsiteY3423"/>
            </a:cxn>
            <a:cxn ang="0">
              <a:pos x="connsiteX3424" y="connsiteY3424"/>
            </a:cxn>
            <a:cxn ang="0">
              <a:pos x="connsiteX3425" y="connsiteY3425"/>
            </a:cxn>
            <a:cxn ang="0">
              <a:pos x="connsiteX3426" y="connsiteY3426"/>
            </a:cxn>
            <a:cxn ang="0">
              <a:pos x="connsiteX3427" y="connsiteY3427"/>
            </a:cxn>
            <a:cxn ang="0">
              <a:pos x="connsiteX3428" y="connsiteY3428"/>
            </a:cxn>
            <a:cxn ang="0">
              <a:pos x="connsiteX3429" y="connsiteY3429"/>
            </a:cxn>
            <a:cxn ang="0">
              <a:pos x="connsiteX3430" y="connsiteY3430"/>
            </a:cxn>
            <a:cxn ang="0">
              <a:pos x="connsiteX3431" y="connsiteY3431"/>
            </a:cxn>
            <a:cxn ang="0">
              <a:pos x="connsiteX3432" y="connsiteY3432"/>
            </a:cxn>
            <a:cxn ang="0">
              <a:pos x="connsiteX3433" y="connsiteY3433"/>
            </a:cxn>
            <a:cxn ang="0">
              <a:pos x="connsiteX3434" y="connsiteY3434"/>
            </a:cxn>
            <a:cxn ang="0">
              <a:pos x="connsiteX3435" y="connsiteY3435"/>
            </a:cxn>
            <a:cxn ang="0">
              <a:pos x="connsiteX3436" y="connsiteY3436"/>
            </a:cxn>
            <a:cxn ang="0">
              <a:pos x="connsiteX3437" y="connsiteY3437"/>
            </a:cxn>
            <a:cxn ang="0">
              <a:pos x="connsiteX3438" y="connsiteY3438"/>
            </a:cxn>
            <a:cxn ang="0">
              <a:pos x="connsiteX3439" y="connsiteY3439"/>
            </a:cxn>
            <a:cxn ang="0">
              <a:pos x="connsiteX3440" y="connsiteY3440"/>
            </a:cxn>
            <a:cxn ang="0">
              <a:pos x="connsiteX3441" y="connsiteY3441"/>
            </a:cxn>
            <a:cxn ang="0">
              <a:pos x="connsiteX3442" y="connsiteY3442"/>
            </a:cxn>
            <a:cxn ang="0">
              <a:pos x="connsiteX3443" y="connsiteY3443"/>
            </a:cxn>
            <a:cxn ang="0">
              <a:pos x="connsiteX3444" y="connsiteY3444"/>
            </a:cxn>
            <a:cxn ang="0">
              <a:pos x="connsiteX3445" y="connsiteY3445"/>
            </a:cxn>
            <a:cxn ang="0">
              <a:pos x="connsiteX3446" y="connsiteY3446"/>
            </a:cxn>
            <a:cxn ang="0">
              <a:pos x="connsiteX3447" y="connsiteY3447"/>
            </a:cxn>
            <a:cxn ang="0">
              <a:pos x="connsiteX3448" y="connsiteY3448"/>
            </a:cxn>
            <a:cxn ang="0">
              <a:pos x="connsiteX3449" y="connsiteY3449"/>
            </a:cxn>
            <a:cxn ang="0">
              <a:pos x="connsiteX3450" y="connsiteY3450"/>
            </a:cxn>
            <a:cxn ang="0">
              <a:pos x="connsiteX3451" y="connsiteY3451"/>
            </a:cxn>
            <a:cxn ang="0">
              <a:pos x="connsiteX3452" y="connsiteY3452"/>
            </a:cxn>
            <a:cxn ang="0">
              <a:pos x="connsiteX3453" y="connsiteY3453"/>
            </a:cxn>
            <a:cxn ang="0">
              <a:pos x="connsiteX3454" y="connsiteY3454"/>
            </a:cxn>
            <a:cxn ang="0">
              <a:pos x="connsiteX3455" y="connsiteY3455"/>
            </a:cxn>
            <a:cxn ang="0">
              <a:pos x="connsiteX3456" y="connsiteY3456"/>
            </a:cxn>
            <a:cxn ang="0">
              <a:pos x="connsiteX3457" y="connsiteY3457"/>
            </a:cxn>
            <a:cxn ang="0">
              <a:pos x="connsiteX3458" y="connsiteY3458"/>
            </a:cxn>
            <a:cxn ang="0">
              <a:pos x="connsiteX3459" y="connsiteY3459"/>
            </a:cxn>
            <a:cxn ang="0">
              <a:pos x="connsiteX3460" y="connsiteY3460"/>
            </a:cxn>
            <a:cxn ang="0">
              <a:pos x="connsiteX3461" y="connsiteY3461"/>
            </a:cxn>
            <a:cxn ang="0">
              <a:pos x="connsiteX3462" y="connsiteY3462"/>
            </a:cxn>
            <a:cxn ang="0">
              <a:pos x="connsiteX3463" y="connsiteY3463"/>
            </a:cxn>
            <a:cxn ang="0">
              <a:pos x="connsiteX3464" y="connsiteY3464"/>
            </a:cxn>
            <a:cxn ang="0">
              <a:pos x="connsiteX3465" y="connsiteY3465"/>
            </a:cxn>
            <a:cxn ang="0">
              <a:pos x="connsiteX3466" y="connsiteY3466"/>
            </a:cxn>
            <a:cxn ang="0">
              <a:pos x="connsiteX3467" y="connsiteY3467"/>
            </a:cxn>
            <a:cxn ang="0">
              <a:pos x="connsiteX3468" y="connsiteY3468"/>
            </a:cxn>
            <a:cxn ang="0">
              <a:pos x="connsiteX3469" y="connsiteY3469"/>
            </a:cxn>
            <a:cxn ang="0">
              <a:pos x="connsiteX3470" y="connsiteY3470"/>
            </a:cxn>
            <a:cxn ang="0">
              <a:pos x="connsiteX3471" y="connsiteY3471"/>
            </a:cxn>
            <a:cxn ang="0">
              <a:pos x="connsiteX3472" y="connsiteY3472"/>
            </a:cxn>
            <a:cxn ang="0">
              <a:pos x="connsiteX3473" y="connsiteY3473"/>
            </a:cxn>
            <a:cxn ang="0">
              <a:pos x="connsiteX3474" y="connsiteY3474"/>
            </a:cxn>
            <a:cxn ang="0">
              <a:pos x="connsiteX3475" y="connsiteY3475"/>
            </a:cxn>
            <a:cxn ang="0">
              <a:pos x="connsiteX3476" y="connsiteY3476"/>
            </a:cxn>
            <a:cxn ang="0">
              <a:pos x="connsiteX3477" y="connsiteY3477"/>
            </a:cxn>
            <a:cxn ang="0">
              <a:pos x="connsiteX3478" y="connsiteY3478"/>
            </a:cxn>
            <a:cxn ang="0">
              <a:pos x="connsiteX3479" y="connsiteY3479"/>
            </a:cxn>
            <a:cxn ang="0">
              <a:pos x="connsiteX3480" y="connsiteY3480"/>
            </a:cxn>
            <a:cxn ang="0">
              <a:pos x="connsiteX3481" y="connsiteY3481"/>
            </a:cxn>
            <a:cxn ang="0">
              <a:pos x="connsiteX3482" y="connsiteY3482"/>
            </a:cxn>
            <a:cxn ang="0">
              <a:pos x="connsiteX3483" y="connsiteY3483"/>
            </a:cxn>
            <a:cxn ang="0">
              <a:pos x="connsiteX3484" y="connsiteY3484"/>
            </a:cxn>
            <a:cxn ang="0">
              <a:pos x="connsiteX3485" y="connsiteY3485"/>
            </a:cxn>
            <a:cxn ang="0">
              <a:pos x="connsiteX3486" y="connsiteY3486"/>
            </a:cxn>
            <a:cxn ang="0">
              <a:pos x="connsiteX3487" y="connsiteY3487"/>
            </a:cxn>
            <a:cxn ang="0">
              <a:pos x="connsiteX3488" y="connsiteY3488"/>
            </a:cxn>
            <a:cxn ang="0">
              <a:pos x="connsiteX3489" y="connsiteY3489"/>
            </a:cxn>
            <a:cxn ang="0">
              <a:pos x="connsiteX3490" y="connsiteY3490"/>
            </a:cxn>
            <a:cxn ang="0">
              <a:pos x="connsiteX3491" y="connsiteY3491"/>
            </a:cxn>
            <a:cxn ang="0">
              <a:pos x="connsiteX3492" y="connsiteY3492"/>
            </a:cxn>
            <a:cxn ang="0">
              <a:pos x="connsiteX3493" y="connsiteY3493"/>
            </a:cxn>
            <a:cxn ang="0">
              <a:pos x="connsiteX3494" y="connsiteY3494"/>
            </a:cxn>
            <a:cxn ang="0">
              <a:pos x="connsiteX3495" y="connsiteY3495"/>
            </a:cxn>
            <a:cxn ang="0">
              <a:pos x="connsiteX3496" y="connsiteY3496"/>
            </a:cxn>
            <a:cxn ang="0">
              <a:pos x="connsiteX3497" y="connsiteY3497"/>
            </a:cxn>
            <a:cxn ang="0">
              <a:pos x="connsiteX3498" y="connsiteY3498"/>
            </a:cxn>
            <a:cxn ang="0">
              <a:pos x="connsiteX3499" y="connsiteY3499"/>
            </a:cxn>
            <a:cxn ang="0">
              <a:pos x="connsiteX3500" y="connsiteY3500"/>
            </a:cxn>
            <a:cxn ang="0">
              <a:pos x="connsiteX3501" y="connsiteY3501"/>
            </a:cxn>
            <a:cxn ang="0">
              <a:pos x="connsiteX3502" y="connsiteY3502"/>
            </a:cxn>
            <a:cxn ang="0">
              <a:pos x="connsiteX3503" y="connsiteY3503"/>
            </a:cxn>
            <a:cxn ang="0">
              <a:pos x="connsiteX3504" y="connsiteY3504"/>
            </a:cxn>
            <a:cxn ang="0">
              <a:pos x="connsiteX3505" y="connsiteY3505"/>
            </a:cxn>
            <a:cxn ang="0">
              <a:pos x="connsiteX3506" y="connsiteY3506"/>
            </a:cxn>
            <a:cxn ang="0">
              <a:pos x="connsiteX3507" y="connsiteY3507"/>
            </a:cxn>
            <a:cxn ang="0">
              <a:pos x="connsiteX3508" y="connsiteY3508"/>
            </a:cxn>
            <a:cxn ang="0">
              <a:pos x="connsiteX3509" y="connsiteY3509"/>
            </a:cxn>
            <a:cxn ang="0">
              <a:pos x="connsiteX3510" y="connsiteY3510"/>
            </a:cxn>
            <a:cxn ang="0">
              <a:pos x="connsiteX3511" y="connsiteY3511"/>
            </a:cxn>
            <a:cxn ang="0">
              <a:pos x="connsiteX3512" y="connsiteY3512"/>
            </a:cxn>
            <a:cxn ang="0">
              <a:pos x="connsiteX3513" y="connsiteY3513"/>
            </a:cxn>
            <a:cxn ang="0">
              <a:pos x="connsiteX3514" y="connsiteY3514"/>
            </a:cxn>
            <a:cxn ang="0">
              <a:pos x="connsiteX3515" y="connsiteY3515"/>
            </a:cxn>
            <a:cxn ang="0">
              <a:pos x="connsiteX3516" y="connsiteY3516"/>
            </a:cxn>
            <a:cxn ang="0">
              <a:pos x="connsiteX3517" y="connsiteY3517"/>
            </a:cxn>
            <a:cxn ang="0">
              <a:pos x="connsiteX3518" y="connsiteY3518"/>
            </a:cxn>
            <a:cxn ang="0">
              <a:pos x="connsiteX3519" y="connsiteY3519"/>
            </a:cxn>
            <a:cxn ang="0">
              <a:pos x="connsiteX3520" y="connsiteY3520"/>
            </a:cxn>
            <a:cxn ang="0">
              <a:pos x="connsiteX3521" y="connsiteY3521"/>
            </a:cxn>
            <a:cxn ang="0">
              <a:pos x="connsiteX3522" y="connsiteY3522"/>
            </a:cxn>
            <a:cxn ang="0">
              <a:pos x="connsiteX3523" y="connsiteY3523"/>
            </a:cxn>
            <a:cxn ang="0">
              <a:pos x="connsiteX3524" y="connsiteY3524"/>
            </a:cxn>
            <a:cxn ang="0">
              <a:pos x="connsiteX3525" y="connsiteY3525"/>
            </a:cxn>
            <a:cxn ang="0">
              <a:pos x="connsiteX3526" y="connsiteY3526"/>
            </a:cxn>
            <a:cxn ang="0">
              <a:pos x="connsiteX3527" y="connsiteY3527"/>
            </a:cxn>
            <a:cxn ang="0">
              <a:pos x="connsiteX3528" y="connsiteY3528"/>
            </a:cxn>
            <a:cxn ang="0">
              <a:pos x="connsiteX3529" y="connsiteY3529"/>
            </a:cxn>
            <a:cxn ang="0">
              <a:pos x="connsiteX3530" y="connsiteY3530"/>
            </a:cxn>
            <a:cxn ang="0">
              <a:pos x="connsiteX3531" y="connsiteY3531"/>
            </a:cxn>
            <a:cxn ang="0">
              <a:pos x="connsiteX3532" y="connsiteY3532"/>
            </a:cxn>
            <a:cxn ang="0">
              <a:pos x="connsiteX3533" y="connsiteY3533"/>
            </a:cxn>
            <a:cxn ang="0">
              <a:pos x="connsiteX3534" y="connsiteY3534"/>
            </a:cxn>
            <a:cxn ang="0">
              <a:pos x="connsiteX3535" y="connsiteY3535"/>
            </a:cxn>
            <a:cxn ang="0">
              <a:pos x="connsiteX3536" y="connsiteY3536"/>
            </a:cxn>
            <a:cxn ang="0">
              <a:pos x="connsiteX3537" y="connsiteY3537"/>
            </a:cxn>
            <a:cxn ang="0">
              <a:pos x="connsiteX3538" y="connsiteY3538"/>
            </a:cxn>
            <a:cxn ang="0">
              <a:pos x="connsiteX3539" y="connsiteY3539"/>
            </a:cxn>
            <a:cxn ang="0">
              <a:pos x="connsiteX3540" y="connsiteY3540"/>
            </a:cxn>
            <a:cxn ang="0">
              <a:pos x="connsiteX3541" y="connsiteY3541"/>
            </a:cxn>
            <a:cxn ang="0">
              <a:pos x="connsiteX3542" y="connsiteY3542"/>
            </a:cxn>
            <a:cxn ang="0">
              <a:pos x="connsiteX3543" y="connsiteY3543"/>
            </a:cxn>
            <a:cxn ang="0">
              <a:pos x="connsiteX3544" y="connsiteY3544"/>
            </a:cxn>
            <a:cxn ang="0">
              <a:pos x="connsiteX3545" y="connsiteY3545"/>
            </a:cxn>
            <a:cxn ang="0">
              <a:pos x="connsiteX3546" y="connsiteY3546"/>
            </a:cxn>
            <a:cxn ang="0">
              <a:pos x="connsiteX3547" y="connsiteY3547"/>
            </a:cxn>
            <a:cxn ang="0">
              <a:pos x="connsiteX3548" y="connsiteY3548"/>
            </a:cxn>
            <a:cxn ang="0">
              <a:pos x="connsiteX3549" y="connsiteY3549"/>
            </a:cxn>
            <a:cxn ang="0">
              <a:pos x="connsiteX3550" y="connsiteY3550"/>
            </a:cxn>
            <a:cxn ang="0">
              <a:pos x="connsiteX3551" y="connsiteY3551"/>
            </a:cxn>
            <a:cxn ang="0">
              <a:pos x="connsiteX3552" y="connsiteY3552"/>
            </a:cxn>
            <a:cxn ang="0">
              <a:pos x="connsiteX3553" y="connsiteY3553"/>
            </a:cxn>
            <a:cxn ang="0">
              <a:pos x="connsiteX3554" y="connsiteY3554"/>
            </a:cxn>
            <a:cxn ang="0">
              <a:pos x="connsiteX3555" y="connsiteY3555"/>
            </a:cxn>
            <a:cxn ang="0">
              <a:pos x="connsiteX3556" y="connsiteY3556"/>
            </a:cxn>
            <a:cxn ang="0">
              <a:pos x="connsiteX3557" y="connsiteY3557"/>
            </a:cxn>
            <a:cxn ang="0">
              <a:pos x="connsiteX3558" y="connsiteY3558"/>
            </a:cxn>
            <a:cxn ang="0">
              <a:pos x="connsiteX3559" y="connsiteY3559"/>
            </a:cxn>
            <a:cxn ang="0">
              <a:pos x="connsiteX3560" y="connsiteY3560"/>
            </a:cxn>
            <a:cxn ang="0">
              <a:pos x="connsiteX3561" y="connsiteY3561"/>
            </a:cxn>
            <a:cxn ang="0">
              <a:pos x="connsiteX3562" y="connsiteY3562"/>
            </a:cxn>
            <a:cxn ang="0">
              <a:pos x="connsiteX3563" y="connsiteY3563"/>
            </a:cxn>
            <a:cxn ang="0">
              <a:pos x="connsiteX3564" y="connsiteY3564"/>
            </a:cxn>
            <a:cxn ang="0">
              <a:pos x="connsiteX3565" y="connsiteY3565"/>
            </a:cxn>
            <a:cxn ang="0">
              <a:pos x="connsiteX3566" y="connsiteY3566"/>
            </a:cxn>
            <a:cxn ang="0">
              <a:pos x="connsiteX3567" y="connsiteY3567"/>
            </a:cxn>
            <a:cxn ang="0">
              <a:pos x="connsiteX3568" y="connsiteY3568"/>
            </a:cxn>
            <a:cxn ang="0">
              <a:pos x="connsiteX3569" y="connsiteY3569"/>
            </a:cxn>
            <a:cxn ang="0">
              <a:pos x="connsiteX3570" y="connsiteY3570"/>
            </a:cxn>
            <a:cxn ang="0">
              <a:pos x="connsiteX3571" y="connsiteY3571"/>
            </a:cxn>
            <a:cxn ang="0">
              <a:pos x="connsiteX3572" y="connsiteY3572"/>
            </a:cxn>
            <a:cxn ang="0">
              <a:pos x="connsiteX3573" y="connsiteY3573"/>
            </a:cxn>
            <a:cxn ang="0">
              <a:pos x="connsiteX3574" y="connsiteY3574"/>
            </a:cxn>
            <a:cxn ang="0">
              <a:pos x="connsiteX3575" y="connsiteY3575"/>
            </a:cxn>
            <a:cxn ang="0">
              <a:pos x="connsiteX3576" y="connsiteY3576"/>
            </a:cxn>
            <a:cxn ang="0">
              <a:pos x="connsiteX3577" y="connsiteY3577"/>
            </a:cxn>
            <a:cxn ang="0">
              <a:pos x="connsiteX3578" y="connsiteY3578"/>
            </a:cxn>
            <a:cxn ang="0">
              <a:pos x="connsiteX3579" y="connsiteY3579"/>
            </a:cxn>
            <a:cxn ang="0">
              <a:pos x="connsiteX3580" y="connsiteY3580"/>
            </a:cxn>
            <a:cxn ang="0">
              <a:pos x="connsiteX3581" y="connsiteY3581"/>
            </a:cxn>
            <a:cxn ang="0">
              <a:pos x="connsiteX3582" y="connsiteY3582"/>
            </a:cxn>
            <a:cxn ang="0">
              <a:pos x="connsiteX3583" y="connsiteY3583"/>
            </a:cxn>
            <a:cxn ang="0">
              <a:pos x="connsiteX3584" y="connsiteY3584"/>
            </a:cxn>
            <a:cxn ang="0">
              <a:pos x="connsiteX3585" y="connsiteY3585"/>
            </a:cxn>
            <a:cxn ang="0">
              <a:pos x="connsiteX3586" y="connsiteY3586"/>
            </a:cxn>
            <a:cxn ang="0">
              <a:pos x="connsiteX3587" y="connsiteY3587"/>
            </a:cxn>
            <a:cxn ang="0">
              <a:pos x="connsiteX3588" y="connsiteY3588"/>
            </a:cxn>
            <a:cxn ang="0">
              <a:pos x="connsiteX3589" y="connsiteY3589"/>
            </a:cxn>
            <a:cxn ang="0">
              <a:pos x="connsiteX3590" y="connsiteY3590"/>
            </a:cxn>
            <a:cxn ang="0">
              <a:pos x="connsiteX3591" y="connsiteY3591"/>
            </a:cxn>
            <a:cxn ang="0">
              <a:pos x="connsiteX3592" y="connsiteY3592"/>
            </a:cxn>
            <a:cxn ang="0">
              <a:pos x="connsiteX3593" y="connsiteY3593"/>
            </a:cxn>
            <a:cxn ang="0">
              <a:pos x="connsiteX3594" y="connsiteY3594"/>
            </a:cxn>
            <a:cxn ang="0">
              <a:pos x="connsiteX3595" y="connsiteY3595"/>
            </a:cxn>
            <a:cxn ang="0">
              <a:pos x="connsiteX3596" y="connsiteY3596"/>
            </a:cxn>
            <a:cxn ang="0">
              <a:pos x="connsiteX3597" y="connsiteY3597"/>
            </a:cxn>
            <a:cxn ang="0">
              <a:pos x="connsiteX3598" y="connsiteY3598"/>
            </a:cxn>
            <a:cxn ang="0">
              <a:pos x="connsiteX3599" y="connsiteY3599"/>
            </a:cxn>
            <a:cxn ang="0">
              <a:pos x="connsiteX3600" y="connsiteY3600"/>
            </a:cxn>
            <a:cxn ang="0">
              <a:pos x="connsiteX3601" y="connsiteY3601"/>
            </a:cxn>
            <a:cxn ang="0">
              <a:pos x="connsiteX3602" y="connsiteY3602"/>
            </a:cxn>
            <a:cxn ang="0">
              <a:pos x="connsiteX3603" y="connsiteY3603"/>
            </a:cxn>
            <a:cxn ang="0">
              <a:pos x="connsiteX3604" y="connsiteY3604"/>
            </a:cxn>
            <a:cxn ang="0">
              <a:pos x="connsiteX3605" y="connsiteY3605"/>
            </a:cxn>
            <a:cxn ang="0">
              <a:pos x="connsiteX3606" y="connsiteY3606"/>
            </a:cxn>
            <a:cxn ang="0">
              <a:pos x="connsiteX3607" y="connsiteY3607"/>
            </a:cxn>
            <a:cxn ang="0">
              <a:pos x="connsiteX3608" y="connsiteY3608"/>
            </a:cxn>
            <a:cxn ang="0">
              <a:pos x="connsiteX3609" y="connsiteY3609"/>
            </a:cxn>
            <a:cxn ang="0">
              <a:pos x="connsiteX3610" y="connsiteY3610"/>
            </a:cxn>
            <a:cxn ang="0">
              <a:pos x="connsiteX3611" y="connsiteY3611"/>
            </a:cxn>
            <a:cxn ang="0">
              <a:pos x="connsiteX3612" y="connsiteY3612"/>
            </a:cxn>
            <a:cxn ang="0">
              <a:pos x="connsiteX3613" y="connsiteY3613"/>
            </a:cxn>
            <a:cxn ang="0">
              <a:pos x="connsiteX3614" y="connsiteY3614"/>
            </a:cxn>
            <a:cxn ang="0">
              <a:pos x="connsiteX3615" y="connsiteY3615"/>
            </a:cxn>
            <a:cxn ang="0">
              <a:pos x="connsiteX3616" y="connsiteY3616"/>
            </a:cxn>
            <a:cxn ang="0">
              <a:pos x="connsiteX3617" y="connsiteY3617"/>
            </a:cxn>
            <a:cxn ang="0">
              <a:pos x="connsiteX3618" y="connsiteY3618"/>
            </a:cxn>
            <a:cxn ang="0">
              <a:pos x="connsiteX3619" y="connsiteY3619"/>
            </a:cxn>
            <a:cxn ang="0">
              <a:pos x="connsiteX3620" y="connsiteY3620"/>
            </a:cxn>
            <a:cxn ang="0">
              <a:pos x="connsiteX3621" y="connsiteY3621"/>
            </a:cxn>
            <a:cxn ang="0">
              <a:pos x="connsiteX3622" y="connsiteY3622"/>
            </a:cxn>
            <a:cxn ang="0">
              <a:pos x="connsiteX3623" y="connsiteY3623"/>
            </a:cxn>
            <a:cxn ang="0">
              <a:pos x="connsiteX3624" y="connsiteY3624"/>
            </a:cxn>
            <a:cxn ang="0">
              <a:pos x="connsiteX3625" y="connsiteY3625"/>
            </a:cxn>
            <a:cxn ang="0">
              <a:pos x="connsiteX3626" y="connsiteY3626"/>
            </a:cxn>
            <a:cxn ang="0">
              <a:pos x="connsiteX3627" y="connsiteY3627"/>
            </a:cxn>
            <a:cxn ang="0">
              <a:pos x="connsiteX3628" y="connsiteY3628"/>
            </a:cxn>
            <a:cxn ang="0">
              <a:pos x="connsiteX3629" y="connsiteY3629"/>
            </a:cxn>
            <a:cxn ang="0">
              <a:pos x="connsiteX3630" y="connsiteY3630"/>
            </a:cxn>
            <a:cxn ang="0">
              <a:pos x="connsiteX3631" y="connsiteY3631"/>
            </a:cxn>
            <a:cxn ang="0">
              <a:pos x="connsiteX3632" y="connsiteY3632"/>
            </a:cxn>
            <a:cxn ang="0">
              <a:pos x="connsiteX3633" y="connsiteY3633"/>
            </a:cxn>
            <a:cxn ang="0">
              <a:pos x="connsiteX3634" y="connsiteY3634"/>
            </a:cxn>
            <a:cxn ang="0">
              <a:pos x="connsiteX3635" y="connsiteY3635"/>
            </a:cxn>
            <a:cxn ang="0">
              <a:pos x="connsiteX3636" y="connsiteY3636"/>
            </a:cxn>
            <a:cxn ang="0">
              <a:pos x="connsiteX3637" y="connsiteY3637"/>
            </a:cxn>
            <a:cxn ang="0">
              <a:pos x="connsiteX3638" y="connsiteY3638"/>
            </a:cxn>
            <a:cxn ang="0">
              <a:pos x="connsiteX3639" y="connsiteY3639"/>
            </a:cxn>
            <a:cxn ang="0">
              <a:pos x="connsiteX3640" y="connsiteY3640"/>
            </a:cxn>
            <a:cxn ang="0">
              <a:pos x="connsiteX3641" y="connsiteY3641"/>
            </a:cxn>
            <a:cxn ang="0">
              <a:pos x="connsiteX3642" y="connsiteY3642"/>
            </a:cxn>
            <a:cxn ang="0">
              <a:pos x="connsiteX3643" y="connsiteY3643"/>
            </a:cxn>
            <a:cxn ang="0">
              <a:pos x="connsiteX3644" y="connsiteY3644"/>
            </a:cxn>
            <a:cxn ang="0">
              <a:pos x="connsiteX3645" y="connsiteY3645"/>
            </a:cxn>
            <a:cxn ang="0">
              <a:pos x="connsiteX3646" y="connsiteY3646"/>
            </a:cxn>
            <a:cxn ang="0">
              <a:pos x="connsiteX3647" y="connsiteY3647"/>
            </a:cxn>
            <a:cxn ang="0">
              <a:pos x="connsiteX3648" y="connsiteY3648"/>
            </a:cxn>
            <a:cxn ang="0">
              <a:pos x="connsiteX3649" y="connsiteY3649"/>
            </a:cxn>
            <a:cxn ang="0">
              <a:pos x="connsiteX3650" y="connsiteY3650"/>
            </a:cxn>
            <a:cxn ang="0">
              <a:pos x="connsiteX3651" y="connsiteY3651"/>
            </a:cxn>
            <a:cxn ang="0">
              <a:pos x="connsiteX3652" y="connsiteY3652"/>
            </a:cxn>
            <a:cxn ang="0">
              <a:pos x="connsiteX3653" y="connsiteY3653"/>
            </a:cxn>
            <a:cxn ang="0">
              <a:pos x="connsiteX3654" y="connsiteY3654"/>
            </a:cxn>
            <a:cxn ang="0">
              <a:pos x="connsiteX3655" y="connsiteY3655"/>
            </a:cxn>
            <a:cxn ang="0">
              <a:pos x="connsiteX3656" y="connsiteY3656"/>
            </a:cxn>
            <a:cxn ang="0">
              <a:pos x="connsiteX3657" y="connsiteY3657"/>
            </a:cxn>
            <a:cxn ang="0">
              <a:pos x="connsiteX3658" y="connsiteY3658"/>
            </a:cxn>
            <a:cxn ang="0">
              <a:pos x="connsiteX3659" y="connsiteY3659"/>
            </a:cxn>
            <a:cxn ang="0">
              <a:pos x="connsiteX3660" y="connsiteY3660"/>
            </a:cxn>
            <a:cxn ang="0">
              <a:pos x="connsiteX3661" y="connsiteY3661"/>
            </a:cxn>
            <a:cxn ang="0">
              <a:pos x="connsiteX3662" y="connsiteY3662"/>
            </a:cxn>
            <a:cxn ang="0">
              <a:pos x="connsiteX3663" y="connsiteY3663"/>
            </a:cxn>
            <a:cxn ang="0">
              <a:pos x="connsiteX3664" y="connsiteY3664"/>
            </a:cxn>
            <a:cxn ang="0">
              <a:pos x="connsiteX3665" y="connsiteY3665"/>
            </a:cxn>
            <a:cxn ang="0">
              <a:pos x="connsiteX3666" y="connsiteY3666"/>
            </a:cxn>
            <a:cxn ang="0">
              <a:pos x="connsiteX3667" y="connsiteY3667"/>
            </a:cxn>
            <a:cxn ang="0">
              <a:pos x="connsiteX3668" y="connsiteY3668"/>
            </a:cxn>
            <a:cxn ang="0">
              <a:pos x="connsiteX3669" y="connsiteY3669"/>
            </a:cxn>
            <a:cxn ang="0">
              <a:pos x="connsiteX3670" y="connsiteY3670"/>
            </a:cxn>
            <a:cxn ang="0">
              <a:pos x="connsiteX3671" y="connsiteY3671"/>
            </a:cxn>
            <a:cxn ang="0">
              <a:pos x="connsiteX3672" y="connsiteY3672"/>
            </a:cxn>
            <a:cxn ang="0">
              <a:pos x="connsiteX3673" y="connsiteY3673"/>
            </a:cxn>
            <a:cxn ang="0">
              <a:pos x="connsiteX3674" y="connsiteY3674"/>
            </a:cxn>
            <a:cxn ang="0">
              <a:pos x="connsiteX3675" y="connsiteY3675"/>
            </a:cxn>
            <a:cxn ang="0">
              <a:pos x="connsiteX3676" y="connsiteY3676"/>
            </a:cxn>
            <a:cxn ang="0">
              <a:pos x="connsiteX3677" y="connsiteY3677"/>
            </a:cxn>
            <a:cxn ang="0">
              <a:pos x="connsiteX3678" y="connsiteY3678"/>
            </a:cxn>
            <a:cxn ang="0">
              <a:pos x="connsiteX3679" y="connsiteY3679"/>
            </a:cxn>
            <a:cxn ang="0">
              <a:pos x="connsiteX3680" y="connsiteY3680"/>
            </a:cxn>
            <a:cxn ang="0">
              <a:pos x="connsiteX3681" y="connsiteY3681"/>
            </a:cxn>
            <a:cxn ang="0">
              <a:pos x="connsiteX3682" y="connsiteY3682"/>
            </a:cxn>
            <a:cxn ang="0">
              <a:pos x="connsiteX3683" y="connsiteY3683"/>
            </a:cxn>
            <a:cxn ang="0">
              <a:pos x="connsiteX3684" y="connsiteY3684"/>
            </a:cxn>
            <a:cxn ang="0">
              <a:pos x="connsiteX3685" y="connsiteY3685"/>
            </a:cxn>
            <a:cxn ang="0">
              <a:pos x="connsiteX3686" y="connsiteY3686"/>
            </a:cxn>
            <a:cxn ang="0">
              <a:pos x="connsiteX3687" y="connsiteY3687"/>
            </a:cxn>
            <a:cxn ang="0">
              <a:pos x="connsiteX3688" y="connsiteY3688"/>
            </a:cxn>
            <a:cxn ang="0">
              <a:pos x="connsiteX3689" y="connsiteY3689"/>
            </a:cxn>
            <a:cxn ang="0">
              <a:pos x="connsiteX3690" y="connsiteY3690"/>
            </a:cxn>
            <a:cxn ang="0">
              <a:pos x="connsiteX3691" y="connsiteY3691"/>
            </a:cxn>
            <a:cxn ang="0">
              <a:pos x="connsiteX3692" y="connsiteY3692"/>
            </a:cxn>
            <a:cxn ang="0">
              <a:pos x="connsiteX3693" y="connsiteY3693"/>
            </a:cxn>
            <a:cxn ang="0">
              <a:pos x="connsiteX3694" y="connsiteY3694"/>
            </a:cxn>
            <a:cxn ang="0">
              <a:pos x="connsiteX3695" y="connsiteY3695"/>
            </a:cxn>
            <a:cxn ang="0">
              <a:pos x="connsiteX3696" y="connsiteY3696"/>
            </a:cxn>
            <a:cxn ang="0">
              <a:pos x="connsiteX3697" y="connsiteY3697"/>
            </a:cxn>
            <a:cxn ang="0">
              <a:pos x="connsiteX3698" y="connsiteY3698"/>
            </a:cxn>
            <a:cxn ang="0">
              <a:pos x="connsiteX3699" y="connsiteY3699"/>
            </a:cxn>
            <a:cxn ang="0">
              <a:pos x="connsiteX3700" y="connsiteY3700"/>
            </a:cxn>
            <a:cxn ang="0">
              <a:pos x="connsiteX3701" y="connsiteY3701"/>
            </a:cxn>
            <a:cxn ang="0">
              <a:pos x="connsiteX3702" y="connsiteY3702"/>
            </a:cxn>
            <a:cxn ang="0">
              <a:pos x="connsiteX3703" y="connsiteY3703"/>
            </a:cxn>
            <a:cxn ang="0">
              <a:pos x="connsiteX3704" y="connsiteY3704"/>
            </a:cxn>
            <a:cxn ang="0">
              <a:pos x="connsiteX3705" y="connsiteY3705"/>
            </a:cxn>
            <a:cxn ang="0">
              <a:pos x="connsiteX3706" y="connsiteY3706"/>
            </a:cxn>
            <a:cxn ang="0">
              <a:pos x="connsiteX3707" y="connsiteY3707"/>
            </a:cxn>
            <a:cxn ang="0">
              <a:pos x="connsiteX3708" y="connsiteY3708"/>
            </a:cxn>
            <a:cxn ang="0">
              <a:pos x="connsiteX3709" y="connsiteY3709"/>
            </a:cxn>
            <a:cxn ang="0">
              <a:pos x="connsiteX3710" y="connsiteY3710"/>
            </a:cxn>
            <a:cxn ang="0">
              <a:pos x="connsiteX3711" y="connsiteY3711"/>
            </a:cxn>
            <a:cxn ang="0">
              <a:pos x="connsiteX3712" y="connsiteY3712"/>
            </a:cxn>
            <a:cxn ang="0">
              <a:pos x="connsiteX3713" y="connsiteY3713"/>
            </a:cxn>
            <a:cxn ang="0">
              <a:pos x="connsiteX3714" y="connsiteY3714"/>
            </a:cxn>
            <a:cxn ang="0">
              <a:pos x="connsiteX3715" y="connsiteY3715"/>
            </a:cxn>
            <a:cxn ang="0">
              <a:pos x="connsiteX3716" y="connsiteY3716"/>
            </a:cxn>
            <a:cxn ang="0">
              <a:pos x="connsiteX3717" y="connsiteY3717"/>
            </a:cxn>
            <a:cxn ang="0">
              <a:pos x="connsiteX3718" y="connsiteY3718"/>
            </a:cxn>
            <a:cxn ang="0">
              <a:pos x="connsiteX3719" y="connsiteY3719"/>
            </a:cxn>
            <a:cxn ang="0">
              <a:pos x="connsiteX3720" y="connsiteY3720"/>
            </a:cxn>
            <a:cxn ang="0">
              <a:pos x="connsiteX3721" y="connsiteY3721"/>
            </a:cxn>
            <a:cxn ang="0">
              <a:pos x="connsiteX3722" y="connsiteY3722"/>
            </a:cxn>
            <a:cxn ang="0">
              <a:pos x="connsiteX3723" y="connsiteY3723"/>
            </a:cxn>
            <a:cxn ang="0">
              <a:pos x="connsiteX3724" y="connsiteY3724"/>
            </a:cxn>
            <a:cxn ang="0">
              <a:pos x="connsiteX3725" y="connsiteY3725"/>
            </a:cxn>
            <a:cxn ang="0">
              <a:pos x="connsiteX3726" y="connsiteY3726"/>
            </a:cxn>
            <a:cxn ang="0">
              <a:pos x="connsiteX3727" y="connsiteY3727"/>
            </a:cxn>
            <a:cxn ang="0">
              <a:pos x="connsiteX3728" y="connsiteY3728"/>
            </a:cxn>
            <a:cxn ang="0">
              <a:pos x="connsiteX3729" y="connsiteY3729"/>
            </a:cxn>
            <a:cxn ang="0">
              <a:pos x="connsiteX3730" y="connsiteY3730"/>
            </a:cxn>
            <a:cxn ang="0">
              <a:pos x="connsiteX3731" y="connsiteY3731"/>
            </a:cxn>
            <a:cxn ang="0">
              <a:pos x="connsiteX3732" y="connsiteY3732"/>
            </a:cxn>
            <a:cxn ang="0">
              <a:pos x="connsiteX3733" y="connsiteY3733"/>
            </a:cxn>
            <a:cxn ang="0">
              <a:pos x="connsiteX3734" y="connsiteY3734"/>
            </a:cxn>
            <a:cxn ang="0">
              <a:pos x="connsiteX3735" y="connsiteY3735"/>
            </a:cxn>
            <a:cxn ang="0">
              <a:pos x="connsiteX3736" y="connsiteY3736"/>
            </a:cxn>
            <a:cxn ang="0">
              <a:pos x="connsiteX3737" y="connsiteY3737"/>
            </a:cxn>
            <a:cxn ang="0">
              <a:pos x="connsiteX3738" y="connsiteY3738"/>
            </a:cxn>
            <a:cxn ang="0">
              <a:pos x="connsiteX3739" y="connsiteY3739"/>
            </a:cxn>
            <a:cxn ang="0">
              <a:pos x="connsiteX3740" y="connsiteY3740"/>
            </a:cxn>
            <a:cxn ang="0">
              <a:pos x="connsiteX3741" y="connsiteY3741"/>
            </a:cxn>
            <a:cxn ang="0">
              <a:pos x="connsiteX3742" y="connsiteY3742"/>
            </a:cxn>
            <a:cxn ang="0">
              <a:pos x="connsiteX3743" y="connsiteY3743"/>
            </a:cxn>
            <a:cxn ang="0">
              <a:pos x="connsiteX3744" y="connsiteY3744"/>
            </a:cxn>
            <a:cxn ang="0">
              <a:pos x="connsiteX3745" y="connsiteY3745"/>
            </a:cxn>
            <a:cxn ang="0">
              <a:pos x="connsiteX3746" y="connsiteY3746"/>
            </a:cxn>
            <a:cxn ang="0">
              <a:pos x="connsiteX3747" y="connsiteY3747"/>
            </a:cxn>
            <a:cxn ang="0">
              <a:pos x="connsiteX3748" y="connsiteY3748"/>
            </a:cxn>
            <a:cxn ang="0">
              <a:pos x="connsiteX3749" y="connsiteY3749"/>
            </a:cxn>
            <a:cxn ang="0">
              <a:pos x="connsiteX3750" y="connsiteY3750"/>
            </a:cxn>
            <a:cxn ang="0">
              <a:pos x="connsiteX3751" y="connsiteY3751"/>
            </a:cxn>
            <a:cxn ang="0">
              <a:pos x="connsiteX3752" y="connsiteY3752"/>
            </a:cxn>
            <a:cxn ang="0">
              <a:pos x="connsiteX3753" y="connsiteY3753"/>
            </a:cxn>
            <a:cxn ang="0">
              <a:pos x="connsiteX3754" y="connsiteY3754"/>
            </a:cxn>
            <a:cxn ang="0">
              <a:pos x="connsiteX3755" y="connsiteY3755"/>
            </a:cxn>
            <a:cxn ang="0">
              <a:pos x="connsiteX3756" y="connsiteY3756"/>
            </a:cxn>
            <a:cxn ang="0">
              <a:pos x="connsiteX3757" y="connsiteY3757"/>
            </a:cxn>
            <a:cxn ang="0">
              <a:pos x="connsiteX3758" y="connsiteY3758"/>
            </a:cxn>
            <a:cxn ang="0">
              <a:pos x="connsiteX3759" y="connsiteY3759"/>
            </a:cxn>
            <a:cxn ang="0">
              <a:pos x="connsiteX3760" y="connsiteY3760"/>
            </a:cxn>
            <a:cxn ang="0">
              <a:pos x="connsiteX3761" y="connsiteY3761"/>
            </a:cxn>
            <a:cxn ang="0">
              <a:pos x="connsiteX3762" y="connsiteY3762"/>
            </a:cxn>
            <a:cxn ang="0">
              <a:pos x="connsiteX3763" y="connsiteY3763"/>
            </a:cxn>
            <a:cxn ang="0">
              <a:pos x="connsiteX3764" y="connsiteY3764"/>
            </a:cxn>
            <a:cxn ang="0">
              <a:pos x="connsiteX3765" y="connsiteY3765"/>
            </a:cxn>
            <a:cxn ang="0">
              <a:pos x="connsiteX3766" y="connsiteY3766"/>
            </a:cxn>
            <a:cxn ang="0">
              <a:pos x="connsiteX3767" y="connsiteY3767"/>
            </a:cxn>
            <a:cxn ang="0">
              <a:pos x="connsiteX3768" y="connsiteY3768"/>
            </a:cxn>
            <a:cxn ang="0">
              <a:pos x="connsiteX3769" y="connsiteY3769"/>
            </a:cxn>
            <a:cxn ang="0">
              <a:pos x="connsiteX3770" y="connsiteY3770"/>
            </a:cxn>
            <a:cxn ang="0">
              <a:pos x="connsiteX3771" y="connsiteY3771"/>
            </a:cxn>
            <a:cxn ang="0">
              <a:pos x="connsiteX3772" y="connsiteY3772"/>
            </a:cxn>
            <a:cxn ang="0">
              <a:pos x="connsiteX3773" y="connsiteY3773"/>
            </a:cxn>
            <a:cxn ang="0">
              <a:pos x="connsiteX3774" y="connsiteY3774"/>
            </a:cxn>
            <a:cxn ang="0">
              <a:pos x="connsiteX3775" y="connsiteY3775"/>
            </a:cxn>
            <a:cxn ang="0">
              <a:pos x="connsiteX3776" y="connsiteY3776"/>
            </a:cxn>
            <a:cxn ang="0">
              <a:pos x="connsiteX3777" y="connsiteY3777"/>
            </a:cxn>
            <a:cxn ang="0">
              <a:pos x="connsiteX3778" y="connsiteY3778"/>
            </a:cxn>
            <a:cxn ang="0">
              <a:pos x="connsiteX3779" y="connsiteY3779"/>
            </a:cxn>
            <a:cxn ang="0">
              <a:pos x="connsiteX3780" y="connsiteY3780"/>
            </a:cxn>
            <a:cxn ang="0">
              <a:pos x="connsiteX3781" y="connsiteY3781"/>
            </a:cxn>
            <a:cxn ang="0">
              <a:pos x="connsiteX3782" y="connsiteY3782"/>
            </a:cxn>
            <a:cxn ang="0">
              <a:pos x="connsiteX3783" y="connsiteY3783"/>
            </a:cxn>
            <a:cxn ang="0">
              <a:pos x="connsiteX3784" y="connsiteY3784"/>
            </a:cxn>
            <a:cxn ang="0">
              <a:pos x="connsiteX3785" y="connsiteY3785"/>
            </a:cxn>
            <a:cxn ang="0">
              <a:pos x="connsiteX3786" y="connsiteY3786"/>
            </a:cxn>
            <a:cxn ang="0">
              <a:pos x="connsiteX3787" y="connsiteY3787"/>
            </a:cxn>
            <a:cxn ang="0">
              <a:pos x="connsiteX3788" y="connsiteY3788"/>
            </a:cxn>
            <a:cxn ang="0">
              <a:pos x="connsiteX3789" y="connsiteY3789"/>
            </a:cxn>
            <a:cxn ang="0">
              <a:pos x="connsiteX3790" y="connsiteY3790"/>
            </a:cxn>
            <a:cxn ang="0">
              <a:pos x="connsiteX3791" y="connsiteY3791"/>
            </a:cxn>
            <a:cxn ang="0">
              <a:pos x="connsiteX3792" y="connsiteY3792"/>
            </a:cxn>
            <a:cxn ang="0">
              <a:pos x="connsiteX3793" y="connsiteY3793"/>
            </a:cxn>
            <a:cxn ang="0">
              <a:pos x="connsiteX3794" y="connsiteY3794"/>
            </a:cxn>
            <a:cxn ang="0">
              <a:pos x="connsiteX3795" y="connsiteY3795"/>
            </a:cxn>
            <a:cxn ang="0">
              <a:pos x="connsiteX3796" y="connsiteY3796"/>
            </a:cxn>
            <a:cxn ang="0">
              <a:pos x="connsiteX3797" y="connsiteY3797"/>
            </a:cxn>
            <a:cxn ang="0">
              <a:pos x="connsiteX3798" y="connsiteY3798"/>
            </a:cxn>
            <a:cxn ang="0">
              <a:pos x="connsiteX3799" y="connsiteY3799"/>
            </a:cxn>
            <a:cxn ang="0">
              <a:pos x="connsiteX3800" y="connsiteY3800"/>
            </a:cxn>
            <a:cxn ang="0">
              <a:pos x="connsiteX3801" y="connsiteY3801"/>
            </a:cxn>
            <a:cxn ang="0">
              <a:pos x="connsiteX3802" y="connsiteY3802"/>
            </a:cxn>
            <a:cxn ang="0">
              <a:pos x="connsiteX3803" y="connsiteY3803"/>
            </a:cxn>
            <a:cxn ang="0">
              <a:pos x="connsiteX3804" y="connsiteY3804"/>
            </a:cxn>
            <a:cxn ang="0">
              <a:pos x="connsiteX3805" y="connsiteY3805"/>
            </a:cxn>
            <a:cxn ang="0">
              <a:pos x="connsiteX3806" y="connsiteY3806"/>
            </a:cxn>
            <a:cxn ang="0">
              <a:pos x="connsiteX3807" y="connsiteY3807"/>
            </a:cxn>
            <a:cxn ang="0">
              <a:pos x="connsiteX3808" y="connsiteY3808"/>
            </a:cxn>
            <a:cxn ang="0">
              <a:pos x="connsiteX3809" y="connsiteY3809"/>
            </a:cxn>
            <a:cxn ang="0">
              <a:pos x="connsiteX3810" y="connsiteY3810"/>
            </a:cxn>
            <a:cxn ang="0">
              <a:pos x="connsiteX3811" y="connsiteY3811"/>
            </a:cxn>
            <a:cxn ang="0">
              <a:pos x="connsiteX3812" y="connsiteY3812"/>
            </a:cxn>
            <a:cxn ang="0">
              <a:pos x="connsiteX3813" y="connsiteY3813"/>
            </a:cxn>
            <a:cxn ang="0">
              <a:pos x="connsiteX3814" y="connsiteY3814"/>
            </a:cxn>
            <a:cxn ang="0">
              <a:pos x="connsiteX3815" y="connsiteY3815"/>
            </a:cxn>
            <a:cxn ang="0">
              <a:pos x="connsiteX3816" y="connsiteY3816"/>
            </a:cxn>
            <a:cxn ang="0">
              <a:pos x="connsiteX3817" y="connsiteY3817"/>
            </a:cxn>
            <a:cxn ang="0">
              <a:pos x="connsiteX3818" y="connsiteY3818"/>
            </a:cxn>
            <a:cxn ang="0">
              <a:pos x="connsiteX3819" y="connsiteY3819"/>
            </a:cxn>
            <a:cxn ang="0">
              <a:pos x="connsiteX3820" y="connsiteY3820"/>
            </a:cxn>
            <a:cxn ang="0">
              <a:pos x="connsiteX3821" y="connsiteY3821"/>
            </a:cxn>
            <a:cxn ang="0">
              <a:pos x="connsiteX3822" y="connsiteY3822"/>
            </a:cxn>
            <a:cxn ang="0">
              <a:pos x="connsiteX3823" y="connsiteY3823"/>
            </a:cxn>
            <a:cxn ang="0">
              <a:pos x="connsiteX3824" y="connsiteY3824"/>
            </a:cxn>
            <a:cxn ang="0">
              <a:pos x="connsiteX3825" y="connsiteY3825"/>
            </a:cxn>
            <a:cxn ang="0">
              <a:pos x="connsiteX3826" y="connsiteY3826"/>
            </a:cxn>
            <a:cxn ang="0">
              <a:pos x="connsiteX3827" y="connsiteY3827"/>
            </a:cxn>
            <a:cxn ang="0">
              <a:pos x="connsiteX3828" y="connsiteY3828"/>
            </a:cxn>
            <a:cxn ang="0">
              <a:pos x="connsiteX3829" y="connsiteY3829"/>
            </a:cxn>
            <a:cxn ang="0">
              <a:pos x="connsiteX3830" y="connsiteY3830"/>
            </a:cxn>
            <a:cxn ang="0">
              <a:pos x="connsiteX3831" y="connsiteY3831"/>
            </a:cxn>
            <a:cxn ang="0">
              <a:pos x="connsiteX3832" y="connsiteY3832"/>
            </a:cxn>
            <a:cxn ang="0">
              <a:pos x="connsiteX3833" y="connsiteY3833"/>
            </a:cxn>
            <a:cxn ang="0">
              <a:pos x="connsiteX3834" y="connsiteY3834"/>
            </a:cxn>
            <a:cxn ang="0">
              <a:pos x="connsiteX3835" y="connsiteY3835"/>
            </a:cxn>
            <a:cxn ang="0">
              <a:pos x="connsiteX3836" y="connsiteY3836"/>
            </a:cxn>
            <a:cxn ang="0">
              <a:pos x="connsiteX3837" y="connsiteY3837"/>
            </a:cxn>
            <a:cxn ang="0">
              <a:pos x="connsiteX3838" y="connsiteY3838"/>
            </a:cxn>
            <a:cxn ang="0">
              <a:pos x="connsiteX3839" y="connsiteY3839"/>
            </a:cxn>
            <a:cxn ang="0">
              <a:pos x="connsiteX3840" y="connsiteY3840"/>
            </a:cxn>
            <a:cxn ang="0">
              <a:pos x="connsiteX3841" y="connsiteY3841"/>
            </a:cxn>
            <a:cxn ang="0">
              <a:pos x="connsiteX3842" y="connsiteY3842"/>
            </a:cxn>
            <a:cxn ang="0">
              <a:pos x="connsiteX3843" y="connsiteY3843"/>
            </a:cxn>
            <a:cxn ang="0">
              <a:pos x="connsiteX3844" y="connsiteY3844"/>
            </a:cxn>
            <a:cxn ang="0">
              <a:pos x="connsiteX3845" y="connsiteY3845"/>
            </a:cxn>
            <a:cxn ang="0">
              <a:pos x="connsiteX3846" y="connsiteY3846"/>
            </a:cxn>
            <a:cxn ang="0">
              <a:pos x="connsiteX3847" y="connsiteY3847"/>
            </a:cxn>
            <a:cxn ang="0">
              <a:pos x="connsiteX3848" y="connsiteY3848"/>
            </a:cxn>
            <a:cxn ang="0">
              <a:pos x="connsiteX3849" y="connsiteY3849"/>
            </a:cxn>
            <a:cxn ang="0">
              <a:pos x="connsiteX3850" y="connsiteY3850"/>
            </a:cxn>
            <a:cxn ang="0">
              <a:pos x="connsiteX3851" y="connsiteY3851"/>
            </a:cxn>
            <a:cxn ang="0">
              <a:pos x="connsiteX3852" y="connsiteY3852"/>
            </a:cxn>
            <a:cxn ang="0">
              <a:pos x="connsiteX3853" y="connsiteY3853"/>
            </a:cxn>
            <a:cxn ang="0">
              <a:pos x="connsiteX3854" y="connsiteY3854"/>
            </a:cxn>
            <a:cxn ang="0">
              <a:pos x="connsiteX3855" y="connsiteY3855"/>
            </a:cxn>
            <a:cxn ang="0">
              <a:pos x="connsiteX3856" y="connsiteY3856"/>
            </a:cxn>
            <a:cxn ang="0">
              <a:pos x="connsiteX3857" y="connsiteY3857"/>
            </a:cxn>
            <a:cxn ang="0">
              <a:pos x="connsiteX3858" y="connsiteY3858"/>
            </a:cxn>
            <a:cxn ang="0">
              <a:pos x="connsiteX3859" y="connsiteY3859"/>
            </a:cxn>
            <a:cxn ang="0">
              <a:pos x="connsiteX3860" y="connsiteY3860"/>
            </a:cxn>
            <a:cxn ang="0">
              <a:pos x="connsiteX3861" y="connsiteY3861"/>
            </a:cxn>
            <a:cxn ang="0">
              <a:pos x="connsiteX3862" y="connsiteY3862"/>
            </a:cxn>
            <a:cxn ang="0">
              <a:pos x="connsiteX3863" y="connsiteY3863"/>
            </a:cxn>
            <a:cxn ang="0">
              <a:pos x="connsiteX3864" y="connsiteY3864"/>
            </a:cxn>
            <a:cxn ang="0">
              <a:pos x="connsiteX3865" y="connsiteY3865"/>
            </a:cxn>
            <a:cxn ang="0">
              <a:pos x="connsiteX3866" y="connsiteY3866"/>
            </a:cxn>
            <a:cxn ang="0">
              <a:pos x="connsiteX3867" y="connsiteY3867"/>
            </a:cxn>
            <a:cxn ang="0">
              <a:pos x="connsiteX3868" y="connsiteY3868"/>
            </a:cxn>
            <a:cxn ang="0">
              <a:pos x="connsiteX3869" y="connsiteY3869"/>
            </a:cxn>
            <a:cxn ang="0">
              <a:pos x="connsiteX3870" y="connsiteY3870"/>
            </a:cxn>
            <a:cxn ang="0">
              <a:pos x="connsiteX3871" y="connsiteY3871"/>
            </a:cxn>
            <a:cxn ang="0">
              <a:pos x="connsiteX3872" y="connsiteY3872"/>
            </a:cxn>
            <a:cxn ang="0">
              <a:pos x="connsiteX3873" y="connsiteY3873"/>
            </a:cxn>
            <a:cxn ang="0">
              <a:pos x="connsiteX3874" y="connsiteY3874"/>
            </a:cxn>
            <a:cxn ang="0">
              <a:pos x="connsiteX3875" y="connsiteY3875"/>
            </a:cxn>
            <a:cxn ang="0">
              <a:pos x="connsiteX3876" y="connsiteY3876"/>
            </a:cxn>
            <a:cxn ang="0">
              <a:pos x="connsiteX3877" y="connsiteY3877"/>
            </a:cxn>
            <a:cxn ang="0">
              <a:pos x="connsiteX3878" y="connsiteY3878"/>
            </a:cxn>
            <a:cxn ang="0">
              <a:pos x="connsiteX3879" y="connsiteY3879"/>
            </a:cxn>
            <a:cxn ang="0">
              <a:pos x="connsiteX3880" y="connsiteY3880"/>
            </a:cxn>
            <a:cxn ang="0">
              <a:pos x="connsiteX3881" y="connsiteY3881"/>
            </a:cxn>
            <a:cxn ang="0">
              <a:pos x="connsiteX3882" y="connsiteY3882"/>
            </a:cxn>
            <a:cxn ang="0">
              <a:pos x="connsiteX3883" y="connsiteY3883"/>
            </a:cxn>
            <a:cxn ang="0">
              <a:pos x="connsiteX3884" y="connsiteY3884"/>
            </a:cxn>
            <a:cxn ang="0">
              <a:pos x="connsiteX3885" y="connsiteY3885"/>
            </a:cxn>
            <a:cxn ang="0">
              <a:pos x="connsiteX3886" y="connsiteY3886"/>
            </a:cxn>
            <a:cxn ang="0">
              <a:pos x="connsiteX3887" y="connsiteY3887"/>
            </a:cxn>
            <a:cxn ang="0">
              <a:pos x="connsiteX3888" y="connsiteY3888"/>
            </a:cxn>
            <a:cxn ang="0">
              <a:pos x="connsiteX3889" y="connsiteY3889"/>
            </a:cxn>
            <a:cxn ang="0">
              <a:pos x="connsiteX3890" y="connsiteY3890"/>
            </a:cxn>
            <a:cxn ang="0">
              <a:pos x="connsiteX3891" y="connsiteY3891"/>
            </a:cxn>
            <a:cxn ang="0">
              <a:pos x="connsiteX3892" y="connsiteY3892"/>
            </a:cxn>
            <a:cxn ang="0">
              <a:pos x="connsiteX3893" y="connsiteY3893"/>
            </a:cxn>
            <a:cxn ang="0">
              <a:pos x="connsiteX3894" y="connsiteY3894"/>
            </a:cxn>
            <a:cxn ang="0">
              <a:pos x="connsiteX3895" y="connsiteY3895"/>
            </a:cxn>
            <a:cxn ang="0">
              <a:pos x="connsiteX3896" y="connsiteY3896"/>
            </a:cxn>
            <a:cxn ang="0">
              <a:pos x="connsiteX3897" y="connsiteY3897"/>
            </a:cxn>
            <a:cxn ang="0">
              <a:pos x="connsiteX3898" y="connsiteY3898"/>
            </a:cxn>
            <a:cxn ang="0">
              <a:pos x="connsiteX3899" y="connsiteY3899"/>
            </a:cxn>
            <a:cxn ang="0">
              <a:pos x="connsiteX3900" y="connsiteY3900"/>
            </a:cxn>
            <a:cxn ang="0">
              <a:pos x="connsiteX3901" y="connsiteY3901"/>
            </a:cxn>
            <a:cxn ang="0">
              <a:pos x="connsiteX3902" y="connsiteY3902"/>
            </a:cxn>
            <a:cxn ang="0">
              <a:pos x="connsiteX3903" y="connsiteY3903"/>
            </a:cxn>
            <a:cxn ang="0">
              <a:pos x="connsiteX3904" y="connsiteY3904"/>
            </a:cxn>
            <a:cxn ang="0">
              <a:pos x="connsiteX3905" y="connsiteY3905"/>
            </a:cxn>
            <a:cxn ang="0">
              <a:pos x="connsiteX3906" y="connsiteY3906"/>
            </a:cxn>
            <a:cxn ang="0">
              <a:pos x="connsiteX3907" y="connsiteY3907"/>
            </a:cxn>
            <a:cxn ang="0">
              <a:pos x="connsiteX3908" y="connsiteY3908"/>
            </a:cxn>
            <a:cxn ang="0">
              <a:pos x="connsiteX3909" y="connsiteY3909"/>
            </a:cxn>
            <a:cxn ang="0">
              <a:pos x="connsiteX3910" y="connsiteY3910"/>
            </a:cxn>
            <a:cxn ang="0">
              <a:pos x="connsiteX3911" y="connsiteY3911"/>
            </a:cxn>
            <a:cxn ang="0">
              <a:pos x="connsiteX3912" y="connsiteY3912"/>
            </a:cxn>
            <a:cxn ang="0">
              <a:pos x="connsiteX3913" y="connsiteY3913"/>
            </a:cxn>
            <a:cxn ang="0">
              <a:pos x="connsiteX3914" y="connsiteY3914"/>
            </a:cxn>
            <a:cxn ang="0">
              <a:pos x="connsiteX3915" y="connsiteY3915"/>
            </a:cxn>
            <a:cxn ang="0">
              <a:pos x="connsiteX3916" y="connsiteY3916"/>
            </a:cxn>
            <a:cxn ang="0">
              <a:pos x="connsiteX3917" y="connsiteY3917"/>
            </a:cxn>
            <a:cxn ang="0">
              <a:pos x="connsiteX3918" y="connsiteY3918"/>
            </a:cxn>
            <a:cxn ang="0">
              <a:pos x="connsiteX3919" y="connsiteY3919"/>
            </a:cxn>
            <a:cxn ang="0">
              <a:pos x="connsiteX3920" y="connsiteY3920"/>
            </a:cxn>
            <a:cxn ang="0">
              <a:pos x="connsiteX3921" y="connsiteY3921"/>
            </a:cxn>
            <a:cxn ang="0">
              <a:pos x="connsiteX3922" y="connsiteY3922"/>
            </a:cxn>
            <a:cxn ang="0">
              <a:pos x="connsiteX3923" y="connsiteY3923"/>
            </a:cxn>
            <a:cxn ang="0">
              <a:pos x="connsiteX3924" y="connsiteY3924"/>
            </a:cxn>
            <a:cxn ang="0">
              <a:pos x="connsiteX3925" y="connsiteY3925"/>
            </a:cxn>
            <a:cxn ang="0">
              <a:pos x="connsiteX3926" y="connsiteY3926"/>
            </a:cxn>
            <a:cxn ang="0">
              <a:pos x="connsiteX3927" y="connsiteY3927"/>
            </a:cxn>
            <a:cxn ang="0">
              <a:pos x="connsiteX3928" y="connsiteY3928"/>
            </a:cxn>
            <a:cxn ang="0">
              <a:pos x="connsiteX3929" y="connsiteY3929"/>
            </a:cxn>
            <a:cxn ang="0">
              <a:pos x="connsiteX3930" y="connsiteY3930"/>
            </a:cxn>
            <a:cxn ang="0">
              <a:pos x="connsiteX3931" y="connsiteY3931"/>
            </a:cxn>
            <a:cxn ang="0">
              <a:pos x="connsiteX3932" y="connsiteY3932"/>
            </a:cxn>
            <a:cxn ang="0">
              <a:pos x="connsiteX3933" y="connsiteY3933"/>
            </a:cxn>
            <a:cxn ang="0">
              <a:pos x="connsiteX3934" y="connsiteY3934"/>
            </a:cxn>
            <a:cxn ang="0">
              <a:pos x="connsiteX3935" y="connsiteY3935"/>
            </a:cxn>
            <a:cxn ang="0">
              <a:pos x="connsiteX3936" y="connsiteY3936"/>
            </a:cxn>
            <a:cxn ang="0">
              <a:pos x="connsiteX3937" y="connsiteY3937"/>
            </a:cxn>
            <a:cxn ang="0">
              <a:pos x="connsiteX3938" y="connsiteY3938"/>
            </a:cxn>
            <a:cxn ang="0">
              <a:pos x="connsiteX3939" y="connsiteY3939"/>
            </a:cxn>
            <a:cxn ang="0">
              <a:pos x="connsiteX3940" y="connsiteY3940"/>
            </a:cxn>
            <a:cxn ang="0">
              <a:pos x="connsiteX3941" y="connsiteY3941"/>
            </a:cxn>
            <a:cxn ang="0">
              <a:pos x="connsiteX3942" y="connsiteY3942"/>
            </a:cxn>
            <a:cxn ang="0">
              <a:pos x="connsiteX3943" y="connsiteY3943"/>
            </a:cxn>
            <a:cxn ang="0">
              <a:pos x="connsiteX3944" y="connsiteY3944"/>
            </a:cxn>
            <a:cxn ang="0">
              <a:pos x="connsiteX3945" y="connsiteY3945"/>
            </a:cxn>
            <a:cxn ang="0">
              <a:pos x="connsiteX3946" y="connsiteY3946"/>
            </a:cxn>
            <a:cxn ang="0">
              <a:pos x="connsiteX3947" y="connsiteY3947"/>
            </a:cxn>
            <a:cxn ang="0">
              <a:pos x="connsiteX3948" y="connsiteY3948"/>
            </a:cxn>
            <a:cxn ang="0">
              <a:pos x="connsiteX3949" y="connsiteY3949"/>
            </a:cxn>
            <a:cxn ang="0">
              <a:pos x="connsiteX3950" y="connsiteY3950"/>
            </a:cxn>
            <a:cxn ang="0">
              <a:pos x="connsiteX3951" y="connsiteY3951"/>
            </a:cxn>
            <a:cxn ang="0">
              <a:pos x="connsiteX3952" y="connsiteY3952"/>
            </a:cxn>
            <a:cxn ang="0">
              <a:pos x="connsiteX3953" y="connsiteY3953"/>
            </a:cxn>
            <a:cxn ang="0">
              <a:pos x="connsiteX3954" y="connsiteY3954"/>
            </a:cxn>
            <a:cxn ang="0">
              <a:pos x="connsiteX3955" y="connsiteY3955"/>
            </a:cxn>
            <a:cxn ang="0">
              <a:pos x="connsiteX3956" y="connsiteY3956"/>
            </a:cxn>
            <a:cxn ang="0">
              <a:pos x="connsiteX3957" y="connsiteY3957"/>
            </a:cxn>
            <a:cxn ang="0">
              <a:pos x="connsiteX3958" y="connsiteY3958"/>
            </a:cxn>
            <a:cxn ang="0">
              <a:pos x="connsiteX3959" y="connsiteY3959"/>
            </a:cxn>
            <a:cxn ang="0">
              <a:pos x="connsiteX3960" y="connsiteY3960"/>
            </a:cxn>
            <a:cxn ang="0">
              <a:pos x="connsiteX3961" y="connsiteY3961"/>
            </a:cxn>
            <a:cxn ang="0">
              <a:pos x="connsiteX3962" y="connsiteY3962"/>
            </a:cxn>
            <a:cxn ang="0">
              <a:pos x="connsiteX3963" y="connsiteY3963"/>
            </a:cxn>
            <a:cxn ang="0">
              <a:pos x="connsiteX3964" y="connsiteY3964"/>
            </a:cxn>
            <a:cxn ang="0">
              <a:pos x="connsiteX3965" y="connsiteY3965"/>
            </a:cxn>
            <a:cxn ang="0">
              <a:pos x="connsiteX3966" y="connsiteY3966"/>
            </a:cxn>
            <a:cxn ang="0">
              <a:pos x="connsiteX3967" y="connsiteY3967"/>
            </a:cxn>
            <a:cxn ang="0">
              <a:pos x="connsiteX3968" y="connsiteY3968"/>
            </a:cxn>
            <a:cxn ang="0">
              <a:pos x="connsiteX3969" y="connsiteY3969"/>
            </a:cxn>
            <a:cxn ang="0">
              <a:pos x="connsiteX3970" y="connsiteY3970"/>
            </a:cxn>
            <a:cxn ang="0">
              <a:pos x="connsiteX3971" y="connsiteY3971"/>
            </a:cxn>
            <a:cxn ang="0">
              <a:pos x="connsiteX3972" y="connsiteY3972"/>
            </a:cxn>
            <a:cxn ang="0">
              <a:pos x="connsiteX3973" y="connsiteY3973"/>
            </a:cxn>
            <a:cxn ang="0">
              <a:pos x="connsiteX3974" y="connsiteY3974"/>
            </a:cxn>
            <a:cxn ang="0">
              <a:pos x="connsiteX3975" y="connsiteY3975"/>
            </a:cxn>
            <a:cxn ang="0">
              <a:pos x="connsiteX3976" y="connsiteY3976"/>
            </a:cxn>
            <a:cxn ang="0">
              <a:pos x="connsiteX3977" y="connsiteY3977"/>
            </a:cxn>
            <a:cxn ang="0">
              <a:pos x="connsiteX3978" y="connsiteY3978"/>
            </a:cxn>
            <a:cxn ang="0">
              <a:pos x="connsiteX3979" y="connsiteY3979"/>
            </a:cxn>
            <a:cxn ang="0">
              <a:pos x="connsiteX3980" y="connsiteY3980"/>
            </a:cxn>
            <a:cxn ang="0">
              <a:pos x="connsiteX3981" y="connsiteY3981"/>
            </a:cxn>
            <a:cxn ang="0">
              <a:pos x="connsiteX3982" y="connsiteY3982"/>
            </a:cxn>
            <a:cxn ang="0">
              <a:pos x="connsiteX3983" y="connsiteY3983"/>
            </a:cxn>
            <a:cxn ang="0">
              <a:pos x="connsiteX3984" y="connsiteY3984"/>
            </a:cxn>
            <a:cxn ang="0">
              <a:pos x="connsiteX3985" y="connsiteY3985"/>
            </a:cxn>
            <a:cxn ang="0">
              <a:pos x="connsiteX3986" y="connsiteY3986"/>
            </a:cxn>
            <a:cxn ang="0">
              <a:pos x="connsiteX3987" y="connsiteY3987"/>
            </a:cxn>
            <a:cxn ang="0">
              <a:pos x="connsiteX3988" y="connsiteY3988"/>
            </a:cxn>
            <a:cxn ang="0">
              <a:pos x="connsiteX3989" y="connsiteY3989"/>
            </a:cxn>
            <a:cxn ang="0">
              <a:pos x="connsiteX3990" y="connsiteY3990"/>
            </a:cxn>
            <a:cxn ang="0">
              <a:pos x="connsiteX3991" y="connsiteY3991"/>
            </a:cxn>
            <a:cxn ang="0">
              <a:pos x="connsiteX3992" y="connsiteY3992"/>
            </a:cxn>
            <a:cxn ang="0">
              <a:pos x="connsiteX3993" y="connsiteY3993"/>
            </a:cxn>
            <a:cxn ang="0">
              <a:pos x="connsiteX3994" y="connsiteY3994"/>
            </a:cxn>
            <a:cxn ang="0">
              <a:pos x="connsiteX3995" y="connsiteY3995"/>
            </a:cxn>
            <a:cxn ang="0">
              <a:pos x="connsiteX3996" y="connsiteY3996"/>
            </a:cxn>
            <a:cxn ang="0">
              <a:pos x="connsiteX3997" y="connsiteY3997"/>
            </a:cxn>
            <a:cxn ang="0">
              <a:pos x="connsiteX3998" y="connsiteY3998"/>
            </a:cxn>
            <a:cxn ang="0">
              <a:pos x="connsiteX3999" y="connsiteY3999"/>
            </a:cxn>
            <a:cxn ang="0">
              <a:pos x="connsiteX4000" y="connsiteY4000"/>
            </a:cxn>
            <a:cxn ang="0">
              <a:pos x="connsiteX4001" y="connsiteY4001"/>
            </a:cxn>
            <a:cxn ang="0">
              <a:pos x="connsiteX4002" y="connsiteY4002"/>
            </a:cxn>
            <a:cxn ang="0">
              <a:pos x="connsiteX4003" y="connsiteY4003"/>
            </a:cxn>
            <a:cxn ang="0">
              <a:pos x="connsiteX4004" y="connsiteY4004"/>
            </a:cxn>
            <a:cxn ang="0">
              <a:pos x="connsiteX4005" y="connsiteY4005"/>
            </a:cxn>
            <a:cxn ang="0">
              <a:pos x="connsiteX4006" y="connsiteY4006"/>
            </a:cxn>
            <a:cxn ang="0">
              <a:pos x="connsiteX4007" y="connsiteY4007"/>
            </a:cxn>
            <a:cxn ang="0">
              <a:pos x="connsiteX4008" y="connsiteY4008"/>
            </a:cxn>
            <a:cxn ang="0">
              <a:pos x="connsiteX4009" y="connsiteY4009"/>
            </a:cxn>
            <a:cxn ang="0">
              <a:pos x="connsiteX4010" y="connsiteY4010"/>
            </a:cxn>
            <a:cxn ang="0">
              <a:pos x="connsiteX4011" y="connsiteY4011"/>
            </a:cxn>
            <a:cxn ang="0">
              <a:pos x="connsiteX4012" y="connsiteY4012"/>
            </a:cxn>
            <a:cxn ang="0">
              <a:pos x="connsiteX4013" y="connsiteY4013"/>
            </a:cxn>
            <a:cxn ang="0">
              <a:pos x="connsiteX4014" y="connsiteY4014"/>
            </a:cxn>
            <a:cxn ang="0">
              <a:pos x="connsiteX4015" y="connsiteY4015"/>
            </a:cxn>
            <a:cxn ang="0">
              <a:pos x="connsiteX4016" y="connsiteY4016"/>
            </a:cxn>
            <a:cxn ang="0">
              <a:pos x="connsiteX4017" y="connsiteY4017"/>
            </a:cxn>
            <a:cxn ang="0">
              <a:pos x="connsiteX4018" y="connsiteY4018"/>
            </a:cxn>
            <a:cxn ang="0">
              <a:pos x="connsiteX4019" y="connsiteY4019"/>
            </a:cxn>
            <a:cxn ang="0">
              <a:pos x="connsiteX4020" y="connsiteY4020"/>
            </a:cxn>
            <a:cxn ang="0">
              <a:pos x="connsiteX4021" y="connsiteY4021"/>
            </a:cxn>
            <a:cxn ang="0">
              <a:pos x="connsiteX4022" y="connsiteY4022"/>
            </a:cxn>
            <a:cxn ang="0">
              <a:pos x="connsiteX4023" y="connsiteY4023"/>
            </a:cxn>
            <a:cxn ang="0">
              <a:pos x="connsiteX4024" y="connsiteY4024"/>
            </a:cxn>
            <a:cxn ang="0">
              <a:pos x="connsiteX4025" y="connsiteY4025"/>
            </a:cxn>
            <a:cxn ang="0">
              <a:pos x="connsiteX4026" y="connsiteY4026"/>
            </a:cxn>
            <a:cxn ang="0">
              <a:pos x="connsiteX4027" y="connsiteY4027"/>
            </a:cxn>
            <a:cxn ang="0">
              <a:pos x="connsiteX4028" y="connsiteY4028"/>
            </a:cxn>
            <a:cxn ang="0">
              <a:pos x="connsiteX4029" y="connsiteY4029"/>
            </a:cxn>
            <a:cxn ang="0">
              <a:pos x="connsiteX4030" y="connsiteY4030"/>
            </a:cxn>
            <a:cxn ang="0">
              <a:pos x="connsiteX4031" y="connsiteY4031"/>
            </a:cxn>
            <a:cxn ang="0">
              <a:pos x="connsiteX4032" y="connsiteY4032"/>
            </a:cxn>
            <a:cxn ang="0">
              <a:pos x="connsiteX4033" y="connsiteY4033"/>
            </a:cxn>
            <a:cxn ang="0">
              <a:pos x="connsiteX4034" y="connsiteY4034"/>
            </a:cxn>
            <a:cxn ang="0">
              <a:pos x="connsiteX4035" y="connsiteY4035"/>
            </a:cxn>
            <a:cxn ang="0">
              <a:pos x="connsiteX4036" y="connsiteY4036"/>
            </a:cxn>
            <a:cxn ang="0">
              <a:pos x="connsiteX4037" y="connsiteY4037"/>
            </a:cxn>
            <a:cxn ang="0">
              <a:pos x="connsiteX4038" y="connsiteY4038"/>
            </a:cxn>
            <a:cxn ang="0">
              <a:pos x="connsiteX4039" y="connsiteY4039"/>
            </a:cxn>
            <a:cxn ang="0">
              <a:pos x="connsiteX4040" y="connsiteY4040"/>
            </a:cxn>
            <a:cxn ang="0">
              <a:pos x="connsiteX4041" y="connsiteY4041"/>
            </a:cxn>
            <a:cxn ang="0">
              <a:pos x="connsiteX4042" y="connsiteY4042"/>
            </a:cxn>
            <a:cxn ang="0">
              <a:pos x="connsiteX4043" y="connsiteY4043"/>
            </a:cxn>
            <a:cxn ang="0">
              <a:pos x="connsiteX4044" y="connsiteY4044"/>
            </a:cxn>
            <a:cxn ang="0">
              <a:pos x="connsiteX4045" y="connsiteY4045"/>
            </a:cxn>
            <a:cxn ang="0">
              <a:pos x="connsiteX4046" y="connsiteY4046"/>
            </a:cxn>
            <a:cxn ang="0">
              <a:pos x="connsiteX4047" y="connsiteY4047"/>
            </a:cxn>
            <a:cxn ang="0">
              <a:pos x="connsiteX4048" y="connsiteY4048"/>
            </a:cxn>
            <a:cxn ang="0">
              <a:pos x="connsiteX4049" y="connsiteY4049"/>
            </a:cxn>
            <a:cxn ang="0">
              <a:pos x="connsiteX4050" y="connsiteY4050"/>
            </a:cxn>
            <a:cxn ang="0">
              <a:pos x="connsiteX4051" y="connsiteY4051"/>
            </a:cxn>
            <a:cxn ang="0">
              <a:pos x="connsiteX4052" y="connsiteY4052"/>
            </a:cxn>
            <a:cxn ang="0">
              <a:pos x="connsiteX4053" y="connsiteY4053"/>
            </a:cxn>
            <a:cxn ang="0">
              <a:pos x="connsiteX4054" y="connsiteY4054"/>
            </a:cxn>
            <a:cxn ang="0">
              <a:pos x="connsiteX4055" y="connsiteY4055"/>
            </a:cxn>
            <a:cxn ang="0">
              <a:pos x="connsiteX4056" y="connsiteY4056"/>
            </a:cxn>
            <a:cxn ang="0">
              <a:pos x="connsiteX4057" y="connsiteY4057"/>
            </a:cxn>
            <a:cxn ang="0">
              <a:pos x="connsiteX4058" y="connsiteY4058"/>
            </a:cxn>
            <a:cxn ang="0">
              <a:pos x="connsiteX4059" y="connsiteY4059"/>
            </a:cxn>
            <a:cxn ang="0">
              <a:pos x="connsiteX4060" y="connsiteY4060"/>
            </a:cxn>
            <a:cxn ang="0">
              <a:pos x="connsiteX4061" y="connsiteY4061"/>
            </a:cxn>
            <a:cxn ang="0">
              <a:pos x="connsiteX4062" y="connsiteY4062"/>
            </a:cxn>
            <a:cxn ang="0">
              <a:pos x="connsiteX4063" y="connsiteY4063"/>
            </a:cxn>
            <a:cxn ang="0">
              <a:pos x="connsiteX4064" y="connsiteY4064"/>
            </a:cxn>
            <a:cxn ang="0">
              <a:pos x="connsiteX4065" y="connsiteY4065"/>
            </a:cxn>
            <a:cxn ang="0">
              <a:pos x="connsiteX4066" y="connsiteY4066"/>
            </a:cxn>
            <a:cxn ang="0">
              <a:pos x="connsiteX4067" y="connsiteY4067"/>
            </a:cxn>
            <a:cxn ang="0">
              <a:pos x="connsiteX4068" y="connsiteY4068"/>
            </a:cxn>
            <a:cxn ang="0">
              <a:pos x="connsiteX4069" y="connsiteY4069"/>
            </a:cxn>
            <a:cxn ang="0">
              <a:pos x="connsiteX4070" y="connsiteY4070"/>
            </a:cxn>
            <a:cxn ang="0">
              <a:pos x="connsiteX4071" y="connsiteY4071"/>
            </a:cxn>
            <a:cxn ang="0">
              <a:pos x="connsiteX4072" y="connsiteY4072"/>
            </a:cxn>
            <a:cxn ang="0">
              <a:pos x="connsiteX4073" y="connsiteY4073"/>
            </a:cxn>
            <a:cxn ang="0">
              <a:pos x="connsiteX4074" y="connsiteY4074"/>
            </a:cxn>
            <a:cxn ang="0">
              <a:pos x="connsiteX4075" y="connsiteY4075"/>
            </a:cxn>
            <a:cxn ang="0">
              <a:pos x="connsiteX4076" y="connsiteY4076"/>
            </a:cxn>
            <a:cxn ang="0">
              <a:pos x="connsiteX4077" y="connsiteY4077"/>
            </a:cxn>
            <a:cxn ang="0">
              <a:pos x="connsiteX4078" y="connsiteY4078"/>
            </a:cxn>
            <a:cxn ang="0">
              <a:pos x="connsiteX4079" y="connsiteY4079"/>
            </a:cxn>
            <a:cxn ang="0">
              <a:pos x="connsiteX4080" y="connsiteY4080"/>
            </a:cxn>
            <a:cxn ang="0">
              <a:pos x="connsiteX4081" y="connsiteY4081"/>
            </a:cxn>
            <a:cxn ang="0">
              <a:pos x="connsiteX4082" y="connsiteY4082"/>
            </a:cxn>
            <a:cxn ang="0">
              <a:pos x="connsiteX4083" y="connsiteY4083"/>
            </a:cxn>
            <a:cxn ang="0">
              <a:pos x="connsiteX4084" y="connsiteY4084"/>
            </a:cxn>
            <a:cxn ang="0">
              <a:pos x="connsiteX4085" y="connsiteY4085"/>
            </a:cxn>
            <a:cxn ang="0">
              <a:pos x="connsiteX4086" y="connsiteY4086"/>
            </a:cxn>
            <a:cxn ang="0">
              <a:pos x="connsiteX4087" y="connsiteY4087"/>
            </a:cxn>
            <a:cxn ang="0">
              <a:pos x="connsiteX4088" y="connsiteY4088"/>
            </a:cxn>
            <a:cxn ang="0">
              <a:pos x="connsiteX4089" y="connsiteY4089"/>
            </a:cxn>
            <a:cxn ang="0">
              <a:pos x="connsiteX4090" y="connsiteY4090"/>
            </a:cxn>
            <a:cxn ang="0">
              <a:pos x="connsiteX4091" y="connsiteY4091"/>
            </a:cxn>
            <a:cxn ang="0">
              <a:pos x="connsiteX4092" y="connsiteY4092"/>
            </a:cxn>
            <a:cxn ang="0">
              <a:pos x="connsiteX4093" y="connsiteY4093"/>
            </a:cxn>
            <a:cxn ang="0">
              <a:pos x="connsiteX4094" y="connsiteY4094"/>
            </a:cxn>
            <a:cxn ang="0">
              <a:pos x="connsiteX4095" y="connsiteY4095"/>
            </a:cxn>
            <a:cxn ang="0">
              <a:pos x="connsiteX4096" y="connsiteY4096"/>
            </a:cxn>
            <a:cxn ang="0">
              <a:pos x="connsiteX4097" y="connsiteY4097"/>
            </a:cxn>
            <a:cxn ang="0">
              <a:pos x="connsiteX4098" y="connsiteY4098"/>
            </a:cxn>
            <a:cxn ang="0">
              <a:pos x="connsiteX4099" y="connsiteY4099"/>
            </a:cxn>
            <a:cxn ang="0">
              <a:pos x="connsiteX4100" y="connsiteY4100"/>
            </a:cxn>
            <a:cxn ang="0">
              <a:pos x="connsiteX4101" y="connsiteY4101"/>
            </a:cxn>
            <a:cxn ang="0">
              <a:pos x="connsiteX4102" y="connsiteY4102"/>
            </a:cxn>
            <a:cxn ang="0">
              <a:pos x="connsiteX4103" y="connsiteY4103"/>
            </a:cxn>
            <a:cxn ang="0">
              <a:pos x="connsiteX4104" y="connsiteY4104"/>
            </a:cxn>
            <a:cxn ang="0">
              <a:pos x="connsiteX4105" y="connsiteY4105"/>
            </a:cxn>
            <a:cxn ang="0">
              <a:pos x="connsiteX4106" y="connsiteY4106"/>
            </a:cxn>
            <a:cxn ang="0">
              <a:pos x="connsiteX4107" y="connsiteY4107"/>
            </a:cxn>
            <a:cxn ang="0">
              <a:pos x="connsiteX4108" y="connsiteY4108"/>
            </a:cxn>
            <a:cxn ang="0">
              <a:pos x="connsiteX4109" y="connsiteY4109"/>
            </a:cxn>
            <a:cxn ang="0">
              <a:pos x="connsiteX4110" y="connsiteY4110"/>
            </a:cxn>
            <a:cxn ang="0">
              <a:pos x="connsiteX4111" y="connsiteY4111"/>
            </a:cxn>
            <a:cxn ang="0">
              <a:pos x="connsiteX4112" y="connsiteY4112"/>
            </a:cxn>
            <a:cxn ang="0">
              <a:pos x="connsiteX4113" y="connsiteY4113"/>
            </a:cxn>
            <a:cxn ang="0">
              <a:pos x="connsiteX4114" y="connsiteY4114"/>
            </a:cxn>
            <a:cxn ang="0">
              <a:pos x="connsiteX4115" y="connsiteY4115"/>
            </a:cxn>
            <a:cxn ang="0">
              <a:pos x="connsiteX4116" y="connsiteY4116"/>
            </a:cxn>
            <a:cxn ang="0">
              <a:pos x="connsiteX4117" y="connsiteY4117"/>
            </a:cxn>
            <a:cxn ang="0">
              <a:pos x="connsiteX4118" y="connsiteY4118"/>
            </a:cxn>
            <a:cxn ang="0">
              <a:pos x="connsiteX4119" y="connsiteY4119"/>
            </a:cxn>
            <a:cxn ang="0">
              <a:pos x="connsiteX4120" y="connsiteY4120"/>
            </a:cxn>
            <a:cxn ang="0">
              <a:pos x="connsiteX4121" y="connsiteY4121"/>
            </a:cxn>
            <a:cxn ang="0">
              <a:pos x="connsiteX4122" y="connsiteY4122"/>
            </a:cxn>
            <a:cxn ang="0">
              <a:pos x="connsiteX4123" y="connsiteY4123"/>
            </a:cxn>
            <a:cxn ang="0">
              <a:pos x="connsiteX4124" y="connsiteY4124"/>
            </a:cxn>
            <a:cxn ang="0">
              <a:pos x="connsiteX4125" y="connsiteY4125"/>
            </a:cxn>
            <a:cxn ang="0">
              <a:pos x="connsiteX4126" y="connsiteY4126"/>
            </a:cxn>
            <a:cxn ang="0">
              <a:pos x="connsiteX4127" y="connsiteY4127"/>
            </a:cxn>
            <a:cxn ang="0">
              <a:pos x="connsiteX4128" y="connsiteY4128"/>
            </a:cxn>
            <a:cxn ang="0">
              <a:pos x="connsiteX4129" y="connsiteY4129"/>
            </a:cxn>
            <a:cxn ang="0">
              <a:pos x="connsiteX4130" y="connsiteY4130"/>
            </a:cxn>
            <a:cxn ang="0">
              <a:pos x="connsiteX4131" y="connsiteY4131"/>
            </a:cxn>
            <a:cxn ang="0">
              <a:pos x="connsiteX4132" y="connsiteY4132"/>
            </a:cxn>
            <a:cxn ang="0">
              <a:pos x="connsiteX4133" y="connsiteY4133"/>
            </a:cxn>
            <a:cxn ang="0">
              <a:pos x="connsiteX4134" y="connsiteY4134"/>
            </a:cxn>
            <a:cxn ang="0">
              <a:pos x="connsiteX4135" y="connsiteY4135"/>
            </a:cxn>
            <a:cxn ang="0">
              <a:pos x="connsiteX4136" y="connsiteY4136"/>
            </a:cxn>
            <a:cxn ang="0">
              <a:pos x="connsiteX4137" y="connsiteY4137"/>
            </a:cxn>
            <a:cxn ang="0">
              <a:pos x="connsiteX4138" y="connsiteY4138"/>
            </a:cxn>
            <a:cxn ang="0">
              <a:pos x="connsiteX4139" y="connsiteY4139"/>
            </a:cxn>
            <a:cxn ang="0">
              <a:pos x="connsiteX4140" y="connsiteY4140"/>
            </a:cxn>
            <a:cxn ang="0">
              <a:pos x="connsiteX4141" y="connsiteY4141"/>
            </a:cxn>
            <a:cxn ang="0">
              <a:pos x="connsiteX4142" y="connsiteY4142"/>
            </a:cxn>
            <a:cxn ang="0">
              <a:pos x="connsiteX4143" y="connsiteY4143"/>
            </a:cxn>
            <a:cxn ang="0">
              <a:pos x="connsiteX4144" y="connsiteY4144"/>
            </a:cxn>
            <a:cxn ang="0">
              <a:pos x="connsiteX4145" y="connsiteY4145"/>
            </a:cxn>
            <a:cxn ang="0">
              <a:pos x="connsiteX4146" y="connsiteY4146"/>
            </a:cxn>
            <a:cxn ang="0">
              <a:pos x="connsiteX4147" y="connsiteY4147"/>
            </a:cxn>
            <a:cxn ang="0">
              <a:pos x="connsiteX4148" y="connsiteY4148"/>
            </a:cxn>
            <a:cxn ang="0">
              <a:pos x="connsiteX4149" y="connsiteY4149"/>
            </a:cxn>
            <a:cxn ang="0">
              <a:pos x="connsiteX4150" y="connsiteY4150"/>
            </a:cxn>
            <a:cxn ang="0">
              <a:pos x="connsiteX4151" y="connsiteY4151"/>
            </a:cxn>
            <a:cxn ang="0">
              <a:pos x="connsiteX4152" y="connsiteY4152"/>
            </a:cxn>
            <a:cxn ang="0">
              <a:pos x="connsiteX4153" y="connsiteY4153"/>
            </a:cxn>
            <a:cxn ang="0">
              <a:pos x="connsiteX4154" y="connsiteY4154"/>
            </a:cxn>
            <a:cxn ang="0">
              <a:pos x="connsiteX4155" y="connsiteY4155"/>
            </a:cxn>
            <a:cxn ang="0">
              <a:pos x="connsiteX4156" y="connsiteY4156"/>
            </a:cxn>
            <a:cxn ang="0">
              <a:pos x="connsiteX4157" y="connsiteY4157"/>
            </a:cxn>
            <a:cxn ang="0">
              <a:pos x="connsiteX4158" y="connsiteY4158"/>
            </a:cxn>
            <a:cxn ang="0">
              <a:pos x="connsiteX4159" y="connsiteY4159"/>
            </a:cxn>
            <a:cxn ang="0">
              <a:pos x="connsiteX4160" y="connsiteY4160"/>
            </a:cxn>
            <a:cxn ang="0">
              <a:pos x="connsiteX4161" y="connsiteY4161"/>
            </a:cxn>
            <a:cxn ang="0">
              <a:pos x="connsiteX4162" y="connsiteY4162"/>
            </a:cxn>
            <a:cxn ang="0">
              <a:pos x="connsiteX4163" y="connsiteY4163"/>
            </a:cxn>
            <a:cxn ang="0">
              <a:pos x="connsiteX4164" y="connsiteY4164"/>
            </a:cxn>
            <a:cxn ang="0">
              <a:pos x="connsiteX4165" y="connsiteY4165"/>
            </a:cxn>
            <a:cxn ang="0">
              <a:pos x="connsiteX4166" y="connsiteY4166"/>
            </a:cxn>
            <a:cxn ang="0">
              <a:pos x="connsiteX4167" y="connsiteY4167"/>
            </a:cxn>
            <a:cxn ang="0">
              <a:pos x="connsiteX4168" y="connsiteY4168"/>
            </a:cxn>
            <a:cxn ang="0">
              <a:pos x="connsiteX4169" y="connsiteY4169"/>
            </a:cxn>
            <a:cxn ang="0">
              <a:pos x="connsiteX4170" y="connsiteY4170"/>
            </a:cxn>
            <a:cxn ang="0">
              <a:pos x="connsiteX4171" y="connsiteY4171"/>
            </a:cxn>
            <a:cxn ang="0">
              <a:pos x="connsiteX4172" y="connsiteY4172"/>
            </a:cxn>
            <a:cxn ang="0">
              <a:pos x="connsiteX4173" y="connsiteY4173"/>
            </a:cxn>
            <a:cxn ang="0">
              <a:pos x="connsiteX4174" y="connsiteY4174"/>
            </a:cxn>
            <a:cxn ang="0">
              <a:pos x="connsiteX4175" y="connsiteY4175"/>
            </a:cxn>
            <a:cxn ang="0">
              <a:pos x="connsiteX4176" y="connsiteY4176"/>
            </a:cxn>
            <a:cxn ang="0">
              <a:pos x="connsiteX4177" y="connsiteY4177"/>
            </a:cxn>
            <a:cxn ang="0">
              <a:pos x="connsiteX4178" y="connsiteY4178"/>
            </a:cxn>
            <a:cxn ang="0">
              <a:pos x="connsiteX4179" y="connsiteY4179"/>
            </a:cxn>
            <a:cxn ang="0">
              <a:pos x="connsiteX4180" y="connsiteY4180"/>
            </a:cxn>
            <a:cxn ang="0">
              <a:pos x="connsiteX4181" y="connsiteY4181"/>
            </a:cxn>
            <a:cxn ang="0">
              <a:pos x="connsiteX4182" y="connsiteY4182"/>
            </a:cxn>
            <a:cxn ang="0">
              <a:pos x="connsiteX4183" y="connsiteY4183"/>
            </a:cxn>
            <a:cxn ang="0">
              <a:pos x="connsiteX4184" y="connsiteY4184"/>
            </a:cxn>
            <a:cxn ang="0">
              <a:pos x="connsiteX4185" y="connsiteY4185"/>
            </a:cxn>
            <a:cxn ang="0">
              <a:pos x="connsiteX4186" y="connsiteY4186"/>
            </a:cxn>
            <a:cxn ang="0">
              <a:pos x="connsiteX4187" y="connsiteY4187"/>
            </a:cxn>
            <a:cxn ang="0">
              <a:pos x="connsiteX4188" y="connsiteY4188"/>
            </a:cxn>
            <a:cxn ang="0">
              <a:pos x="connsiteX4189" y="connsiteY4189"/>
            </a:cxn>
            <a:cxn ang="0">
              <a:pos x="connsiteX4190" y="connsiteY4190"/>
            </a:cxn>
            <a:cxn ang="0">
              <a:pos x="connsiteX4191" y="connsiteY4191"/>
            </a:cxn>
            <a:cxn ang="0">
              <a:pos x="connsiteX4192" y="connsiteY4192"/>
            </a:cxn>
            <a:cxn ang="0">
              <a:pos x="connsiteX4193" y="connsiteY4193"/>
            </a:cxn>
            <a:cxn ang="0">
              <a:pos x="connsiteX4194" y="connsiteY4194"/>
            </a:cxn>
            <a:cxn ang="0">
              <a:pos x="connsiteX4195" y="connsiteY4195"/>
            </a:cxn>
            <a:cxn ang="0">
              <a:pos x="connsiteX4196" y="connsiteY4196"/>
            </a:cxn>
            <a:cxn ang="0">
              <a:pos x="connsiteX4197" y="connsiteY4197"/>
            </a:cxn>
            <a:cxn ang="0">
              <a:pos x="connsiteX4198" y="connsiteY4198"/>
            </a:cxn>
            <a:cxn ang="0">
              <a:pos x="connsiteX4199" y="connsiteY4199"/>
            </a:cxn>
            <a:cxn ang="0">
              <a:pos x="connsiteX4200" y="connsiteY4200"/>
            </a:cxn>
            <a:cxn ang="0">
              <a:pos x="connsiteX4201" y="connsiteY4201"/>
            </a:cxn>
            <a:cxn ang="0">
              <a:pos x="connsiteX4202" y="connsiteY4202"/>
            </a:cxn>
            <a:cxn ang="0">
              <a:pos x="connsiteX4203" y="connsiteY4203"/>
            </a:cxn>
            <a:cxn ang="0">
              <a:pos x="connsiteX4204" y="connsiteY4204"/>
            </a:cxn>
            <a:cxn ang="0">
              <a:pos x="connsiteX4205" y="connsiteY4205"/>
            </a:cxn>
            <a:cxn ang="0">
              <a:pos x="connsiteX4206" y="connsiteY4206"/>
            </a:cxn>
            <a:cxn ang="0">
              <a:pos x="connsiteX4207" y="connsiteY4207"/>
            </a:cxn>
            <a:cxn ang="0">
              <a:pos x="connsiteX4208" y="connsiteY4208"/>
            </a:cxn>
            <a:cxn ang="0">
              <a:pos x="connsiteX4209" y="connsiteY4209"/>
            </a:cxn>
            <a:cxn ang="0">
              <a:pos x="connsiteX4210" y="connsiteY4210"/>
            </a:cxn>
            <a:cxn ang="0">
              <a:pos x="connsiteX4211" y="connsiteY4211"/>
            </a:cxn>
            <a:cxn ang="0">
              <a:pos x="connsiteX4212" y="connsiteY4212"/>
            </a:cxn>
            <a:cxn ang="0">
              <a:pos x="connsiteX4213" y="connsiteY4213"/>
            </a:cxn>
            <a:cxn ang="0">
              <a:pos x="connsiteX4214" y="connsiteY4214"/>
            </a:cxn>
            <a:cxn ang="0">
              <a:pos x="connsiteX4215" y="connsiteY4215"/>
            </a:cxn>
            <a:cxn ang="0">
              <a:pos x="connsiteX4216" y="connsiteY4216"/>
            </a:cxn>
            <a:cxn ang="0">
              <a:pos x="connsiteX4217" y="connsiteY4217"/>
            </a:cxn>
            <a:cxn ang="0">
              <a:pos x="connsiteX4218" y="connsiteY4218"/>
            </a:cxn>
            <a:cxn ang="0">
              <a:pos x="connsiteX4219" y="connsiteY4219"/>
            </a:cxn>
            <a:cxn ang="0">
              <a:pos x="connsiteX4220" y="connsiteY4220"/>
            </a:cxn>
            <a:cxn ang="0">
              <a:pos x="connsiteX4221" y="connsiteY4221"/>
            </a:cxn>
            <a:cxn ang="0">
              <a:pos x="connsiteX4222" y="connsiteY4222"/>
            </a:cxn>
            <a:cxn ang="0">
              <a:pos x="connsiteX4223" y="connsiteY4223"/>
            </a:cxn>
            <a:cxn ang="0">
              <a:pos x="connsiteX4224" y="connsiteY4224"/>
            </a:cxn>
            <a:cxn ang="0">
              <a:pos x="connsiteX4225" y="connsiteY4225"/>
            </a:cxn>
            <a:cxn ang="0">
              <a:pos x="connsiteX4226" y="connsiteY4226"/>
            </a:cxn>
            <a:cxn ang="0">
              <a:pos x="connsiteX4227" y="connsiteY4227"/>
            </a:cxn>
            <a:cxn ang="0">
              <a:pos x="connsiteX4228" y="connsiteY4228"/>
            </a:cxn>
            <a:cxn ang="0">
              <a:pos x="connsiteX4229" y="connsiteY4229"/>
            </a:cxn>
            <a:cxn ang="0">
              <a:pos x="connsiteX4230" y="connsiteY4230"/>
            </a:cxn>
            <a:cxn ang="0">
              <a:pos x="connsiteX4231" y="connsiteY4231"/>
            </a:cxn>
            <a:cxn ang="0">
              <a:pos x="connsiteX4232" y="connsiteY4232"/>
            </a:cxn>
            <a:cxn ang="0">
              <a:pos x="connsiteX4233" y="connsiteY4233"/>
            </a:cxn>
            <a:cxn ang="0">
              <a:pos x="connsiteX4234" y="connsiteY4234"/>
            </a:cxn>
            <a:cxn ang="0">
              <a:pos x="connsiteX4235" y="connsiteY4235"/>
            </a:cxn>
            <a:cxn ang="0">
              <a:pos x="connsiteX4236" y="connsiteY4236"/>
            </a:cxn>
            <a:cxn ang="0">
              <a:pos x="connsiteX4237" y="connsiteY4237"/>
            </a:cxn>
            <a:cxn ang="0">
              <a:pos x="connsiteX4238" y="connsiteY4238"/>
            </a:cxn>
            <a:cxn ang="0">
              <a:pos x="connsiteX4239" y="connsiteY4239"/>
            </a:cxn>
            <a:cxn ang="0">
              <a:pos x="connsiteX4240" y="connsiteY4240"/>
            </a:cxn>
            <a:cxn ang="0">
              <a:pos x="connsiteX4241" y="connsiteY4241"/>
            </a:cxn>
            <a:cxn ang="0">
              <a:pos x="connsiteX4242" y="connsiteY4242"/>
            </a:cxn>
            <a:cxn ang="0">
              <a:pos x="connsiteX4243" y="connsiteY4243"/>
            </a:cxn>
            <a:cxn ang="0">
              <a:pos x="connsiteX4244" y="connsiteY4244"/>
            </a:cxn>
            <a:cxn ang="0">
              <a:pos x="connsiteX4245" y="connsiteY4245"/>
            </a:cxn>
            <a:cxn ang="0">
              <a:pos x="connsiteX4246" y="connsiteY4246"/>
            </a:cxn>
            <a:cxn ang="0">
              <a:pos x="connsiteX4247" y="connsiteY4247"/>
            </a:cxn>
            <a:cxn ang="0">
              <a:pos x="connsiteX4248" y="connsiteY4248"/>
            </a:cxn>
            <a:cxn ang="0">
              <a:pos x="connsiteX4249" y="connsiteY4249"/>
            </a:cxn>
            <a:cxn ang="0">
              <a:pos x="connsiteX4250" y="connsiteY4250"/>
            </a:cxn>
            <a:cxn ang="0">
              <a:pos x="connsiteX4251" y="connsiteY4251"/>
            </a:cxn>
            <a:cxn ang="0">
              <a:pos x="connsiteX4252" y="connsiteY4252"/>
            </a:cxn>
            <a:cxn ang="0">
              <a:pos x="connsiteX4253" y="connsiteY4253"/>
            </a:cxn>
            <a:cxn ang="0">
              <a:pos x="connsiteX4254" y="connsiteY4254"/>
            </a:cxn>
            <a:cxn ang="0">
              <a:pos x="connsiteX4255" y="connsiteY4255"/>
            </a:cxn>
            <a:cxn ang="0">
              <a:pos x="connsiteX4256" y="connsiteY4256"/>
            </a:cxn>
            <a:cxn ang="0">
              <a:pos x="connsiteX4257" y="connsiteY4257"/>
            </a:cxn>
            <a:cxn ang="0">
              <a:pos x="connsiteX4258" y="connsiteY4258"/>
            </a:cxn>
            <a:cxn ang="0">
              <a:pos x="connsiteX4259" y="connsiteY4259"/>
            </a:cxn>
            <a:cxn ang="0">
              <a:pos x="connsiteX4260" y="connsiteY4260"/>
            </a:cxn>
            <a:cxn ang="0">
              <a:pos x="connsiteX4261" y="connsiteY4261"/>
            </a:cxn>
            <a:cxn ang="0">
              <a:pos x="connsiteX4262" y="connsiteY4262"/>
            </a:cxn>
            <a:cxn ang="0">
              <a:pos x="connsiteX4263" y="connsiteY4263"/>
            </a:cxn>
            <a:cxn ang="0">
              <a:pos x="connsiteX4264" y="connsiteY4264"/>
            </a:cxn>
            <a:cxn ang="0">
              <a:pos x="connsiteX4265" y="connsiteY4265"/>
            </a:cxn>
            <a:cxn ang="0">
              <a:pos x="connsiteX4266" y="connsiteY4266"/>
            </a:cxn>
            <a:cxn ang="0">
              <a:pos x="connsiteX4267" y="connsiteY4267"/>
            </a:cxn>
            <a:cxn ang="0">
              <a:pos x="connsiteX4268" y="connsiteY4268"/>
            </a:cxn>
            <a:cxn ang="0">
              <a:pos x="connsiteX4269" y="connsiteY4269"/>
            </a:cxn>
            <a:cxn ang="0">
              <a:pos x="connsiteX4270" y="connsiteY4270"/>
            </a:cxn>
            <a:cxn ang="0">
              <a:pos x="connsiteX4271" y="connsiteY4271"/>
            </a:cxn>
            <a:cxn ang="0">
              <a:pos x="connsiteX4272" y="connsiteY4272"/>
            </a:cxn>
            <a:cxn ang="0">
              <a:pos x="connsiteX4273" y="connsiteY4273"/>
            </a:cxn>
            <a:cxn ang="0">
              <a:pos x="connsiteX4274" y="connsiteY4274"/>
            </a:cxn>
            <a:cxn ang="0">
              <a:pos x="connsiteX4275" y="connsiteY4275"/>
            </a:cxn>
            <a:cxn ang="0">
              <a:pos x="connsiteX4276" y="connsiteY4276"/>
            </a:cxn>
            <a:cxn ang="0">
              <a:pos x="connsiteX4277" y="connsiteY4277"/>
            </a:cxn>
            <a:cxn ang="0">
              <a:pos x="connsiteX4278" y="connsiteY4278"/>
            </a:cxn>
            <a:cxn ang="0">
              <a:pos x="connsiteX4279" y="connsiteY4279"/>
            </a:cxn>
            <a:cxn ang="0">
              <a:pos x="connsiteX4280" y="connsiteY4280"/>
            </a:cxn>
            <a:cxn ang="0">
              <a:pos x="connsiteX4281" y="connsiteY4281"/>
            </a:cxn>
            <a:cxn ang="0">
              <a:pos x="connsiteX4282" y="connsiteY4282"/>
            </a:cxn>
            <a:cxn ang="0">
              <a:pos x="connsiteX4283" y="connsiteY4283"/>
            </a:cxn>
            <a:cxn ang="0">
              <a:pos x="connsiteX4284" y="connsiteY4284"/>
            </a:cxn>
            <a:cxn ang="0">
              <a:pos x="connsiteX4285" y="connsiteY4285"/>
            </a:cxn>
            <a:cxn ang="0">
              <a:pos x="connsiteX4286" y="connsiteY4286"/>
            </a:cxn>
            <a:cxn ang="0">
              <a:pos x="connsiteX4287" y="connsiteY4287"/>
            </a:cxn>
            <a:cxn ang="0">
              <a:pos x="connsiteX4288" y="connsiteY4288"/>
            </a:cxn>
            <a:cxn ang="0">
              <a:pos x="connsiteX4289" y="connsiteY4289"/>
            </a:cxn>
            <a:cxn ang="0">
              <a:pos x="connsiteX4290" y="connsiteY4290"/>
            </a:cxn>
            <a:cxn ang="0">
              <a:pos x="connsiteX4291" y="connsiteY4291"/>
            </a:cxn>
            <a:cxn ang="0">
              <a:pos x="connsiteX4292" y="connsiteY4292"/>
            </a:cxn>
            <a:cxn ang="0">
              <a:pos x="connsiteX4293" y="connsiteY4293"/>
            </a:cxn>
            <a:cxn ang="0">
              <a:pos x="connsiteX4294" y="connsiteY4294"/>
            </a:cxn>
            <a:cxn ang="0">
              <a:pos x="connsiteX4295" y="connsiteY4295"/>
            </a:cxn>
            <a:cxn ang="0">
              <a:pos x="connsiteX4296" y="connsiteY4296"/>
            </a:cxn>
            <a:cxn ang="0">
              <a:pos x="connsiteX4297" y="connsiteY4297"/>
            </a:cxn>
            <a:cxn ang="0">
              <a:pos x="connsiteX4298" y="connsiteY4298"/>
            </a:cxn>
            <a:cxn ang="0">
              <a:pos x="connsiteX4299" y="connsiteY4299"/>
            </a:cxn>
            <a:cxn ang="0">
              <a:pos x="connsiteX4300" y="connsiteY4300"/>
            </a:cxn>
            <a:cxn ang="0">
              <a:pos x="connsiteX4301" y="connsiteY4301"/>
            </a:cxn>
            <a:cxn ang="0">
              <a:pos x="connsiteX4302" y="connsiteY4302"/>
            </a:cxn>
            <a:cxn ang="0">
              <a:pos x="connsiteX4303" y="connsiteY4303"/>
            </a:cxn>
            <a:cxn ang="0">
              <a:pos x="connsiteX4304" y="connsiteY4304"/>
            </a:cxn>
            <a:cxn ang="0">
              <a:pos x="connsiteX4305" y="connsiteY4305"/>
            </a:cxn>
            <a:cxn ang="0">
              <a:pos x="connsiteX4306" y="connsiteY4306"/>
            </a:cxn>
            <a:cxn ang="0">
              <a:pos x="connsiteX4307" y="connsiteY4307"/>
            </a:cxn>
            <a:cxn ang="0">
              <a:pos x="connsiteX4308" y="connsiteY4308"/>
            </a:cxn>
            <a:cxn ang="0">
              <a:pos x="connsiteX4309" y="connsiteY4309"/>
            </a:cxn>
            <a:cxn ang="0">
              <a:pos x="connsiteX4310" y="connsiteY4310"/>
            </a:cxn>
            <a:cxn ang="0">
              <a:pos x="connsiteX4311" y="connsiteY4311"/>
            </a:cxn>
            <a:cxn ang="0">
              <a:pos x="connsiteX4312" y="connsiteY4312"/>
            </a:cxn>
            <a:cxn ang="0">
              <a:pos x="connsiteX4313" y="connsiteY4313"/>
            </a:cxn>
            <a:cxn ang="0">
              <a:pos x="connsiteX4314" y="connsiteY4314"/>
            </a:cxn>
            <a:cxn ang="0">
              <a:pos x="connsiteX4315" y="connsiteY4315"/>
            </a:cxn>
            <a:cxn ang="0">
              <a:pos x="connsiteX4316" y="connsiteY4316"/>
            </a:cxn>
            <a:cxn ang="0">
              <a:pos x="connsiteX4317" y="connsiteY4317"/>
            </a:cxn>
            <a:cxn ang="0">
              <a:pos x="connsiteX4318" y="connsiteY4318"/>
            </a:cxn>
            <a:cxn ang="0">
              <a:pos x="connsiteX4319" y="connsiteY4319"/>
            </a:cxn>
            <a:cxn ang="0">
              <a:pos x="connsiteX4320" y="connsiteY4320"/>
            </a:cxn>
            <a:cxn ang="0">
              <a:pos x="connsiteX4321" y="connsiteY4321"/>
            </a:cxn>
            <a:cxn ang="0">
              <a:pos x="connsiteX4322" y="connsiteY4322"/>
            </a:cxn>
            <a:cxn ang="0">
              <a:pos x="connsiteX4323" y="connsiteY4323"/>
            </a:cxn>
            <a:cxn ang="0">
              <a:pos x="connsiteX4324" y="connsiteY4324"/>
            </a:cxn>
            <a:cxn ang="0">
              <a:pos x="connsiteX4325" y="connsiteY4325"/>
            </a:cxn>
            <a:cxn ang="0">
              <a:pos x="connsiteX4326" y="connsiteY4326"/>
            </a:cxn>
            <a:cxn ang="0">
              <a:pos x="connsiteX4327" y="connsiteY4327"/>
            </a:cxn>
            <a:cxn ang="0">
              <a:pos x="connsiteX4328" y="connsiteY4328"/>
            </a:cxn>
            <a:cxn ang="0">
              <a:pos x="connsiteX4329" y="connsiteY4329"/>
            </a:cxn>
            <a:cxn ang="0">
              <a:pos x="connsiteX4330" y="connsiteY4330"/>
            </a:cxn>
            <a:cxn ang="0">
              <a:pos x="connsiteX4331" y="connsiteY4331"/>
            </a:cxn>
            <a:cxn ang="0">
              <a:pos x="connsiteX4332" y="connsiteY4332"/>
            </a:cxn>
            <a:cxn ang="0">
              <a:pos x="connsiteX4333" y="connsiteY4333"/>
            </a:cxn>
            <a:cxn ang="0">
              <a:pos x="connsiteX4334" y="connsiteY4334"/>
            </a:cxn>
            <a:cxn ang="0">
              <a:pos x="connsiteX4335" y="connsiteY4335"/>
            </a:cxn>
            <a:cxn ang="0">
              <a:pos x="connsiteX4336" y="connsiteY4336"/>
            </a:cxn>
            <a:cxn ang="0">
              <a:pos x="connsiteX4337" y="connsiteY4337"/>
            </a:cxn>
            <a:cxn ang="0">
              <a:pos x="connsiteX4338" y="connsiteY4338"/>
            </a:cxn>
            <a:cxn ang="0">
              <a:pos x="connsiteX4339" y="connsiteY4339"/>
            </a:cxn>
            <a:cxn ang="0">
              <a:pos x="connsiteX4340" y="connsiteY4340"/>
            </a:cxn>
            <a:cxn ang="0">
              <a:pos x="connsiteX4341" y="connsiteY4341"/>
            </a:cxn>
            <a:cxn ang="0">
              <a:pos x="connsiteX4342" y="connsiteY4342"/>
            </a:cxn>
            <a:cxn ang="0">
              <a:pos x="connsiteX4343" y="connsiteY4343"/>
            </a:cxn>
            <a:cxn ang="0">
              <a:pos x="connsiteX4344" y="connsiteY4344"/>
            </a:cxn>
            <a:cxn ang="0">
              <a:pos x="connsiteX4345" y="connsiteY4345"/>
            </a:cxn>
            <a:cxn ang="0">
              <a:pos x="connsiteX4346" y="connsiteY4346"/>
            </a:cxn>
            <a:cxn ang="0">
              <a:pos x="connsiteX4347" y="connsiteY4347"/>
            </a:cxn>
            <a:cxn ang="0">
              <a:pos x="connsiteX4348" y="connsiteY4348"/>
            </a:cxn>
            <a:cxn ang="0">
              <a:pos x="connsiteX4349" y="connsiteY4349"/>
            </a:cxn>
            <a:cxn ang="0">
              <a:pos x="connsiteX4350" y="connsiteY4350"/>
            </a:cxn>
            <a:cxn ang="0">
              <a:pos x="connsiteX4351" y="connsiteY4351"/>
            </a:cxn>
            <a:cxn ang="0">
              <a:pos x="connsiteX4352" y="connsiteY4352"/>
            </a:cxn>
            <a:cxn ang="0">
              <a:pos x="connsiteX4353" y="connsiteY4353"/>
            </a:cxn>
            <a:cxn ang="0">
              <a:pos x="connsiteX4354" y="connsiteY4354"/>
            </a:cxn>
            <a:cxn ang="0">
              <a:pos x="connsiteX4355" y="connsiteY4355"/>
            </a:cxn>
            <a:cxn ang="0">
              <a:pos x="connsiteX4356" y="connsiteY4356"/>
            </a:cxn>
            <a:cxn ang="0">
              <a:pos x="connsiteX4357" y="connsiteY4357"/>
            </a:cxn>
            <a:cxn ang="0">
              <a:pos x="connsiteX4358" y="connsiteY4358"/>
            </a:cxn>
            <a:cxn ang="0">
              <a:pos x="connsiteX4359" y="connsiteY4359"/>
            </a:cxn>
            <a:cxn ang="0">
              <a:pos x="connsiteX4360" y="connsiteY4360"/>
            </a:cxn>
            <a:cxn ang="0">
              <a:pos x="connsiteX4361" y="connsiteY4361"/>
            </a:cxn>
            <a:cxn ang="0">
              <a:pos x="connsiteX4362" y="connsiteY4362"/>
            </a:cxn>
            <a:cxn ang="0">
              <a:pos x="connsiteX4363" y="connsiteY4363"/>
            </a:cxn>
            <a:cxn ang="0">
              <a:pos x="connsiteX4364" y="connsiteY4364"/>
            </a:cxn>
            <a:cxn ang="0">
              <a:pos x="connsiteX4365" y="connsiteY4365"/>
            </a:cxn>
            <a:cxn ang="0">
              <a:pos x="connsiteX4366" y="connsiteY4366"/>
            </a:cxn>
            <a:cxn ang="0">
              <a:pos x="connsiteX4367" y="connsiteY4367"/>
            </a:cxn>
            <a:cxn ang="0">
              <a:pos x="connsiteX4368" y="connsiteY4368"/>
            </a:cxn>
            <a:cxn ang="0">
              <a:pos x="connsiteX4369" y="connsiteY4369"/>
            </a:cxn>
            <a:cxn ang="0">
              <a:pos x="connsiteX4370" y="connsiteY4370"/>
            </a:cxn>
            <a:cxn ang="0">
              <a:pos x="connsiteX4371" y="connsiteY4371"/>
            </a:cxn>
            <a:cxn ang="0">
              <a:pos x="connsiteX4372" y="connsiteY4372"/>
            </a:cxn>
            <a:cxn ang="0">
              <a:pos x="connsiteX4373" y="connsiteY4373"/>
            </a:cxn>
            <a:cxn ang="0">
              <a:pos x="connsiteX4374" y="connsiteY4374"/>
            </a:cxn>
            <a:cxn ang="0">
              <a:pos x="connsiteX4375" y="connsiteY4375"/>
            </a:cxn>
            <a:cxn ang="0">
              <a:pos x="connsiteX4376" y="connsiteY4376"/>
            </a:cxn>
            <a:cxn ang="0">
              <a:pos x="connsiteX4377" y="connsiteY4377"/>
            </a:cxn>
            <a:cxn ang="0">
              <a:pos x="connsiteX4378" y="connsiteY4378"/>
            </a:cxn>
            <a:cxn ang="0">
              <a:pos x="connsiteX4379" y="connsiteY4379"/>
            </a:cxn>
            <a:cxn ang="0">
              <a:pos x="connsiteX4380" y="connsiteY4380"/>
            </a:cxn>
            <a:cxn ang="0">
              <a:pos x="connsiteX4381" y="connsiteY4381"/>
            </a:cxn>
            <a:cxn ang="0">
              <a:pos x="connsiteX4382" y="connsiteY4382"/>
            </a:cxn>
            <a:cxn ang="0">
              <a:pos x="connsiteX4383" y="connsiteY4383"/>
            </a:cxn>
            <a:cxn ang="0">
              <a:pos x="connsiteX4384" y="connsiteY4384"/>
            </a:cxn>
            <a:cxn ang="0">
              <a:pos x="connsiteX4385" y="connsiteY4385"/>
            </a:cxn>
            <a:cxn ang="0">
              <a:pos x="connsiteX4386" y="connsiteY4386"/>
            </a:cxn>
            <a:cxn ang="0">
              <a:pos x="connsiteX4387" y="connsiteY4387"/>
            </a:cxn>
            <a:cxn ang="0">
              <a:pos x="connsiteX4388" y="connsiteY4388"/>
            </a:cxn>
            <a:cxn ang="0">
              <a:pos x="connsiteX4389" y="connsiteY4389"/>
            </a:cxn>
            <a:cxn ang="0">
              <a:pos x="connsiteX4390" y="connsiteY4390"/>
            </a:cxn>
            <a:cxn ang="0">
              <a:pos x="connsiteX4391" y="connsiteY4391"/>
            </a:cxn>
            <a:cxn ang="0">
              <a:pos x="connsiteX4392" y="connsiteY4392"/>
            </a:cxn>
            <a:cxn ang="0">
              <a:pos x="connsiteX4393" y="connsiteY4393"/>
            </a:cxn>
            <a:cxn ang="0">
              <a:pos x="connsiteX4394" y="connsiteY4394"/>
            </a:cxn>
            <a:cxn ang="0">
              <a:pos x="connsiteX4395" y="connsiteY4395"/>
            </a:cxn>
            <a:cxn ang="0">
              <a:pos x="connsiteX4396" y="connsiteY4396"/>
            </a:cxn>
            <a:cxn ang="0">
              <a:pos x="connsiteX4397" y="connsiteY4397"/>
            </a:cxn>
            <a:cxn ang="0">
              <a:pos x="connsiteX4398" y="connsiteY4398"/>
            </a:cxn>
            <a:cxn ang="0">
              <a:pos x="connsiteX4399" y="connsiteY4399"/>
            </a:cxn>
            <a:cxn ang="0">
              <a:pos x="connsiteX4400" y="connsiteY4400"/>
            </a:cxn>
            <a:cxn ang="0">
              <a:pos x="connsiteX4401" y="connsiteY4401"/>
            </a:cxn>
            <a:cxn ang="0">
              <a:pos x="connsiteX4402" y="connsiteY4402"/>
            </a:cxn>
            <a:cxn ang="0">
              <a:pos x="connsiteX4403" y="connsiteY4403"/>
            </a:cxn>
            <a:cxn ang="0">
              <a:pos x="connsiteX4404" y="connsiteY4404"/>
            </a:cxn>
            <a:cxn ang="0">
              <a:pos x="connsiteX4405" y="connsiteY4405"/>
            </a:cxn>
            <a:cxn ang="0">
              <a:pos x="connsiteX4406" y="connsiteY4406"/>
            </a:cxn>
            <a:cxn ang="0">
              <a:pos x="connsiteX4407" y="connsiteY4407"/>
            </a:cxn>
            <a:cxn ang="0">
              <a:pos x="connsiteX4408" y="connsiteY4408"/>
            </a:cxn>
            <a:cxn ang="0">
              <a:pos x="connsiteX4409" y="connsiteY4409"/>
            </a:cxn>
            <a:cxn ang="0">
              <a:pos x="connsiteX4410" y="connsiteY4410"/>
            </a:cxn>
            <a:cxn ang="0">
              <a:pos x="connsiteX4411" y="connsiteY4411"/>
            </a:cxn>
            <a:cxn ang="0">
              <a:pos x="connsiteX4412" y="connsiteY4412"/>
            </a:cxn>
            <a:cxn ang="0">
              <a:pos x="connsiteX4413" y="connsiteY4413"/>
            </a:cxn>
            <a:cxn ang="0">
              <a:pos x="connsiteX4414" y="connsiteY4414"/>
            </a:cxn>
            <a:cxn ang="0">
              <a:pos x="connsiteX4415" y="connsiteY4415"/>
            </a:cxn>
            <a:cxn ang="0">
              <a:pos x="connsiteX4416" y="connsiteY4416"/>
            </a:cxn>
            <a:cxn ang="0">
              <a:pos x="connsiteX4417" y="connsiteY4417"/>
            </a:cxn>
            <a:cxn ang="0">
              <a:pos x="connsiteX4418" y="connsiteY4418"/>
            </a:cxn>
            <a:cxn ang="0">
              <a:pos x="connsiteX4419" y="connsiteY4419"/>
            </a:cxn>
            <a:cxn ang="0">
              <a:pos x="connsiteX4420" y="connsiteY4420"/>
            </a:cxn>
            <a:cxn ang="0">
              <a:pos x="connsiteX4421" y="connsiteY4421"/>
            </a:cxn>
            <a:cxn ang="0">
              <a:pos x="connsiteX4422" y="connsiteY4422"/>
            </a:cxn>
            <a:cxn ang="0">
              <a:pos x="connsiteX4423" y="connsiteY4423"/>
            </a:cxn>
            <a:cxn ang="0">
              <a:pos x="connsiteX4424" y="connsiteY4424"/>
            </a:cxn>
            <a:cxn ang="0">
              <a:pos x="connsiteX4425" y="connsiteY4425"/>
            </a:cxn>
            <a:cxn ang="0">
              <a:pos x="connsiteX4426" y="connsiteY4426"/>
            </a:cxn>
            <a:cxn ang="0">
              <a:pos x="connsiteX4427" y="connsiteY4427"/>
            </a:cxn>
            <a:cxn ang="0">
              <a:pos x="connsiteX4428" y="connsiteY4428"/>
            </a:cxn>
            <a:cxn ang="0">
              <a:pos x="connsiteX4429" y="connsiteY4429"/>
            </a:cxn>
            <a:cxn ang="0">
              <a:pos x="connsiteX4430" y="connsiteY4430"/>
            </a:cxn>
            <a:cxn ang="0">
              <a:pos x="connsiteX4431" y="connsiteY4431"/>
            </a:cxn>
            <a:cxn ang="0">
              <a:pos x="connsiteX4432" y="connsiteY4432"/>
            </a:cxn>
            <a:cxn ang="0">
              <a:pos x="connsiteX4433" y="connsiteY4433"/>
            </a:cxn>
            <a:cxn ang="0">
              <a:pos x="connsiteX4434" y="connsiteY4434"/>
            </a:cxn>
            <a:cxn ang="0">
              <a:pos x="connsiteX4435" y="connsiteY4435"/>
            </a:cxn>
            <a:cxn ang="0">
              <a:pos x="connsiteX4436" y="connsiteY4436"/>
            </a:cxn>
            <a:cxn ang="0">
              <a:pos x="connsiteX4437" y="connsiteY4437"/>
            </a:cxn>
            <a:cxn ang="0">
              <a:pos x="connsiteX4438" y="connsiteY4438"/>
            </a:cxn>
            <a:cxn ang="0">
              <a:pos x="connsiteX4439" y="connsiteY4439"/>
            </a:cxn>
            <a:cxn ang="0">
              <a:pos x="connsiteX4440" y="connsiteY4440"/>
            </a:cxn>
            <a:cxn ang="0">
              <a:pos x="connsiteX4441" y="connsiteY4441"/>
            </a:cxn>
            <a:cxn ang="0">
              <a:pos x="connsiteX4442" y="connsiteY4442"/>
            </a:cxn>
            <a:cxn ang="0">
              <a:pos x="connsiteX4443" y="connsiteY4443"/>
            </a:cxn>
            <a:cxn ang="0">
              <a:pos x="connsiteX4444" y="connsiteY4444"/>
            </a:cxn>
            <a:cxn ang="0">
              <a:pos x="connsiteX4445" y="connsiteY4445"/>
            </a:cxn>
            <a:cxn ang="0">
              <a:pos x="connsiteX4446" y="connsiteY4446"/>
            </a:cxn>
            <a:cxn ang="0">
              <a:pos x="connsiteX4447" y="connsiteY4447"/>
            </a:cxn>
            <a:cxn ang="0">
              <a:pos x="connsiteX4448" y="connsiteY4448"/>
            </a:cxn>
            <a:cxn ang="0">
              <a:pos x="connsiteX4449" y="connsiteY4449"/>
            </a:cxn>
            <a:cxn ang="0">
              <a:pos x="connsiteX4450" y="connsiteY4450"/>
            </a:cxn>
            <a:cxn ang="0">
              <a:pos x="connsiteX4451" y="connsiteY4451"/>
            </a:cxn>
            <a:cxn ang="0">
              <a:pos x="connsiteX4452" y="connsiteY4452"/>
            </a:cxn>
            <a:cxn ang="0">
              <a:pos x="connsiteX4453" y="connsiteY4453"/>
            </a:cxn>
            <a:cxn ang="0">
              <a:pos x="connsiteX4454" y="connsiteY4454"/>
            </a:cxn>
            <a:cxn ang="0">
              <a:pos x="connsiteX4455" y="connsiteY4455"/>
            </a:cxn>
            <a:cxn ang="0">
              <a:pos x="connsiteX4456" y="connsiteY4456"/>
            </a:cxn>
            <a:cxn ang="0">
              <a:pos x="connsiteX4457" y="connsiteY4457"/>
            </a:cxn>
            <a:cxn ang="0">
              <a:pos x="connsiteX4458" y="connsiteY4458"/>
            </a:cxn>
            <a:cxn ang="0">
              <a:pos x="connsiteX4459" y="connsiteY4459"/>
            </a:cxn>
            <a:cxn ang="0">
              <a:pos x="connsiteX4460" y="connsiteY4460"/>
            </a:cxn>
            <a:cxn ang="0">
              <a:pos x="connsiteX4461" y="connsiteY4461"/>
            </a:cxn>
            <a:cxn ang="0">
              <a:pos x="connsiteX4462" y="connsiteY4462"/>
            </a:cxn>
            <a:cxn ang="0">
              <a:pos x="connsiteX4463" y="connsiteY4463"/>
            </a:cxn>
            <a:cxn ang="0">
              <a:pos x="connsiteX4464" y="connsiteY4464"/>
            </a:cxn>
            <a:cxn ang="0">
              <a:pos x="connsiteX4465" y="connsiteY4465"/>
            </a:cxn>
            <a:cxn ang="0">
              <a:pos x="connsiteX4466" y="connsiteY4466"/>
            </a:cxn>
            <a:cxn ang="0">
              <a:pos x="connsiteX4467" y="connsiteY4467"/>
            </a:cxn>
            <a:cxn ang="0">
              <a:pos x="connsiteX4468" y="connsiteY4468"/>
            </a:cxn>
            <a:cxn ang="0">
              <a:pos x="connsiteX4469" y="connsiteY4469"/>
            </a:cxn>
            <a:cxn ang="0">
              <a:pos x="connsiteX4470" y="connsiteY4470"/>
            </a:cxn>
            <a:cxn ang="0">
              <a:pos x="connsiteX4471" y="connsiteY4471"/>
            </a:cxn>
            <a:cxn ang="0">
              <a:pos x="connsiteX4472" y="connsiteY4472"/>
            </a:cxn>
            <a:cxn ang="0">
              <a:pos x="connsiteX4473" y="connsiteY4473"/>
            </a:cxn>
            <a:cxn ang="0">
              <a:pos x="connsiteX4474" y="connsiteY4474"/>
            </a:cxn>
            <a:cxn ang="0">
              <a:pos x="connsiteX4475" y="connsiteY4475"/>
            </a:cxn>
            <a:cxn ang="0">
              <a:pos x="connsiteX4476" y="connsiteY4476"/>
            </a:cxn>
            <a:cxn ang="0">
              <a:pos x="connsiteX4477" y="connsiteY4477"/>
            </a:cxn>
            <a:cxn ang="0">
              <a:pos x="connsiteX4478" y="connsiteY4478"/>
            </a:cxn>
            <a:cxn ang="0">
              <a:pos x="connsiteX4479" y="connsiteY4479"/>
            </a:cxn>
            <a:cxn ang="0">
              <a:pos x="connsiteX4480" y="connsiteY4480"/>
            </a:cxn>
            <a:cxn ang="0">
              <a:pos x="connsiteX4481" y="connsiteY4481"/>
            </a:cxn>
            <a:cxn ang="0">
              <a:pos x="connsiteX4482" y="connsiteY4482"/>
            </a:cxn>
            <a:cxn ang="0">
              <a:pos x="connsiteX4483" y="connsiteY4483"/>
            </a:cxn>
            <a:cxn ang="0">
              <a:pos x="connsiteX4484" y="connsiteY4484"/>
            </a:cxn>
            <a:cxn ang="0">
              <a:pos x="connsiteX4485" y="connsiteY4485"/>
            </a:cxn>
            <a:cxn ang="0">
              <a:pos x="connsiteX4486" y="connsiteY4486"/>
            </a:cxn>
            <a:cxn ang="0">
              <a:pos x="connsiteX4487" y="connsiteY4487"/>
            </a:cxn>
            <a:cxn ang="0">
              <a:pos x="connsiteX4488" y="connsiteY4488"/>
            </a:cxn>
            <a:cxn ang="0">
              <a:pos x="connsiteX4489" y="connsiteY4489"/>
            </a:cxn>
            <a:cxn ang="0">
              <a:pos x="connsiteX4490" y="connsiteY4490"/>
            </a:cxn>
            <a:cxn ang="0">
              <a:pos x="connsiteX4491" y="connsiteY4491"/>
            </a:cxn>
            <a:cxn ang="0">
              <a:pos x="connsiteX4492" y="connsiteY4492"/>
            </a:cxn>
            <a:cxn ang="0">
              <a:pos x="connsiteX4493" y="connsiteY4493"/>
            </a:cxn>
            <a:cxn ang="0">
              <a:pos x="connsiteX4494" y="connsiteY4494"/>
            </a:cxn>
            <a:cxn ang="0">
              <a:pos x="connsiteX4495" y="connsiteY4495"/>
            </a:cxn>
            <a:cxn ang="0">
              <a:pos x="connsiteX4496" y="connsiteY4496"/>
            </a:cxn>
            <a:cxn ang="0">
              <a:pos x="connsiteX4497" y="connsiteY4497"/>
            </a:cxn>
            <a:cxn ang="0">
              <a:pos x="connsiteX4498" y="connsiteY4498"/>
            </a:cxn>
            <a:cxn ang="0">
              <a:pos x="connsiteX4499" y="connsiteY4499"/>
            </a:cxn>
            <a:cxn ang="0">
              <a:pos x="connsiteX4500" y="connsiteY4500"/>
            </a:cxn>
            <a:cxn ang="0">
              <a:pos x="connsiteX4501" y="connsiteY4501"/>
            </a:cxn>
            <a:cxn ang="0">
              <a:pos x="connsiteX4502" y="connsiteY4502"/>
            </a:cxn>
            <a:cxn ang="0">
              <a:pos x="connsiteX4503" y="connsiteY4503"/>
            </a:cxn>
            <a:cxn ang="0">
              <a:pos x="connsiteX4504" y="connsiteY4504"/>
            </a:cxn>
            <a:cxn ang="0">
              <a:pos x="connsiteX4505" y="connsiteY4505"/>
            </a:cxn>
            <a:cxn ang="0">
              <a:pos x="connsiteX4506" y="connsiteY4506"/>
            </a:cxn>
            <a:cxn ang="0">
              <a:pos x="connsiteX4507" y="connsiteY4507"/>
            </a:cxn>
            <a:cxn ang="0">
              <a:pos x="connsiteX4508" y="connsiteY4508"/>
            </a:cxn>
            <a:cxn ang="0">
              <a:pos x="connsiteX4509" y="connsiteY4509"/>
            </a:cxn>
            <a:cxn ang="0">
              <a:pos x="connsiteX4510" y="connsiteY4510"/>
            </a:cxn>
            <a:cxn ang="0">
              <a:pos x="connsiteX4511" y="connsiteY4511"/>
            </a:cxn>
            <a:cxn ang="0">
              <a:pos x="connsiteX4512" y="connsiteY4512"/>
            </a:cxn>
            <a:cxn ang="0">
              <a:pos x="connsiteX4513" y="connsiteY4513"/>
            </a:cxn>
            <a:cxn ang="0">
              <a:pos x="connsiteX4514" y="connsiteY4514"/>
            </a:cxn>
            <a:cxn ang="0">
              <a:pos x="connsiteX4515" y="connsiteY4515"/>
            </a:cxn>
            <a:cxn ang="0">
              <a:pos x="connsiteX4516" y="connsiteY4516"/>
            </a:cxn>
            <a:cxn ang="0">
              <a:pos x="connsiteX4517" y="connsiteY4517"/>
            </a:cxn>
            <a:cxn ang="0">
              <a:pos x="connsiteX4518" y="connsiteY4518"/>
            </a:cxn>
            <a:cxn ang="0">
              <a:pos x="connsiteX4519" y="connsiteY4519"/>
            </a:cxn>
            <a:cxn ang="0">
              <a:pos x="connsiteX4520" y="connsiteY4520"/>
            </a:cxn>
            <a:cxn ang="0">
              <a:pos x="connsiteX4521" y="connsiteY4521"/>
            </a:cxn>
            <a:cxn ang="0">
              <a:pos x="connsiteX4522" y="connsiteY4522"/>
            </a:cxn>
            <a:cxn ang="0">
              <a:pos x="connsiteX4523" y="connsiteY4523"/>
            </a:cxn>
            <a:cxn ang="0">
              <a:pos x="connsiteX4524" y="connsiteY4524"/>
            </a:cxn>
            <a:cxn ang="0">
              <a:pos x="connsiteX4525" y="connsiteY4525"/>
            </a:cxn>
            <a:cxn ang="0">
              <a:pos x="connsiteX4526" y="connsiteY4526"/>
            </a:cxn>
            <a:cxn ang="0">
              <a:pos x="connsiteX4527" y="connsiteY4527"/>
            </a:cxn>
            <a:cxn ang="0">
              <a:pos x="connsiteX4528" y="connsiteY4528"/>
            </a:cxn>
            <a:cxn ang="0">
              <a:pos x="connsiteX4529" y="connsiteY4529"/>
            </a:cxn>
            <a:cxn ang="0">
              <a:pos x="connsiteX4530" y="connsiteY4530"/>
            </a:cxn>
            <a:cxn ang="0">
              <a:pos x="connsiteX4531" y="connsiteY4531"/>
            </a:cxn>
            <a:cxn ang="0">
              <a:pos x="connsiteX4532" y="connsiteY4532"/>
            </a:cxn>
            <a:cxn ang="0">
              <a:pos x="connsiteX4533" y="connsiteY4533"/>
            </a:cxn>
            <a:cxn ang="0">
              <a:pos x="connsiteX4534" y="connsiteY4534"/>
            </a:cxn>
            <a:cxn ang="0">
              <a:pos x="connsiteX4535" y="connsiteY4535"/>
            </a:cxn>
            <a:cxn ang="0">
              <a:pos x="connsiteX4536" y="connsiteY4536"/>
            </a:cxn>
            <a:cxn ang="0">
              <a:pos x="connsiteX4537" y="connsiteY4537"/>
            </a:cxn>
            <a:cxn ang="0">
              <a:pos x="connsiteX4538" y="connsiteY4538"/>
            </a:cxn>
            <a:cxn ang="0">
              <a:pos x="connsiteX4539" y="connsiteY4539"/>
            </a:cxn>
            <a:cxn ang="0">
              <a:pos x="connsiteX4540" y="connsiteY4540"/>
            </a:cxn>
            <a:cxn ang="0">
              <a:pos x="connsiteX4541" y="connsiteY4541"/>
            </a:cxn>
            <a:cxn ang="0">
              <a:pos x="connsiteX4542" y="connsiteY4542"/>
            </a:cxn>
            <a:cxn ang="0">
              <a:pos x="connsiteX4543" y="connsiteY4543"/>
            </a:cxn>
            <a:cxn ang="0">
              <a:pos x="connsiteX4544" y="connsiteY4544"/>
            </a:cxn>
            <a:cxn ang="0">
              <a:pos x="connsiteX4545" y="connsiteY4545"/>
            </a:cxn>
            <a:cxn ang="0">
              <a:pos x="connsiteX4546" y="connsiteY4546"/>
            </a:cxn>
            <a:cxn ang="0">
              <a:pos x="connsiteX4547" y="connsiteY4547"/>
            </a:cxn>
            <a:cxn ang="0">
              <a:pos x="connsiteX4548" y="connsiteY4548"/>
            </a:cxn>
            <a:cxn ang="0">
              <a:pos x="connsiteX4549" y="connsiteY4549"/>
            </a:cxn>
            <a:cxn ang="0">
              <a:pos x="connsiteX4550" y="connsiteY4550"/>
            </a:cxn>
            <a:cxn ang="0">
              <a:pos x="connsiteX4551" y="connsiteY4551"/>
            </a:cxn>
            <a:cxn ang="0">
              <a:pos x="connsiteX4552" y="connsiteY4552"/>
            </a:cxn>
            <a:cxn ang="0">
              <a:pos x="connsiteX4553" y="connsiteY4553"/>
            </a:cxn>
            <a:cxn ang="0">
              <a:pos x="connsiteX4554" y="connsiteY4554"/>
            </a:cxn>
            <a:cxn ang="0">
              <a:pos x="connsiteX4555" y="connsiteY4555"/>
            </a:cxn>
            <a:cxn ang="0">
              <a:pos x="connsiteX4556" y="connsiteY4556"/>
            </a:cxn>
            <a:cxn ang="0">
              <a:pos x="connsiteX4557" y="connsiteY4557"/>
            </a:cxn>
            <a:cxn ang="0">
              <a:pos x="connsiteX4558" y="connsiteY4558"/>
            </a:cxn>
            <a:cxn ang="0">
              <a:pos x="connsiteX4559" y="connsiteY4559"/>
            </a:cxn>
            <a:cxn ang="0">
              <a:pos x="connsiteX4560" y="connsiteY4560"/>
            </a:cxn>
            <a:cxn ang="0">
              <a:pos x="connsiteX4561" y="connsiteY4561"/>
            </a:cxn>
            <a:cxn ang="0">
              <a:pos x="connsiteX4562" y="connsiteY4562"/>
            </a:cxn>
            <a:cxn ang="0">
              <a:pos x="connsiteX4563" y="connsiteY4563"/>
            </a:cxn>
            <a:cxn ang="0">
              <a:pos x="connsiteX4564" y="connsiteY4564"/>
            </a:cxn>
            <a:cxn ang="0">
              <a:pos x="connsiteX4565" y="connsiteY4565"/>
            </a:cxn>
            <a:cxn ang="0">
              <a:pos x="connsiteX4566" y="connsiteY4566"/>
            </a:cxn>
            <a:cxn ang="0">
              <a:pos x="connsiteX4567" y="connsiteY4567"/>
            </a:cxn>
            <a:cxn ang="0">
              <a:pos x="connsiteX4568" y="connsiteY4568"/>
            </a:cxn>
            <a:cxn ang="0">
              <a:pos x="connsiteX4569" y="connsiteY4569"/>
            </a:cxn>
            <a:cxn ang="0">
              <a:pos x="connsiteX4570" y="connsiteY4570"/>
            </a:cxn>
            <a:cxn ang="0">
              <a:pos x="connsiteX4571" y="connsiteY4571"/>
            </a:cxn>
            <a:cxn ang="0">
              <a:pos x="connsiteX4572" y="connsiteY4572"/>
            </a:cxn>
            <a:cxn ang="0">
              <a:pos x="connsiteX4573" y="connsiteY4573"/>
            </a:cxn>
            <a:cxn ang="0">
              <a:pos x="connsiteX4574" y="connsiteY4574"/>
            </a:cxn>
            <a:cxn ang="0">
              <a:pos x="connsiteX4575" y="connsiteY4575"/>
            </a:cxn>
            <a:cxn ang="0">
              <a:pos x="connsiteX4576" y="connsiteY4576"/>
            </a:cxn>
            <a:cxn ang="0">
              <a:pos x="connsiteX4577" y="connsiteY4577"/>
            </a:cxn>
            <a:cxn ang="0">
              <a:pos x="connsiteX4578" y="connsiteY4578"/>
            </a:cxn>
            <a:cxn ang="0">
              <a:pos x="connsiteX4579" y="connsiteY4579"/>
            </a:cxn>
            <a:cxn ang="0">
              <a:pos x="connsiteX4580" y="connsiteY4580"/>
            </a:cxn>
            <a:cxn ang="0">
              <a:pos x="connsiteX4581" y="connsiteY4581"/>
            </a:cxn>
            <a:cxn ang="0">
              <a:pos x="connsiteX4582" y="connsiteY4582"/>
            </a:cxn>
            <a:cxn ang="0">
              <a:pos x="connsiteX4583" y="connsiteY4583"/>
            </a:cxn>
            <a:cxn ang="0">
              <a:pos x="connsiteX4584" y="connsiteY4584"/>
            </a:cxn>
            <a:cxn ang="0">
              <a:pos x="connsiteX4585" y="connsiteY4585"/>
            </a:cxn>
            <a:cxn ang="0">
              <a:pos x="connsiteX4586" y="connsiteY4586"/>
            </a:cxn>
            <a:cxn ang="0">
              <a:pos x="connsiteX4587" y="connsiteY4587"/>
            </a:cxn>
            <a:cxn ang="0">
              <a:pos x="connsiteX4588" y="connsiteY4588"/>
            </a:cxn>
            <a:cxn ang="0">
              <a:pos x="connsiteX4589" y="connsiteY4589"/>
            </a:cxn>
            <a:cxn ang="0">
              <a:pos x="connsiteX4590" y="connsiteY4590"/>
            </a:cxn>
            <a:cxn ang="0">
              <a:pos x="connsiteX4591" y="connsiteY4591"/>
            </a:cxn>
            <a:cxn ang="0">
              <a:pos x="connsiteX4592" y="connsiteY4592"/>
            </a:cxn>
            <a:cxn ang="0">
              <a:pos x="connsiteX4593" y="connsiteY4593"/>
            </a:cxn>
            <a:cxn ang="0">
              <a:pos x="connsiteX4594" y="connsiteY4594"/>
            </a:cxn>
            <a:cxn ang="0">
              <a:pos x="connsiteX4595" y="connsiteY4595"/>
            </a:cxn>
            <a:cxn ang="0">
              <a:pos x="connsiteX4596" y="connsiteY4596"/>
            </a:cxn>
            <a:cxn ang="0">
              <a:pos x="connsiteX4597" y="connsiteY4597"/>
            </a:cxn>
            <a:cxn ang="0">
              <a:pos x="connsiteX4598" y="connsiteY4598"/>
            </a:cxn>
            <a:cxn ang="0">
              <a:pos x="connsiteX4599" y="connsiteY4599"/>
            </a:cxn>
            <a:cxn ang="0">
              <a:pos x="connsiteX4600" y="connsiteY4600"/>
            </a:cxn>
            <a:cxn ang="0">
              <a:pos x="connsiteX4601" y="connsiteY4601"/>
            </a:cxn>
            <a:cxn ang="0">
              <a:pos x="connsiteX4602" y="connsiteY4602"/>
            </a:cxn>
            <a:cxn ang="0">
              <a:pos x="connsiteX4603" y="connsiteY4603"/>
            </a:cxn>
            <a:cxn ang="0">
              <a:pos x="connsiteX4604" y="connsiteY4604"/>
            </a:cxn>
            <a:cxn ang="0">
              <a:pos x="connsiteX4605" y="connsiteY4605"/>
            </a:cxn>
            <a:cxn ang="0">
              <a:pos x="connsiteX4606" y="connsiteY4606"/>
            </a:cxn>
            <a:cxn ang="0">
              <a:pos x="connsiteX4607" y="connsiteY4607"/>
            </a:cxn>
            <a:cxn ang="0">
              <a:pos x="connsiteX4608" y="connsiteY4608"/>
            </a:cxn>
            <a:cxn ang="0">
              <a:pos x="connsiteX4609" y="connsiteY4609"/>
            </a:cxn>
            <a:cxn ang="0">
              <a:pos x="connsiteX4610" y="connsiteY4610"/>
            </a:cxn>
            <a:cxn ang="0">
              <a:pos x="connsiteX4611" y="connsiteY4611"/>
            </a:cxn>
            <a:cxn ang="0">
              <a:pos x="connsiteX4612" y="connsiteY4612"/>
            </a:cxn>
            <a:cxn ang="0">
              <a:pos x="connsiteX4613" y="connsiteY4613"/>
            </a:cxn>
            <a:cxn ang="0">
              <a:pos x="connsiteX4614" y="connsiteY4614"/>
            </a:cxn>
            <a:cxn ang="0">
              <a:pos x="connsiteX4615" y="connsiteY4615"/>
            </a:cxn>
            <a:cxn ang="0">
              <a:pos x="connsiteX4616" y="connsiteY4616"/>
            </a:cxn>
            <a:cxn ang="0">
              <a:pos x="connsiteX4617" y="connsiteY4617"/>
            </a:cxn>
            <a:cxn ang="0">
              <a:pos x="connsiteX4618" y="connsiteY4618"/>
            </a:cxn>
            <a:cxn ang="0">
              <a:pos x="connsiteX4619" y="connsiteY4619"/>
            </a:cxn>
            <a:cxn ang="0">
              <a:pos x="connsiteX4620" y="connsiteY4620"/>
            </a:cxn>
            <a:cxn ang="0">
              <a:pos x="connsiteX4621" y="connsiteY4621"/>
            </a:cxn>
            <a:cxn ang="0">
              <a:pos x="connsiteX4622" y="connsiteY4622"/>
            </a:cxn>
            <a:cxn ang="0">
              <a:pos x="connsiteX4623" y="connsiteY4623"/>
            </a:cxn>
            <a:cxn ang="0">
              <a:pos x="connsiteX4624" y="connsiteY4624"/>
            </a:cxn>
            <a:cxn ang="0">
              <a:pos x="connsiteX4625" y="connsiteY4625"/>
            </a:cxn>
            <a:cxn ang="0">
              <a:pos x="connsiteX4626" y="connsiteY4626"/>
            </a:cxn>
            <a:cxn ang="0">
              <a:pos x="connsiteX4627" y="connsiteY4627"/>
            </a:cxn>
            <a:cxn ang="0">
              <a:pos x="connsiteX4628" y="connsiteY4628"/>
            </a:cxn>
            <a:cxn ang="0">
              <a:pos x="connsiteX4629" y="connsiteY4629"/>
            </a:cxn>
            <a:cxn ang="0">
              <a:pos x="connsiteX4630" y="connsiteY4630"/>
            </a:cxn>
            <a:cxn ang="0">
              <a:pos x="connsiteX4631" y="connsiteY4631"/>
            </a:cxn>
            <a:cxn ang="0">
              <a:pos x="connsiteX4632" y="connsiteY4632"/>
            </a:cxn>
            <a:cxn ang="0">
              <a:pos x="connsiteX4633" y="connsiteY4633"/>
            </a:cxn>
            <a:cxn ang="0">
              <a:pos x="connsiteX4634" y="connsiteY4634"/>
            </a:cxn>
            <a:cxn ang="0">
              <a:pos x="connsiteX4635" y="connsiteY4635"/>
            </a:cxn>
            <a:cxn ang="0">
              <a:pos x="connsiteX4636" y="connsiteY4636"/>
            </a:cxn>
            <a:cxn ang="0">
              <a:pos x="connsiteX4637" y="connsiteY4637"/>
            </a:cxn>
            <a:cxn ang="0">
              <a:pos x="connsiteX4638" y="connsiteY4638"/>
            </a:cxn>
            <a:cxn ang="0">
              <a:pos x="connsiteX4639" y="connsiteY4639"/>
            </a:cxn>
            <a:cxn ang="0">
              <a:pos x="connsiteX4640" y="connsiteY4640"/>
            </a:cxn>
            <a:cxn ang="0">
              <a:pos x="connsiteX4641" y="connsiteY4641"/>
            </a:cxn>
            <a:cxn ang="0">
              <a:pos x="connsiteX4642" y="connsiteY4642"/>
            </a:cxn>
            <a:cxn ang="0">
              <a:pos x="connsiteX4643" y="connsiteY4643"/>
            </a:cxn>
            <a:cxn ang="0">
              <a:pos x="connsiteX4644" y="connsiteY4644"/>
            </a:cxn>
            <a:cxn ang="0">
              <a:pos x="connsiteX4645" y="connsiteY4645"/>
            </a:cxn>
            <a:cxn ang="0">
              <a:pos x="connsiteX4646" y="connsiteY4646"/>
            </a:cxn>
            <a:cxn ang="0">
              <a:pos x="connsiteX4647" y="connsiteY4647"/>
            </a:cxn>
            <a:cxn ang="0">
              <a:pos x="connsiteX4648" y="connsiteY4648"/>
            </a:cxn>
            <a:cxn ang="0">
              <a:pos x="connsiteX4649" y="connsiteY4649"/>
            </a:cxn>
            <a:cxn ang="0">
              <a:pos x="connsiteX4650" y="connsiteY4650"/>
            </a:cxn>
            <a:cxn ang="0">
              <a:pos x="connsiteX4651" y="connsiteY4651"/>
            </a:cxn>
            <a:cxn ang="0">
              <a:pos x="connsiteX4652" y="connsiteY4652"/>
            </a:cxn>
            <a:cxn ang="0">
              <a:pos x="connsiteX4653" y="connsiteY4653"/>
            </a:cxn>
            <a:cxn ang="0">
              <a:pos x="connsiteX4654" y="connsiteY4654"/>
            </a:cxn>
            <a:cxn ang="0">
              <a:pos x="connsiteX4655" y="connsiteY4655"/>
            </a:cxn>
            <a:cxn ang="0">
              <a:pos x="connsiteX4656" y="connsiteY4656"/>
            </a:cxn>
            <a:cxn ang="0">
              <a:pos x="connsiteX4657" y="connsiteY4657"/>
            </a:cxn>
            <a:cxn ang="0">
              <a:pos x="connsiteX4658" y="connsiteY4658"/>
            </a:cxn>
            <a:cxn ang="0">
              <a:pos x="connsiteX4659" y="connsiteY4659"/>
            </a:cxn>
            <a:cxn ang="0">
              <a:pos x="connsiteX4660" y="connsiteY4660"/>
            </a:cxn>
            <a:cxn ang="0">
              <a:pos x="connsiteX4661" y="connsiteY4661"/>
            </a:cxn>
            <a:cxn ang="0">
              <a:pos x="connsiteX4662" y="connsiteY4662"/>
            </a:cxn>
            <a:cxn ang="0">
              <a:pos x="connsiteX4663" y="connsiteY4663"/>
            </a:cxn>
            <a:cxn ang="0">
              <a:pos x="connsiteX4664" y="connsiteY4664"/>
            </a:cxn>
            <a:cxn ang="0">
              <a:pos x="connsiteX4665" y="connsiteY4665"/>
            </a:cxn>
            <a:cxn ang="0">
              <a:pos x="connsiteX4666" y="connsiteY4666"/>
            </a:cxn>
            <a:cxn ang="0">
              <a:pos x="connsiteX4667" y="connsiteY4667"/>
            </a:cxn>
            <a:cxn ang="0">
              <a:pos x="connsiteX4668" y="connsiteY4668"/>
            </a:cxn>
            <a:cxn ang="0">
              <a:pos x="connsiteX4669" y="connsiteY4669"/>
            </a:cxn>
            <a:cxn ang="0">
              <a:pos x="connsiteX4670" y="connsiteY4670"/>
            </a:cxn>
            <a:cxn ang="0">
              <a:pos x="connsiteX4671" y="connsiteY4671"/>
            </a:cxn>
            <a:cxn ang="0">
              <a:pos x="connsiteX4672" y="connsiteY4672"/>
            </a:cxn>
            <a:cxn ang="0">
              <a:pos x="connsiteX4673" y="connsiteY4673"/>
            </a:cxn>
            <a:cxn ang="0">
              <a:pos x="connsiteX4674" y="connsiteY4674"/>
            </a:cxn>
            <a:cxn ang="0">
              <a:pos x="connsiteX4675" y="connsiteY4675"/>
            </a:cxn>
            <a:cxn ang="0">
              <a:pos x="connsiteX4676" y="connsiteY4676"/>
            </a:cxn>
            <a:cxn ang="0">
              <a:pos x="connsiteX4677" y="connsiteY4677"/>
            </a:cxn>
            <a:cxn ang="0">
              <a:pos x="connsiteX4678" y="connsiteY4678"/>
            </a:cxn>
            <a:cxn ang="0">
              <a:pos x="connsiteX4679" y="connsiteY4679"/>
            </a:cxn>
            <a:cxn ang="0">
              <a:pos x="connsiteX4680" y="connsiteY4680"/>
            </a:cxn>
            <a:cxn ang="0">
              <a:pos x="connsiteX4681" y="connsiteY4681"/>
            </a:cxn>
            <a:cxn ang="0">
              <a:pos x="connsiteX4682" y="connsiteY4682"/>
            </a:cxn>
            <a:cxn ang="0">
              <a:pos x="connsiteX4683" y="connsiteY4683"/>
            </a:cxn>
            <a:cxn ang="0">
              <a:pos x="connsiteX4684" y="connsiteY4684"/>
            </a:cxn>
            <a:cxn ang="0">
              <a:pos x="connsiteX4685" y="connsiteY4685"/>
            </a:cxn>
            <a:cxn ang="0">
              <a:pos x="connsiteX4686" y="connsiteY4686"/>
            </a:cxn>
            <a:cxn ang="0">
              <a:pos x="connsiteX4687" y="connsiteY4687"/>
            </a:cxn>
            <a:cxn ang="0">
              <a:pos x="connsiteX4688" y="connsiteY4688"/>
            </a:cxn>
            <a:cxn ang="0">
              <a:pos x="connsiteX4689" y="connsiteY4689"/>
            </a:cxn>
            <a:cxn ang="0">
              <a:pos x="connsiteX4690" y="connsiteY4690"/>
            </a:cxn>
            <a:cxn ang="0">
              <a:pos x="connsiteX4691" y="connsiteY4691"/>
            </a:cxn>
            <a:cxn ang="0">
              <a:pos x="connsiteX4692" y="connsiteY4692"/>
            </a:cxn>
            <a:cxn ang="0">
              <a:pos x="connsiteX4693" y="connsiteY4693"/>
            </a:cxn>
            <a:cxn ang="0">
              <a:pos x="connsiteX4694" y="connsiteY4694"/>
            </a:cxn>
            <a:cxn ang="0">
              <a:pos x="connsiteX4695" y="connsiteY4695"/>
            </a:cxn>
            <a:cxn ang="0">
              <a:pos x="connsiteX4696" y="connsiteY4696"/>
            </a:cxn>
            <a:cxn ang="0">
              <a:pos x="connsiteX4697" y="connsiteY4697"/>
            </a:cxn>
            <a:cxn ang="0">
              <a:pos x="connsiteX4698" y="connsiteY4698"/>
            </a:cxn>
            <a:cxn ang="0">
              <a:pos x="connsiteX4699" y="connsiteY4699"/>
            </a:cxn>
            <a:cxn ang="0">
              <a:pos x="connsiteX4700" y="connsiteY4700"/>
            </a:cxn>
            <a:cxn ang="0">
              <a:pos x="connsiteX4701" y="connsiteY4701"/>
            </a:cxn>
            <a:cxn ang="0">
              <a:pos x="connsiteX4702" y="connsiteY4702"/>
            </a:cxn>
            <a:cxn ang="0">
              <a:pos x="connsiteX4703" y="connsiteY4703"/>
            </a:cxn>
            <a:cxn ang="0">
              <a:pos x="connsiteX4704" y="connsiteY4704"/>
            </a:cxn>
            <a:cxn ang="0">
              <a:pos x="connsiteX4705" y="connsiteY4705"/>
            </a:cxn>
            <a:cxn ang="0">
              <a:pos x="connsiteX4706" y="connsiteY4706"/>
            </a:cxn>
            <a:cxn ang="0">
              <a:pos x="connsiteX4707" y="connsiteY4707"/>
            </a:cxn>
            <a:cxn ang="0">
              <a:pos x="connsiteX4708" y="connsiteY4708"/>
            </a:cxn>
            <a:cxn ang="0">
              <a:pos x="connsiteX4709" y="connsiteY4709"/>
            </a:cxn>
            <a:cxn ang="0">
              <a:pos x="connsiteX4710" y="connsiteY4710"/>
            </a:cxn>
            <a:cxn ang="0">
              <a:pos x="connsiteX4711" y="connsiteY4711"/>
            </a:cxn>
            <a:cxn ang="0">
              <a:pos x="connsiteX4712" y="connsiteY4712"/>
            </a:cxn>
            <a:cxn ang="0">
              <a:pos x="connsiteX4713" y="connsiteY4713"/>
            </a:cxn>
            <a:cxn ang="0">
              <a:pos x="connsiteX4714" y="connsiteY4714"/>
            </a:cxn>
            <a:cxn ang="0">
              <a:pos x="connsiteX4715" y="connsiteY4715"/>
            </a:cxn>
            <a:cxn ang="0">
              <a:pos x="connsiteX4716" y="connsiteY4716"/>
            </a:cxn>
            <a:cxn ang="0">
              <a:pos x="connsiteX4717" y="connsiteY4717"/>
            </a:cxn>
            <a:cxn ang="0">
              <a:pos x="connsiteX4718" y="connsiteY4718"/>
            </a:cxn>
            <a:cxn ang="0">
              <a:pos x="connsiteX4719" y="connsiteY4719"/>
            </a:cxn>
            <a:cxn ang="0">
              <a:pos x="connsiteX4720" y="connsiteY4720"/>
            </a:cxn>
            <a:cxn ang="0">
              <a:pos x="connsiteX4721" y="connsiteY4721"/>
            </a:cxn>
            <a:cxn ang="0">
              <a:pos x="connsiteX4722" y="connsiteY4722"/>
            </a:cxn>
            <a:cxn ang="0">
              <a:pos x="connsiteX4723" y="connsiteY4723"/>
            </a:cxn>
            <a:cxn ang="0">
              <a:pos x="connsiteX4724" y="connsiteY4724"/>
            </a:cxn>
            <a:cxn ang="0">
              <a:pos x="connsiteX4725" y="connsiteY4725"/>
            </a:cxn>
            <a:cxn ang="0">
              <a:pos x="connsiteX4726" y="connsiteY4726"/>
            </a:cxn>
            <a:cxn ang="0">
              <a:pos x="connsiteX4727" y="connsiteY4727"/>
            </a:cxn>
            <a:cxn ang="0">
              <a:pos x="connsiteX4728" y="connsiteY4728"/>
            </a:cxn>
            <a:cxn ang="0">
              <a:pos x="connsiteX4729" y="connsiteY4729"/>
            </a:cxn>
            <a:cxn ang="0">
              <a:pos x="connsiteX4730" y="connsiteY4730"/>
            </a:cxn>
            <a:cxn ang="0">
              <a:pos x="connsiteX4731" y="connsiteY4731"/>
            </a:cxn>
            <a:cxn ang="0">
              <a:pos x="connsiteX4732" y="connsiteY4732"/>
            </a:cxn>
            <a:cxn ang="0">
              <a:pos x="connsiteX4733" y="connsiteY4733"/>
            </a:cxn>
            <a:cxn ang="0">
              <a:pos x="connsiteX4734" y="connsiteY4734"/>
            </a:cxn>
            <a:cxn ang="0">
              <a:pos x="connsiteX4735" y="connsiteY4735"/>
            </a:cxn>
            <a:cxn ang="0">
              <a:pos x="connsiteX4736" y="connsiteY4736"/>
            </a:cxn>
            <a:cxn ang="0">
              <a:pos x="connsiteX4737" y="connsiteY4737"/>
            </a:cxn>
            <a:cxn ang="0">
              <a:pos x="connsiteX4738" y="connsiteY4738"/>
            </a:cxn>
            <a:cxn ang="0">
              <a:pos x="connsiteX4739" y="connsiteY4739"/>
            </a:cxn>
            <a:cxn ang="0">
              <a:pos x="connsiteX4740" y="connsiteY4740"/>
            </a:cxn>
            <a:cxn ang="0">
              <a:pos x="connsiteX4741" y="connsiteY4741"/>
            </a:cxn>
            <a:cxn ang="0">
              <a:pos x="connsiteX4742" y="connsiteY4742"/>
            </a:cxn>
            <a:cxn ang="0">
              <a:pos x="connsiteX4743" y="connsiteY4743"/>
            </a:cxn>
            <a:cxn ang="0">
              <a:pos x="connsiteX4744" y="connsiteY4744"/>
            </a:cxn>
            <a:cxn ang="0">
              <a:pos x="connsiteX4745" y="connsiteY4745"/>
            </a:cxn>
            <a:cxn ang="0">
              <a:pos x="connsiteX4746" y="connsiteY4746"/>
            </a:cxn>
            <a:cxn ang="0">
              <a:pos x="connsiteX4747" y="connsiteY4747"/>
            </a:cxn>
            <a:cxn ang="0">
              <a:pos x="connsiteX4748" y="connsiteY4748"/>
            </a:cxn>
            <a:cxn ang="0">
              <a:pos x="connsiteX4749" y="connsiteY4749"/>
            </a:cxn>
            <a:cxn ang="0">
              <a:pos x="connsiteX4750" y="connsiteY4750"/>
            </a:cxn>
            <a:cxn ang="0">
              <a:pos x="connsiteX4751" y="connsiteY4751"/>
            </a:cxn>
            <a:cxn ang="0">
              <a:pos x="connsiteX4752" y="connsiteY4752"/>
            </a:cxn>
            <a:cxn ang="0">
              <a:pos x="connsiteX4753" y="connsiteY4753"/>
            </a:cxn>
            <a:cxn ang="0">
              <a:pos x="connsiteX4754" y="connsiteY4754"/>
            </a:cxn>
            <a:cxn ang="0">
              <a:pos x="connsiteX4755" y="connsiteY4755"/>
            </a:cxn>
            <a:cxn ang="0">
              <a:pos x="connsiteX4756" y="connsiteY4756"/>
            </a:cxn>
            <a:cxn ang="0">
              <a:pos x="connsiteX4757" y="connsiteY4757"/>
            </a:cxn>
            <a:cxn ang="0">
              <a:pos x="connsiteX4758" y="connsiteY4758"/>
            </a:cxn>
            <a:cxn ang="0">
              <a:pos x="connsiteX4759" y="connsiteY4759"/>
            </a:cxn>
            <a:cxn ang="0">
              <a:pos x="connsiteX4760" y="connsiteY4760"/>
            </a:cxn>
            <a:cxn ang="0">
              <a:pos x="connsiteX4761" y="connsiteY4761"/>
            </a:cxn>
            <a:cxn ang="0">
              <a:pos x="connsiteX4762" y="connsiteY4762"/>
            </a:cxn>
            <a:cxn ang="0">
              <a:pos x="connsiteX4763" y="connsiteY4763"/>
            </a:cxn>
            <a:cxn ang="0">
              <a:pos x="connsiteX4764" y="connsiteY4764"/>
            </a:cxn>
            <a:cxn ang="0">
              <a:pos x="connsiteX4765" y="connsiteY4765"/>
            </a:cxn>
            <a:cxn ang="0">
              <a:pos x="connsiteX4766" y="connsiteY4766"/>
            </a:cxn>
            <a:cxn ang="0">
              <a:pos x="connsiteX4767" y="connsiteY4767"/>
            </a:cxn>
            <a:cxn ang="0">
              <a:pos x="connsiteX4768" y="connsiteY4768"/>
            </a:cxn>
            <a:cxn ang="0">
              <a:pos x="connsiteX4769" y="connsiteY4769"/>
            </a:cxn>
            <a:cxn ang="0">
              <a:pos x="connsiteX4770" y="connsiteY4770"/>
            </a:cxn>
            <a:cxn ang="0">
              <a:pos x="connsiteX4771" y="connsiteY4771"/>
            </a:cxn>
            <a:cxn ang="0">
              <a:pos x="connsiteX4772" y="connsiteY4772"/>
            </a:cxn>
            <a:cxn ang="0">
              <a:pos x="connsiteX4773" y="connsiteY4773"/>
            </a:cxn>
            <a:cxn ang="0">
              <a:pos x="connsiteX4774" y="connsiteY4774"/>
            </a:cxn>
            <a:cxn ang="0">
              <a:pos x="connsiteX4775" y="connsiteY4775"/>
            </a:cxn>
            <a:cxn ang="0">
              <a:pos x="connsiteX4776" y="connsiteY4776"/>
            </a:cxn>
            <a:cxn ang="0">
              <a:pos x="connsiteX4777" y="connsiteY4777"/>
            </a:cxn>
            <a:cxn ang="0">
              <a:pos x="connsiteX4778" y="connsiteY4778"/>
            </a:cxn>
            <a:cxn ang="0">
              <a:pos x="connsiteX4779" y="connsiteY4779"/>
            </a:cxn>
            <a:cxn ang="0">
              <a:pos x="connsiteX4780" y="connsiteY4780"/>
            </a:cxn>
            <a:cxn ang="0">
              <a:pos x="connsiteX4781" y="connsiteY4781"/>
            </a:cxn>
            <a:cxn ang="0">
              <a:pos x="connsiteX4782" y="connsiteY4782"/>
            </a:cxn>
            <a:cxn ang="0">
              <a:pos x="connsiteX4783" y="connsiteY4783"/>
            </a:cxn>
            <a:cxn ang="0">
              <a:pos x="connsiteX4784" y="connsiteY4784"/>
            </a:cxn>
            <a:cxn ang="0">
              <a:pos x="connsiteX4785" y="connsiteY4785"/>
            </a:cxn>
            <a:cxn ang="0">
              <a:pos x="connsiteX4786" y="connsiteY4786"/>
            </a:cxn>
            <a:cxn ang="0">
              <a:pos x="connsiteX4787" y="connsiteY4787"/>
            </a:cxn>
            <a:cxn ang="0">
              <a:pos x="connsiteX4788" y="connsiteY4788"/>
            </a:cxn>
            <a:cxn ang="0">
              <a:pos x="connsiteX4789" y="connsiteY4789"/>
            </a:cxn>
            <a:cxn ang="0">
              <a:pos x="connsiteX4790" y="connsiteY4790"/>
            </a:cxn>
            <a:cxn ang="0">
              <a:pos x="connsiteX4791" y="connsiteY4791"/>
            </a:cxn>
            <a:cxn ang="0">
              <a:pos x="connsiteX4792" y="connsiteY4792"/>
            </a:cxn>
            <a:cxn ang="0">
              <a:pos x="connsiteX4793" y="connsiteY4793"/>
            </a:cxn>
            <a:cxn ang="0">
              <a:pos x="connsiteX4794" y="connsiteY4794"/>
            </a:cxn>
            <a:cxn ang="0">
              <a:pos x="connsiteX4795" y="connsiteY4795"/>
            </a:cxn>
            <a:cxn ang="0">
              <a:pos x="connsiteX4796" y="connsiteY4796"/>
            </a:cxn>
            <a:cxn ang="0">
              <a:pos x="connsiteX4797" y="connsiteY4797"/>
            </a:cxn>
            <a:cxn ang="0">
              <a:pos x="connsiteX4798" y="connsiteY4798"/>
            </a:cxn>
            <a:cxn ang="0">
              <a:pos x="connsiteX4799" y="connsiteY4799"/>
            </a:cxn>
            <a:cxn ang="0">
              <a:pos x="connsiteX4800" y="connsiteY4800"/>
            </a:cxn>
            <a:cxn ang="0">
              <a:pos x="connsiteX4801" y="connsiteY4801"/>
            </a:cxn>
            <a:cxn ang="0">
              <a:pos x="connsiteX4802" y="connsiteY4802"/>
            </a:cxn>
            <a:cxn ang="0">
              <a:pos x="connsiteX4803" y="connsiteY4803"/>
            </a:cxn>
            <a:cxn ang="0">
              <a:pos x="connsiteX4804" y="connsiteY4804"/>
            </a:cxn>
            <a:cxn ang="0">
              <a:pos x="connsiteX4805" y="connsiteY4805"/>
            </a:cxn>
            <a:cxn ang="0">
              <a:pos x="connsiteX4806" y="connsiteY4806"/>
            </a:cxn>
            <a:cxn ang="0">
              <a:pos x="connsiteX4807" y="connsiteY4807"/>
            </a:cxn>
            <a:cxn ang="0">
              <a:pos x="connsiteX4808" y="connsiteY4808"/>
            </a:cxn>
            <a:cxn ang="0">
              <a:pos x="connsiteX4809" y="connsiteY4809"/>
            </a:cxn>
            <a:cxn ang="0">
              <a:pos x="connsiteX4810" y="connsiteY4810"/>
            </a:cxn>
            <a:cxn ang="0">
              <a:pos x="connsiteX4811" y="connsiteY4811"/>
            </a:cxn>
            <a:cxn ang="0">
              <a:pos x="connsiteX4812" y="connsiteY4812"/>
            </a:cxn>
            <a:cxn ang="0">
              <a:pos x="connsiteX4813" y="connsiteY4813"/>
            </a:cxn>
            <a:cxn ang="0">
              <a:pos x="connsiteX4814" y="connsiteY4814"/>
            </a:cxn>
            <a:cxn ang="0">
              <a:pos x="connsiteX4815" y="connsiteY4815"/>
            </a:cxn>
            <a:cxn ang="0">
              <a:pos x="connsiteX4816" y="connsiteY4816"/>
            </a:cxn>
            <a:cxn ang="0">
              <a:pos x="connsiteX4817" y="connsiteY4817"/>
            </a:cxn>
            <a:cxn ang="0">
              <a:pos x="connsiteX4818" y="connsiteY4818"/>
            </a:cxn>
            <a:cxn ang="0">
              <a:pos x="connsiteX4819" y="connsiteY4819"/>
            </a:cxn>
            <a:cxn ang="0">
              <a:pos x="connsiteX4820" y="connsiteY4820"/>
            </a:cxn>
            <a:cxn ang="0">
              <a:pos x="connsiteX4821" y="connsiteY4821"/>
            </a:cxn>
            <a:cxn ang="0">
              <a:pos x="connsiteX4822" y="connsiteY4822"/>
            </a:cxn>
            <a:cxn ang="0">
              <a:pos x="connsiteX4823" y="connsiteY4823"/>
            </a:cxn>
            <a:cxn ang="0">
              <a:pos x="connsiteX4824" y="connsiteY4824"/>
            </a:cxn>
            <a:cxn ang="0">
              <a:pos x="connsiteX4825" y="connsiteY4825"/>
            </a:cxn>
            <a:cxn ang="0">
              <a:pos x="connsiteX4826" y="connsiteY4826"/>
            </a:cxn>
            <a:cxn ang="0">
              <a:pos x="connsiteX4827" y="connsiteY4827"/>
            </a:cxn>
            <a:cxn ang="0">
              <a:pos x="connsiteX4828" y="connsiteY4828"/>
            </a:cxn>
            <a:cxn ang="0">
              <a:pos x="connsiteX4829" y="connsiteY4829"/>
            </a:cxn>
            <a:cxn ang="0">
              <a:pos x="connsiteX4830" y="connsiteY4830"/>
            </a:cxn>
            <a:cxn ang="0">
              <a:pos x="connsiteX4831" y="connsiteY4831"/>
            </a:cxn>
            <a:cxn ang="0">
              <a:pos x="connsiteX4832" y="connsiteY4832"/>
            </a:cxn>
            <a:cxn ang="0">
              <a:pos x="connsiteX4833" y="connsiteY4833"/>
            </a:cxn>
            <a:cxn ang="0">
              <a:pos x="connsiteX4834" y="connsiteY4834"/>
            </a:cxn>
            <a:cxn ang="0">
              <a:pos x="connsiteX4835" y="connsiteY4835"/>
            </a:cxn>
            <a:cxn ang="0">
              <a:pos x="connsiteX4836" y="connsiteY4836"/>
            </a:cxn>
            <a:cxn ang="0">
              <a:pos x="connsiteX4837" y="connsiteY4837"/>
            </a:cxn>
            <a:cxn ang="0">
              <a:pos x="connsiteX4838" y="connsiteY4838"/>
            </a:cxn>
            <a:cxn ang="0">
              <a:pos x="connsiteX4839" y="connsiteY4839"/>
            </a:cxn>
            <a:cxn ang="0">
              <a:pos x="connsiteX4840" y="connsiteY4840"/>
            </a:cxn>
            <a:cxn ang="0">
              <a:pos x="connsiteX4841" y="connsiteY4841"/>
            </a:cxn>
            <a:cxn ang="0">
              <a:pos x="connsiteX4842" y="connsiteY4842"/>
            </a:cxn>
            <a:cxn ang="0">
              <a:pos x="connsiteX4843" y="connsiteY4843"/>
            </a:cxn>
            <a:cxn ang="0">
              <a:pos x="connsiteX4844" y="connsiteY4844"/>
            </a:cxn>
            <a:cxn ang="0">
              <a:pos x="connsiteX4845" y="connsiteY4845"/>
            </a:cxn>
            <a:cxn ang="0">
              <a:pos x="connsiteX4846" y="connsiteY4846"/>
            </a:cxn>
            <a:cxn ang="0">
              <a:pos x="connsiteX4847" y="connsiteY4847"/>
            </a:cxn>
            <a:cxn ang="0">
              <a:pos x="connsiteX4848" y="connsiteY4848"/>
            </a:cxn>
            <a:cxn ang="0">
              <a:pos x="connsiteX4849" y="connsiteY4849"/>
            </a:cxn>
            <a:cxn ang="0">
              <a:pos x="connsiteX4850" y="connsiteY4850"/>
            </a:cxn>
            <a:cxn ang="0">
              <a:pos x="connsiteX4851" y="connsiteY4851"/>
            </a:cxn>
            <a:cxn ang="0">
              <a:pos x="connsiteX4852" y="connsiteY4852"/>
            </a:cxn>
            <a:cxn ang="0">
              <a:pos x="connsiteX4853" y="connsiteY4853"/>
            </a:cxn>
            <a:cxn ang="0">
              <a:pos x="connsiteX4854" y="connsiteY4854"/>
            </a:cxn>
            <a:cxn ang="0">
              <a:pos x="connsiteX4855" y="connsiteY4855"/>
            </a:cxn>
            <a:cxn ang="0">
              <a:pos x="connsiteX4856" y="connsiteY4856"/>
            </a:cxn>
            <a:cxn ang="0">
              <a:pos x="connsiteX4857" y="connsiteY4857"/>
            </a:cxn>
            <a:cxn ang="0">
              <a:pos x="connsiteX4858" y="connsiteY4858"/>
            </a:cxn>
            <a:cxn ang="0">
              <a:pos x="connsiteX4859" y="connsiteY4859"/>
            </a:cxn>
            <a:cxn ang="0">
              <a:pos x="connsiteX4860" y="connsiteY4860"/>
            </a:cxn>
            <a:cxn ang="0">
              <a:pos x="connsiteX4861" y="connsiteY4861"/>
            </a:cxn>
            <a:cxn ang="0">
              <a:pos x="connsiteX4862" y="connsiteY4862"/>
            </a:cxn>
            <a:cxn ang="0">
              <a:pos x="connsiteX4863" y="connsiteY4863"/>
            </a:cxn>
            <a:cxn ang="0">
              <a:pos x="connsiteX4864" y="connsiteY4864"/>
            </a:cxn>
            <a:cxn ang="0">
              <a:pos x="connsiteX4865" y="connsiteY4865"/>
            </a:cxn>
            <a:cxn ang="0">
              <a:pos x="connsiteX4866" y="connsiteY4866"/>
            </a:cxn>
            <a:cxn ang="0">
              <a:pos x="connsiteX4867" y="connsiteY4867"/>
            </a:cxn>
            <a:cxn ang="0">
              <a:pos x="connsiteX4868" y="connsiteY4868"/>
            </a:cxn>
            <a:cxn ang="0">
              <a:pos x="connsiteX4869" y="connsiteY4869"/>
            </a:cxn>
            <a:cxn ang="0">
              <a:pos x="connsiteX4870" y="connsiteY4870"/>
            </a:cxn>
            <a:cxn ang="0">
              <a:pos x="connsiteX4871" y="connsiteY4871"/>
            </a:cxn>
            <a:cxn ang="0">
              <a:pos x="connsiteX4872" y="connsiteY4872"/>
            </a:cxn>
            <a:cxn ang="0">
              <a:pos x="connsiteX4873" y="connsiteY4873"/>
            </a:cxn>
            <a:cxn ang="0">
              <a:pos x="connsiteX4874" y="connsiteY4874"/>
            </a:cxn>
            <a:cxn ang="0">
              <a:pos x="connsiteX4875" y="connsiteY4875"/>
            </a:cxn>
            <a:cxn ang="0">
              <a:pos x="connsiteX4876" y="connsiteY4876"/>
            </a:cxn>
            <a:cxn ang="0">
              <a:pos x="connsiteX4877" y="connsiteY4877"/>
            </a:cxn>
            <a:cxn ang="0">
              <a:pos x="connsiteX4878" y="connsiteY4878"/>
            </a:cxn>
            <a:cxn ang="0">
              <a:pos x="connsiteX4879" y="connsiteY4879"/>
            </a:cxn>
            <a:cxn ang="0">
              <a:pos x="connsiteX4880" y="connsiteY4880"/>
            </a:cxn>
            <a:cxn ang="0">
              <a:pos x="connsiteX4881" y="connsiteY4881"/>
            </a:cxn>
            <a:cxn ang="0">
              <a:pos x="connsiteX4882" y="connsiteY4882"/>
            </a:cxn>
            <a:cxn ang="0">
              <a:pos x="connsiteX4883" y="connsiteY4883"/>
            </a:cxn>
            <a:cxn ang="0">
              <a:pos x="connsiteX4884" y="connsiteY4884"/>
            </a:cxn>
            <a:cxn ang="0">
              <a:pos x="connsiteX4885" y="connsiteY4885"/>
            </a:cxn>
            <a:cxn ang="0">
              <a:pos x="connsiteX4886" y="connsiteY4886"/>
            </a:cxn>
            <a:cxn ang="0">
              <a:pos x="connsiteX4887" y="connsiteY4887"/>
            </a:cxn>
            <a:cxn ang="0">
              <a:pos x="connsiteX4888" y="connsiteY4888"/>
            </a:cxn>
            <a:cxn ang="0">
              <a:pos x="connsiteX4889" y="connsiteY4889"/>
            </a:cxn>
            <a:cxn ang="0">
              <a:pos x="connsiteX4890" y="connsiteY4890"/>
            </a:cxn>
            <a:cxn ang="0">
              <a:pos x="connsiteX4891" y="connsiteY4891"/>
            </a:cxn>
            <a:cxn ang="0">
              <a:pos x="connsiteX4892" y="connsiteY4892"/>
            </a:cxn>
            <a:cxn ang="0">
              <a:pos x="connsiteX4893" y="connsiteY4893"/>
            </a:cxn>
            <a:cxn ang="0">
              <a:pos x="connsiteX4894" y="connsiteY4894"/>
            </a:cxn>
            <a:cxn ang="0">
              <a:pos x="connsiteX4895" y="connsiteY4895"/>
            </a:cxn>
            <a:cxn ang="0">
              <a:pos x="connsiteX4896" y="connsiteY4896"/>
            </a:cxn>
            <a:cxn ang="0">
              <a:pos x="connsiteX4897" y="connsiteY4897"/>
            </a:cxn>
            <a:cxn ang="0">
              <a:pos x="connsiteX4898" y="connsiteY4898"/>
            </a:cxn>
            <a:cxn ang="0">
              <a:pos x="connsiteX4899" y="connsiteY4899"/>
            </a:cxn>
            <a:cxn ang="0">
              <a:pos x="connsiteX4900" y="connsiteY4900"/>
            </a:cxn>
            <a:cxn ang="0">
              <a:pos x="connsiteX4901" y="connsiteY4901"/>
            </a:cxn>
            <a:cxn ang="0">
              <a:pos x="connsiteX4902" y="connsiteY4902"/>
            </a:cxn>
            <a:cxn ang="0">
              <a:pos x="connsiteX4903" y="connsiteY4903"/>
            </a:cxn>
            <a:cxn ang="0">
              <a:pos x="connsiteX4904" y="connsiteY4904"/>
            </a:cxn>
            <a:cxn ang="0">
              <a:pos x="connsiteX4905" y="connsiteY4905"/>
            </a:cxn>
            <a:cxn ang="0">
              <a:pos x="connsiteX4906" y="connsiteY4906"/>
            </a:cxn>
            <a:cxn ang="0">
              <a:pos x="connsiteX4907" y="connsiteY4907"/>
            </a:cxn>
            <a:cxn ang="0">
              <a:pos x="connsiteX4908" y="connsiteY4908"/>
            </a:cxn>
            <a:cxn ang="0">
              <a:pos x="connsiteX4909" y="connsiteY4909"/>
            </a:cxn>
            <a:cxn ang="0">
              <a:pos x="connsiteX4910" y="connsiteY4910"/>
            </a:cxn>
            <a:cxn ang="0">
              <a:pos x="connsiteX4911" y="connsiteY4911"/>
            </a:cxn>
            <a:cxn ang="0">
              <a:pos x="connsiteX4912" y="connsiteY4912"/>
            </a:cxn>
            <a:cxn ang="0">
              <a:pos x="connsiteX4913" y="connsiteY4913"/>
            </a:cxn>
            <a:cxn ang="0">
              <a:pos x="connsiteX4914" y="connsiteY4914"/>
            </a:cxn>
            <a:cxn ang="0">
              <a:pos x="connsiteX4915" y="connsiteY4915"/>
            </a:cxn>
            <a:cxn ang="0">
              <a:pos x="connsiteX4916" y="connsiteY4916"/>
            </a:cxn>
            <a:cxn ang="0">
              <a:pos x="connsiteX4917" y="connsiteY4917"/>
            </a:cxn>
            <a:cxn ang="0">
              <a:pos x="connsiteX4918" y="connsiteY4918"/>
            </a:cxn>
            <a:cxn ang="0">
              <a:pos x="connsiteX4919" y="connsiteY4919"/>
            </a:cxn>
            <a:cxn ang="0">
              <a:pos x="connsiteX4920" y="connsiteY4920"/>
            </a:cxn>
            <a:cxn ang="0">
              <a:pos x="connsiteX4921" y="connsiteY4921"/>
            </a:cxn>
            <a:cxn ang="0">
              <a:pos x="connsiteX4922" y="connsiteY4922"/>
            </a:cxn>
            <a:cxn ang="0">
              <a:pos x="connsiteX4923" y="connsiteY4923"/>
            </a:cxn>
            <a:cxn ang="0">
              <a:pos x="connsiteX4924" y="connsiteY4924"/>
            </a:cxn>
            <a:cxn ang="0">
              <a:pos x="connsiteX4925" y="connsiteY4925"/>
            </a:cxn>
            <a:cxn ang="0">
              <a:pos x="connsiteX4926" y="connsiteY4926"/>
            </a:cxn>
            <a:cxn ang="0">
              <a:pos x="connsiteX4927" y="connsiteY4927"/>
            </a:cxn>
            <a:cxn ang="0">
              <a:pos x="connsiteX4928" y="connsiteY4928"/>
            </a:cxn>
            <a:cxn ang="0">
              <a:pos x="connsiteX4929" y="connsiteY4929"/>
            </a:cxn>
            <a:cxn ang="0">
              <a:pos x="connsiteX4930" y="connsiteY4930"/>
            </a:cxn>
            <a:cxn ang="0">
              <a:pos x="connsiteX4931" y="connsiteY4931"/>
            </a:cxn>
            <a:cxn ang="0">
              <a:pos x="connsiteX4932" y="connsiteY4932"/>
            </a:cxn>
            <a:cxn ang="0">
              <a:pos x="connsiteX4933" y="connsiteY4933"/>
            </a:cxn>
            <a:cxn ang="0">
              <a:pos x="connsiteX4934" y="connsiteY4934"/>
            </a:cxn>
            <a:cxn ang="0">
              <a:pos x="connsiteX4935" y="connsiteY4935"/>
            </a:cxn>
            <a:cxn ang="0">
              <a:pos x="connsiteX4936" y="connsiteY4936"/>
            </a:cxn>
            <a:cxn ang="0">
              <a:pos x="connsiteX4937" y="connsiteY4937"/>
            </a:cxn>
            <a:cxn ang="0">
              <a:pos x="connsiteX4938" y="connsiteY4938"/>
            </a:cxn>
            <a:cxn ang="0">
              <a:pos x="connsiteX4939" y="connsiteY4939"/>
            </a:cxn>
            <a:cxn ang="0">
              <a:pos x="connsiteX4940" y="connsiteY4940"/>
            </a:cxn>
            <a:cxn ang="0">
              <a:pos x="connsiteX4941" y="connsiteY4941"/>
            </a:cxn>
            <a:cxn ang="0">
              <a:pos x="connsiteX4942" y="connsiteY4942"/>
            </a:cxn>
            <a:cxn ang="0">
              <a:pos x="connsiteX4943" y="connsiteY4943"/>
            </a:cxn>
            <a:cxn ang="0">
              <a:pos x="connsiteX4944" y="connsiteY4944"/>
            </a:cxn>
            <a:cxn ang="0">
              <a:pos x="connsiteX4945" y="connsiteY4945"/>
            </a:cxn>
            <a:cxn ang="0">
              <a:pos x="connsiteX4946" y="connsiteY4946"/>
            </a:cxn>
            <a:cxn ang="0">
              <a:pos x="connsiteX4947" y="connsiteY4947"/>
            </a:cxn>
            <a:cxn ang="0">
              <a:pos x="connsiteX4948" y="connsiteY4948"/>
            </a:cxn>
            <a:cxn ang="0">
              <a:pos x="connsiteX4949" y="connsiteY4949"/>
            </a:cxn>
            <a:cxn ang="0">
              <a:pos x="connsiteX4950" y="connsiteY4950"/>
            </a:cxn>
            <a:cxn ang="0">
              <a:pos x="connsiteX4951" y="connsiteY4951"/>
            </a:cxn>
            <a:cxn ang="0">
              <a:pos x="connsiteX4952" y="connsiteY4952"/>
            </a:cxn>
            <a:cxn ang="0">
              <a:pos x="connsiteX4953" y="connsiteY4953"/>
            </a:cxn>
            <a:cxn ang="0">
              <a:pos x="connsiteX4954" y="connsiteY4954"/>
            </a:cxn>
            <a:cxn ang="0">
              <a:pos x="connsiteX4955" y="connsiteY4955"/>
            </a:cxn>
            <a:cxn ang="0">
              <a:pos x="connsiteX4956" y="connsiteY4956"/>
            </a:cxn>
            <a:cxn ang="0">
              <a:pos x="connsiteX4957" y="connsiteY4957"/>
            </a:cxn>
            <a:cxn ang="0">
              <a:pos x="connsiteX4958" y="connsiteY4958"/>
            </a:cxn>
            <a:cxn ang="0">
              <a:pos x="connsiteX4959" y="connsiteY4959"/>
            </a:cxn>
            <a:cxn ang="0">
              <a:pos x="connsiteX4960" y="connsiteY4960"/>
            </a:cxn>
            <a:cxn ang="0">
              <a:pos x="connsiteX4961" y="connsiteY4961"/>
            </a:cxn>
            <a:cxn ang="0">
              <a:pos x="connsiteX4962" y="connsiteY4962"/>
            </a:cxn>
            <a:cxn ang="0">
              <a:pos x="connsiteX4963" y="connsiteY4963"/>
            </a:cxn>
            <a:cxn ang="0">
              <a:pos x="connsiteX4964" y="connsiteY4964"/>
            </a:cxn>
            <a:cxn ang="0">
              <a:pos x="connsiteX4965" y="connsiteY4965"/>
            </a:cxn>
            <a:cxn ang="0">
              <a:pos x="connsiteX4966" y="connsiteY4966"/>
            </a:cxn>
            <a:cxn ang="0">
              <a:pos x="connsiteX4967" y="connsiteY4967"/>
            </a:cxn>
            <a:cxn ang="0">
              <a:pos x="connsiteX4968" y="connsiteY4968"/>
            </a:cxn>
            <a:cxn ang="0">
              <a:pos x="connsiteX4969" y="connsiteY4969"/>
            </a:cxn>
            <a:cxn ang="0">
              <a:pos x="connsiteX4970" y="connsiteY4970"/>
            </a:cxn>
            <a:cxn ang="0">
              <a:pos x="connsiteX4971" y="connsiteY4971"/>
            </a:cxn>
            <a:cxn ang="0">
              <a:pos x="connsiteX4972" y="connsiteY4972"/>
            </a:cxn>
            <a:cxn ang="0">
              <a:pos x="connsiteX4973" y="connsiteY4973"/>
            </a:cxn>
            <a:cxn ang="0">
              <a:pos x="connsiteX4974" y="connsiteY4974"/>
            </a:cxn>
            <a:cxn ang="0">
              <a:pos x="connsiteX4975" y="connsiteY4975"/>
            </a:cxn>
            <a:cxn ang="0">
              <a:pos x="connsiteX4976" y="connsiteY4976"/>
            </a:cxn>
            <a:cxn ang="0">
              <a:pos x="connsiteX4977" y="connsiteY4977"/>
            </a:cxn>
            <a:cxn ang="0">
              <a:pos x="connsiteX4978" y="connsiteY4978"/>
            </a:cxn>
            <a:cxn ang="0">
              <a:pos x="connsiteX4979" y="connsiteY4979"/>
            </a:cxn>
            <a:cxn ang="0">
              <a:pos x="connsiteX4980" y="connsiteY4980"/>
            </a:cxn>
            <a:cxn ang="0">
              <a:pos x="connsiteX4981" y="connsiteY4981"/>
            </a:cxn>
            <a:cxn ang="0">
              <a:pos x="connsiteX4982" y="connsiteY4982"/>
            </a:cxn>
            <a:cxn ang="0">
              <a:pos x="connsiteX4983" y="connsiteY4983"/>
            </a:cxn>
            <a:cxn ang="0">
              <a:pos x="connsiteX4984" y="connsiteY4984"/>
            </a:cxn>
            <a:cxn ang="0">
              <a:pos x="connsiteX4985" y="connsiteY4985"/>
            </a:cxn>
            <a:cxn ang="0">
              <a:pos x="connsiteX4986" y="connsiteY4986"/>
            </a:cxn>
            <a:cxn ang="0">
              <a:pos x="connsiteX4987" y="connsiteY4987"/>
            </a:cxn>
            <a:cxn ang="0">
              <a:pos x="connsiteX4988" y="connsiteY4988"/>
            </a:cxn>
            <a:cxn ang="0">
              <a:pos x="connsiteX4989" y="connsiteY4989"/>
            </a:cxn>
            <a:cxn ang="0">
              <a:pos x="connsiteX4990" y="connsiteY4990"/>
            </a:cxn>
            <a:cxn ang="0">
              <a:pos x="connsiteX4991" y="connsiteY4991"/>
            </a:cxn>
            <a:cxn ang="0">
              <a:pos x="connsiteX4992" y="connsiteY4992"/>
            </a:cxn>
            <a:cxn ang="0">
              <a:pos x="connsiteX4993" y="connsiteY4993"/>
            </a:cxn>
            <a:cxn ang="0">
              <a:pos x="connsiteX4994" y="connsiteY4994"/>
            </a:cxn>
            <a:cxn ang="0">
              <a:pos x="connsiteX4995" y="connsiteY4995"/>
            </a:cxn>
            <a:cxn ang="0">
              <a:pos x="connsiteX4996" y="connsiteY4996"/>
            </a:cxn>
            <a:cxn ang="0">
              <a:pos x="connsiteX4997" y="connsiteY4997"/>
            </a:cxn>
            <a:cxn ang="0">
              <a:pos x="connsiteX4998" y="connsiteY4998"/>
            </a:cxn>
            <a:cxn ang="0">
              <a:pos x="connsiteX4999" y="connsiteY4999"/>
            </a:cxn>
            <a:cxn ang="0">
              <a:pos x="connsiteX5000" y="connsiteY5000"/>
            </a:cxn>
            <a:cxn ang="0">
              <a:pos x="connsiteX5001" y="connsiteY5001"/>
            </a:cxn>
            <a:cxn ang="0">
              <a:pos x="connsiteX5002" y="connsiteY5002"/>
            </a:cxn>
            <a:cxn ang="0">
              <a:pos x="connsiteX5003" y="connsiteY5003"/>
            </a:cxn>
            <a:cxn ang="0">
              <a:pos x="connsiteX5004" y="connsiteY5004"/>
            </a:cxn>
            <a:cxn ang="0">
              <a:pos x="connsiteX5005" y="connsiteY5005"/>
            </a:cxn>
            <a:cxn ang="0">
              <a:pos x="connsiteX5006" y="connsiteY5006"/>
            </a:cxn>
            <a:cxn ang="0">
              <a:pos x="connsiteX5007" y="connsiteY5007"/>
            </a:cxn>
            <a:cxn ang="0">
              <a:pos x="connsiteX5008" y="connsiteY5008"/>
            </a:cxn>
            <a:cxn ang="0">
              <a:pos x="connsiteX5009" y="connsiteY5009"/>
            </a:cxn>
            <a:cxn ang="0">
              <a:pos x="connsiteX5010" y="connsiteY5010"/>
            </a:cxn>
            <a:cxn ang="0">
              <a:pos x="connsiteX5011" y="connsiteY5011"/>
            </a:cxn>
            <a:cxn ang="0">
              <a:pos x="connsiteX5012" y="connsiteY5012"/>
            </a:cxn>
            <a:cxn ang="0">
              <a:pos x="connsiteX5013" y="connsiteY5013"/>
            </a:cxn>
            <a:cxn ang="0">
              <a:pos x="connsiteX5014" y="connsiteY5014"/>
            </a:cxn>
            <a:cxn ang="0">
              <a:pos x="connsiteX5015" y="connsiteY5015"/>
            </a:cxn>
            <a:cxn ang="0">
              <a:pos x="connsiteX5016" y="connsiteY5016"/>
            </a:cxn>
            <a:cxn ang="0">
              <a:pos x="connsiteX5017" y="connsiteY5017"/>
            </a:cxn>
            <a:cxn ang="0">
              <a:pos x="connsiteX5018" y="connsiteY5018"/>
            </a:cxn>
            <a:cxn ang="0">
              <a:pos x="connsiteX5019" y="connsiteY5019"/>
            </a:cxn>
            <a:cxn ang="0">
              <a:pos x="connsiteX5020" y="connsiteY5020"/>
            </a:cxn>
            <a:cxn ang="0">
              <a:pos x="connsiteX5021" y="connsiteY5021"/>
            </a:cxn>
            <a:cxn ang="0">
              <a:pos x="connsiteX5022" y="connsiteY5022"/>
            </a:cxn>
            <a:cxn ang="0">
              <a:pos x="connsiteX5023" y="connsiteY5023"/>
            </a:cxn>
            <a:cxn ang="0">
              <a:pos x="connsiteX5024" y="connsiteY5024"/>
            </a:cxn>
            <a:cxn ang="0">
              <a:pos x="connsiteX5025" y="connsiteY5025"/>
            </a:cxn>
            <a:cxn ang="0">
              <a:pos x="connsiteX5026" y="connsiteY5026"/>
            </a:cxn>
            <a:cxn ang="0">
              <a:pos x="connsiteX5027" y="connsiteY5027"/>
            </a:cxn>
            <a:cxn ang="0">
              <a:pos x="connsiteX5028" y="connsiteY5028"/>
            </a:cxn>
            <a:cxn ang="0">
              <a:pos x="connsiteX5029" y="connsiteY5029"/>
            </a:cxn>
            <a:cxn ang="0">
              <a:pos x="connsiteX5030" y="connsiteY5030"/>
            </a:cxn>
            <a:cxn ang="0">
              <a:pos x="connsiteX5031" y="connsiteY5031"/>
            </a:cxn>
            <a:cxn ang="0">
              <a:pos x="connsiteX5032" y="connsiteY5032"/>
            </a:cxn>
            <a:cxn ang="0">
              <a:pos x="connsiteX5033" y="connsiteY5033"/>
            </a:cxn>
            <a:cxn ang="0">
              <a:pos x="connsiteX5034" y="connsiteY5034"/>
            </a:cxn>
            <a:cxn ang="0">
              <a:pos x="connsiteX5035" y="connsiteY5035"/>
            </a:cxn>
            <a:cxn ang="0">
              <a:pos x="connsiteX5036" y="connsiteY5036"/>
            </a:cxn>
            <a:cxn ang="0">
              <a:pos x="connsiteX5037" y="connsiteY5037"/>
            </a:cxn>
            <a:cxn ang="0">
              <a:pos x="connsiteX5038" y="connsiteY5038"/>
            </a:cxn>
            <a:cxn ang="0">
              <a:pos x="connsiteX5039" y="connsiteY5039"/>
            </a:cxn>
            <a:cxn ang="0">
              <a:pos x="connsiteX5040" y="connsiteY5040"/>
            </a:cxn>
            <a:cxn ang="0">
              <a:pos x="connsiteX5041" y="connsiteY5041"/>
            </a:cxn>
            <a:cxn ang="0">
              <a:pos x="connsiteX5042" y="connsiteY5042"/>
            </a:cxn>
            <a:cxn ang="0">
              <a:pos x="connsiteX5043" y="connsiteY5043"/>
            </a:cxn>
            <a:cxn ang="0">
              <a:pos x="connsiteX5044" y="connsiteY5044"/>
            </a:cxn>
            <a:cxn ang="0">
              <a:pos x="connsiteX5045" y="connsiteY5045"/>
            </a:cxn>
            <a:cxn ang="0">
              <a:pos x="connsiteX5046" y="connsiteY5046"/>
            </a:cxn>
            <a:cxn ang="0">
              <a:pos x="connsiteX5047" y="connsiteY5047"/>
            </a:cxn>
            <a:cxn ang="0">
              <a:pos x="connsiteX5048" y="connsiteY5048"/>
            </a:cxn>
            <a:cxn ang="0">
              <a:pos x="connsiteX5049" y="connsiteY5049"/>
            </a:cxn>
            <a:cxn ang="0">
              <a:pos x="connsiteX5050" y="connsiteY5050"/>
            </a:cxn>
            <a:cxn ang="0">
              <a:pos x="connsiteX5051" y="connsiteY5051"/>
            </a:cxn>
            <a:cxn ang="0">
              <a:pos x="connsiteX5052" y="connsiteY5052"/>
            </a:cxn>
            <a:cxn ang="0">
              <a:pos x="connsiteX5053" y="connsiteY5053"/>
            </a:cxn>
            <a:cxn ang="0">
              <a:pos x="connsiteX5054" y="connsiteY5054"/>
            </a:cxn>
            <a:cxn ang="0">
              <a:pos x="connsiteX5055" y="connsiteY5055"/>
            </a:cxn>
            <a:cxn ang="0">
              <a:pos x="connsiteX5056" y="connsiteY5056"/>
            </a:cxn>
            <a:cxn ang="0">
              <a:pos x="connsiteX5057" y="connsiteY5057"/>
            </a:cxn>
            <a:cxn ang="0">
              <a:pos x="connsiteX5058" y="connsiteY5058"/>
            </a:cxn>
            <a:cxn ang="0">
              <a:pos x="connsiteX5059" y="connsiteY5059"/>
            </a:cxn>
            <a:cxn ang="0">
              <a:pos x="connsiteX5060" y="connsiteY5060"/>
            </a:cxn>
            <a:cxn ang="0">
              <a:pos x="connsiteX5061" y="connsiteY5061"/>
            </a:cxn>
            <a:cxn ang="0">
              <a:pos x="connsiteX5062" y="connsiteY5062"/>
            </a:cxn>
            <a:cxn ang="0">
              <a:pos x="connsiteX5063" y="connsiteY5063"/>
            </a:cxn>
            <a:cxn ang="0">
              <a:pos x="connsiteX5064" y="connsiteY5064"/>
            </a:cxn>
            <a:cxn ang="0">
              <a:pos x="connsiteX5065" y="connsiteY5065"/>
            </a:cxn>
            <a:cxn ang="0">
              <a:pos x="connsiteX5066" y="connsiteY5066"/>
            </a:cxn>
            <a:cxn ang="0">
              <a:pos x="connsiteX5067" y="connsiteY5067"/>
            </a:cxn>
            <a:cxn ang="0">
              <a:pos x="connsiteX5068" y="connsiteY5068"/>
            </a:cxn>
            <a:cxn ang="0">
              <a:pos x="connsiteX5069" y="connsiteY5069"/>
            </a:cxn>
            <a:cxn ang="0">
              <a:pos x="connsiteX5070" y="connsiteY5070"/>
            </a:cxn>
            <a:cxn ang="0">
              <a:pos x="connsiteX5071" y="connsiteY5071"/>
            </a:cxn>
            <a:cxn ang="0">
              <a:pos x="connsiteX5072" y="connsiteY5072"/>
            </a:cxn>
            <a:cxn ang="0">
              <a:pos x="connsiteX5073" y="connsiteY5073"/>
            </a:cxn>
            <a:cxn ang="0">
              <a:pos x="connsiteX5074" y="connsiteY5074"/>
            </a:cxn>
            <a:cxn ang="0">
              <a:pos x="connsiteX5075" y="connsiteY5075"/>
            </a:cxn>
            <a:cxn ang="0">
              <a:pos x="connsiteX5076" y="connsiteY5076"/>
            </a:cxn>
            <a:cxn ang="0">
              <a:pos x="connsiteX5077" y="connsiteY5077"/>
            </a:cxn>
            <a:cxn ang="0">
              <a:pos x="connsiteX5078" y="connsiteY5078"/>
            </a:cxn>
            <a:cxn ang="0">
              <a:pos x="connsiteX5079" y="connsiteY5079"/>
            </a:cxn>
            <a:cxn ang="0">
              <a:pos x="connsiteX5080" y="connsiteY5080"/>
            </a:cxn>
            <a:cxn ang="0">
              <a:pos x="connsiteX5081" y="connsiteY5081"/>
            </a:cxn>
            <a:cxn ang="0">
              <a:pos x="connsiteX5082" y="connsiteY5082"/>
            </a:cxn>
            <a:cxn ang="0">
              <a:pos x="connsiteX5083" y="connsiteY5083"/>
            </a:cxn>
            <a:cxn ang="0">
              <a:pos x="connsiteX5084" y="connsiteY5084"/>
            </a:cxn>
            <a:cxn ang="0">
              <a:pos x="connsiteX5085" y="connsiteY5085"/>
            </a:cxn>
            <a:cxn ang="0">
              <a:pos x="connsiteX5086" y="connsiteY5086"/>
            </a:cxn>
            <a:cxn ang="0">
              <a:pos x="connsiteX5087" y="connsiteY5087"/>
            </a:cxn>
            <a:cxn ang="0">
              <a:pos x="connsiteX5088" y="connsiteY5088"/>
            </a:cxn>
            <a:cxn ang="0">
              <a:pos x="connsiteX5089" y="connsiteY5089"/>
            </a:cxn>
            <a:cxn ang="0">
              <a:pos x="connsiteX5090" y="connsiteY5090"/>
            </a:cxn>
            <a:cxn ang="0">
              <a:pos x="connsiteX5091" y="connsiteY5091"/>
            </a:cxn>
            <a:cxn ang="0">
              <a:pos x="connsiteX5092" y="connsiteY5092"/>
            </a:cxn>
            <a:cxn ang="0">
              <a:pos x="connsiteX5093" y="connsiteY5093"/>
            </a:cxn>
            <a:cxn ang="0">
              <a:pos x="connsiteX5094" y="connsiteY5094"/>
            </a:cxn>
            <a:cxn ang="0">
              <a:pos x="connsiteX5095" y="connsiteY5095"/>
            </a:cxn>
            <a:cxn ang="0">
              <a:pos x="connsiteX5096" y="connsiteY5096"/>
            </a:cxn>
            <a:cxn ang="0">
              <a:pos x="connsiteX5097" y="connsiteY5097"/>
            </a:cxn>
            <a:cxn ang="0">
              <a:pos x="connsiteX5098" y="connsiteY5098"/>
            </a:cxn>
            <a:cxn ang="0">
              <a:pos x="connsiteX5099" y="connsiteY5099"/>
            </a:cxn>
            <a:cxn ang="0">
              <a:pos x="connsiteX5100" y="connsiteY5100"/>
            </a:cxn>
            <a:cxn ang="0">
              <a:pos x="connsiteX5101" y="connsiteY5101"/>
            </a:cxn>
            <a:cxn ang="0">
              <a:pos x="connsiteX5102" y="connsiteY5102"/>
            </a:cxn>
            <a:cxn ang="0">
              <a:pos x="connsiteX5103" y="connsiteY5103"/>
            </a:cxn>
            <a:cxn ang="0">
              <a:pos x="connsiteX5104" y="connsiteY5104"/>
            </a:cxn>
            <a:cxn ang="0">
              <a:pos x="connsiteX5105" y="connsiteY5105"/>
            </a:cxn>
            <a:cxn ang="0">
              <a:pos x="connsiteX5106" y="connsiteY5106"/>
            </a:cxn>
            <a:cxn ang="0">
              <a:pos x="connsiteX5107" y="connsiteY5107"/>
            </a:cxn>
            <a:cxn ang="0">
              <a:pos x="connsiteX5108" y="connsiteY5108"/>
            </a:cxn>
            <a:cxn ang="0">
              <a:pos x="connsiteX5109" y="connsiteY5109"/>
            </a:cxn>
            <a:cxn ang="0">
              <a:pos x="connsiteX5110" y="connsiteY5110"/>
            </a:cxn>
            <a:cxn ang="0">
              <a:pos x="connsiteX5111" y="connsiteY5111"/>
            </a:cxn>
            <a:cxn ang="0">
              <a:pos x="connsiteX5112" y="connsiteY5112"/>
            </a:cxn>
            <a:cxn ang="0">
              <a:pos x="connsiteX5113" y="connsiteY5113"/>
            </a:cxn>
            <a:cxn ang="0">
              <a:pos x="connsiteX5114" y="connsiteY5114"/>
            </a:cxn>
            <a:cxn ang="0">
              <a:pos x="connsiteX5115" y="connsiteY5115"/>
            </a:cxn>
            <a:cxn ang="0">
              <a:pos x="connsiteX5116" y="connsiteY5116"/>
            </a:cxn>
            <a:cxn ang="0">
              <a:pos x="connsiteX5117" y="connsiteY5117"/>
            </a:cxn>
            <a:cxn ang="0">
              <a:pos x="connsiteX5118" y="connsiteY5118"/>
            </a:cxn>
            <a:cxn ang="0">
              <a:pos x="connsiteX5119" y="connsiteY5119"/>
            </a:cxn>
            <a:cxn ang="0">
              <a:pos x="connsiteX5120" y="connsiteY5120"/>
            </a:cxn>
            <a:cxn ang="0">
              <a:pos x="connsiteX5121" y="connsiteY5121"/>
            </a:cxn>
            <a:cxn ang="0">
              <a:pos x="connsiteX5122" y="connsiteY5122"/>
            </a:cxn>
            <a:cxn ang="0">
              <a:pos x="connsiteX5123" y="connsiteY5123"/>
            </a:cxn>
            <a:cxn ang="0">
              <a:pos x="connsiteX5124" y="connsiteY5124"/>
            </a:cxn>
            <a:cxn ang="0">
              <a:pos x="connsiteX5125" y="connsiteY5125"/>
            </a:cxn>
            <a:cxn ang="0">
              <a:pos x="connsiteX5126" y="connsiteY5126"/>
            </a:cxn>
            <a:cxn ang="0">
              <a:pos x="connsiteX5127" y="connsiteY5127"/>
            </a:cxn>
            <a:cxn ang="0">
              <a:pos x="connsiteX5128" y="connsiteY5128"/>
            </a:cxn>
            <a:cxn ang="0">
              <a:pos x="connsiteX5129" y="connsiteY5129"/>
            </a:cxn>
            <a:cxn ang="0">
              <a:pos x="connsiteX5130" y="connsiteY5130"/>
            </a:cxn>
            <a:cxn ang="0">
              <a:pos x="connsiteX5131" y="connsiteY5131"/>
            </a:cxn>
            <a:cxn ang="0">
              <a:pos x="connsiteX5132" y="connsiteY5132"/>
            </a:cxn>
            <a:cxn ang="0">
              <a:pos x="connsiteX5133" y="connsiteY5133"/>
            </a:cxn>
            <a:cxn ang="0">
              <a:pos x="connsiteX5134" y="connsiteY5134"/>
            </a:cxn>
            <a:cxn ang="0">
              <a:pos x="connsiteX5135" y="connsiteY5135"/>
            </a:cxn>
            <a:cxn ang="0">
              <a:pos x="connsiteX5136" y="connsiteY5136"/>
            </a:cxn>
            <a:cxn ang="0">
              <a:pos x="connsiteX5137" y="connsiteY5137"/>
            </a:cxn>
            <a:cxn ang="0">
              <a:pos x="connsiteX5138" y="connsiteY5138"/>
            </a:cxn>
            <a:cxn ang="0">
              <a:pos x="connsiteX5139" y="connsiteY5139"/>
            </a:cxn>
            <a:cxn ang="0">
              <a:pos x="connsiteX5140" y="connsiteY5140"/>
            </a:cxn>
            <a:cxn ang="0">
              <a:pos x="connsiteX5141" y="connsiteY5141"/>
            </a:cxn>
            <a:cxn ang="0">
              <a:pos x="connsiteX5142" y="connsiteY5142"/>
            </a:cxn>
            <a:cxn ang="0">
              <a:pos x="connsiteX5143" y="connsiteY5143"/>
            </a:cxn>
            <a:cxn ang="0">
              <a:pos x="connsiteX5144" y="connsiteY5144"/>
            </a:cxn>
            <a:cxn ang="0">
              <a:pos x="connsiteX5145" y="connsiteY5145"/>
            </a:cxn>
            <a:cxn ang="0">
              <a:pos x="connsiteX5146" y="connsiteY5146"/>
            </a:cxn>
            <a:cxn ang="0">
              <a:pos x="connsiteX5147" y="connsiteY5147"/>
            </a:cxn>
            <a:cxn ang="0">
              <a:pos x="connsiteX5148" y="connsiteY5148"/>
            </a:cxn>
            <a:cxn ang="0">
              <a:pos x="connsiteX5149" y="connsiteY5149"/>
            </a:cxn>
            <a:cxn ang="0">
              <a:pos x="connsiteX5150" y="connsiteY5150"/>
            </a:cxn>
            <a:cxn ang="0">
              <a:pos x="connsiteX5151" y="connsiteY5151"/>
            </a:cxn>
            <a:cxn ang="0">
              <a:pos x="connsiteX5152" y="connsiteY5152"/>
            </a:cxn>
            <a:cxn ang="0">
              <a:pos x="connsiteX5153" y="connsiteY5153"/>
            </a:cxn>
            <a:cxn ang="0">
              <a:pos x="connsiteX5154" y="connsiteY5154"/>
            </a:cxn>
            <a:cxn ang="0">
              <a:pos x="connsiteX5155" y="connsiteY5155"/>
            </a:cxn>
            <a:cxn ang="0">
              <a:pos x="connsiteX5156" y="connsiteY5156"/>
            </a:cxn>
            <a:cxn ang="0">
              <a:pos x="connsiteX5157" y="connsiteY5157"/>
            </a:cxn>
            <a:cxn ang="0">
              <a:pos x="connsiteX5158" y="connsiteY5158"/>
            </a:cxn>
            <a:cxn ang="0">
              <a:pos x="connsiteX5159" y="connsiteY5159"/>
            </a:cxn>
            <a:cxn ang="0">
              <a:pos x="connsiteX5160" y="connsiteY5160"/>
            </a:cxn>
            <a:cxn ang="0">
              <a:pos x="connsiteX5161" y="connsiteY5161"/>
            </a:cxn>
            <a:cxn ang="0">
              <a:pos x="connsiteX5162" y="connsiteY5162"/>
            </a:cxn>
            <a:cxn ang="0">
              <a:pos x="connsiteX5163" y="connsiteY5163"/>
            </a:cxn>
            <a:cxn ang="0">
              <a:pos x="connsiteX5164" y="connsiteY5164"/>
            </a:cxn>
            <a:cxn ang="0">
              <a:pos x="connsiteX5165" y="connsiteY5165"/>
            </a:cxn>
            <a:cxn ang="0">
              <a:pos x="connsiteX5166" y="connsiteY5166"/>
            </a:cxn>
            <a:cxn ang="0">
              <a:pos x="connsiteX5167" y="connsiteY5167"/>
            </a:cxn>
            <a:cxn ang="0">
              <a:pos x="connsiteX5168" y="connsiteY5168"/>
            </a:cxn>
            <a:cxn ang="0">
              <a:pos x="connsiteX5169" y="connsiteY5169"/>
            </a:cxn>
            <a:cxn ang="0">
              <a:pos x="connsiteX5170" y="connsiteY5170"/>
            </a:cxn>
            <a:cxn ang="0">
              <a:pos x="connsiteX5171" y="connsiteY5171"/>
            </a:cxn>
            <a:cxn ang="0">
              <a:pos x="connsiteX5172" y="connsiteY5172"/>
            </a:cxn>
            <a:cxn ang="0">
              <a:pos x="connsiteX5173" y="connsiteY5173"/>
            </a:cxn>
            <a:cxn ang="0">
              <a:pos x="connsiteX5174" y="connsiteY5174"/>
            </a:cxn>
            <a:cxn ang="0">
              <a:pos x="connsiteX5175" y="connsiteY5175"/>
            </a:cxn>
            <a:cxn ang="0">
              <a:pos x="connsiteX5176" y="connsiteY5176"/>
            </a:cxn>
            <a:cxn ang="0">
              <a:pos x="connsiteX5177" y="connsiteY5177"/>
            </a:cxn>
            <a:cxn ang="0">
              <a:pos x="connsiteX5178" y="connsiteY5178"/>
            </a:cxn>
            <a:cxn ang="0">
              <a:pos x="connsiteX5179" y="connsiteY5179"/>
            </a:cxn>
            <a:cxn ang="0">
              <a:pos x="connsiteX5180" y="connsiteY5180"/>
            </a:cxn>
            <a:cxn ang="0">
              <a:pos x="connsiteX5181" y="connsiteY5181"/>
            </a:cxn>
            <a:cxn ang="0">
              <a:pos x="connsiteX5182" y="connsiteY5182"/>
            </a:cxn>
            <a:cxn ang="0">
              <a:pos x="connsiteX5183" y="connsiteY5183"/>
            </a:cxn>
            <a:cxn ang="0">
              <a:pos x="connsiteX5184" y="connsiteY5184"/>
            </a:cxn>
            <a:cxn ang="0">
              <a:pos x="connsiteX5185" y="connsiteY5185"/>
            </a:cxn>
            <a:cxn ang="0">
              <a:pos x="connsiteX5186" y="connsiteY5186"/>
            </a:cxn>
            <a:cxn ang="0">
              <a:pos x="connsiteX5187" y="connsiteY5187"/>
            </a:cxn>
            <a:cxn ang="0">
              <a:pos x="connsiteX5188" y="connsiteY5188"/>
            </a:cxn>
            <a:cxn ang="0">
              <a:pos x="connsiteX5189" y="connsiteY5189"/>
            </a:cxn>
            <a:cxn ang="0">
              <a:pos x="connsiteX5190" y="connsiteY5190"/>
            </a:cxn>
            <a:cxn ang="0">
              <a:pos x="connsiteX5191" y="connsiteY5191"/>
            </a:cxn>
            <a:cxn ang="0">
              <a:pos x="connsiteX5192" y="connsiteY5192"/>
            </a:cxn>
            <a:cxn ang="0">
              <a:pos x="connsiteX5193" y="connsiteY5193"/>
            </a:cxn>
            <a:cxn ang="0">
              <a:pos x="connsiteX5194" y="connsiteY5194"/>
            </a:cxn>
            <a:cxn ang="0">
              <a:pos x="connsiteX5195" y="connsiteY5195"/>
            </a:cxn>
            <a:cxn ang="0">
              <a:pos x="connsiteX5196" y="connsiteY5196"/>
            </a:cxn>
            <a:cxn ang="0">
              <a:pos x="connsiteX5197" y="connsiteY5197"/>
            </a:cxn>
            <a:cxn ang="0">
              <a:pos x="connsiteX5198" y="connsiteY5198"/>
            </a:cxn>
            <a:cxn ang="0">
              <a:pos x="connsiteX5199" y="connsiteY5199"/>
            </a:cxn>
            <a:cxn ang="0">
              <a:pos x="connsiteX5200" y="connsiteY5200"/>
            </a:cxn>
            <a:cxn ang="0">
              <a:pos x="connsiteX5201" y="connsiteY5201"/>
            </a:cxn>
            <a:cxn ang="0">
              <a:pos x="connsiteX5202" y="connsiteY5202"/>
            </a:cxn>
            <a:cxn ang="0">
              <a:pos x="connsiteX5203" y="connsiteY5203"/>
            </a:cxn>
            <a:cxn ang="0">
              <a:pos x="connsiteX5204" y="connsiteY5204"/>
            </a:cxn>
            <a:cxn ang="0">
              <a:pos x="connsiteX5205" y="connsiteY5205"/>
            </a:cxn>
            <a:cxn ang="0">
              <a:pos x="connsiteX5206" y="connsiteY5206"/>
            </a:cxn>
            <a:cxn ang="0">
              <a:pos x="connsiteX5207" y="connsiteY5207"/>
            </a:cxn>
            <a:cxn ang="0">
              <a:pos x="connsiteX5208" y="connsiteY5208"/>
            </a:cxn>
            <a:cxn ang="0">
              <a:pos x="connsiteX5209" y="connsiteY5209"/>
            </a:cxn>
            <a:cxn ang="0">
              <a:pos x="connsiteX5210" y="connsiteY5210"/>
            </a:cxn>
            <a:cxn ang="0">
              <a:pos x="connsiteX5211" y="connsiteY5211"/>
            </a:cxn>
            <a:cxn ang="0">
              <a:pos x="connsiteX5212" y="connsiteY5212"/>
            </a:cxn>
            <a:cxn ang="0">
              <a:pos x="connsiteX5213" y="connsiteY5213"/>
            </a:cxn>
            <a:cxn ang="0">
              <a:pos x="connsiteX5214" y="connsiteY5214"/>
            </a:cxn>
            <a:cxn ang="0">
              <a:pos x="connsiteX5215" y="connsiteY5215"/>
            </a:cxn>
            <a:cxn ang="0">
              <a:pos x="connsiteX5216" y="connsiteY5216"/>
            </a:cxn>
            <a:cxn ang="0">
              <a:pos x="connsiteX5217" y="connsiteY5217"/>
            </a:cxn>
            <a:cxn ang="0">
              <a:pos x="connsiteX5218" y="connsiteY5218"/>
            </a:cxn>
            <a:cxn ang="0">
              <a:pos x="connsiteX5219" y="connsiteY5219"/>
            </a:cxn>
            <a:cxn ang="0">
              <a:pos x="connsiteX5220" y="connsiteY5220"/>
            </a:cxn>
            <a:cxn ang="0">
              <a:pos x="connsiteX5221" y="connsiteY5221"/>
            </a:cxn>
            <a:cxn ang="0">
              <a:pos x="connsiteX5222" y="connsiteY5222"/>
            </a:cxn>
            <a:cxn ang="0">
              <a:pos x="connsiteX5223" y="connsiteY5223"/>
            </a:cxn>
            <a:cxn ang="0">
              <a:pos x="connsiteX5224" y="connsiteY5224"/>
            </a:cxn>
            <a:cxn ang="0">
              <a:pos x="connsiteX5225" y="connsiteY5225"/>
            </a:cxn>
            <a:cxn ang="0">
              <a:pos x="connsiteX5226" y="connsiteY5226"/>
            </a:cxn>
            <a:cxn ang="0">
              <a:pos x="connsiteX5227" y="connsiteY5227"/>
            </a:cxn>
            <a:cxn ang="0">
              <a:pos x="connsiteX5228" y="connsiteY5228"/>
            </a:cxn>
            <a:cxn ang="0">
              <a:pos x="connsiteX5229" y="connsiteY5229"/>
            </a:cxn>
            <a:cxn ang="0">
              <a:pos x="connsiteX5230" y="connsiteY5230"/>
            </a:cxn>
            <a:cxn ang="0">
              <a:pos x="connsiteX5231" y="connsiteY5231"/>
            </a:cxn>
            <a:cxn ang="0">
              <a:pos x="connsiteX5232" y="connsiteY5232"/>
            </a:cxn>
            <a:cxn ang="0">
              <a:pos x="connsiteX5233" y="connsiteY5233"/>
            </a:cxn>
            <a:cxn ang="0">
              <a:pos x="connsiteX5234" y="connsiteY5234"/>
            </a:cxn>
            <a:cxn ang="0">
              <a:pos x="connsiteX5235" y="connsiteY5235"/>
            </a:cxn>
            <a:cxn ang="0">
              <a:pos x="connsiteX5236" y="connsiteY5236"/>
            </a:cxn>
            <a:cxn ang="0">
              <a:pos x="connsiteX5237" y="connsiteY5237"/>
            </a:cxn>
            <a:cxn ang="0">
              <a:pos x="connsiteX5238" y="connsiteY5238"/>
            </a:cxn>
            <a:cxn ang="0">
              <a:pos x="connsiteX5239" y="connsiteY5239"/>
            </a:cxn>
            <a:cxn ang="0">
              <a:pos x="connsiteX5240" y="connsiteY5240"/>
            </a:cxn>
            <a:cxn ang="0">
              <a:pos x="connsiteX5241" y="connsiteY5241"/>
            </a:cxn>
            <a:cxn ang="0">
              <a:pos x="connsiteX5242" y="connsiteY5242"/>
            </a:cxn>
            <a:cxn ang="0">
              <a:pos x="connsiteX5243" y="connsiteY5243"/>
            </a:cxn>
            <a:cxn ang="0">
              <a:pos x="connsiteX5244" y="connsiteY5244"/>
            </a:cxn>
            <a:cxn ang="0">
              <a:pos x="connsiteX5245" y="connsiteY5245"/>
            </a:cxn>
            <a:cxn ang="0">
              <a:pos x="connsiteX5246" y="connsiteY5246"/>
            </a:cxn>
            <a:cxn ang="0">
              <a:pos x="connsiteX5247" y="connsiteY5247"/>
            </a:cxn>
            <a:cxn ang="0">
              <a:pos x="connsiteX5248" y="connsiteY5248"/>
            </a:cxn>
            <a:cxn ang="0">
              <a:pos x="connsiteX5249" y="connsiteY5249"/>
            </a:cxn>
            <a:cxn ang="0">
              <a:pos x="connsiteX5250" y="connsiteY5250"/>
            </a:cxn>
            <a:cxn ang="0">
              <a:pos x="connsiteX5251" y="connsiteY5251"/>
            </a:cxn>
            <a:cxn ang="0">
              <a:pos x="connsiteX5252" y="connsiteY5252"/>
            </a:cxn>
            <a:cxn ang="0">
              <a:pos x="connsiteX5253" y="connsiteY5253"/>
            </a:cxn>
            <a:cxn ang="0">
              <a:pos x="connsiteX5254" y="connsiteY5254"/>
            </a:cxn>
            <a:cxn ang="0">
              <a:pos x="connsiteX5255" y="connsiteY5255"/>
            </a:cxn>
            <a:cxn ang="0">
              <a:pos x="connsiteX5256" y="connsiteY5256"/>
            </a:cxn>
            <a:cxn ang="0">
              <a:pos x="connsiteX5257" y="connsiteY5257"/>
            </a:cxn>
            <a:cxn ang="0">
              <a:pos x="connsiteX5258" y="connsiteY5258"/>
            </a:cxn>
            <a:cxn ang="0">
              <a:pos x="connsiteX5259" y="connsiteY5259"/>
            </a:cxn>
            <a:cxn ang="0">
              <a:pos x="connsiteX5260" y="connsiteY5260"/>
            </a:cxn>
            <a:cxn ang="0">
              <a:pos x="connsiteX5261" y="connsiteY5261"/>
            </a:cxn>
            <a:cxn ang="0">
              <a:pos x="connsiteX5262" y="connsiteY5262"/>
            </a:cxn>
            <a:cxn ang="0">
              <a:pos x="connsiteX5263" y="connsiteY5263"/>
            </a:cxn>
            <a:cxn ang="0">
              <a:pos x="connsiteX5264" y="connsiteY5264"/>
            </a:cxn>
            <a:cxn ang="0">
              <a:pos x="connsiteX5265" y="connsiteY5265"/>
            </a:cxn>
            <a:cxn ang="0">
              <a:pos x="connsiteX5266" y="connsiteY5266"/>
            </a:cxn>
            <a:cxn ang="0">
              <a:pos x="connsiteX5267" y="connsiteY5267"/>
            </a:cxn>
            <a:cxn ang="0">
              <a:pos x="connsiteX5268" y="connsiteY5268"/>
            </a:cxn>
            <a:cxn ang="0">
              <a:pos x="connsiteX5269" y="connsiteY5269"/>
            </a:cxn>
            <a:cxn ang="0">
              <a:pos x="connsiteX5270" y="connsiteY5270"/>
            </a:cxn>
            <a:cxn ang="0">
              <a:pos x="connsiteX5271" y="connsiteY5271"/>
            </a:cxn>
            <a:cxn ang="0">
              <a:pos x="connsiteX5272" y="connsiteY5272"/>
            </a:cxn>
            <a:cxn ang="0">
              <a:pos x="connsiteX5273" y="connsiteY5273"/>
            </a:cxn>
            <a:cxn ang="0">
              <a:pos x="connsiteX5274" y="connsiteY5274"/>
            </a:cxn>
            <a:cxn ang="0">
              <a:pos x="connsiteX5275" y="connsiteY5275"/>
            </a:cxn>
            <a:cxn ang="0">
              <a:pos x="connsiteX5276" y="connsiteY5276"/>
            </a:cxn>
            <a:cxn ang="0">
              <a:pos x="connsiteX5277" y="connsiteY5277"/>
            </a:cxn>
            <a:cxn ang="0">
              <a:pos x="connsiteX5278" y="connsiteY5278"/>
            </a:cxn>
            <a:cxn ang="0">
              <a:pos x="connsiteX5279" y="connsiteY5279"/>
            </a:cxn>
            <a:cxn ang="0">
              <a:pos x="connsiteX5280" y="connsiteY5280"/>
            </a:cxn>
            <a:cxn ang="0">
              <a:pos x="connsiteX5281" y="connsiteY5281"/>
            </a:cxn>
            <a:cxn ang="0">
              <a:pos x="connsiteX5282" y="connsiteY5282"/>
            </a:cxn>
            <a:cxn ang="0">
              <a:pos x="connsiteX5283" y="connsiteY5283"/>
            </a:cxn>
            <a:cxn ang="0">
              <a:pos x="connsiteX5284" y="connsiteY5284"/>
            </a:cxn>
            <a:cxn ang="0">
              <a:pos x="connsiteX5285" y="connsiteY5285"/>
            </a:cxn>
            <a:cxn ang="0">
              <a:pos x="connsiteX5286" y="connsiteY5286"/>
            </a:cxn>
            <a:cxn ang="0">
              <a:pos x="connsiteX5287" y="connsiteY5287"/>
            </a:cxn>
            <a:cxn ang="0">
              <a:pos x="connsiteX5288" y="connsiteY5288"/>
            </a:cxn>
            <a:cxn ang="0">
              <a:pos x="connsiteX5289" y="connsiteY5289"/>
            </a:cxn>
            <a:cxn ang="0">
              <a:pos x="connsiteX5290" y="connsiteY5290"/>
            </a:cxn>
            <a:cxn ang="0">
              <a:pos x="connsiteX5291" y="connsiteY5291"/>
            </a:cxn>
            <a:cxn ang="0">
              <a:pos x="connsiteX5292" y="connsiteY5292"/>
            </a:cxn>
            <a:cxn ang="0">
              <a:pos x="connsiteX5293" y="connsiteY5293"/>
            </a:cxn>
            <a:cxn ang="0">
              <a:pos x="connsiteX5294" y="connsiteY5294"/>
            </a:cxn>
            <a:cxn ang="0">
              <a:pos x="connsiteX5295" y="connsiteY5295"/>
            </a:cxn>
            <a:cxn ang="0">
              <a:pos x="connsiteX5296" y="connsiteY5296"/>
            </a:cxn>
            <a:cxn ang="0">
              <a:pos x="connsiteX5297" y="connsiteY5297"/>
            </a:cxn>
            <a:cxn ang="0">
              <a:pos x="connsiteX5298" y="connsiteY5298"/>
            </a:cxn>
            <a:cxn ang="0">
              <a:pos x="connsiteX5299" y="connsiteY5299"/>
            </a:cxn>
            <a:cxn ang="0">
              <a:pos x="connsiteX5300" y="connsiteY5300"/>
            </a:cxn>
            <a:cxn ang="0">
              <a:pos x="connsiteX5301" y="connsiteY5301"/>
            </a:cxn>
            <a:cxn ang="0">
              <a:pos x="connsiteX5302" y="connsiteY5302"/>
            </a:cxn>
            <a:cxn ang="0">
              <a:pos x="connsiteX5303" y="connsiteY5303"/>
            </a:cxn>
            <a:cxn ang="0">
              <a:pos x="connsiteX5304" y="connsiteY5304"/>
            </a:cxn>
            <a:cxn ang="0">
              <a:pos x="connsiteX5305" y="connsiteY5305"/>
            </a:cxn>
            <a:cxn ang="0">
              <a:pos x="connsiteX5306" y="connsiteY5306"/>
            </a:cxn>
            <a:cxn ang="0">
              <a:pos x="connsiteX5307" y="connsiteY5307"/>
            </a:cxn>
            <a:cxn ang="0">
              <a:pos x="connsiteX5308" y="connsiteY5308"/>
            </a:cxn>
            <a:cxn ang="0">
              <a:pos x="connsiteX5309" y="connsiteY5309"/>
            </a:cxn>
            <a:cxn ang="0">
              <a:pos x="connsiteX5310" y="connsiteY5310"/>
            </a:cxn>
            <a:cxn ang="0">
              <a:pos x="connsiteX5311" y="connsiteY5311"/>
            </a:cxn>
            <a:cxn ang="0">
              <a:pos x="connsiteX5312" y="connsiteY5312"/>
            </a:cxn>
            <a:cxn ang="0">
              <a:pos x="connsiteX5313" y="connsiteY5313"/>
            </a:cxn>
            <a:cxn ang="0">
              <a:pos x="connsiteX5314" y="connsiteY5314"/>
            </a:cxn>
            <a:cxn ang="0">
              <a:pos x="connsiteX5315" y="connsiteY5315"/>
            </a:cxn>
            <a:cxn ang="0">
              <a:pos x="connsiteX5316" y="connsiteY5316"/>
            </a:cxn>
            <a:cxn ang="0">
              <a:pos x="connsiteX5317" y="connsiteY5317"/>
            </a:cxn>
            <a:cxn ang="0">
              <a:pos x="connsiteX5318" y="connsiteY5318"/>
            </a:cxn>
            <a:cxn ang="0">
              <a:pos x="connsiteX5319" y="connsiteY5319"/>
            </a:cxn>
            <a:cxn ang="0">
              <a:pos x="connsiteX5320" y="connsiteY5320"/>
            </a:cxn>
            <a:cxn ang="0">
              <a:pos x="connsiteX5321" y="connsiteY5321"/>
            </a:cxn>
            <a:cxn ang="0">
              <a:pos x="connsiteX5322" y="connsiteY5322"/>
            </a:cxn>
            <a:cxn ang="0">
              <a:pos x="connsiteX5323" y="connsiteY5323"/>
            </a:cxn>
            <a:cxn ang="0">
              <a:pos x="connsiteX5324" y="connsiteY5324"/>
            </a:cxn>
            <a:cxn ang="0">
              <a:pos x="connsiteX5325" y="connsiteY5325"/>
            </a:cxn>
            <a:cxn ang="0">
              <a:pos x="connsiteX5326" y="connsiteY5326"/>
            </a:cxn>
            <a:cxn ang="0">
              <a:pos x="connsiteX5327" y="connsiteY5327"/>
            </a:cxn>
            <a:cxn ang="0">
              <a:pos x="connsiteX5328" y="connsiteY5328"/>
            </a:cxn>
            <a:cxn ang="0">
              <a:pos x="connsiteX5329" y="connsiteY5329"/>
            </a:cxn>
            <a:cxn ang="0">
              <a:pos x="connsiteX5330" y="connsiteY5330"/>
            </a:cxn>
            <a:cxn ang="0">
              <a:pos x="connsiteX5331" y="connsiteY5331"/>
            </a:cxn>
            <a:cxn ang="0">
              <a:pos x="connsiteX5332" y="connsiteY5332"/>
            </a:cxn>
            <a:cxn ang="0">
              <a:pos x="connsiteX5333" y="connsiteY5333"/>
            </a:cxn>
            <a:cxn ang="0">
              <a:pos x="connsiteX5334" y="connsiteY5334"/>
            </a:cxn>
            <a:cxn ang="0">
              <a:pos x="connsiteX5335" y="connsiteY5335"/>
            </a:cxn>
            <a:cxn ang="0">
              <a:pos x="connsiteX5336" y="connsiteY5336"/>
            </a:cxn>
            <a:cxn ang="0">
              <a:pos x="connsiteX5337" y="connsiteY5337"/>
            </a:cxn>
            <a:cxn ang="0">
              <a:pos x="connsiteX5338" y="connsiteY5338"/>
            </a:cxn>
            <a:cxn ang="0">
              <a:pos x="connsiteX5339" y="connsiteY5339"/>
            </a:cxn>
            <a:cxn ang="0">
              <a:pos x="connsiteX5340" y="connsiteY5340"/>
            </a:cxn>
            <a:cxn ang="0">
              <a:pos x="connsiteX5341" y="connsiteY5341"/>
            </a:cxn>
            <a:cxn ang="0">
              <a:pos x="connsiteX5342" y="connsiteY5342"/>
            </a:cxn>
            <a:cxn ang="0">
              <a:pos x="connsiteX5343" y="connsiteY5343"/>
            </a:cxn>
            <a:cxn ang="0">
              <a:pos x="connsiteX5344" y="connsiteY5344"/>
            </a:cxn>
            <a:cxn ang="0">
              <a:pos x="connsiteX5345" y="connsiteY5345"/>
            </a:cxn>
            <a:cxn ang="0">
              <a:pos x="connsiteX5346" y="connsiteY5346"/>
            </a:cxn>
            <a:cxn ang="0">
              <a:pos x="connsiteX5347" y="connsiteY5347"/>
            </a:cxn>
            <a:cxn ang="0">
              <a:pos x="connsiteX5348" y="connsiteY5348"/>
            </a:cxn>
            <a:cxn ang="0">
              <a:pos x="connsiteX5349" y="connsiteY5349"/>
            </a:cxn>
            <a:cxn ang="0">
              <a:pos x="connsiteX5350" y="connsiteY5350"/>
            </a:cxn>
            <a:cxn ang="0">
              <a:pos x="connsiteX5351" y="connsiteY5351"/>
            </a:cxn>
            <a:cxn ang="0">
              <a:pos x="connsiteX5352" y="connsiteY5352"/>
            </a:cxn>
            <a:cxn ang="0">
              <a:pos x="connsiteX5353" y="connsiteY5353"/>
            </a:cxn>
            <a:cxn ang="0">
              <a:pos x="connsiteX5354" y="connsiteY5354"/>
            </a:cxn>
            <a:cxn ang="0">
              <a:pos x="connsiteX5355" y="connsiteY5355"/>
            </a:cxn>
            <a:cxn ang="0">
              <a:pos x="connsiteX5356" y="connsiteY5356"/>
            </a:cxn>
            <a:cxn ang="0">
              <a:pos x="connsiteX5357" y="connsiteY5357"/>
            </a:cxn>
            <a:cxn ang="0">
              <a:pos x="connsiteX5358" y="connsiteY5358"/>
            </a:cxn>
            <a:cxn ang="0">
              <a:pos x="connsiteX5359" y="connsiteY5359"/>
            </a:cxn>
            <a:cxn ang="0">
              <a:pos x="connsiteX5360" y="connsiteY5360"/>
            </a:cxn>
            <a:cxn ang="0">
              <a:pos x="connsiteX5361" y="connsiteY5361"/>
            </a:cxn>
            <a:cxn ang="0">
              <a:pos x="connsiteX5362" y="connsiteY5362"/>
            </a:cxn>
            <a:cxn ang="0">
              <a:pos x="connsiteX5363" y="connsiteY5363"/>
            </a:cxn>
            <a:cxn ang="0">
              <a:pos x="connsiteX5364" y="connsiteY5364"/>
            </a:cxn>
            <a:cxn ang="0">
              <a:pos x="connsiteX5365" y="connsiteY5365"/>
            </a:cxn>
            <a:cxn ang="0">
              <a:pos x="connsiteX5366" y="connsiteY5366"/>
            </a:cxn>
            <a:cxn ang="0">
              <a:pos x="connsiteX5367" y="connsiteY5367"/>
            </a:cxn>
            <a:cxn ang="0">
              <a:pos x="connsiteX5368" y="connsiteY5368"/>
            </a:cxn>
            <a:cxn ang="0">
              <a:pos x="connsiteX5369" y="connsiteY5369"/>
            </a:cxn>
            <a:cxn ang="0">
              <a:pos x="connsiteX5370" y="connsiteY5370"/>
            </a:cxn>
            <a:cxn ang="0">
              <a:pos x="connsiteX5371" y="connsiteY5371"/>
            </a:cxn>
            <a:cxn ang="0">
              <a:pos x="connsiteX5372" y="connsiteY5372"/>
            </a:cxn>
            <a:cxn ang="0">
              <a:pos x="connsiteX5373" y="connsiteY5373"/>
            </a:cxn>
            <a:cxn ang="0">
              <a:pos x="connsiteX5374" y="connsiteY5374"/>
            </a:cxn>
            <a:cxn ang="0">
              <a:pos x="connsiteX5375" y="connsiteY5375"/>
            </a:cxn>
            <a:cxn ang="0">
              <a:pos x="connsiteX5376" y="connsiteY5376"/>
            </a:cxn>
            <a:cxn ang="0">
              <a:pos x="connsiteX5377" y="connsiteY5377"/>
            </a:cxn>
            <a:cxn ang="0">
              <a:pos x="connsiteX5378" y="connsiteY5378"/>
            </a:cxn>
            <a:cxn ang="0">
              <a:pos x="connsiteX5379" y="connsiteY5379"/>
            </a:cxn>
            <a:cxn ang="0">
              <a:pos x="connsiteX5380" y="connsiteY5380"/>
            </a:cxn>
            <a:cxn ang="0">
              <a:pos x="connsiteX5381" y="connsiteY5381"/>
            </a:cxn>
            <a:cxn ang="0">
              <a:pos x="connsiteX5382" y="connsiteY5382"/>
            </a:cxn>
            <a:cxn ang="0">
              <a:pos x="connsiteX5383" y="connsiteY5383"/>
            </a:cxn>
            <a:cxn ang="0">
              <a:pos x="connsiteX5384" y="connsiteY5384"/>
            </a:cxn>
            <a:cxn ang="0">
              <a:pos x="connsiteX5385" y="connsiteY5385"/>
            </a:cxn>
            <a:cxn ang="0">
              <a:pos x="connsiteX5386" y="connsiteY5386"/>
            </a:cxn>
            <a:cxn ang="0">
              <a:pos x="connsiteX5387" y="connsiteY5387"/>
            </a:cxn>
            <a:cxn ang="0">
              <a:pos x="connsiteX5388" y="connsiteY5388"/>
            </a:cxn>
            <a:cxn ang="0">
              <a:pos x="connsiteX5389" y="connsiteY5389"/>
            </a:cxn>
            <a:cxn ang="0">
              <a:pos x="connsiteX5390" y="connsiteY5390"/>
            </a:cxn>
            <a:cxn ang="0">
              <a:pos x="connsiteX5391" y="connsiteY5391"/>
            </a:cxn>
            <a:cxn ang="0">
              <a:pos x="connsiteX5392" y="connsiteY5392"/>
            </a:cxn>
            <a:cxn ang="0">
              <a:pos x="connsiteX5393" y="connsiteY5393"/>
            </a:cxn>
            <a:cxn ang="0">
              <a:pos x="connsiteX5394" y="connsiteY5394"/>
            </a:cxn>
            <a:cxn ang="0">
              <a:pos x="connsiteX5395" y="connsiteY5395"/>
            </a:cxn>
            <a:cxn ang="0">
              <a:pos x="connsiteX5396" y="connsiteY5396"/>
            </a:cxn>
            <a:cxn ang="0">
              <a:pos x="connsiteX5397" y="connsiteY5397"/>
            </a:cxn>
            <a:cxn ang="0">
              <a:pos x="connsiteX5398" y="connsiteY5398"/>
            </a:cxn>
            <a:cxn ang="0">
              <a:pos x="connsiteX5399" y="connsiteY5399"/>
            </a:cxn>
            <a:cxn ang="0">
              <a:pos x="connsiteX5400" y="connsiteY5400"/>
            </a:cxn>
            <a:cxn ang="0">
              <a:pos x="connsiteX5401" y="connsiteY5401"/>
            </a:cxn>
            <a:cxn ang="0">
              <a:pos x="connsiteX5402" y="connsiteY5402"/>
            </a:cxn>
            <a:cxn ang="0">
              <a:pos x="connsiteX5403" y="connsiteY5403"/>
            </a:cxn>
            <a:cxn ang="0">
              <a:pos x="connsiteX5404" y="connsiteY5404"/>
            </a:cxn>
            <a:cxn ang="0">
              <a:pos x="connsiteX5405" y="connsiteY5405"/>
            </a:cxn>
            <a:cxn ang="0">
              <a:pos x="connsiteX5406" y="connsiteY5406"/>
            </a:cxn>
            <a:cxn ang="0">
              <a:pos x="connsiteX5407" y="connsiteY5407"/>
            </a:cxn>
            <a:cxn ang="0">
              <a:pos x="connsiteX5408" y="connsiteY5408"/>
            </a:cxn>
            <a:cxn ang="0">
              <a:pos x="connsiteX5409" y="connsiteY5409"/>
            </a:cxn>
            <a:cxn ang="0">
              <a:pos x="connsiteX5410" y="connsiteY5410"/>
            </a:cxn>
            <a:cxn ang="0">
              <a:pos x="connsiteX5411" y="connsiteY5411"/>
            </a:cxn>
            <a:cxn ang="0">
              <a:pos x="connsiteX5412" y="connsiteY5412"/>
            </a:cxn>
            <a:cxn ang="0">
              <a:pos x="connsiteX5413" y="connsiteY5413"/>
            </a:cxn>
            <a:cxn ang="0">
              <a:pos x="connsiteX5414" y="connsiteY5414"/>
            </a:cxn>
            <a:cxn ang="0">
              <a:pos x="connsiteX5415" y="connsiteY5415"/>
            </a:cxn>
            <a:cxn ang="0">
              <a:pos x="connsiteX5416" y="connsiteY5416"/>
            </a:cxn>
            <a:cxn ang="0">
              <a:pos x="connsiteX5417" y="connsiteY5417"/>
            </a:cxn>
            <a:cxn ang="0">
              <a:pos x="connsiteX5418" y="connsiteY5418"/>
            </a:cxn>
            <a:cxn ang="0">
              <a:pos x="connsiteX5419" y="connsiteY5419"/>
            </a:cxn>
            <a:cxn ang="0">
              <a:pos x="connsiteX5420" y="connsiteY5420"/>
            </a:cxn>
            <a:cxn ang="0">
              <a:pos x="connsiteX5421" y="connsiteY5421"/>
            </a:cxn>
            <a:cxn ang="0">
              <a:pos x="connsiteX5422" y="connsiteY5422"/>
            </a:cxn>
            <a:cxn ang="0">
              <a:pos x="connsiteX5423" y="connsiteY5423"/>
            </a:cxn>
            <a:cxn ang="0">
              <a:pos x="connsiteX5424" y="connsiteY5424"/>
            </a:cxn>
            <a:cxn ang="0">
              <a:pos x="connsiteX5425" y="connsiteY5425"/>
            </a:cxn>
            <a:cxn ang="0">
              <a:pos x="connsiteX5426" y="connsiteY5426"/>
            </a:cxn>
            <a:cxn ang="0">
              <a:pos x="connsiteX5427" y="connsiteY5427"/>
            </a:cxn>
            <a:cxn ang="0">
              <a:pos x="connsiteX5428" y="connsiteY5428"/>
            </a:cxn>
            <a:cxn ang="0">
              <a:pos x="connsiteX5429" y="connsiteY5429"/>
            </a:cxn>
            <a:cxn ang="0">
              <a:pos x="connsiteX5430" y="connsiteY5430"/>
            </a:cxn>
            <a:cxn ang="0">
              <a:pos x="connsiteX5431" y="connsiteY5431"/>
            </a:cxn>
            <a:cxn ang="0">
              <a:pos x="connsiteX5432" y="connsiteY5432"/>
            </a:cxn>
            <a:cxn ang="0">
              <a:pos x="connsiteX5433" y="connsiteY5433"/>
            </a:cxn>
            <a:cxn ang="0">
              <a:pos x="connsiteX5434" y="connsiteY5434"/>
            </a:cxn>
            <a:cxn ang="0">
              <a:pos x="connsiteX5435" y="connsiteY5435"/>
            </a:cxn>
            <a:cxn ang="0">
              <a:pos x="connsiteX5436" y="connsiteY5436"/>
            </a:cxn>
            <a:cxn ang="0">
              <a:pos x="connsiteX5437" y="connsiteY5437"/>
            </a:cxn>
            <a:cxn ang="0">
              <a:pos x="connsiteX5438" y="connsiteY5438"/>
            </a:cxn>
            <a:cxn ang="0">
              <a:pos x="connsiteX5439" y="connsiteY5439"/>
            </a:cxn>
            <a:cxn ang="0">
              <a:pos x="connsiteX5440" y="connsiteY5440"/>
            </a:cxn>
            <a:cxn ang="0">
              <a:pos x="connsiteX5441" y="connsiteY5441"/>
            </a:cxn>
            <a:cxn ang="0">
              <a:pos x="connsiteX5442" y="connsiteY5442"/>
            </a:cxn>
            <a:cxn ang="0">
              <a:pos x="connsiteX5443" y="connsiteY5443"/>
            </a:cxn>
            <a:cxn ang="0">
              <a:pos x="connsiteX5444" y="connsiteY5444"/>
            </a:cxn>
            <a:cxn ang="0">
              <a:pos x="connsiteX5445" y="connsiteY5445"/>
            </a:cxn>
            <a:cxn ang="0">
              <a:pos x="connsiteX5446" y="connsiteY5446"/>
            </a:cxn>
            <a:cxn ang="0">
              <a:pos x="connsiteX5447" y="connsiteY5447"/>
            </a:cxn>
            <a:cxn ang="0">
              <a:pos x="connsiteX5448" y="connsiteY5448"/>
            </a:cxn>
            <a:cxn ang="0">
              <a:pos x="connsiteX5449" y="connsiteY5449"/>
            </a:cxn>
            <a:cxn ang="0">
              <a:pos x="connsiteX5450" y="connsiteY5450"/>
            </a:cxn>
            <a:cxn ang="0">
              <a:pos x="connsiteX5451" y="connsiteY5451"/>
            </a:cxn>
            <a:cxn ang="0">
              <a:pos x="connsiteX5452" y="connsiteY5452"/>
            </a:cxn>
            <a:cxn ang="0">
              <a:pos x="connsiteX5453" y="connsiteY5453"/>
            </a:cxn>
            <a:cxn ang="0">
              <a:pos x="connsiteX5454" y="connsiteY5454"/>
            </a:cxn>
            <a:cxn ang="0">
              <a:pos x="connsiteX5455" y="connsiteY5455"/>
            </a:cxn>
            <a:cxn ang="0">
              <a:pos x="connsiteX5456" y="connsiteY5456"/>
            </a:cxn>
            <a:cxn ang="0">
              <a:pos x="connsiteX5457" y="connsiteY5457"/>
            </a:cxn>
            <a:cxn ang="0">
              <a:pos x="connsiteX5458" y="connsiteY5458"/>
            </a:cxn>
            <a:cxn ang="0">
              <a:pos x="connsiteX5459" y="connsiteY5459"/>
            </a:cxn>
            <a:cxn ang="0">
              <a:pos x="connsiteX5460" y="connsiteY5460"/>
            </a:cxn>
            <a:cxn ang="0">
              <a:pos x="connsiteX5461" y="connsiteY5461"/>
            </a:cxn>
            <a:cxn ang="0">
              <a:pos x="connsiteX5462" y="connsiteY5462"/>
            </a:cxn>
            <a:cxn ang="0">
              <a:pos x="connsiteX5463" y="connsiteY5463"/>
            </a:cxn>
            <a:cxn ang="0">
              <a:pos x="connsiteX5464" y="connsiteY5464"/>
            </a:cxn>
            <a:cxn ang="0">
              <a:pos x="connsiteX5465" y="connsiteY5465"/>
            </a:cxn>
            <a:cxn ang="0">
              <a:pos x="connsiteX5466" y="connsiteY5466"/>
            </a:cxn>
            <a:cxn ang="0">
              <a:pos x="connsiteX5467" y="connsiteY5467"/>
            </a:cxn>
            <a:cxn ang="0">
              <a:pos x="connsiteX5468" y="connsiteY5468"/>
            </a:cxn>
            <a:cxn ang="0">
              <a:pos x="connsiteX5469" y="connsiteY5469"/>
            </a:cxn>
            <a:cxn ang="0">
              <a:pos x="connsiteX5470" y="connsiteY5470"/>
            </a:cxn>
            <a:cxn ang="0">
              <a:pos x="connsiteX5471" y="connsiteY5471"/>
            </a:cxn>
            <a:cxn ang="0">
              <a:pos x="connsiteX5472" y="connsiteY5472"/>
            </a:cxn>
            <a:cxn ang="0">
              <a:pos x="connsiteX5473" y="connsiteY5473"/>
            </a:cxn>
            <a:cxn ang="0">
              <a:pos x="connsiteX5474" y="connsiteY5474"/>
            </a:cxn>
            <a:cxn ang="0">
              <a:pos x="connsiteX5475" y="connsiteY5475"/>
            </a:cxn>
            <a:cxn ang="0">
              <a:pos x="connsiteX5476" y="connsiteY5476"/>
            </a:cxn>
            <a:cxn ang="0">
              <a:pos x="connsiteX5477" y="connsiteY5477"/>
            </a:cxn>
            <a:cxn ang="0">
              <a:pos x="connsiteX5478" y="connsiteY5478"/>
            </a:cxn>
            <a:cxn ang="0">
              <a:pos x="connsiteX5479" y="connsiteY5479"/>
            </a:cxn>
            <a:cxn ang="0">
              <a:pos x="connsiteX5480" y="connsiteY5480"/>
            </a:cxn>
            <a:cxn ang="0">
              <a:pos x="connsiteX5481" y="connsiteY5481"/>
            </a:cxn>
            <a:cxn ang="0">
              <a:pos x="connsiteX5482" y="connsiteY5482"/>
            </a:cxn>
            <a:cxn ang="0">
              <a:pos x="connsiteX5483" y="connsiteY5483"/>
            </a:cxn>
            <a:cxn ang="0">
              <a:pos x="connsiteX5484" y="connsiteY5484"/>
            </a:cxn>
            <a:cxn ang="0">
              <a:pos x="connsiteX5485" y="connsiteY5485"/>
            </a:cxn>
            <a:cxn ang="0">
              <a:pos x="connsiteX5486" y="connsiteY5486"/>
            </a:cxn>
            <a:cxn ang="0">
              <a:pos x="connsiteX5487" y="connsiteY5487"/>
            </a:cxn>
            <a:cxn ang="0">
              <a:pos x="connsiteX5488" y="connsiteY5488"/>
            </a:cxn>
            <a:cxn ang="0">
              <a:pos x="connsiteX5489" y="connsiteY5489"/>
            </a:cxn>
            <a:cxn ang="0">
              <a:pos x="connsiteX5490" y="connsiteY5490"/>
            </a:cxn>
            <a:cxn ang="0">
              <a:pos x="connsiteX5491" y="connsiteY5491"/>
            </a:cxn>
            <a:cxn ang="0">
              <a:pos x="connsiteX5492" y="connsiteY5492"/>
            </a:cxn>
            <a:cxn ang="0">
              <a:pos x="connsiteX5493" y="connsiteY5493"/>
            </a:cxn>
            <a:cxn ang="0">
              <a:pos x="connsiteX5494" y="connsiteY5494"/>
            </a:cxn>
            <a:cxn ang="0">
              <a:pos x="connsiteX5495" y="connsiteY5495"/>
            </a:cxn>
            <a:cxn ang="0">
              <a:pos x="connsiteX5496" y="connsiteY5496"/>
            </a:cxn>
            <a:cxn ang="0">
              <a:pos x="connsiteX5497" y="connsiteY5497"/>
            </a:cxn>
            <a:cxn ang="0">
              <a:pos x="connsiteX5498" y="connsiteY5498"/>
            </a:cxn>
            <a:cxn ang="0">
              <a:pos x="connsiteX5499" y="connsiteY5499"/>
            </a:cxn>
            <a:cxn ang="0">
              <a:pos x="connsiteX5500" y="connsiteY5500"/>
            </a:cxn>
            <a:cxn ang="0">
              <a:pos x="connsiteX5501" y="connsiteY5501"/>
            </a:cxn>
            <a:cxn ang="0">
              <a:pos x="connsiteX5502" y="connsiteY5502"/>
            </a:cxn>
            <a:cxn ang="0">
              <a:pos x="connsiteX5503" y="connsiteY5503"/>
            </a:cxn>
            <a:cxn ang="0">
              <a:pos x="connsiteX5504" y="connsiteY5504"/>
            </a:cxn>
            <a:cxn ang="0">
              <a:pos x="connsiteX5505" y="connsiteY5505"/>
            </a:cxn>
            <a:cxn ang="0">
              <a:pos x="connsiteX5506" y="connsiteY5506"/>
            </a:cxn>
            <a:cxn ang="0">
              <a:pos x="connsiteX5507" y="connsiteY5507"/>
            </a:cxn>
            <a:cxn ang="0">
              <a:pos x="connsiteX5508" y="connsiteY5508"/>
            </a:cxn>
            <a:cxn ang="0">
              <a:pos x="connsiteX5509" y="connsiteY5509"/>
            </a:cxn>
            <a:cxn ang="0">
              <a:pos x="connsiteX5510" y="connsiteY5510"/>
            </a:cxn>
            <a:cxn ang="0">
              <a:pos x="connsiteX5511" y="connsiteY5511"/>
            </a:cxn>
            <a:cxn ang="0">
              <a:pos x="connsiteX5512" y="connsiteY5512"/>
            </a:cxn>
            <a:cxn ang="0">
              <a:pos x="connsiteX5513" y="connsiteY5513"/>
            </a:cxn>
            <a:cxn ang="0">
              <a:pos x="connsiteX5514" y="connsiteY5514"/>
            </a:cxn>
            <a:cxn ang="0">
              <a:pos x="connsiteX5515" y="connsiteY5515"/>
            </a:cxn>
            <a:cxn ang="0">
              <a:pos x="connsiteX5516" y="connsiteY5516"/>
            </a:cxn>
            <a:cxn ang="0">
              <a:pos x="connsiteX5517" y="connsiteY5517"/>
            </a:cxn>
            <a:cxn ang="0">
              <a:pos x="connsiteX5518" y="connsiteY5518"/>
            </a:cxn>
            <a:cxn ang="0">
              <a:pos x="connsiteX5519" y="connsiteY5519"/>
            </a:cxn>
            <a:cxn ang="0">
              <a:pos x="connsiteX5520" y="connsiteY5520"/>
            </a:cxn>
            <a:cxn ang="0">
              <a:pos x="connsiteX5521" y="connsiteY5521"/>
            </a:cxn>
            <a:cxn ang="0">
              <a:pos x="connsiteX5522" y="connsiteY5522"/>
            </a:cxn>
            <a:cxn ang="0">
              <a:pos x="connsiteX5523" y="connsiteY5523"/>
            </a:cxn>
            <a:cxn ang="0">
              <a:pos x="connsiteX5524" y="connsiteY5524"/>
            </a:cxn>
            <a:cxn ang="0">
              <a:pos x="connsiteX5525" y="connsiteY5525"/>
            </a:cxn>
            <a:cxn ang="0">
              <a:pos x="connsiteX5526" y="connsiteY5526"/>
            </a:cxn>
            <a:cxn ang="0">
              <a:pos x="connsiteX5527" y="connsiteY5527"/>
            </a:cxn>
            <a:cxn ang="0">
              <a:pos x="connsiteX5528" y="connsiteY5528"/>
            </a:cxn>
            <a:cxn ang="0">
              <a:pos x="connsiteX5529" y="connsiteY5529"/>
            </a:cxn>
            <a:cxn ang="0">
              <a:pos x="connsiteX5530" y="connsiteY5530"/>
            </a:cxn>
            <a:cxn ang="0">
              <a:pos x="connsiteX5531" y="connsiteY5531"/>
            </a:cxn>
            <a:cxn ang="0">
              <a:pos x="connsiteX5532" y="connsiteY5532"/>
            </a:cxn>
            <a:cxn ang="0">
              <a:pos x="connsiteX5533" y="connsiteY5533"/>
            </a:cxn>
            <a:cxn ang="0">
              <a:pos x="connsiteX5534" y="connsiteY5534"/>
            </a:cxn>
            <a:cxn ang="0">
              <a:pos x="connsiteX5535" y="connsiteY5535"/>
            </a:cxn>
            <a:cxn ang="0">
              <a:pos x="connsiteX5536" y="connsiteY5536"/>
            </a:cxn>
            <a:cxn ang="0">
              <a:pos x="connsiteX5537" y="connsiteY5537"/>
            </a:cxn>
            <a:cxn ang="0">
              <a:pos x="connsiteX5538" y="connsiteY5538"/>
            </a:cxn>
            <a:cxn ang="0">
              <a:pos x="connsiteX5539" y="connsiteY5539"/>
            </a:cxn>
            <a:cxn ang="0">
              <a:pos x="connsiteX5540" y="connsiteY5540"/>
            </a:cxn>
            <a:cxn ang="0">
              <a:pos x="connsiteX5541" y="connsiteY5541"/>
            </a:cxn>
            <a:cxn ang="0">
              <a:pos x="connsiteX5542" y="connsiteY5542"/>
            </a:cxn>
            <a:cxn ang="0">
              <a:pos x="connsiteX5543" y="connsiteY5543"/>
            </a:cxn>
            <a:cxn ang="0">
              <a:pos x="connsiteX5544" y="connsiteY5544"/>
            </a:cxn>
            <a:cxn ang="0">
              <a:pos x="connsiteX5545" y="connsiteY5545"/>
            </a:cxn>
            <a:cxn ang="0">
              <a:pos x="connsiteX5546" y="connsiteY5546"/>
            </a:cxn>
            <a:cxn ang="0">
              <a:pos x="connsiteX5547" y="connsiteY5547"/>
            </a:cxn>
            <a:cxn ang="0">
              <a:pos x="connsiteX5548" y="connsiteY5548"/>
            </a:cxn>
            <a:cxn ang="0">
              <a:pos x="connsiteX5549" y="connsiteY5549"/>
            </a:cxn>
            <a:cxn ang="0">
              <a:pos x="connsiteX5550" y="connsiteY5550"/>
            </a:cxn>
            <a:cxn ang="0">
              <a:pos x="connsiteX5551" y="connsiteY5551"/>
            </a:cxn>
            <a:cxn ang="0">
              <a:pos x="connsiteX5552" y="connsiteY5552"/>
            </a:cxn>
            <a:cxn ang="0">
              <a:pos x="connsiteX5553" y="connsiteY5553"/>
            </a:cxn>
            <a:cxn ang="0">
              <a:pos x="connsiteX5554" y="connsiteY5554"/>
            </a:cxn>
            <a:cxn ang="0">
              <a:pos x="connsiteX5555" y="connsiteY5555"/>
            </a:cxn>
            <a:cxn ang="0">
              <a:pos x="connsiteX5556" y="connsiteY5556"/>
            </a:cxn>
            <a:cxn ang="0">
              <a:pos x="connsiteX5557" y="connsiteY5557"/>
            </a:cxn>
            <a:cxn ang="0">
              <a:pos x="connsiteX5558" y="connsiteY5558"/>
            </a:cxn>
            <a:cxn ang="0">
              <a:pos x="connsiteX5559" y="connsiteY5559"/>
            </a:cxn>
            <a:cxn ang="0">
              <a:pos x="connsiteX5560" y="connsiteY5560"/>
            </a:cxn>
            <a:cxn ang="0">
              <a:pos x="connsiteX5561" y="connsiteY5561"/>
            </a:cxn>
            <a:cxn ang="0">
              <a:pos x="connsiteX5562" y="connsiteY5562"/>
            </a:cxn>
            <a:cxn ang="0">
              <a:pos x="connsiteX5563" y="connsiteY5563"/>
            </a:cxn>
            <a:cxn ang="0">
              <a:pos x="connsiteX5564" y="connsiteY5564"/>
            </a:cxn>
            <a:cxn ang="0">
              <a:pos x="connsiteX5565" y="connsiteY5565"/>
            </a:cxn>
            <a:cxn ang="0">
              <a:pos x="connsiteX5566" y="connsiteY5566"/>
            </a:cxn>
            <a:cxn ang="0">
              <a:pos x="connsiteX5567" y="connsiteY5567"/>
            </a:cxn>
            <a:cxn ang="0">
              <a:pos x="connsiteX5568" y="connsiteY5568"/>
            </a:cxn>
            <a:cxn ang="0">
              <a:pos x="connsiteX5569" y="connsiteY5569"/>
            </a:cxn>
            <a:cxn ang="0">
              <a:pos x="connsiteX5570" y="connsiteY5570"/>
            </a:cxn>
            <a:cxn ang="0">
              <a:pos x="connsiteX5571" y="connsiteY5571"/>
            </a:cxn>
            <a:cxn ang="0">
              <a:pos x="connsiteX5572" y="connsiteY5572"/>
            </a:cxn>
            <a:cxn ang="0">
              <a:pos x="connsiteX5573" y="connsiteY5573"/>
            </a:cxn>
            <a:cxn ang="0">
              <a:pos x="connsiteX5574" y="connsiteY5574"/>
            </a:cxn>
            <a:cxn ang="0">
              <a:pos x="connsiteX5575" y="connsiteY5575"/>
            </a:cxn>
            <a:cxn ang="0">
              <a:pos x="connsiteX5576" y="connsiteY5576"/>
            </a:cxn>
            <a:cxn ang="0">
              <a:pos x="connsiteX5577" y="connsiteY5577"/>
            </a:cxn>
            <a:cxn ang="0">
              <a:pos x="connsiteX5578" y="connsiteY5578"/>
            </a:cxn>
            <a:cxn ang="0">
              <a:pos x="connsiteX5579" y="connsiteY5579"/>
            </a:cxn>
            <a:cxn ang="0">
              <a:pos x="connsiteX5580" y="connsiteY5580"/>
            </a:cxn>
            <a:cxn ang="0">
              <a:pos x="connsiteX5581" y="connsiteY5581"/>
            </a:cxn>
            <a:cxn ang="0">
              <a:pos x="connsiteX5582" y="connsiteY5582"/>
            </a:cxn>
            <a:cxn ang="0">
              <a:pos x="connsiteX5583" y="connsiteY5583"/>
            </a:cxn>
            <a:cxn ang="0">
              <a:pos x="connsiteX5584" y="connsiteY5584"/>
            </a:cxn>
            <a:cxn ang="0">
              <a:pos x="connsiteX5585" y="connsiteY5585"/>
            </a:cxn>
            <a:cxn ang="0">
              <a:pos x="connsiteX5586" y="connsiteY5586"/>
            </a:cxn>
            <a:cxn ang="0">
              <a:pos x="connsiteX5587" y="connsiteY5587"/>
            </a:cxn>
            <a:cxn ang="0">
              <a:pos x="connsiteX5588" y="connsiteY5588"/>
            </a:cxn>
            <a:cxn ang="0">
              <a:pos x="connsiteX5589" y="connsiteY5589"/>
            </a:cxn>
            <a:cxn ang="0">
              <a:pos x="connsiteX5590" y="connsiteY5590"/>
            </a:cxn>
            <a:cxn ang="0">
              <a:pos x="connsiteX5591" y="connsiteY5591"/>
            </a:cxn>
            <a:cxn ang="0">
              <a:pos x="connsiteX5592" y="connsiteY5592"/>
            </a:cxn>
            <a:cxn ang="0">
              <a:pos x="connsiteX5593" y="connsiteY5593"/>
            </a:cxn>
            <a:cxn ang="0">
              <a:pos x="connsiteX5594" y="connsiteY5594"/>
            </a:cxn>
            <a:cxn ang="0">
              <a:pos x="connsiteX5595" y="connsiteY5595"/>
            </a:cxn>
            <a:cxn ang="0">
              <a:pos x="connsiteX5596" y="connsiteY5596"/>
            </a:cxn>
            <a:cxn ang="0">
              <a:pos x="connsiteX5597" y="connsiteY5597"/>
            </a:cxn>
            <a:cxn ang="0">
              <a:pos x="connsiteX5598" y="connsiteY5598"/>
            </a:cxn>
            <a:cxn ang="0">
              <a:pos x="connsiteX5599" y="connsiteY5599"/>
            </a:cxn>
            <a:cxn ang="0">
              <a:pos x="connsiteX5600" y="connsiteY5600"/>
            </a:cxn>
            <a:cxn ang="0">
              <a:pos x="connsiteX5601" y="connsiteY5601"/>
            </a:cxn>
            <a:cxn ang="0">
              <a:pos x="connsiteX5602" y="connsiteY5602"/>
            </a:cxn>
            <a:cxn ang="0">
              <a:pos x="connsiteX5603" y="connsiteY5603"/>
            </a:cxn>
            <a:cxn ang="0">
              <a:pos x="connsiteX5604" y="connsiteY5604"/>
            </a:cxn>
            <a:cxn ang="0">
              <a:pos x="connsiteX5605" y="connsiteY5605"/>
            </a:cxn>
            <a:cxn ang="0">
              <a:pos x="connsiteX5606" y="connsiteY5606"/>
            </a:cxn>
            <a:cxn ang="0">
              <a:pos x="connsiteX5607" y="connsiteY5607"/>
            </a:cxn>
            <a:cxn ang="0">
              <a:pos x="connsiteX5608" y="connsiteY5608"/>
            </a:cxn>
            <a:cxn ang="0">
              <a:pos x="connsiteX5609" y="connsiteY5609"/>
            </a:cxn>
            <a:cxn ang="0">
              <a:pos x="connsiteX5610" y="connsiteY5610"/>
            </a:cxn>
            <a:cxn ang="0">
              <a:pos x="connsiteX5611" y="connsiteY5611"/>
            </a:cxn>
            <a:cxn ang="0">
              <a:pos x="connsiteX5612" y="connsiteY5612"/>
            </a:cxn>
            <a:cxn ang="0">
              <a:pos x="connsiteX5613" y="connsiteY5613"/>
            </a:cxn>
            <a:cxn ang="0">
              <a:pos x="connsiteX5614" y="connsiteY5614"/>
            </a:cxn>
            <a:cxn ang="0">
              <a:pos x="connsiteX5615" y="connsiteY5615"/>
            </a:cxn>
            <a:cxn ang="0">
              <a:pos x="connsiteX5616" y="connsiteY5616"/>
            </a:cxn>
            <a:cxn ang="0">
              <a:pos x="connsiteX5617" y="connsiteY5617"/>
            </a:cxn>
            <a:cxn ang="0">
              <a:pos x="connsiteX5618" y="connsiteY5618"/>
            </a:cxn>
            <a:cxn ang="0">
              <a:pos x="connsiteX5619" y="connsiteY5619"/>
            </a:cxn>
            <a:cxn ang="0">
              <a:pos x="connsiteX5620" y="connsiteY5620"/>
            </a:cxn>
            <a:cxn ang="0">
              <a:pos x="connsiteX5621" y="connsiteY5621"/>
            </a:cxn>
            <a:cxn ang="0">
              <a:pos x="connsiteX5622" y="connsiteY5622"/>
            </a:cxn>
            <a:cxn ang="0">
              <a:pos x="connsiteX5623" y="connsiteY5623"/>
            </a:cxn>
            <a:cxn ang="0">
              <a:pos x="connsiteX5624" y="connsiteY5624"/>
            </a:cxn>
            <a:cxn ang="0">
              <a:pos x="connsiteX5625" y="connsiteY5625"/>
            </a:cxn>
            <a:cxn ang="0">
              <a:pos x="connsiteX5626" y="connsiteY5626"/>
            </a:cxn>
            <a:cxn ang="0">
              <a:pos x="connsiteX5627" y="connsiteY5627"/>
            </a:cxn>
            <a:cxn ang="0">
              <a:pos x="connsiteX5628" y="connsiteY5628"/>
            </a:cxn>
            <a:cxn ang="0">
              <a:pos x="connsiteX5629" y="connsiteY5629"/>
            </a:cxn>
            <a:cxn ang="0">
              <a:pos x="connsiteX5630" y="connsiteY5630"/>
            </a:cxn>
            <a:cxn ang="0">
              <a:pos x="connsiteX5631" y="connsiteY5631"/>
            </a:cxn>
            <a:cxn ang="0">
              <a:pos x="connsiteX5632" y="connsiteY5632"/>
            </a:cxn>
            <a:cxn ang="0">
              <a:pos x="connsiteX5633" y="connsiteY5633"/>
            </a:cxn>
            <a:cxn ang="0">
              <a:pos x="connsiteX5634" y="connsiteY5634"/>
            </a:cxn>
            <a:cxn ang="0">
              <a:pos x="connsiteX5635" y="connsiteY5635"/>
            </a:cxn>
            <a:cxn ang="0">
              <a:pos x="connsiteX5636" y="connsiteY5636"/>
            </a:cxn>
            <a:cxn ang="0">
              <a:pos x="connsiteX5637" y="connsiteY5637"/>
            </a:cxn>
            <a:cxn ang="0">
              <a:pos x="connsiteX5638" y="connsiteY5638"/>
            </a:cxn>
            <a:cxn ang="0">
              <a:pos x="connsiteX5639" y="connsiteY5639"/>
            </a:cxn>
            <a:cxn ang="0">
              <a:pos x="connsiteX5640" y="connsiteY5640"/>
            </a:cxn>
            <a:cxn ang="0">
              <a:pos x="connsiteX5641" y="connsiteY5641"/>
            </a:cxn>
            <a:cxn ang="0">
              <a:pos x="connsiteX5642" y="connsiteY5642"/>
            </a:cxn>
            <a:cxn ang="0">
              <a:pos x="connsiteX5643" y="connsiteY5643"/>
            </a:cxn>
            <a:cxn ang="0">
              <a:pos x="connsiteX5644" y="connsiteY5644"/>
            </a:cxn>
            <a:cxn ang="0">
              <a:pos x="connsiteX5645" y="connsiteY5645"/>
            </a:cxn>
            <a:cxn ang="0">
              <a:pos x="connsiteX5646" y="connsiteY5646"/>
            </a:cxn>
            <a:cxn ang="0">
              <a:pos x="connsiteX5647" y="connsiteY5647"/>
            </a:cxn>
            <a:cxn ang="0">
              <a:pos x="connsiteX5648" y="connsiteY5648"/>
            </a:cxn>
            <a:cxn ang="0">
              <a:pos x="connsiteX5649" y="connsiteY5649"/>
            </a:cxn>
            <a:cxn ang="0">
              <a:pos x="connsiteX5650" y="connsiteY5650"/>
            </a:cxn>
            <a:cxn ang="0">
              <a:pos x="connsiteX5651" y="connsiteY5651"/>
            </a:cxn>
            <a:cxn ang="0">
              <a:pos x="connsiteX5652" y="connsiteY5652"/>
            </a:cxn>
            <a:cxn ang="0">
              <a:pos x="connsiteX5653" y="connsiteY5653"/>
            </a:cxn>
            <a:cxn ang="0">
              <a:pos x="connsiteX5654" y="connsiteY5654"/>
            </a:cxn>
            <a:cxn ang="0">
              <a:pos x="connsiteX5655" y="connsiteY5655"/>
            </a:cxn>
            <a:cxn ang="0">
              <a:pos x="connsiteX5656" y="connsiteY5656"/>
            </a:cxn>
            <a:cxn ang="0">
              <a:pos x="connsiteX5657" y="connsiteY5657"/>
            </a:cxn>
            <a:cxn ang="0">
              <a:pos x="connsiteX5658" y="connsiteY5658"/>
            </a:cxn>
            <a:cxn ang="0">
              <a:pos x="connsiteX5659" y="connsiteY5659"/>
            </a:cxn>
            <a:cxn ang="0">
              <a:pos x="connsiteX5660" y="connsiteY5660"/>
            </a:cxn>
            <a:cxn ang="0">
              <a:pos x="connsiteX5661" y="connsiteY5661"/>
            </a:cxn>
            <a:cxn ang="0">
              <a:pos x="connsiteX5662" y="connsiteY5662"/>
            </a:cxn>
            <a:cxn ang="0">
              <a:pos x="connsiteX5663" y="connsiteY5663"/>
            </a:cxn>
            <a:cxn ang="0">
              <a:pos x="connsiteX5664" y="connsiteY5664"/>
            </a:cxn>
            <a:cxn ang="0">
              <a:pos x="connsiteX5665" y="connsiteY5665"/>
            </a:cxn>
            <a:cxn ang="0">
              <a:pos x="connsiteX5666" y="connsiteY5666"/>
            </a:cxn>
            <a:cxn ang="0">
              <a:pos x="connsiteX5667" y="connsiteY5667"/>
            </a:cxn>
            <a:cxn ang="0">
              <a:pos x="connsiteX5668" y="connsiteY5668"/>
            </a:cxn>
            <a:cxn ang="0">
              <a:pos x="connsiteX5669" y="connsiteY5669"/>
            </a:cxn>
            <a:cxn ang="0">
              <a:pos x="connsiteX5670" y="connsiteY5670"/>
            </a:cxn>
            <a:cxn ang="0">
              <a:pos x="connsiteX5671" y="connsiteY5671"/>
            </a:cxn>
            <a:cxn ang="0">
              <a:pos x="connsiteX5672" y="connsiteY5672"/>
            </a:cxn>
            <a:cxn ang="0">
              <a:pos x="connsiteX5673" y="connsiteY5673"/>
            </a:cxn>
            <a:cxn ang="0">
              <a:pos x="connsiteX5674" y="connsiteY5674"/>
            </a:cxn>
            <a:cxn ang="0">
              <a:pos x="connsiteX5675" y="connsiteY5675"/>
            </a:cxn>
            <a:cxn ang="0">
              <a:pos x="connsiteX5676" y="connsiteY5676"/>
            </a:cxn>
            <a:cxn ang="0">
              <a:pos x="connsiteX5677" y="connsiteY5677"/>
            </a:cxn>
            <a:cxn ang="0">
              <a:pos x="connsiteX5678" y="connsiteY5678"/>
            </a:cxn>
            <a:cxn ang="0">
              <a:pos x="connsiteX5679" y="connsiteY5679"/>
            </a:cxn>
            <a:cxn ang="0">
              <a:pos x="connsiteX5680" y="connsiteY5680"/>
            </a:cxn>
            <a:cxn ang="0">
              <a:pos x="connsiteX5681" y="connsiteY5681"/>
            </a:cxn>
            <a:cxn ang="0">
              <a:pos x="connsiteX5682" y="connsiteY5682"/>
            </a:cxn>
            <a:cxn ang="0">
              <a:pos x="connsiteX5683" y="connsiteY5683"/>
            </a:cxn>
            <a:cxn ang="0">
              <a:pos x="connsiteX5684" y="connsiteY5684"/>
            </a:cxn>
            <a:cxn ang="0">
              <a:pos x="connsiteX5685" y="connsiteY5685"/>
            </a:cxn>
            <a:cxn ang="0">
              <a:pos x="connsiteX5686" y="connsiteY5686"/>
            </a:cxn>
            <a:cxn ang="0">
              <a:pos x="connsiteX5687" y="connsiteY5687"/>
            </a:cxn>
            <a:cxn ang="0">
              <a:pos x="connsiteX5688" y="connsiteY5688"/>
            </a:cxn>
            <a:cxn ang="0">
              <a:pos x="connsiteX5689" y="connsiteY5689"/>
            </a:cxn>
            <a:cxn ang="0">
              <a:pos x="connsiteX5690" y="connsiteY5690"/>
            </a:cxn>
            <a:cxn ang="0">
              <a:pos x="connsiteX5691" y="connsiteY5691"/>
            </a:cxn>
            <a:cxn ang="0">
              <a:pos x="connsiteX5692" y="connsiteY5692"/>
            </a:cxn>
            <a:cxn ang="0">
              <a:pos x="connsiteX5693" y="connsiteY5693"/>
            </a:cxn>
            <a:cxn ang="0">
              <a:pos x="connsiteX5694" y="connsiteY5694"/>
            </a:cxn>
            <a:cxn ang="0">
              <a:pos x="connsiteX5695" y="connsiteY5695"/>
            </a:cxn>
            <a:cxn ang="0">
              <a:pos x="connsiteX5696" y="connsiteY5696"/>
            </a:cxn>
            <a:cxn ang="0">
              <a:pos x="connsiteX5697" y="connsiteY5697"/>
            </a:cxn>
            <a:cxn ang="0">
              <a:pos x="connsiteX5698" y="connsiteY5698"/>
            </a:cxn>
            <a:cxn ang="0">
              <a:pos x="connsiteX5699" y="connsiteY5699"/>
            </a:cxn>
            <a:cxn ang="0">
              <a:pos x="connsiteX5700" y="connsiteY5700"/>
            </a:cxn>
            <a:cxn ang="0">
              <a:pos x="connsiteX5701" y="connsiteY5701"/>
            </a:cxn>
            <a:cxn ang="0">
              <a:pos x="connsiteX5702" y="connsiteY5702"/>
            </a:cxn>
            <a:cxn ang="0">
              <a:pos x="connsiteX5703" y="connsiteY5703"/>
            </a:cxn>
            <a:cxn ang="0">
              <a:pos x="connsiteX5704" y="connsiteY5704"/>
            </a:cxn>
            <a:cxn ang="0">
              <a:pos x="connsiteX5705" y="connsiteY5705"/>
            </a:cxn>
            <a:cxn ang="0">
              <a:pos x="connsiteX5706" y="connsiteY5706"/>
            </a:cxn>
            <a:cxn ang="0">
              <a:pos x="connsiteX5707" y="connsiteY5707"/>
            </a:cxn>
            <a:cxn ang="0">
              <a:pos x="connsiteX5708" y="connsiteY5708"/>
            </a:cxn>
            <a:cxn ang="0">
              <a:pos x="connsiteX5709" y="connsiteY5709"/>
            </a:cxn>
            <a:cxn ang="0">
              <a:pos x="connsiteX5710" y="connsiteY5710"/>
            </a:cxn>
            <a:cxn ang="0">
              <a:pos x="connsiteX5711" y="connsiteY5711"/>
            </a:cxn>
            <a:cxn ang="0">
              <a:pos x="connsiteX5712" y="connsiteY5712"/>
            </a:cxn>
            <a:cxn ang="0">
              <a:pos x="connsiteX5713" y="connsiteY5713"/>
            </a:cxn>
            <a:cxn ang="0">
              <a:pos x="connsiteX5714" y="connsiteY5714"/>
            </a:cxn>
            <a:cxn ang="0">
              <a:pos x="connsiteX5715" y="connsiteY5715"/>
            </a:cxn>
            <a:cxn ang="0">
              <a:pos x="connsiteX5716" y="connsiteY5716"/>
            </a:cxn>
            <a:cxn ang="0">
              <a:pos x="connsiteX5717" y="connsiteY5717"/>
            </a:cxn>
            <a:cxn ang="0">
              <a:pos x="connsiteX5718" y="connsiteY5718"/>
            </a:cxn>
            <a:cxn ang="0">
              <a:pos x="connsiteX5719" y="connsiteY5719"/>
            </a:cxn>
            <a:cxn ang="0">
              <a:pos x="connsiteX5720" y="connsiteY5720"/>
            </a:cxn>
            <a:cxn ang="0">
              <a:pos x="connsiteX5721" y="connsiteY5721"/>
            </a:cxn>
            <a:cxn ang="0">
              <a:pos x="connsiteX5722" y="connsiteY5722"/>
            </a:cxn>
            <a:cxn ang="0">
              <a:pos x="connsiteX5723" y="connsiteY5723"/>
            </a:cxn>
            <a:cxn ang="0">
              <a:pos x="connsiteX5724" y="connsiteY5724"/>
            </a:cxn>
            <a:cxn ang="0">
              <a:pos x="connsiteX5725" y="connsiteY5725"/>
            </a:cxn>
            <a:cxn ang="0">
              <a:pos x="connsiteX5726" y="connsiteY5726"/>
            </a:cxn>
            <a:cxn ang="0">
              <a:pos x="connsiteX5727" y="connsiteY5727"/>
            </a:cxn>
            <a:cxn ang="0">
              <a:pos x="connsiteX5728" y="connsiteY5728"/>
            </a:cxn>
            <a:cxn ang="0">
              <a:pos x="connsiteX5729" y="connsiteY5729"/>
            </a:cxn>
            <a:cxn ang="0">
              <a:pos x="connsiteX5730" y="connsiteY5730"/>
            </a:cxn>
            <a:cxn ang="0">
              <a:pos x="connsiteX5731" y="connsiteY5731"/>
            </a:cxn>
            <a:cxn ang="0">
              <a:pos x="connsiteX5732" y="connsiteY5732"/>
            </a:cxn>
            <a:cxn ang="0">
              <a:pos x="connsiteX5733" y="connsiteY5733"/>
            </a:cxn>
            <a:cxn ang="0">
              <a:pos x="connsiteX5734" y="connsiteY5734"/>
            </a:cxn>
            <a:cxn ang="0">
              <a:pos x="connsiteX5735" y="connsiteY5735"/>
            </a:cxn>
            <a:cxn ang="0">
              <a:pos x="connsiteX5736" y="connsiteY5736"/>
            </a:cxn>
            <a:cxn ang="0">
              <a:pos x="connsiteX5737" y="connsiteY5737"/>
            </a:cxn>
            <a:cxn ang="0">
              <a:pos x="connsiteX5738" y="connsiteY5738"/>
            </a:cxn>
            <a:cxn ang="0">
              <a:pos x="connsiteX5739" y="connsiteY5739"/>
            </a:cxn>
            <a:cxn ang="0">
              <a:pos x="connsiteX5740" y="connsiteY5740"/>
            </a:cxn>
            <a:cxn ang="0">
              <a:pos x="connsiteX5741" y="connsiteY5741"/>
            </a:cxn>
            <a:cxn ang="0">
              <a:pos x="connsiteX5742" y="connsiteY5742"/>
            </a:cxn>
            <a:cxn ang="0">
              <a:pos x="connsiteX5743" y="connsiteY5743"/>
            </a:cxn>
            <a:cxn ang="0">
              <a:pos x="connsiteX5744" y="connsiteY5744"/>
            </a:cxn>
            <a:cxn ang="0">
              <a:pos x="connsiteX5745" y="connsiteY5745"/>
            </a:cxn>
            <a:cxn ang="0">
              <a:pos x="connsiteX5746" y="connsiteY5746"/>
            </a:cxn>
            <a:cxn ang="0">
              <a:pos x="connsiteX5747" y="connsiteY5747"/>
            </a:cxn>
            <a:cxn ang="0">
              <a:pos x="connsiteX5748" y="connsiteY5748"/>
            </a:cxn>
            <a:cxn ang="0">
              <a:pos x="connsiteX5749" y="connsiteY5749"/>
            </a:cxn>
            <a:cxn ang="0">
              <a:pos x="connsiteX5750" y="connsiteY5750"/>
            </a:cxn>
            <a:cxn ang="0">
              <a:pos x="connsiteX5751" y="connsiteY5751"/>
            </a:cxn>
            <a:cxn ang="0">
              <a:pos x="connsiteX5752" y="connsiteY5752"/>
            </a:cxn>
            <a:cxn ang="0">
              <a:pos x="connsiteX5753" y="connsiteY5753"/>
            </a:cxn>
            <a:cxn ang="0">
              <a:pos x="connsiteX5754" y="connsiteY5754"/>
            </a:cxn>
            <a:cxn ang="0">
              <a:pos x="connsiteX5755" y="connsiteY5755"/>
            </a:cxn>
            <a:cxn ang="0">
              <a:pos x="connsiteX5756" y="connsiteY5756"/>
            </a:cxn>
            <a:cxn ang="0">
              <a:pos x="connsiteX5757" y="connsiteY5757"/>
            </a:cxn>
            <a:cxn ang="0">
              <a:pos x="connsiteX5758" y="connsiteY5758"/>
            </a:cxn>
            <a:cxn ang="0">
              <a:pos x="connsiteX5759" y="connsiteY5759"/>
            </a:cxn>
            <a:cxn ang="0">
              <a:pos x="connsiteX5760" y="connsiteY5760"/>
            </a:cxn>
            <a:cxn ang="0">
              <a:pos x="connsiteX5761" y="connsiteY5761"/>
            </a:cxn>
            <a:cxn ang="0">
              <a:pos x="connsiteX5762" y="connsiteY5762"/>
            </a:cxn>
            <a:cxn ang="0">
              <a:pos x="connsiteX5763" y="connsiteY5763"/>
            </a:cxn>
            <a:cxn ang="0">
              <a:pos x="connsiteX5764" y="connsiteY5764"/>
            </a:cxn>
            <a:cxn ang="0">
              <a:pos x="connsiteX5765" y="connsiteY5765"/>
            </a:cxn>
            <a:cxn ang="0">
              <a:pos x="connsiteX5766" y="connsiteY5766"/>
            </a:cxn>
            <a:cxn ang="0">
              <a:pos x="connsiteX5767" y="connsiteY5767"/>
            </a:cxn>
            <a:cxn ang="0">
              <a:pos x="connsiteX5768" y="connsiteY5768"/>
            </a:cxn>
            <a:cxn ang="0">
              <a:pos x="connsiteX5769" y="connsiteY5769"/>
            </a:cxn>
            <a:cxn ang="0">
              <a:pos x="connsiteX5770" y="connsiteY5770"/>
            </a:cxn>
            <a:cxn ang="0">
              <a:pos x="connsiteX5771" y="connsiteY5771"/>
            </a:cxn>
            <a:cxn ang="0">
              <a:pos x="connsiteX5772" y="connsiteY5772"/>
            </a:cxn>
            <a:cxn ang="0">
              <a:pos x="connsiteX5773" y="connsiteY5773"/>
            </a:cxn>
            <a:cxn ang="0">
              <a:pos x="connsiteX5774" y="connsiteY5774"/>
            </a:cxn>
            <a:cxn ang="0">
              <a:pos x="connsiteX5775" y="connsiteY5775"/>
            </a:cxn>
            <a:cxn ang="0">
              <a:pos x="connsiteX5776" y="connsiteY5776"/>
            </a:cxn>
            <a:cxn ang="0">
              <a:pos x="connsiteX5777" y="connsiteY5777"/>
            </a:cxn>
            <a:cxn ang="0">
              <a:pos x="connsiteX5778" y="connsiteY5778"/>
            </a:cxn>
            <a:cxn ang="0">
              <a:pos x="connsiteX5779" y="connsiteY5779"/>
            </a:cxn>
            <a:cxn ang="0">
              <a:pos x="connsiteX5780" y="connsiteY5780"/>
            </a:cxn>
            <a:cxn ang="0">
              <a:pos x="connsiteX5781" y="connsiteY5781"/>
            </a:cxn>
            <a:cxn ang="0">
              <a:pos x="connsiteX5782" y="connsiteY5782"/>
            </a:cxn>
            <a:cxn ang="0">
              <a:pos x="connsiteX5783" y="connsiteY5783"/>
            </a:cxn>
            <a:cxn ang="0">
              <a:pos x="connsiteX5784" y="connsiteY5784"/>
            </a:cxn>
            <a:cxn ang="0">
              <a:pos x="connsiteX5785" y="connsiteY5785"/>
            </a:cxn>
            <a:cxn ang="0">
              <a:pos x="connsiteX5786" y="connsiteY5786"/>
            </a:cxn>
            <a:cxn ang="0">
              <a:pos x="connsiteX5787" y="connsiteY5787"/>
            </a:cxn>
            <a:cxn ang="0">
              <a:pos x="connsiteX5788" y="connsiteY5788"/>
            </a:cxn>
            <a:cxn ang="0">
              <a:pos x="connsiteX5789" y="connsiteY5789"/>
            </a:cxn>
            <a:cxn ang="0">
              <a:pos x="connsiteX5790" y="connsiteY5790"/>
            </a:cxn>
            <a:cxn ang="0">
              <a:pos x="connsiteX5791" y="connsiteY5791"/>
            </a:cxn>
            <a:cxn ang="0">
              <a:pos x="connsiteX5792" y="connsiteY5792"/>
            </a:cxn>
            <a:cxn ang="0">
              <a:pos x="connsiteX5793" y="connsiteY5793"/>
            </a:cxn>
            <a:cxn ang="0">
              <a:pos x="connsiteX5794" y="connsiteY5794"/>
            </a:cxn>
            <a:cxn ang="0">
              <a:pos x="connsiteX5795" y="connsiteY5795"/>
            </a:cxn>
            <a:cxn ang="0">
              <a:pos x="connsiteX5796" y="connsiteY5796"/>
            </a:cxn>
            <a:cxn ang="0">
              <a:pos x="connsiteX5797" y="connsiteY5797"/>
            </a:cxn>
            <a:cxn ang="0">
              <a:pos x="connsiteX5798" y="connsiteY5798"/>
            </a:cxn>
            <a:cxn ang="0">
              <a:pos x="connsiteX5799" y="connsiteY5799"/>
            </a:cxn>
            <a:cxn ang="0">
              <a:pos x="connsiteX5800" y="connsiteY5800"/>
            </a:cxn>
            <a:cxn ang="0">
              <a:pos x="connsiteX5801" y="connsiteY5801"/>
            </a:cxn>
            <a:cxn ang="0">
              <a:pos x="connsiteX5802" y="connsiteY5802"/>
            </a:cxn>
            <a:cxn ang="0">
              <a:pos x="connsiteX5803" y="connsiteY5803"/>
            </a:cxn>
            <a:cxn ang="0">
              <a:pos x="connsiteX5804" y="connsiteY5804"/>
            </a:cxn>
            <a:cxn ang="0">
              <a:pos x="connsiteX5805" y="connsiteY5805"/>
            </a:cxn>
            <a:cxn ang="0">
              <a:pos x="connsiteX5806" y="connsiteY5806"/>
            </a:cxn>
            <a:cxn ang="0">
              <a:pos x="connsiteX5807" y="connsiteY5807"/>
            </a:cxn>
            <a:cxn ang="0">
              <a:pos x="connsiteX5808" y="connsiteY5808"/>
            </a:cxn>
            <a:cxn ang="0">
              <a:pos x="connsiteX5809" y="connsiteY5809"/>
            </a:cxn>
            <a:cxn ang="0">
              <a:pos x="connsiteX5810" y="connsiteY5810"/>
            </a:cxn>
            <a:cxn ang="0">
              <a:pos x="connsiteX5811" y="connsiteY5811"/>
            </a:cxn>
            <a:cxn ang="0">
              <a:pos x="connsiteX5812" y="connsiteY5812"/>
            </a:cxn>
            <a:cxn ang="0">
              <a:pos x="connsiteX5813" y="connsiteY5813"/>
            </a:cxn>
            <a:cxn ang="0">
              <a:pos x="connsiteX5814" y="connsiteY5814"/>
            </a:cxn>
            <a:cxn ang="0">
              <a:pos x="connsiteX5815" y="connsiteY5815"/>
            </a:cxn>
            <a:cxn ang="0">
              <a:pos x="connsiteX5816" y="connsiteY5816"/>
            </a:cxn>
            <a:cxn ang="0">
              <a:pos x="connsiteX5817" y="connsiteY5817"/>
            </a:cxn>
            <a:cxn ang="0">
              <a:pos x="connsiteX5818" y="connsiteY5818"/>
            </a:cxn>
            <a:cxn ang="0">
              <a:pos x="connsiteX5819" y="connsiteY5819"/>
            </a:cxn>
            <a:cxn ang="0">
              <a:pos x="connsiteX5820" y="connsiteY5820"/>
            </a:cxn>
            <a:cxn ang="0">
              <a:pos x="connsiteX5821" y="connsiteY5821"/>
            </a:cxn>
            <a:cxn ang="0">
              <a:pos x="connsiteX5822" y="connsiteY5822"/>
            </a:cxn>
            <a:cxn ang="0">
              <a:pos x="connsiteX5823" y="connsiteY5823"/>
            </a:cxn>
            <a:cxn ang="0">
              <a:pos x="connsiteX5824" y="connsiteY5824"/>
            </a:cxn>
            <a:cxn ang="0">
              <a:pos x="connsiteX5825" y="connsiteY5825"/>
            </a:cxn>
            <a:cxn ang="0">
              <a:pos x="connsiteX5826" y="connsiteY5826"/>
            </a:cxn>
            <a:cxn ang="0">
              <a:pos x="connsiteX5827" y="connsiteY5827"/>
            </a:cxn>
            <a:cxn ang="0">
              <a:pos x="connsiteX5828" y="connsiteY5828"/>
            </a:cxn>
            <a:cxn ang="0">
              <a:pos x="connsiteX5829" y="connsiteY5829"/>
            </a:cxn>
            <a:cxn ang="0">
              <a:pos x="connsiteX5830" y="connsiteY5830"/>
            </a:cxn>
            <a:cxn ang="0">
              <a:pos x="connsiteX5831" y="connsiteY5831"/>
            </a:cxn>
            <a:cxn ang="0">
              <a:pos x="connsiteX5832" y="connsiteY5832"/>
            </a:cxn>
            <a:cxn ang="0">
              <a:pos x="connsiteX5833" y="connsiteY5833"/>
            </a:cxn>
            <a:cxn ang="0">
              <a:pos x="connsiteX5834" y="connsiteY5834"/>
            </a:cxn>
            <a:cxn ang="0">
              <a:pos x="connsiteX5835" y="connsiteY5835"/>
            </a:cxn>
            <a:cxn ang="0">
              <a:pos x="connsiteX5836" y="connsiteY5836"/>
            </a:cxn>
            <a:cxn ang="0">
              <a:pos x="connsiteX5837" y="connsiteY5837"/>
            </a:cxn>
            <a:cxn ang="0">
              <a:pos x="connsiteX5838" y="connsiteY5838"/>
            </a:cxn>
            <a:cxn ang="0">
              <a:pos x="connsiteX5839" y="connsiteY5839"/>
            </a:cxn>
            <a:cxn ang="0">
              <a:pos x="connsiteX5840" y="connsiteY5840"/>
            </a:cxn>
            <a:cxn ang="0">
              <a:pos x="connsiteX5841" y="connsiteY5841"/>
            </a:cxn>
            <a:cxn ang="0">
              <a:pos x="connsiteX5842" y="connsiteY5842"/>
            </a:cxn>
            <a:cxn ang="0">
              <a:pos x="connsiteX5843" y="connsiteY5843"/>
            </a:cxn>
            <a:cxn ang="0">
              <a:pos x="connsiteX5844" y="connsiteY5844"/>
            </a:cxn>
            <a:cxn ang="0">
              <a:pos x="connsiteX5845" y="connsiteY5845"/>
            </a:cxn>
            <a:cxn ang="0">
              <a:pos x="connsiteX5846" y="connsiteY5846"/>
            </a:cxn>
            <a:cxn ang="0">
              <a:pos x="connsiteX5847" y="connsiteY5847"/>
            </a:cxn>
            <a:cxn ang="0">
              <a:pos x="connsiteX5848" y="connsiteY5848"/>
            </a:cxn>
            <a:cxn ang="0">
              <a:pos x="connsiteX5849" y="connsiteY5849"/>
            </a:cxn>
            <a:cxn ang="0">
              <a:pos x="connsiteX5850" y="connsiteY5850"/>
            </a:cxn>
            <a:cxn ang="0">
              <a:pos x="connsiteX5851" y="connsiteY5851"/>
            </a:cxn>
            <a:cxn ang="0">
              <a:pos x="connsiteX5852" y="connsiteY5852"/>
            </a:cxn>
            <a:cxn ang="0">
              <a:pos x="connsiteX5853" y="connsiteY5853"/>
            </a:cxn>
            <a:cxn ang="0">
              <a:pos x="connsiteX5854" y="connsiteY5854"/>
            </a:cxn>
            <a:cxn ang="0">
              <a:pos x="connsiteX5855" y="connsiteY5855"/>
            </a:cxn>
            <a:cxn ang="0">
              <a:pos x="connsiteX5856" y="connsiteY5856"/>
            </a:cxn>
            <a:cxn ang="0">
              <a:pos x="connsiteX5857" y="connsiteY5857"/>
            </a:cxn>
            <a:cxn ang="0">
              <a:pos x="connsiteX5858" y="connsiteY5858"/>
            </a:cxn>
            <a:cxn ang="0">
              <a:pos x="connsiteX5859" y="connsiteY5859"/>
            </a:cxn>
            <a:cxn ang="0">
              <a:pos x="connsiteX5860" y="connsiteY5860"/>
            </a:cxn>
            <a:cxn ang="0">
              <a:pos x="connsiteX5861" y="connsiteY5861"/>
            </a:cxn>
            <a:cxn ang="0">
              <a:pos x="connsiteX5862" y="connsiteY5862"/>
            </a:cxn>
            <a:cxn ang="0">
              <a:pos x="connsiteX5863" y="connsiteY5863"/>
            </a:cxn>
            <a:cxn ang="0">
              <a:pos x="connsiteX5864" y="connsiteY5864"/>
            </a:cxn>
            <a:cxn ang="0">
              <a:pos x="connsiteX5865" y="connsiteY5865"/>
            </a:cxn>
            <a:cxn ang="0">
              <a:pos x="connsiteX5866" y="connsiteY5866"/>
            </a:cxn>
            <a:cxn ang="0">
              <a:pos x="connsiteX5867" y="connsiteY5867"/>
            </a:cxn>
            <a:cxn ang="0">
              <a:pos x="connsiteX5868" y="connsiteY5868"/>
            </a:cxn>
            <a:cxn ang="0">
              <a:pos x="connsiteX5869" y="connsiteY5869"/>
            </a:cxn>
            <a:cxn ang="0">
              <a:pos x="connsiteX5870" y="connsiteY5870"/>
            </a:cxn>
            <a:cxn ang="0">
              <a:pos x="connsiteX5871" y="connsiteY5871"/>
            </a:cxn>
            <a:cxn ang="0">
              <a:pos x="connsiteX5872" y="connsiteY5872"/>
            </a:cxn>
            <a:cxn ang="0">
              <a:pos x="connsiteX5873" y="connsiteY5873"/>
            </a:cxn>
            <a:cxn ang="0">
              <a:pos x="connsiteX5874" y="connsiteY5874"/>
            </a:cxn>
            <a:cxn ang="0">
              <a:pos x="connsiteX5875" y="connsiteY5875"/>
            </a:cxn>
            <a:cxn ang="0">
              <a:pos x="connsiteX5876" y="connsiteY5876"/>
            </a:cxn>
            <a:cxn ang="0">
              <a:pos x="connsiteX5877" y="connsiteY5877"/>
            </a:cxn>
            <a:cxn ang="0">
              <a:pos x="connsiteX5878" y="connsiteY5878"/>
            </a:cxn>
            <a:cxn ang="0">
              <a:pos x="connsiteX5879" y="connsiteY5879"/>
            </a:cxn>
            <a:cxn ang="0">
              <a:pos x="connsiteX5880" y="connsiteY5880"/>
            </a:cxn>
            <a:cxn ang="0">
              <a:pos x="connsiteX5881" y="connsiteY5881"/>
            </a:cxn>
            <a:cxn ang="0">
              <a:pos x="connsiteX5882" y="connsiteY5882"/>
            </a:cxn>
            <a:cxn ang="0">
              <a:pos x="connsiteX5883" y="connsiteY5883"/>
            </a:cxn>
            <a:cxn ang="0">
              <a:pos x="connsiteX5884" y="connsiteY5884"/>
            </a:cxn>
            <a:cxn ang="0">
              <a:pos x="connsiteX5885" y="connsiteY5885"/>
            </a:cxn>
            <a:cxn ang="0">
              <a:pos x="connsiteX5886" y="connsiteY5886"/>
            </a:cxn>
            <a:cxn ang="0">
              <a:pos x="connsiteX5887" y="connsiteY5887"/>
            </a:cxn>
            <a:cxn ang="0">
              <a:pos x="connsiteX5888" y="connsiteY5888"/>
            </a:cxn>
            <a:cxn ang="0">
              <a:pos x="connsiteX5889" y="connsiteY5889"/>
            </a:cxn>
            <a:cxn ang="0">
              <a:pos x="connsiteX5890" y="connsiteY5890"/>
            </a:cxn>
            <a:cxn ang="0">
              <a:pos x="connsiteX5891" y="connsiteY5891"/>
            </a:cxn>
            <a:cxn ang="0">
              <a:pos x="connsiteX5892" y="connsiteY5892"/>
            </a:cxn>
            <a:cxn ang="0">
              <a:pos x="connsiteX5893" y="connsiteY5893"/>
            </a:cxn>
            <a:cxn ang="0">
              <a:pos x="connsiteX5894" y="connsiteY5894"/>
            </a:cxn>
            <a:cxn ang="0">
              <a:pos x="connsiteX5895" y="connsiteY5895"/>
            </a:cxn>
            <a:cxn ang="0">
              <a:pos x="connsiteX5896" y="connsiteY5896"/>
            </a:cxn>
            <a:cxn ang="0">
              <a:pos x="connsiteX5897" y="connsiteY5897"/>
            </a:cxn>
            <a:cxn ang="0">
              <a:pos x="connsiteX5898" y="connsiteY5898"/>
            </a:cxn>
            <a:cxn ang="0">
              <a:pos x="connsiteX5899" y="connsiteY5899"/>
            </a:cxn>
            <a:cxn ang="0">
              <a:pos x="connsiteX5900" y="connsiteY5900"/>
            </a:cxn>
            <a:cxn ang="0">
              <a:pos x="connsiteX5901" y="connsiteY5901"/>
            </a:cxn>
            <a:cxn ang="0">
              <a:pos x="connsiteX5902" y="connsiteY5902"/>
            </a:cxn>
            <a:cxn ang="0">
              <a:pos x="connsiteX5903" y="connsiteY5903"/>
            </a:cxn>
            <a:cxn ang="0">
              <a:pos x="connsiteX5904" y="connsiteY5904"/>
            </a:cxn>
            <a:cxn ang="0">
              <a:pos x="connsiteX5905" y="connsiteY5905"/>
            </a:cxn>
            <a:cxn ang="0">
              <a:pos x="connsiteX5906" y="connsiteY5906"/>
            </a:cxn>
            <a:cxn ang="0">
              <a:pos x="connsiteX5907" y="connsiteY5907"/>
            </a:cxn>
            <a:cxn ang="0">
              <a:pos x="connsiteX5908" y="connsiteY5908"/>
            </a:cxn>
            <a:cxn ang="0">
              <a:pos x="connsiteX5909" y="connsiteY5909"/>
            </a:cxn>
            <a:cxn ang="0">
              <a:pos x="connsiteX5910" y="connsiteY5910"/>
            </a:cxn>
            <a:cxn ang="0">
              <a:pos x="connsiteX5911" y="connsiteY5911"/>
            </a:cxn>
            <a:cxn ang="0">
              <a:pos x="connsiteX5912" y="connsiteY5912"/>
            </a:cxn>
            <a:cxn ang="0">
              <a:pos x="connsiteX5913" y="connsiteY5913"/>
            </a:cxn>
            <a:cxn ang="0">
              <a:pos x="connsiteX5914" y="connsiteY5914"/>
            </a:cxn>
            <a:cxn ang="0">
              <a:pos x="connsiteX5915" y="connsiteY5915"/>
            </a:cxn>
            <a:cxn ang="0">
              <a:pos x="connsiteX5916" y="connsiteY5916"/>
            </a:cxn>
            <a:cxn ang="0">
              <a:pos x="connsiteX5917" y="connsiteY5917"/>
            </a:cxn>
            <a:cxn ang="0">
              <a:pos x="connsiteX5918" y="connsiteY5918"/>
            </a:cxn>
            <a:cxn ang="0">
              <a:pos x="connsiteX5919" y="connsiteY5919"/>
            </a:cxn>
            <a:cxn ang="0">
              <a:pos x="connsiteX5920" y="connsiteY5920"/>
            </a:cxn>
            <a:cxn ang="0">
              <a:pos x="connsiteX5921" y="connsiteY5921"/>
            </a:cxn>
            <a:cxn ang="0">
              <a:pos x="connsiteX5922" y="connsiteY5922"/>
            </a:cxn>
            <a:cxn ang="0">
              <a:pos x="connsiteX5923" y="connsiteY5923"/>
            </a:cxn>
            <a:cxn ang="0">
              <a:pos x="connsiteX5924" y="connsiteY5924"/>
            </a:cxn>
            <a:cxn ang="0">
              <a:pos x="connsiteX5925" y="connsiteY5925"/>
            </a:cxn>
            <a:cxn ang="0">
              <a:pos x="connsiteX5926" y="connsiteY5926"/>
            </a:cxn>
            <a:cxn ang="0">
              <a:pos x="connsiteX5927" y="connsiteY5927"/>
            </a:cxn>
            <a:cxn ang="0">
              <a:pos x="connsiteX5928" y="connsiteY5928"/>
            </a:cxn>
            <a:cxn ang="0">
              <a:pos x="connsiteX5929" y="connsiteY5929"/>
            </a:cxn>
            <a:cxn ang="0">
              <a:pos x="connsiteX5930" y="connsiteY5930"/>
            </a:cxn>
            <a:cxn ang="0">
              <a:pos x="connsiteX5931" y="connsiteY5931"/>
            </a:cxn>
            <a:cxn ang="0">
              <a:pos x="connsiteX5932" y="connsiteY5932"/>
            </a:cxn>
            <a:cxn ang="0">
              <a:pos x="connsiteX5933" y="connsiteY5933"/>
            </a:cxn>
            <a:cxn ang="0">
              <a:pos x="connsiteX5934" y="connsiteY5934"/>
            </a:cxn>
            <a:cxn ang="0">
              <a:pos x="connsiteX5935" y="connsiteY5935"/>
            </a:cxn>
            <a:cxn ang="0">
              <a:pos x="connsiteX5936" y="connsiteY5936"/>
            </a:cxn>
            <a:cxn ang="0">
              <a:pos x="connsiteX5937" y="connsiteY5937"/>
            </a:cxn>
            <a:cxn ang="0">
              <a:pos x="connsiteX5938" y="connsiteY5938"/>
            </a:cxn>
            <a:cxn ang="0">
              <a:pos x="connsiteX5939" y="connsiteY5939"/>
            </a:cxn>
            <a:cxn ang="0">
              <a:pos x="connsiteX5940" y="connsiteY5940"/>
            </a:cxn>
            <a:cxn ang="0">
              <a:pos x="connsiteX5941" y="connsiteY5941"/>
            </a:cxn>
            <a:cxn ang="0">
              <a:pos x="connsiteX5942" y="connsiteY5942"/>
            </a:cxn>
            <a:cxn ang="0">
              <a:pos x="connsiteX5943" y="connsiteY5943"/>
            </a:cxn>
            <a:cxn ang="0">
              <a:pos x="connsiteX5944" y="connsiteY5944"/>
            </a:cxn>
            <a:cxn ang="0">
              <a:pos x="connsiteX5945" y="connsiteY5945"/>
            </a:cxn>
            <a:cxn ang="0">
              <a:pos x="connsiteX5946" y="connsiteY5946"/>
            </a:cxn>
            <a:cxn ang="0">
              <a:pos x="connsiteX5947" y="connsiteY5947"/>
            </a:cxn>
            <a:cxn ang="0">
              <a:pos x="connsiteX5948" y="connsiteY5948"/>
            </a:cxn>
            <a:cxn ang="0">
              <a:pos x="connsiteX5949" y="connsiteY5949"/>
            </a:cxn>
            <a:cxn ang="0">
              <a:pos x="connsiteX5950" y="connsiteY5950"/>
            </a:cxn>
            <a:cxn ang="0">
              <a:pos x="connsiteX5951" y="connsiteY5951"/>
            </a:cxn>
            <a:cxn ang="0">
              <a:pos x="connsiteX5952" y="connsiteY5952"/>
            </a:cxn>
            <a:cxn ang="0">
              <a:pos x="connsiteX5953" y="connsiteY5953"/>
            </a:cxn>
            <a:cxn ang="0">
              <a:pos x="connsiteX5954" y="connsiteY5954"/>
            </a:cxn>
            <a:cxn ang="0">
              <a:pos x="connsiteX5955" y="connsiteY5955"/>
            </a:cxn>
            <a:cxn ang="0">
              <a:pos x="connsiteX5956" y="connsiteY5956"/>
            </a:cxn>
            <a:cxn ang="0">
              <a:pos x="connsiteX5957" y="connsiteY5957"/>
            </a:cxn>
            <a:cxn ang="0">
              <a:pos x="connsiteX5958" y="connsiteY5958"/>
            </a:cxn>
            <a:cxn ang="0">
              <a:pos x="connsiteX5959" y="connsiteY5959"/>
            </a:cxn>
            <a:cxn ang="0">
              <a:pos x="connsiteX5960" y="connsiteY5960"/>
            </a:cxn>
            <a:cxn ang="0">
              <a:pos x="connsiteX5961" y="connsiteY5961"/>
            </a:cxn>
            <a:cxn ang="0">
              <a:pos x="connsiteX5962" y="connsiteY5962"/>
            </a:cxn>
            <a:cxn ang="0">
              <a:pos x="connsiteX5963" y="connsiteY5963"/>
            </a:cxn>
            <a:cxn ang="0">
              <a:pos x="connsiteX5964" y="connsiteY5964"/>
            </a:cxn>
            <a:cxn ang="0">
              <a:pos x="connsiteX5965" y="connsiteY5965"/>
            </a:cxn>
            <a:cxn ang="0">
              <a:pos x="connsiteX5966" y="connsiteY5966"/>
            </a:cxn>
            <a:cxn ang="0">
              <a:pos x="connsiteX5967" y="connsiteY5967"/>
            </a:cxn>
            <a:cxn ang="0">
              <a:pos x="connsiteX5968" y="connsiteY5968"/>
            </a:cxn>
            <a:cxn ang="0">
              <a:pos x="connsiteX5969" y="connsiteY5969"/>
            </a:cxn>
            <a:cxn ang="0">
              <a:pos x="connsiteX5970" y="connsiteY5970"/>
            </a:cxn>
            <a:cxn ang="0">
              <a:pos x="connsiteX5971" y="connsiteY5971"/>
            </a:cxn>
            <a:cxn ang="0">
              <a:pos x="connsiteX5972" y="connsiteY5972"/>
            </a:cxn>
            <a:cxn ang="0">
              <a:pos x="connsiteX5973" y="connsiteY5973"/>
            </a:cxn>
            <a:cxn ang="0">
              <a:pos x="connsiteX5974" y="connsiteY5974"/>
            </a:cxn>
            <a:cxn ang="0">
              <a:pos x="connsiteX5975" y="connsiteY5975"/>
            </a:cxn>
            <a:cxn ang="0">
              <a:pos x="connsiteX5976" y="connsiteY5976"/>
            </a:cxn>
            <a:cxn ang="0">
              <a:pos x="connsiteX5977" y="connsiteY5977"/>
            </a:cxn>
            <a:cxn ang="0">
              <a:pos x="connsiteX5978" y="connsiteY5978"/>
            </a:cxn>
            <a:cxn ang="0">
              <a:pos x="connsiteX5979" y="connsiteY5979"/>
            </a:cxn>
            <a:cxn ang="0">
              <a:pos x="connsiteX5980" y="connsiteY5980"/>
            </a:cxn>
            <a:cxn ang="0">
              <a:pos x="connsiteX5981" y="connsiteY5981"/>
            </a:cxn>
            <a:cxn ang="0">
              <a:pos x="connsiteX5982" y="connsiteY5982"/>
            </a:cxn>
            <a:cxn ang="0">
              <a:pos x="connsiteX5983" y="connsiteY5983"/>
            </a:cxn>
            <a:cxn ang="0">
              <a:pos x="connsiteX5984" y="connsiteY5984"/>
            </a:cxn>
            <a:cxn ang="0">
              <a:pos x="connsiteX5985" y="connsiteY5985"/>
            </a:cxn>
            <a:cxn ang="0">
              <a:pos x="connsiteX5986" y="connsiteY5986"/>
            </a:cxn>
            <a:cxn ang="0">
              <a:pos x="connsiteX5987" y="connsiteY5987"/>
            </a:cxn>
            <a:cxn ang="0">
              <a:pos x="connsiteX5988" y="connsiteY5988"/>
            </a:cxn>
            <a:cxn ang="0">
              <a:pos x="connsiteX5989" y="connsiteY5989"/>
            </a:cxn>
            <a:cxn ang="0">
              <a:pos x="connsiteX5990" y="connsiteY5990"/>
            </a:cxn>
            <a:cxn ang="0">
              <a:pos x="connsiteX5991" y="connsiteY5991"/>
            </a:cxn>
            <a:cxn ang="0">
              <a:pos x="connsiteX5992" y="connsiteY5992"/>
            </a:cxn>
            <a:cxn ang="0">
              <a:pos x="connsiteX5993" y="connsiteY5993"/>
            </a:cxn>
            <a:cxn ang="0">
              <a:pos x="connsiteX5994" y="connsiteY5994"/>
            </a:cxn>
            <a:cxn ang="0">
              <a:pos x="connsiteX5995" y="connsiteY5995"/>
            </a:cxn>
            <a:cxn ang="0">
              <a:pos x="connsiteX5996" y="connsiteY5996"/>
            </a:cxn>
            <a:cxn ang="0">
              <a:pos x="connsiteX5997" y="connsiteY5997"/>
            </a:cxn>
            <a:cxn ang="0">
              <a:pos x="connsiteX5998" y="connsiteY5998"/>
            </a:cxn>
            <a:cxn ang="0">
              <a:pos x="connsiteX5999" y="connsiteY5999"/>
            </a:cxn>
            <a:cxn ang="0">
              <a:pos x="connsiteX6000" y="connsiteY6000"/>
            </a:cxn>
            <a:cxn ang="0">
              <a:pos x="connsiteX6001" y="connsiteY6001"/>
            </a:cxn>
            <a:cxn ang="0">
              <a:pos x="connsiteX6002" y="connsiteY6002"/>
            </a:cxn>
            <a:cxn ang="0">
              <a:pos x="connsiteX6003" y="connsiteY6003"/>
            </a:cxn>
            <a:cxn ang="0">
              <a:pos x="connsiteX6004" y="connsiteY6004"/>
            </a:cxn>
            <a:cxn ang="0">
              <a:pos x="connsiteX6005" y="connsiteY6005"/>
            </a:cxn>
            <a:cxn ang="0">
              <a:pos x="connsiteX6006" y="connsiteY6006"/>
            </a:cxn>
            <a:cxn ang="0">
              <a:pos x="connsiteX6007" y="connsiteY6007"/>
            </a:cxn>
            <a:cxn ang="0">
              <a:pos x="connsiteX6008" y="connsiteY6008"/>
            </a:cxn>
            <a:cxn ang="0">
              <a:pos x="connsiteX6009" y="connsiteY6009"/>
            </a:cxn>
            <a:cxn ang="0">
              <a:pos x="connsiteX6010" y="connsiteY6010"/>
            </a:cxn>
            <a:cxn ang="0">
              <a:pos x="connsiteX6011" y="connsiteY6011"/>
            </a:cxn>
            <a:cxn ang="0">
              <a:pos x="connsiteX6012" y="connsiteY6012"/>
            </a:cxn>
            <a:cxn ang="0">
              <a:pos x="connsiteX6013" y="connsiteY6013"/>
            </a:cxn>
            <a:cxn ang="0">
              <a:pos x="connsiteX6014" y="connsiteY6014"/>
            </a:cxn>
            <a:cxn ang="0">
              <a:pos x="connsiteX6015" y="connsiteY6015"/>
            </a:cxn>
            <a:cxn ang="0">
              <a:pos x="connsiteX6016" y="connsiteY6016"/>
            </a:cxn>
            <a:cxn ang="0">
              <a:pos x="connsiteX6017" y="connsiteY6017"/>
            </a:cxn>
            <a:cxn ang="0">
              <a:pos x="connsiteX6018" y="connsiteY6018"/>
            </a:cxn>
            <a:cxn ang="0">
              <a:pos x="connsiteX6019" y="connsiteY6019"/>
            </a:cxn>
            <a:cxn ang="0">
              <a:pos x="connsiteX6020" y="connsiteY6020"/>
            </a:cxn>
            <a:cxn ang="0">
              <a:pos x="connsiteX6021" y="connsiteY6021"/>
            </a:cxn>
            <a:cxn ang="0">
              <a:pos x="connsiteX6022" y="connsiteY6022"/>
            </a:cxn>
            <a:cxn ang="0">
              <a:pos x="connsiteX6023" y="connsiteY6023"/>
            </a:cxn>
            <a:cxn ang="0">
              <a:pos x="connsiteX6024" y="connsiteY6024"/>
            </a:cxn>
            <a:cxn ang="0">
              <a:pos x="connsiteX6025" y="connsiteY6025"/>
            </a:cxn>
            <a:cxn ang="0">
              <a:pos x="connsiteX6026" y="connsiteY6026"/>
            </a:cxn>
            <a:cxn ang="0">
              <a:pos x="connsiteX6027" y="connsiteY6027"/>
            </a:cxn>
            <a:cxn ang="0">
              <a:pos x="connsiteX6028" y="connsiteY6028"/>
            </a:cxn>
            <a:cxn ang="0">
              <a:pos x="connsiteX6029" y="connsiteY6029"/>
            </a:cxn>
            <a:cxn ang="0">
              <a:pos x="connsiteX6030" y="connsiteY6030"/>
            </a:cxn>
            <a:cxn ang="0">
              <a:pos x="connsiteX6031" y="connsiteY6031"/>
            </a:cxn>
            <a:cxn ang="0">
              <a:pos x="connsiteX6032" y="connsiteY6032"/>
            </a:cxn>
            <a:cxn ang="0">
              <a:pos x="connsiteX6033" y="connsiteY6033"/>
            </a:cxn>
            <a:cxn ang="0">
              <a:pos x="connsiteX6034" y="connsiteY6034"/>
            </a:cxn>
            <a:cxn ang="0">
              <a:pos x="connsiteX6035" y="connsiteY6035"/>
            </a:cxn>
            <a:cxn ang="0">
              <a:pos x="connsiteX6036" y="connsiteY6036"/>
            </a:cxn>
            <a:cxn ang="0">
              <a:pos x="connsiteX6037" y="connsiteY6037"/>
            </a:cxn>
            <a:cxn ang="0">
              <a:pos x="connsiteX6038" y="connsiteY6038"/>
            </a:cxn>
            <a:cxn ang="0">
              <a:pos x="connsiteX6039" y="connsiteY6039"/>
            </a:cxn>
            <a:cxn ang="0">
              <a:pos x="connsiteX6040" y="connsiteY6040"/>
            </a:cxn>
            <a:cxn ang="0">
              <a:pos x="connsiteX6041" y="connsiteY6041"/>
            </a:cxn>
            <a:cxn ang="0">
              <a:pos x="connsiteX6042" y="connsiteY6042"/>
            </a:cxn>
            <a:cxn ang="0">
              <a:pos x="connsiteX6043" y="connsiteY6043"/>
            </a:cxn>
            <a:cxn ang="0">
              <a:pos x="connsiteX6044" y="connsiteY6044"/>
            </a:cxn>
            <a:cxn ang="0">
              <a:pos x="connsiteX6045" y="connsiteY6045"/>
            </a:cxn>
            <a:cxn ang="0">
              <a:pos x="connsiteX6046" y="connsiteY6046"/>
            </a:cxn>
            <a:cxn ang="0">
              <a:pos x="connsiteX6047" y="connsiteY6047"/>
            </a:cxn>
            <a:cxn ang="0">
              <a:pos x="connsiteX6048" y="connsiteY6048"/>
            </a:cxn>
            <a:cxn ang="0">
              <a:pos x="connsiteX6049" y="connsiteY6049"/>
            </a:cxn>
            <a:cxn ang="0">
              <a:pos x="connsiteX6050" y="connsiteY6050"/>
            </a:cxn>
            <a:cxn ang="0">
              <a:pos x="connsiteX6051" y="connsiteY6051"/>
            </a:cxn>
            <a:cxn ang="0">
              <a:pos x="connsiteX6052" y="connsiteY6052"/>
            </a:cxn>
            <a:cxn ang="0">
              <a:pos x="connsiteX6053" y="connsiteY6053"/>
            </a:cxn>
            <a:cxn ang="0">
              <a:pos x="connsiteX6054" y="connsiteY6054"/>
            </a:cxn>
            <a:cxn ang="0">
              <a:pos x="connsiteX6055" y="connsiteY6055"/>
            </a:cxn>
            <a:cxn ang="0">
              <a:pos x="connsiteX6056" y="connsiteY6056"/>
            </a:cxn>
            <a:cxn ang="0">
              <a:pos x="connsiteX6057" y="connsiteY6057"/>
            </a:cxn>
            <a:cxn ang="0">
              <a:pos x="connsiteX6058" y="connsiteY6058"/>
            </a:cxn>
            <a:cxn ang="0">
              <a:pos x="connsiteX6059" y="connsiteY6059"/>
            </a:cxn>
            <a:cxn ang="0">
              <a:pos x="connsiteX6060" y="connsiteY6060"/>
            </a:cxn>
            <a:cxn ang="0">
              <a:pos x="connsiteX6061" y="connsiteY6061"/>
            </a:cxn>
            <a:cxn ang="0">
              <a:pos x="connsiteX6062" y="connsiteY6062"/>
            </a:cxn>
            <a:cxn ang="0">
              <a:pos x="connsiteX6063" y="connsiteY6063"/>
            </a:cxn>
            <a:cxn ang="0">
              <a:pos x="connsiteX6064" y="connsiteY6064"/>
            </a:cxn>
            <a:cxn ang="0">
              <a:pos x="connsiteX6065" y="connsiteY6065"/>
            </a:cxn>
            <a:cxn ang="0">
              <a:pos x="connsiteX6066" y="connsiteY6066"/>
            </a:cxn>
            <a:cxn ang="0">
              <a:pos x="connsiteX6067" y="connsiteY6067"/>
            </a:cxn>
            <a:cxn ang="0">
              <a:pos x="connsiteX6068" y="connsiteY6068"/>
            </a:cxn>
            <a:cxn ang="0">
              <a:pos x="connsiteX6069" y="connsiteY6069"/>
            </a:cxn>
            <a:cxn ang="0">
              <a:pos x="connsiteX6070" y="connsiteY6070"/>
            </a:cxn>
            <a:cxn ang="0">
              <a:pos x="connsiteX6071" y="connsiteY6071"/>
            </a:cxn>
            <a:cxn ang="0">
              <a:pos x="connsiteX6072" y="connsiteY6072"/>
            </a:cxn>
            <a:cxn ang="0">
              <a:pos x="connsiteX6073" y="connsiteY6073"/>
            </a:cxn>
            <a:cxn ang="0">
              <a:pos x="connsiteX6074" y="connsiteY6074"/>
            </a:cxn>
            <a:cxn ang="0">
              <a:pos x="connsiteX6075" y="connsiteY6075"/>
            </a:cxn>
            <a:cxn ang="0">
              <a:pos x="connsiteX6076" y="connsiteY6076"/>
            </a:cxn>
            <a:cxn ang="0">
              <a:pos x="connsiteX6077" y="connsiteY6077"/>
            </a:cxn>
            <a:cxn ang="0">
              <a:pos x="connsiteX6078" y="connsiteY6078"/>
            </a:cxn>
            <a:cxn ang="0">
              <a:pos x="connsiteX6079" y="connsiteY6079"/>
            </a:cxn>
            <a:cxn ang="0">
              <a:pos x="connsiteX6080" y="connsiteY6080"/>
            </a:cxn>
            <a:cxn ang="0">
              <a:pos x="connsiteX6081" y="connsiteY6081"/>
            </a:cxn>
            <a:cxn ang="0">
              <a:pos x="connsiteX6082" y="connsiteY6082"/>
            </a:cxn>
            <a:cxn ang="0">
              <a:pos x="connsiteX6083" y="connsiteY6083"/>
            </a:cxn>
            <a:cxn ang="0">
              <a:pos x="connsiteX6084" y="connsiteY6084"/>
            </a:cxn>
            <a:cxn ang="0">
              <a:pos x="connsiteX6085" y="connsiteY6085"/>
            </a:cxn>
            <a:cxn ang="0">
              <a:pos x="connsiteX6086" y="connsiteY6086"/>
            </a:cxn>
            <a:cxn ang="0">
              <a:pos x="connsiteX6087" y="connsiteY6087"/>
            </a:cxn>
            <a:cxn ang="0">
              <a:pos x="connsiteX6088" y="connsiteY6088"/>
            </a:cxn>
            <a:cxn ang="0">
              <a:pos x="connsiteX6089" y="connsiteY6089"/>
            </a:cxn>
            <a:cxn ang="0">
              <a:pos x="connsiteX6090" y="connsiteY6090"/>
            </a:cxn>
            <a:cxn ang="0">
              <a:pos x="connsiteX6091" y="connsiteY6091"/>
            </a:cxn>
            <a:cxn ang="0">
              <a:pos x="connsiteX6092" y="connsiteY6092"/>
            </a:cxn>
            <a:cxn ang="0">
              <a:pos x="connsiteX6093" y="connsiteY6093"/>
            </a:cxn>
            <a:cxn ang="0">
              <a:pos x="connsiteX6094" y="connsiteY6094"/>
            </a:cxn>
            <a:cxn ang="0">
              <a:pos x="connsiteX6095" y="connsiteY6095"/>
            </a:cxn>
            <a:cxn ang="0">
              <a:pos x="connsiteX6096" y="connsiteY6096"/>
            </a:cxn>
            <a:cxn ang="0">
              <a:pos x="connsiteX6097" y="connsiteY6097"/>
            </a:cxn>
            <a:cxn ang="0">
              <a:pos x="connsiteX6098" y="connsiteY6098"/>
            </a:cxn>
            <a:cxn ang="0">
              <a:pos x="connsiteX6099" y="connsiteY6099"/>
            </a:cxn>
            <a:cxn ang="0">
              <a:pos x="connsiteX6100" y="connsiteY6100"/>
            </a:cxn>
            <a:cxn ang="0">
              <a:pos x="connsiteX6101" y="connsiteY6101"/>
            </a:cxn>
            <a:cxn ang="0">
              <a:pos x="connsiteX6102" y="connsiteY6102"/>
            </a:cxn>
            <a:cxn ang="0">
              <a:pos x="connsiteX6103" y="connsiteY6103"/>
            </a:cxn>
            <a:cxn ang="0">
              <a:pos x="connsiteX6104" y="connsiteY6104"/>
            </a:cxn>
            <a:cxn ang="0">
              <a:pos x="connsiteX6105" y="connsiteY6105"/>
            </a:cxn>
            <a:cxn ang="0">
              <a:pos x="connsiteX6106" y="connsiteY6106"/>
            </a:cxn>
            <a:cxn ang="0">
              <a:pos x="connsiteX6107" y="connsiteY6107"/>
            </a:cxn>
            <a:cxn ang="0">
              <a:pos x="connsiteX6108" y="connsiteY6108"/>
            </a:cxn>
            <a:cxn ang="0">
              <a:pos x="connsiteX6109" y="connsiteY6109"/>
            </a:cxn>
            <a:cxn ang="0">
              <a:pos x="connsiteX6110" y="connsiteY6110"/>
            </a:cxn>
            <a:cxn ang="0">
              <a:pos x="connsiteX6111" y="connsiteY6111"/>
            </a:cxn>
            <a:cxn ang="0">
              <a:pos x="connsiteX6112" y="connsiteY6112"/>
            </a:cxn>
            <a:cxn ang="0">
              <a:pos x="connsiteX6113" y="connsiteY6113"/>
            </a:cxn>
            <a:cxn ang="0">
              <a:pos x="connsiteX6114" y="connsiteY6114"/>
            </a:cxn>
            <a:cxn ang="0">
              <a:pos x="connsiteX6115" y="connsiteY6115"/>
            </a:cxn>
            <a:cxn ang="0">
              <a:pos x="connsiteX6116" y="connsiteY6116"/>
            </a:cxn>
            <a:cxn ang="0">
              <a:pos x="connsiteX6117" y="connsiteY6117"/>
            </a:cxn>
            <a:cxn ang="0">
              <a:pos x="connsiteX6118" y="connsiteY6118"/>
            </a:cxn>
            <a:cxn ang="0">
              <a:pos x="connsiteX6119" y="connsiteY6119"/>
            </a:cxn>
            <a:cxn ang="0">
              <a:pos x="connsiteX6120" y="connsiteY6120"/>
            </a:cxn>
            <a:cxn ang="0">
              <a:pos x="connsiteX6121" y="connsiteY6121"/>
            </a:cxn>
            <a:cxn ang="0">
              <a:pos x="connsiteX6122" y="connsiteY6122"/>
            </a:cxn>
            <a:cxn ang="0">
              <a:pos x="connsiteX6123" y="connsiteY6123"/>
            </a:cxn>
            <a:cxn ang="0">
              <a:pos x="connsiteX6124" y="connsiteY6124"/>
            </a:cxn>
            <a:cxn ang="0">
              <a:pos x="connsiteX6125" y="connsiteY6125"/>
            </a:cxn>
            <a:cxn ang="0">
              <a:pos x="connsiteX6126" y="connsiteY6126"/>
            </a:cxn>
            <a:cxn ang="0">
              <a:pos x="connsiteX6127" y="connsiteY6127"/>
            </a:cxn>
            <a:cxn ang="0">
              <a:pos x="connsiteX6128" y="connsiteY6128"/>
            </a:cxn>
            <a:cxn ang="0">
              <a:pos x="connsiteX6129" y="connsiteY6129"/>
            </a:cxn>
            <a:cxn ang="0">
              <a:pos x="connsiteX6130" y="connsiteY6130"/>
            </a:cxn>
            <a:cxn ang="0">
              <a:pos x="connsiteX6131" y="connsiteY6131"/>
            </a:cxn>
            <a:cxn ang="0">
              <a:pos x="connsiteX6132" y="connsiteY6132"/>
            </a:cxn>
            <a:cxn ang="0">
              <a:pos x="connsiteX6133" y="connsiteY6133"/>
            </a:cxn>
            <a:cxn ang="0">
              <a:pos x="connsiteX6134" y="connsiteY6134"/>
            </a:cxn>
            <a:cxn ang="0">
              <a:pos x="connsiteX6135" y="connsiteY6135"/>
            </a:cxn>
            <a:cxn ang="0">
              <a:pos x="connsiteX6136" y="connsiteY6136"/>
            </a:cxn>
            <a:cxn ang="0">
              <a:pos x="connsiteX6137" y="connsiteY6137"/>
            </a:cxn>
            <a:cxn ang="0">
              <a:pos x="connsiteX6138" y="connsiteY6138"/>
            </a:cxn>
            <a:cxn ang="0">
              <a:pos x="connsiteX6139" y="connsiteY6139"/>
            </a:cxn>
            <a:cxn ang="0">
              <a:pos x="connsiteX6140" y="connsiteY6140"/>
            </a:cxn>
            <a:cxn ang="0">
              <a:pos x="connsiteX6141" y="connsiteY6141"/>
            </a:cxn>
            <a:cxn ang="0">
              <a:pos x="connsiteX6142" y="connsiteY6142"/>
            </a:cxn>
            <a:cxn ang="0">
              <a:pos x="connsiteX6143" y="connsiteY6143"/>
            </a:cxn>
            <a:cxn ang="0">
              <a:pos x="connsiteX6144" y="connsiteY6144"/>
            </a:cxn>
            <a:cxn ang="0">
              <a:pos x="connsiteX6145" y="connsiteY6145"/>
            </a:cxn>
            <a:cxn ang="0">
              <a:pos x="connsiteX6146" y="connsiteY6146"/>
            </a:cxn>
            <a:cxn ang="0">
              <a:pos x="connsiteX6147" y="connsiteY6147"/>
            </a:cxn>
            <a:cxn ang="0">
              <a:pos x="connsiteX6148" y="connsiteY6148"/>
            </a:cxn>
            <a:cxn ang="0">
              <a:pos x="connsiteX6149" y="connsiteY6149"/>
            </a:cxn>
            <a:cxn ang="0">
              <a:pos x="connsiteX6150" y="connsiteY6150"/>
            </a:cxn>
            <a:cxn ang="0">
              <a:pos x="connsiteX6151" y="connsiteY6151"/>
            </a:cxn>
            <a:cxn ang="0">
              <a:pos x="connsiteX6152" y="connsiteY6152"/>
            </a:cxn>
            <a:cxn ang="0">
              <a:pos x="connsiteX6153" y="connsiteY6153"/>
            </a:cxn>
            <a:cxn ang="0">
              <a:pos x="connsiteX6154" y="connsiteY6154"/>
            </a:cxn>
            <a:cxn ang="0">
              <a:pos x="connsiteX6155" y="connsiteY6155"/>
            </a:cxn>
            <a:cxn ang="0">
              <a:pos x="connsiteX6156" y="connsiteY6156"/>
            </a:cxn>
            <a:cxn ang="0">
              <a:pos x="connsiteX6157" y="connsiteY6157"/>
            </a:cxn>
            <a:cxn ang="0">
              <a:pos x="connsiteX6158" y="connsiteY6158"/>
            </a:cxn>
            <a:cxn ang="0">
              <a:pos x="connsiteX6159" y="connsiteY6159"/>
            </a:cxn>
            <a:cxn ang="0">
              <a:pos x="connsiteX6160" y="connsiteY6160"/>
            </a:cxn>
            <a:cxn ang="0">
              <a:pos x="connsiteX6161" y="connsiteY6161"/>
            </a:cxn>
            <a:cxn ang="0">
              <a:pos x="connsiteX6162" y="connsiteY6162"/>
            </a:cxn>
            <a:cxn ang="0">
              <a:pos x="connsiteX6163" y="connsiteY6163"/>
            </a:cxn>
            <a:cxn ang="0">
              <a:pos x="connsiteX6164" y="connsiteY6164"/>
            </a:cxn>
            <a:cxn ang="0">
              <a:pos x="connsiteX6165" y="connsiteY6165"/>
            </a:cxn>
            <a:cxn ang="0">
              <a:pos x="connsiteX6166" y="connsiteY6166"/>
            </a:cxn>
            <a:cxn ang="0">
              <a:pos x="connsiteX6167" y="connsiteY6167"/>
            </a:cxn>
            <a:cxn ang="0">
              <a:pos x="connsiteX6168" y="connsiteY6168"/>
            </a:cxn>
            <a:cxn ang="0">
              <a:pos x="connsiteX6169" y="connsiteY6169"/>
            </a:cxn>
            <a:cxn ang="0">
              <a:pos x="connsiteX6170" y="connsiteY6170"/>
            </a:cxn>
            <a:cxn ang="0">
              <a:pos x="connsiteX6171" y="connsiteY6171"/>
            </a:cxn>
            <a:cxn ang="0">
              <a:pos x="connsiteX6172" y="connsiteY6172"/>
            </a:cxn>
            <a:cxn ang="0">
              <a:pos x="connsiteX6173" y="connsiteY6173"/>
            </a:cxn>
            <a:cxn ang="0">
              <a:pos x="connsiteX6174" y="connsiteY6174"/>
            </a:cxn>
            <a:cxn ang="0">
              <a:pos x="connsiteX6175" y="connsiteY6175"/>
            </a:cxn>
            <a:cxn ang="0">
              <a:pos x="connsiteX6176" y="connsiteY6176"/>
            </a:cxn>
            <a:cxn ang="0">
              <a:pos x="connsiteX6177" y="connsiteY6177"/>
            </a:cxn>
            <a:cxn ang="0">
              <a:pos x="connsiteX6178" y="connsiteY6178"/>
            </a:cxn>
            <a:cxn ang="0">
              <a:pos x="connsiteX6179" y="connsiteY6179"/>
            </a:cxn>
            <a:cxn ang="0">
              <a:pos x="connsiteX6180" y="connsiteY6180"/>
            </a:cxn>
            <a:cxn ang="0">
              <a:pos x="connsiteX6181" y="connsiteY6181"/>
            </a:cxn>
            <a:cxn ang="0">
              <a:pos x="connsiteX6182" y="connsiteY6182"/>
            </a:cxn>
            <a:cxn ang="0">
              <a:pos x="connsiteX6183" y="connsiteY6183"/>
            </a:cxn>
            <a:cxn ang="0">
              <a:pos x="connsiteX6184" y="connsiteY6184"/>
            </a:cxn>
            <a:cxn ang="0">
              <a:pos x="connsiteX6185" y="connsiteY6185"/>
            </a:cxn>
            <a:cxn ang="0">
              <a:pos x="connsiteX6186" y="connsiteY6186"/>
            </a:cxn>
            <a:cxn ang="0">
              <a:pos x="connsiteX6187" y="connsiteY6187"/>
            </a:cxn>
            <a:cxn ang="0">
              <a:pos x="connsiteX6188" y="connsiteY6188"/>
            </a:cxn>
            <a:cxn ang="0">
              <a:pos x="connsiteX6189" y="connsiteY6189"/>
            </a:cxn>
            <a:cxn ang="0">
              <a:pos x="connsiteX6190" y="connsiteY6190"/>
            </a:cxn>
            <a:cxn ang="0">
              <a:pos x="connsiteX6191" y="connsiteY6191"/>
            </a:cxn>
            <a:cxn ang="0">
              <a:pos x="connsiteX6192" y="connsiteY6192"/>
            </a:cxn>
            <a:cxn ang="0">
              <a:pos x="connsiteX6193" y="connsiteY6193"/>
            </a:cxn>
            <a:cxn ang="0">
              <a:pos x="connsiteX6194" y="connsiteY6194"/>
            </a:cxn>
            <a:cxn ang="0">
              <a:pos x="connsiteX6195" y="connsiteY6195"/>
            </a:cxn>
            <a:cxn ang="0">
              <a:pos x="connsiteX6196" y="connsiteY6196"/>
            </a:cxn>
            <a:cxn ang="0">
              <a:pos x="connsiteX6197" y="connsiteY6197"/>
            </a:cxn>
            <a:cxn ang="0">
              <a:pos x="connsiteX6198" y="connsiteY6198"/>
            </a:cxn>
            <a:cxn ang="0">
              <a:pos x="connsiteX6199" y="connsiteY6199"/>
            </a:cxn>
            <a:cxn ang="0">
              <a:pos x="connsiteX6200" y="connsiteY6200"/>
            </a:cxn>
            <a:cxn ang="0">
              <a:pos x="connsiteX6201" y="connsiteY6201"/>
            </a:cxn>
            <a:cxn ang="0">
              <a:pos x="connsiteX6202" y="connsiteY6202"/>
            </a:cxn>
            <a:cxn ang="0">
              <a:pos x="connsiteX6203" y="connsiteY6203"/>
            </a:cxn>
            <a:cxn ang="0">
              <a:pos x="connsiteX6204" y="connsiteY6204"/>
            </a:cxn>
            <a:cxn ang="0">
              <a:pos x="connsiteX6205" y="connsiteY6205"/>
            </a:cxn>
            <a:cxn ang="0">
              <a:pos x="connsiteX6206" y="connsiteY6206"/>
            </a:cxn>
            <a:cxn ang="0">
              <a:pos x="connsiteX6207" y="connsiteY6207"/>
            </a:cxn>
            <a:cxn ang="0">
              <a:pos x="connsiteX6208" y="connsiteY6208"/>
            </a:cxn>
            <a:cxn ang="0">
              <a:pos x="connsiteX6209" y="connsiteY6209"/>
            </a:cxn>
            <a:cxn ang="0">
              <a:pos x="connsiteX6210" y="connsiteY6210"/>
            </a:cxn>
            <a:cxn ang="0">
              <a:pos x="connsiteX6211" y="connsiteY6211"/>
            </a:cxn>
            <a:cxn ang="0">
              <a:pos x="connsiteX6212" y="connsiteY6212"/>
            </a:cxn>
            <a:cxn ang="0">
              <a:pos x="connsiteX6213" y="connsiteY6213"/>
            </a:cxn>
            <a:cxn ang="0">
              <a:pos x="connsiteX6214" y="connsiteY6214"/>
            </a:cxn>
            <a:cxn ang="0">
              <a:pos x="connsiteX6215" y="connsiteY6215"/>
            </a:cxn>
            <a:cxn ang="0">
              <a:pos x="connsiteX6216" y="connsiteY6216"/>
            </a:cxn>
            <a:cxn ang="0">
              <a:pos x="connsiteX6217" y="connsiteY6217"/>
            </a:cxn>
            <a:cxn ang="0">
              <a:pos x="connsiteX6218" y="connsiteY6218"/>
            </a:cxn>
            <a:cxn ang="0">
              <a:pos x="connsiteX6219" y="connsiteY6219"/>
            </a:cxn>
            <a:cxn ang="0">
              <a:pos x="connsiteX6220" y="connsiteY6220"/>
            </a:cxn>
            <a:cxn ang="0">
              <a:pos x="connsiteX6221" y="connsiteY6221"/>
            </a:cxn>
            <a:cxn ang="0">
              <a:pos x="connsiteX6222" y="connsiteY6222"/>
            </a:cxn>
            <a:cxn ang="0">
              <a:pos x="connsiteX6223" y="connsiteY6223"/>
            </a:cxn>
            <a:cxn ang="0">
              <a:pos x="connsiteX6224" y="connsiteY6224"/>
            </a:cxn>
            <a:cxn ang="0">
              <a:pos x="connsiteX6225" y="connsiteY6225"/>
            </a:cxn>
            <a:cxn ang="0">
              <a:pos x="connsiteX6226" y="connsiteY6226"/>
            </a:cxn>
            <a:cxn ang="0">
              <a:pos x="connsiteX6227" y="connsiteY6227"/>
            </a:cxn>
            <a:cxn ang="0">
              <a:pos x="connsiteX6228" y="connsiteY6228"/>
            </a:cxn>
            <a:cxn ang="0">
              <a:pos x="connsiteX6229" y="connsiteY6229"/>
            </a:cxn>
            <a:cxn ang="0">
              <a:pos x="connsiteX6230" y="connsiteY6230"/>
            </a:cxn>
            <a:cxn ang="0">
              <a:pos x="connsiteX6231" y="connsiteY6231"/>
            </a:cxn>
            <a:cxn ang="0">
              <a:pos x="connsiteX6232" y="connsiteY6232"/>
            </a:cxn>
            <a:cxn ang="0">
              <a:pos x="connsiteX6233" y="connsiteY6233"/>
            </a:cxn>
            <a:cxn ang="0">
              <a:pos x="connsiteX6234" y="connsiteY6234"/>
            </a:cxn>
            <a:cxn ang="0">
              <a:pos x="connsiteX6235" y="connsiteY6235"/>
            </a:cxn>
            <a:cxn ang="0">
              <a:pos x="connsiteX6236" y="connsiteY6236"/>
            </a:cxn>
            <a:cxn ang="0">
              <a:pos x="connsiteX6237" y="connsiteY6237"/>
            </a:cxn>
            <a:cxn ang="0">
              <a:pos x="connsiteX6238" y="connsiteY6238"/>
            </a:cxn>
            <a:cxn ang="0">
              <a:pos x="connsiteX6239" y="connsiteY6239"/>
            </a:cxn>
            <a:cxn ang="0">
              <a:pos x="connsiteX6240" y="connsiteY6240"/>
            </a:cxn>
            <a:cxn ang="0">
              <a:pos x="connsiteX6241" y="connsiteY6241"/>
            </a:cxn>
            <a:cxn ang="0">
              <a:pos x="connsiteX6242" y="connsiteY6242"/>
            </a:cxn>
            <a:cxn ang="0">
              <a:pos x="connsiteX6243" y="connsiteY6243"/>
            </a:cxn>
            <a:cxn ang="0">
              <a:pos x="connsiteX6244" y="connsiteY6244"/>
            </a:cxn>
            <a:cxn ang="0">
              <a:pos x="connsiteX6245" y="connsiteY6245"/>
            </a:cxn>
            <a:cxn ang="0">
              <a:pos x="connsiteX6246" y="connsiteY6246"/>
            </a:cxn>
            <a:cxn ang="0">
              <a:pos x="connsiteX6247" y="connsiteY6247"/>
            </a:cxn>
            <a:cxn ang="0">
              <a:pos x="connsiteX6248" y="connsiteY6248"/>
            </a:cxn>
            <a:cxn ang="0">
              <a:pos x="connsiteX6249" y="connsiteY6249"/>
            </a:cxn>
            <a:cxn ang="0">
              <a:pos x="connsiteX6250" y="connsiteY6250"/>
            </a:cxn>
            <a:cxn ang="0">
              <a:pos x="connsiteX6251" y="connsiteY6251"/>
            </a:cxn>
            <a:cxn ang="0">
              <a:pos x="connsiteX6252" y="connsiteY6252"/>
            </a:cxn>
            <a:cxn ang="0">
              <a:pos x="connsiteX6253" y="connsiteY6253"/>
            </a:cxn>
            <a:cxn ang="0">
              <a:pos x="connsiteX6254" y="connsiteY6254"/>
            </a:cxn>
            <a:cxn ang="0">
              <a:pos x="connsiteX6255" y="connsiteY6255"/>
            </a:cxn>
            <a:cxn ang="0">
              <a:pos x="connsiteX6256" y="connsiteY6256"/>
            </a:cxn>
            <a:cxn ang="0">
              <a:pos x="connsiteX6257" y="connsiteY6257"/>
            </a:cxn>
            <a:cxn ang="0">
              <a:pos x="connsiteX6258" y="connsiteY6258"/>
            </a:cxn>
            <a:cxn ang="0">
              <a:pos x="connsiteX6259" y="connsiteY6259"/>
            </a:cxn>
            <a:cxn ang="0">
              <a:pos x="connsiteX6260" y="connsiteY6260"/>
            </a:cxn>
            <a:cxn ang="0">
              <a:pos x="connsiteX6261" y="connsiteY6261"/>
            </a:cxn>
            <a:cxn ang="0">
              <a:pos x="connsiteX6262" y="connsiteY6262"/>
            </a:cxn>
            <a:cxn ang="0">
              <a:pos x="connsiteX6263" y="connsiteY6263"/>
            </a:cxn>
            <a:cxn ang="0">
              <a:pos x="connsiteX6264" y="connsiteY6264"/>
            </a:cxn>
            <a:cxn ang="0">
              <a:pos x="connsiteX6265" y="connsiteY6265"/>
            </a:cxn>
            <a:cxn ang="0">
              <a:pos x="connsiteX6266" y="connsiteY6266"/>
            </a:cxn>
            <a:cxn ang="0">
              <a:pos x="connsiteX6267" y="connsiteY6267"/>
            </a:cxn>
            <a:cxn ang="0">
              <a:pos x="connsiteX6268" y="connsiteY6268"/>
            </a:cxn>
            <a:cxn ang="0">
              <a:pos x="connsiteX6269" y="connsiteY6269"/>
            </a:cxn>
            <a:cxn ang="0">
              <a:pos x="connsiteX6270" y="connsiteY6270"/>
            </a:cxn>
            <a:cxn ang="0">
              <a:pos x="connsiteX6271" y="connsiteY6271"/>
            </a:cxn>
            <a:cxn ang="0">
              <a:pos x="connsiteX6272" y="connsiteY6272"/>
            </a:cxn>
            <a:cxn ang="0">
              <a:pos x="connsiteX6273" y="connsiteY6273"/>
            </a:cxn>
            <a:cxn ang="0">
              <a:pos x="connsiteX6274" y="connsiteY6274"/>
            </a:cxn>
            <a:cxn ang="0">
              <a:pos x="connsiteX6275" y="connsiteY6275"/>
            </a:cxn>
            <a:cxn ang="0">
              <a:pos x="connsiteX6276" y="connsiteY6276"/>
            </a:cxn>
            <a:cxn ang="0">
              <a:pos x="connsiteX6277" y="connsiteY6277"/>
            </a:cxn>
            <a:cxn ang="0">
              <a:pos x="connsiteX6278" y="connsiteY6278"/>
            </a:cxn>
            <a:cxn ang="0">
              <a:pos x="connsiteX6279" y="connsiteY6279"/>
            </a:cxn>
            <a:cxn ang="0">
              <a:pos x="connsiteX6280" y="connsiteY6280"/>
            </a:cxn>
            <a:cxn ang="0">
              <a:pos x="connsiteX6281" y="connsiteY6281"/>
            </a:cxn>
            <a:cxn ang="0">
              <a:pos x="connsiteX6282" y="connsiteY6282"/>
            </a:cxn>
            <a:cxn ang="0">
              <a:pos x="connsiteX6283" y="connsiteY6283"/>
            </a:cxn>
            <a:cxn ang="0">
              <a:pos x="connsiteX6284" y="connsiteY6284"/>
            </a:cxn>
            <a:cxn ang="0">
              <a:pos x="connsiteX6285" y="connsiteY6285"/>
            </a:cxn>
            <a:cxn ang="0">
              <a:pos x="connsiteX6286" y="connsiteY6286"/>
            </a:cxn>
            <a:cxn ang="0">
              <a:pos x="connsiteX6287" y="connsiteY6287"/>
            </a:cxn>
            <a:cxn ang="0">
              <a:pos x="connsiteX6288" y="connsiteY6288"/>
            </a:cxn>
            <a:cxn ang="0">
              <a:pos x="connsiteX6289" y="connsiteY6289"/>
            </a:cxn>
            <a:cxn ang="0">
              <a:pos x="connsiteX6290" y="connsiteY6290"/>
            </a:cxn>
            <a:cxn ang="0">
              <a:pos x="connsiteX6291" y="connsiteY6291"/>
            </a:cxn>
            <a:cxn ang="0">
              <a:pos x="connsiteX6292" y="connsiteY6292"/>
            </a:cxn>
            <a:cxn ang="0">
              <a:pos x="connsiteX6293" y="connsiteY6293"/>
            </a:cxn>
            <a:cxn ang="0">
              <a:pos x="connsiteX6294" y="connsiteY6294"/>
            </a:cxn>
            <a:cxn ang="0">
              <a:pos x="connsiteX6295" y="connsiteY6295"/>
            </a:cxn>
            <a:cxn ang="0">
              <a:pos x="connsiteX6296" y="connsiteY6296"/>
            </a:cxn>
            <a:cxn ang="0">
              <a:pos x="connsiteX6297" y="connsiteY6297"/>
            </a:cxn>
            <a:cxn ang="0">
              <a:pos x="connsiteX6298" y="connsiteY6298"/>
            </a:cxn>
            <a:cxn ang="0">
              <a:pos x="connsiteX6299" y="connsiteY6299"/>
            </a:cxn>
            <a:cxn ang="0">
              <a:pos x="connsiteX6300" y="connsiteY6300"/>
            </a:cxn>
            <a:cxn ang="0">
              <a:pos x="connsiteX6301" y="connsiteY6301"/>
            </a:cxn>
            <a:cxn ang="0">
              <a:pos x="connsiteX6302" y="connsiteY6302"/>
            </a:cxn>
            <a:cxn ang="0">
              <a:pos x="connsiteX6303" y="connsiteY6303"/>
            </a:cxn>
            <a:cxn ang="0">
              <a:pos x="connsiteX6304" y="connsiteY6304"/>
            </a:cxn>
            <a:cxn ang="0">
              <a:pos x="connsiteX6305" y="connsiteY6305"/>
            </a:cxn>
            <a:cxn ang="0">
              <a:pos x="connsiteX6306" y="connsiteY6306"/>
            </a:cxn>
            <a:cxn ang="0">
              <a:pos x="connsiteX6307" y="connsiteY6307"/>
            </a:cxn>
            <a:cxn ang="0">
              <a:pos x="connsiteX6308" y="connsiteY6308"/>
            </a:cxn>
            <a:cxn ang="0">
              <a:pos x="connsiteX6309" y="connsiteY6309"/>
            </a:cxn>
            <a:cxn ang="0">
              <a:pos x="connsiteX6310" y="connsiteY6310"/>
            </a:cxn>
            <a:cxn ang="0">
              <a:pos x="connsiteX6311" y="connsiteY6311"/>
            </a:cxn>
            <a:cxn ang="0">
              <a:pos x="connsiteX6312" y="connsiteY6312"/>
            </a:cxn>
            <a:cxn ang="0">
              <a:pos x="connsiteX6313" y="connsiteY6313"/>
            </a:cxn>
            <a:cxn ang="0">
              <a:pos x="connsiteX6314" y="connsiteY6314"/>
            </a:cxn>
            <a:cxn ang="0">
              <a:pos x="connsiteX6315" y="connsiteY6315"/>
            </a:cxn>
            <a:cxn ang="0">
              <a:pos x="connsiteX6316" y="connsiteY6316"/>
            </a:cxn>
            <a:cxn ang="0">
              <a:pos x="connsiteX6317" y="connsiteY6317"/>
            </a:cxn>
            <a:cxn ang="0">
              <a:pos x="connsiteX6318" y="connsiteY6318"/>
            </a:cxn>
            <a:cxn ang="0">
              <a:pos x="connsiteX6319" y="connsiteY6319"/>
            </a:cxn>
            <a:cxn ang="0">
              <a:pos x="connsiteX6320" y="connsiteY6320"/>
            </a:cxn>
            <a:cxn ang="0">
              <a:pos x="connsiteX6321" y="connsiteY6321"/>
            </a:cxn>
            <a:cxn ang="0">
              <a:pos x="connsiteX6322" y="connsiteY6322"/>
            </a:cxn>
            <a:cxn ang="0">
              <a:pos x="connsiteX6323" y="connsiteY6323"/>
            </a:cxn>
            <a:cxn ang="0">
              <a:pos x="connsiteX6324" y="connsiteY6324"/>
            </a:cxn>
            <a:cxn ang="0">
              <a:pos x="connsiteX6325" y="connsiteY6325"/>
            </a:cxn>
            <a:cxn ang="0">
              <a:pos x="connsiteX6326" y="connsiteY6326"/>
            </a:cxn>
            <a:cxn ang="0">
              <a:pos x="connsiteX6327" y="connsiteY6327"/>
            </a:cxn>
            <a:cxn ang="0">
              <a:pos x="connsiteX6328" y="connsiteY6328"/>
            </a:cxn>
            <a:cxn ang="0">
              <a:pos x="connsiteX6329" y="connsiteY6329"/>
            </a:cxn>
            <a:cxn ang="0">
              <a:pos x="connsiteX6330" y="connsiteY6330"/>
            </a:cxn>
            <a:cxn ang="0">
              <a:pos x="connsiteX6331" y="connsiteY6331"/>
            </a:cxn>
            <a:cxn ang="0">
              <a:pos x="connsiteX6332" y="connsiteY6332"/>
            </a:cxn>
            <a:cxn ang="0">
              <a:pos x="connsiteX6333" y="connsiteY6333"/>
            </a:cxn>
            <a:cxn ang="0">
              <a:pos x="connsiteX6334" y="connsiteY6334"/>
            </a:cxn>
            <a:cxn ang="0">
              <a:pos x="connsiteX6335" y="connsiteY6335"/>
            </a:cxn>
            <a:cxn ang="0">
              <a:pos x="connsiteX6336" y="connsiteY6336"/>
            </a:cxn>
            <a:cxn ang="0">
              <a:pos x="connsiteX6337" y="connsiteY6337"/>
            </a:cxn>
            <a:cxn ang="0">
              <a:pos x="connsiteX6338" y="connsiteY6338"/>
            </a:cxn>
            <a:cxn ang="0">
              <a:pos x="connsiteX6339" y="connsiteY6339"/>
            </a:cxn>
            <a:cxn ang="0">
              <a:pos x="connsiteX6340" y="connsiteY6340"/>
            </a:cxn>
            <a:cxn ang="0">
              <a:pos x="connsiteX6341" y="connsiteY6341"/>
            </a:cxn>
            <a:cxn ang="0">
              <a:pos x="connsiteX6342" y="connsiteY6342"/>
            </a:cxn>
            <a:cxn ang="0">
              <a:pos x="connsiteX6343" y="connsiteY6343"/>
            </a:cxn>
            <a:cxn ang="0">
              <a:pos x="connsiteX6344" y="connsiteY6344"/>
            </a:cxn>
            <a:cxn ang="0">
              <a:pos x="connsiteX6345" y="connsiteY6345"/>
            </a:cxn>
            <a:cxn ang="0">
              <a:pos x="connsiteX6346" y="connsiteY6346"/>
            </a:cxn>
            <a:cxn ang="0">
              <a:pos x="connsiteX6347" y="connsiteY6347"/>
            </a:cxn>
            <a:cxn ang="0">
              <a:pos x="connsiteX6348" y="connsiteY6348"/>
            </a:cxn>
            <a:cxn ang="0">
              <a:pos x="connsiteX6349" y="connsiteY6349"/>
            </a:cxn>
            <a:cxn ang="0">
              <a:pos x="connsiteX6350" y="connsiteY6350"/>
            </a:cxn>
            <a:cxn ang="0">
              <a:pos x="connsiteX6351" y="connsiteY6351"/>
            </a:cxn>
            <a:cxn ang="0">
              <a:pos x="connsiteX6352" y="connsiteY6352"/>
            </a:cxn>
            <a:cxn ang="0">
              <a:pos x="connsiteX6353" y="connsiteY6353"/>
            </a:cxn>
            <a:cxn ang="0">
              <a:pos x="connsiteX6354" y="connsiteY6354"/>
            </a:cxn>
            <a:cxn ang="0">
              <a:pos x="connsiteX6355" y="connsiteY6355"/>
            </a:cxn>
            <a:cxn ang="0">
              <a:pos x="connsiteX6356" y="connsiteY6356"/>
            </a:cxn>
            <a:cxn ang="0">
              <a:pos x="connsiteX6357" y="connsiteY6357"/>
            </a:cxn>
            <a:cxn ang="0">
              <a:pos x="connsiteX6358" y="connsiteY6358"/>
            </a:cxn>
            <a:cxn ang="0">
              <a:pos x="connsiteX6359" y="connsiteY6359"/>
            </a:cxn>
            <a:cxn ang="0">
              <a:pos x="connsiteX6360" y="connsiteY6360"/>
            </a:cxn>
            <a:cxn ang="0">
              <a:pos x="connsiteX6361" y="connsiteY6361"/>
            </a:cxn>
            <a:cxn ang="0">
              <a:pos x="connsiteX6362" y="connsiteY6362"/>
            </a:cxn>
            <a:cxn ang="0">
              <a:pos x="connsiteX6363" y="connsiteY6363"/>
            </a:cxn>
            <a:cxn ang="0">
              <a:pos x="connsiteX6364" y="connsiteY6364"/>
            </a:cxn>
            <a:cxn ang="0">
              <a:pos x="connsiteX6365" y="connsiteY6365"/>
            </a:cxn>
            <a:cxn ang="0">
              <a:pos x="connsiteX6366" y="connsiteY6366"/>
            </a:cxn>
            <a:cxn ang="0">
              <a:pos x="connsiteX6367" y="connsiteY6367"/>
            </a:cxn>
            <a:cxn ang="0">
              <a:pos x="connsiteX6368" y="connsiteY6368"/>
            </a:cxn>
            <a:cxn ang="0">
              <a:pos x="connsiteX6369" y="connsiteY6369"/>
            </a:cxn>
            <a:cxn ang="0">
              <a:pos x="connsiteX6370" y="connsiteY6370"/>
            </a:cxn>
            <a:cxn ang="0">
              <a:pos x="connsiteX6371" y="connsiteY6371"/>
            </a:cxn>
            <a:cxn ang="0">
              <a:pos x="connsiteX6372" y="connsiteY6372"/>
            </a:cxn>
            <a:cxn ang="0">
              <a:pos x="connsiteX6373" y="connsiteY6373"/>
            </a:cxn>
            <a:cxn ang="0">
              <a:pos x="connsiteX6374" y="connsiteY6374"/>
            </a:cxn>
            <a:cxn ang="0">
              <a:pos x="connsiteX6375" y="connsiteY6375"/>
            </a:cxn>
            <a:cxn ang="0">
              <a:pos x="connsiteX6376" y="connsiteY6376"/>
            </a:cxn>
            <a:cxn ang="0">
              <a:pos x="connsiteX6377" y="connsiteY6377"/>
            </a:cxn>
            <a:cxn ang="0">
              <a:pos x="connsiteX6378" y="connsiteY6378"/>
            </a:cxn>
            <a:cxn ang="0">
              <a:pos x="connsiteX6379" y="connsiteY6379"/>
            </a:cxn>
            <a:cxn ang="0">
              <a:pos x="connsiteX6380" y="connsiteY6380"/>
            </a:cxn>
            <a:cxn ang="0">
              <a:pos x="connsiteX6381" y="connsiteY6381"/>
            </a:cxn>
            <a:cxn ang="0">
              <a:pos x="connsiteX6382" y="connsiteY6382"/>
            </a:cxn>
            <a:cxn ang="0">
              <a:pos x="connsiteX6383" y="connsiteY6383"/>
            </a:cxn>
            <a:cxn ang="0">
              <a:pos x="connsiteX6384" y="connsiteY6384"/>
            </a:cxn>
            <a:cxn ang="0">
              <a:pos x="connsiteX6385" y="connsiteY6385"/>
            </a:cxn>
            <a:cxn ang="0">
              <a:pos x="connsiteX6386" y="connsiteY6386"/>
            </a:cxn>
            <a:cxn ang="0">
              <a:pos x="connsiteX6387" y="connsiteY6387"/>
            </a:cxn>
            <a:cxn ang="0">
              <a:pos x="connsiteX6388" y="connsiteY6388"/>
            </a:cxn>
            <a:cxn ang="0">
              <a:pos x="connsiteX6389" y="connsiteY6389"/>
            </a:cxn>
            <a:cxn ang="0">
              <a:pos x="connsiteX6390" y="connsiteY6390"/>
            </a:cxn>
            <a:cxn ang="0">
              <a:pos x="connsiteX6391" y="connsiteY6391"/>
            </a:cxn>
            <a:cxn ang="0">
              <a:pos x="connsiteX6392" y="connsiteY6392"/>
            </a:cxn>
            <a:cxn ang="0">
              <a:pos x="connsiteX6393" y="connsiteY6393"/>
            </a:cxn>
            <a:cxn ang="0">
              <a:pos x="connsiteX6394" y="connsiteY6394"/>
            </a:cxn>
            <a:cxn ang="0">
              <a:pos x="connsiteX6395" y="connsiteY6395"/>
            </a:cxn>
            <a:cxn ang="0">
              <a:pos x="connsiteX6396" y="connsiteY6396"/>
            </a:cxn>
            <a:cxn ang="0">
              <a:pos x="connsiteX6397" y="connsiteY6397"/>
            </a:cxn>
            <a:cxn ang="0">
              <a:pos x="connsiteX6398" y="connsiteY6398"/>
            </a:cxn>
            <a:cxn ang="0">
              <a:pos x="connsiteX6399" y="connsiteY6399"/>
            </a:cxn>
            <a:cxn ang="0">
              <a:pos x="connsiteX6400" y="connsiteY6400"/>
            </a:cxn>
            <a:cxn ang="0">
              <a:pos x="connsiteX6401" y="connsiteY6401"/>
            </a:cxn>
            <a:cxn ang="0">
              <a:pos x="connsiteX6402" y="connsiteY6402"/>
            </a:cxn>
            <a:cxn ang="0">
              <a:pos x="connsiteX6403" y="connsiteY6403"/>
            </a:cxn>
            <a:cxn ang="0">
              <a:pos x="connsiteX6404" y="connsiteY6404"/>
            </a:cxn>
            <a:cxn ang="0">
              <a:pos x="connsiteX6405" y="connsiteY6405"/>
            </a:cxn>
            <a:cxn ang="0">
              <a:pos x="connsiteX6406" y="connsiteY6406"/>
            </a:cxn>
            <a:cxn ang="0">
              <a:pos x="connsiteX6407" y="connsiteY6407"/>
            </a:cxn>
            <a:cxn ang="0">
              <a:pos x="connsiteX6408" y="connsiteY6408"/>
            </a:cxn>
            <a:cxn ang="0">
              <a:pos x="connsiteX6409" y="connsiteY6409"/>
            </a:cxn>
            <a:cxn ang="0">
              <a:pos x="connsiteX6410" y="connsiteY6410"/>
            </a:cxn>
            <a:cxn ang="0">
              <a:pos x="connsiteX6411" y="connsiteY6411"/>
            </a:cxn>
            <a:cxn ang="0">
              <a:pos x="connsiteX6412" y="connsiteY6412"/>
            </a:cxn>
            <a:cxn ang="0">
              <a:pos x="connsiteX6413" y="connsiteY6413"/>
            </a:cxn>
            <a:cxn ang="0">
              <a:pos x="connsiteX6414" y="connsiteY6414"/>
            </a:cxn>
            <a:cxn ang="0">
              <a:pos x="connsiteX6415" y="connsiteY6415"/>
            </a:cxn>
            <a:cxn ang="0">
              <a:pos x="connsiteX6416" y="connsiteY6416"/>
            </a:cxn>
            <a:cxn ang="0">
              <a:pos x="connsiteX6417" y="connsiteY6417"/>
            </a:cxn>
            <a:cxn ang="0">
              <a:pos x="connsiteX6418" y="connsiteY6418"/>
            </a:cxn>
            <a:cxn ang="0">
              <a:pos x="connsiteX6419" y="connsiteY6419"/>
            </a:cxn>
            <a:cxn ang="0">
              <a:pos x="connsiteX6420" y="connsiteY6420"/>
            </a:cxn>
            <a:cxn ang="0">
              <a:pos x="connsiteX6421" y="connsiteY6421"/>
            </a:cxn>
            <a:cxn ang="0">
              <a:pos x="connsiteX6422" y="connsiteY6422"/>
            </a:cxn>
            <a:cxn ang="0">
              <a:pos x="connsiteX6423" y="connsiteY6423"/>
            </a:cxn>
            <a:cxn ang="0">
              <a:pos x="connsiteX6424" y="connsiteY6424"/>
            </a:cxn>
            <a:cxn ang="0">
              <a:pos x="connsiteX6425" y="connsiteY6425"/>
            </a:cxn>
            <a:cxn ang="0">
              <a:pos x="connsiteX6426" y="connsiteY6426"/>
            </a:cxn>
            <a:cxn ang="0">
              <a:pos x="connsiteX6427" y="connsiteY6427"/>
            </a:cxn>
            <a:cxn ang="0">
              <a:pos x="connsiteX6428" y="connsiteY6428"/>
            </a:cxn>
            <a:cxn ang="0">
              <a:pos x="connsiteX6429" y="connsiteY6429"/>
            </a:cxn>
            <a:cxn ang="0">
              <a:pos x="connsiteX6430" y="connsiteY6430"/>
            </a:cxn>
            <a:cxn ang="0">
              <a:pos x="connsiteX6431" y="connsiteY6431"/>
            </a:cxn>
            <a:cxn ang="0">
              <a:pos x="connsiteX6432" y="connsiteY6432"/>
            </a:cxn>
            <a:cxn ang="0">
              <a:pos x="connsiteX6433" y="connsiteY6433"/>
            </a:cxn>
            <a:cxn ang="0">
              <a:pos x="connsiteX6434" y="connsiteY6434"/>
            </a:cxn>
            <a:cxn ang="0">
              <a:pos x="connsiteX6435" y="connsiteY6435"/>
            </a:cxn>
            <a:cxn ang="0">
              <a:pos x="connsiteX6436" y="connsiteY6436"/>
            </a:cxn>
            <a:cxn ang="0">
              <a:pos x="connsiteX6437" y="connsiteY6437"/>
            </a:cxn>
            <a:cxn ang="0">
              <a:pos x="connsiteX6438" y="connsiteY6438"/>
            </a:cxn>
            <a:cxn ang="0">
              <a:pos x="connsiteX6439" y="connsiteY6439"/>
            </a:cxn>
            <a:cxn ang="0">
              <a:pos x="connsiteX6440" y="connsiteY6440"/>
            </a:cxn>
            <a:cxn ang="0">
              <a:pos x="connsiteX6441" y="connsiteY6441"/>
            </a:cxn>
            <a:cxn ang="0">
              <a:pos x="connsiteX6442" y="connsiteY6442"/>
            </a:cxn>
            <a:cxn ang="0">
              <a:pos x="connsiteX6443" y="connsiteY6443"/>
            </a:cxn>
            <a:cxn ang="0">
              <a:pos x="connsiteX6444" y="connsiteY6444"/>
            </a:cxn>
            <a:cxn ang="0">
              <a:pos x="connsiteX6445" y="connsiteY6445"/>
            </a:cxn>
            <a:cxn ang="0">
              <a:pos x="connsiteX6446" y="connsiteY6446"/>
            </a:cxn>
            <a:cxn ang="0">
              <a:pos x="connsiteX6447" y="connsiteY6447"/>
            </a:cxn>
            <a:cxn ang="0">
              <a:pos x="connsiteX6448" y="connsiteY6448"/>
            </a:cxn>
            <a:cxn ang="0">
              <a:pos x="connsiteX6449" y="connsiteY6449"/>
            </a:cxn>
            <a:cxn ang="0">
              <a:pos x="connsiteX6450" y="connsiteY6450"/>
            </a:cxn>
            <a:cxn ang="0">
              <a:pos x="connsiteX6451" y="connsiteY6451"/>
            </a:cxn>
            <a:cxn ang="0">
              <a:pos x="connsiteX6452" y="connsiteY6452"/>
            </a:cxn>
            <a:cxn ang="0">
              <a:pos x="connsiteX6453" y="connsiteY6453"/>
            </a:cxn>
            <a:cxn ang="0">
              <a:pos x="connsiteX6454" y="connsiteY6454"/>
            </a:cxn>
            <a:cxn ang="0">
              <a:pos x="connsiteX6455" y="connsiteY6455"/>
            </a:cxn>
            <a:cxn ang="0">
              <a:pos x="connsiteX6456" y="connsiteY6456"/>
            </a:cxn>
            <a:cxn ang="0">
              <a:pos x="connsiteX6457" y="connsiteY6457"/>
            </a:cxn>
            <a:cxn ang="0">
              <a:pos x="connsiteX6458" y="connsiteY6458"/>
            </a:cxn>
            <a:cxn ang="0">
              <a:pos x="connsiteX6459" y="connsiteY6459"/>
            </a:cxn>
            <a:cxn ang="0">
              <a:pos x="connsiteX6460" y="connsiteY6460"/>
            </a:cxn>
            <a:cxn ang="0">
              <a:pos x="connsiteX6461" y="connsiteY6461"/>
            </a:cxn>
            <a:cxn ang="0">
              <a:pos x="connsiteX6462" y="connsiteY6462"/>
            </a:cxn>
            <a:cxn ang="0">
              <a:pos x="connsiteX6463" y="connsiteY6463"/>
            </a:cxn>
            <a:cxn ang="0">
              <a:pos x="connsiteX6464" y="connsiteY6464"/>
            </a:cxn>
            <a:cxn ang="0">
              <a:pos x="connsiteX6465" y="connsiteY6465"/>
            </a:cxn>
            <a:cxn ang="0">
              <a:pos x="connsiteX6466" y="connsiteY6466"/>
            </a:cxn>
            <a:cxn ang="0">
              <a:pos x="connsiteX6467" y="connsiteY6467"/>
            </a:cxn>
            <a:cxn ang="0">
              <a:pos x="connsiteX6468" y="connsiteY6468"/>
            </a:cxn>
            <a:cxn ang="0">
              <a:pos x="connsiteX6469" y="connsiteY6469"/>
            </a:cxn>
            <a:cxn ang="0">
              <a:pos x="connsiteX6470" y="connsiteY6470"/>
            </a:cxn>
            <a:cxn ang="0">
              <a:pos x="connsiteX6471" y="connsiteY6471"/>
            </a:cxn>
            <a:cxn ang="0">
              <a:pos x="connsiteX6472" y="connsiteY6472"/>
            </a:cxn>
            <a:cxn ang="0">
              <a:pos x="connsiteX6473" y="connsiteY6473"/>
            </a:cxn>
            <a:cxn ang="0">
              <a:pos x="connsiteX6474" y="connsiteY6474"/>
            </a:cxn>
            <a:cxn ang="0">
              <a:pos x="connsiteX6475" y="connsiteY6475"/>
            </a:cxn>
            <a:cxn ang="0">
              <a:pos x="connsiteX6476" y="connsiteY6476"/>
            </a:cxn>
            <a:cxn ang="0">
              <a:pos x="connsiteX6477" y="connsiteY6477"/>
            </a:cxn>
            <a:cxn ang="0">
              <a:pos x="connsiteX6478" y="connsiteY6478"/>
            </a:cxn>
            <a:cxn ang="0">
              <a:pos x="connsiteX6479" y="connsiteY6479"/>
            </a:cxn>
            <a:cxn ang="0">
              <a:pos x="connsiteX6480" y="connsiteY6480"/>
            </a:cxn>
            <a:cxn ang="0">
              <a:pos x="connsiteX6481" y="connsiteY6481"/>
            </a:cxn>
            <a:cxn ang="0">
              <a:pos x="connsiteX6482" y="connsiteY6482"/>
            </a:cxn>
            <a:cxn ang="0">
              <a:pos x="connsiteX6483" y="connsiteY6483"/>
            </a:cxn>
            <a:cxn ang="0">
              <a:pos x="connsiteX6484" y="connsiteY6484"/>
            </a:cxn>
            <a:cxn ang="0">
              <a:pos x="connsiteX6485" y="connsiteY6485"/>
            </a:cxn>
            <a:cxn ang="0">
              <a:pos x="connsiteX6486" y="connsiteY6486"/>
            </a:cxn>
            <a:cxn ang="0">
              <a:pos x="connsiteX6487" y="connsiteY6487"/>
            </a:cxn>
            <a:cxn ang="0">
              <a:pos x="connsiteX6488" y="connsiteY6488"/>
            </a:cxn>
            <a:cxn ang="0">
              <a:pos x="connsiteX6489" y="connsiteY6489"/>
            </a:cxn>
            <a:cxn ang="0">
              <a:pos x="connsiteX6490" y="connsiteY6490"/>
            </a:cxn>
            <a:cxn ang="0">
              <a:pos x="connsiteX6491" y="connsiteY6491"/>
            </a:cxn>
            <a:cxn ang="0">
              <a:pos x="connsiteX6492" y="connsiteY6492"/>
            </a:cxn>
            <a:cxn ang="0">
              <a:pos x="connsiteX6493" y="connsiteY6493"/>
            </a:cxn>
            <a:cxn ang="0">
              <a:pos x="connsiteX6494" y="connsiteY6494"/>
            </a:cxn>
            <a:cxn ang="0">
              <a:pos x="connsiteX6495" y="connsiteY6495"/>
            </a:cxn>
            <a:cxn ang="0">
              <a:pos x="connsiteX6496" y="connsiteY6496"/>
            </a:cxn>
            <a:cxn ang="0">
              <a:pos x="connsiteX6497" y="connsiteY6497"/>
            </a:cxn>
            <a:cxn ang="0">
              <a:pos x="connsiteX6498" y="connsiteY6498"/>
            </a:cxn>
            <a:cxn ang="0">
              <a:pos x="connsiteX6499" y="connsiteY6499"/>
            </a:cxn>
            <a:cxn ang="0">
              <a:pos x="connsiteX6500" y="connsiteY6500"/>
            </a:cxn>
            <a:cxn ang="0">
              <a:pos x="connsiteX6501" y="connsiteY6501"/>
            </a:cxn>
            <a:cxn ang="0">
              <a:pos x="connsiteX6502" y="connsiteY6502"/>
            </a:cxn>
            <a:cxn ang="0">
              <a:pos x="connsiteX6503" y="connsiteY6503"/>
            </a:cxn>
            <a:cxn ang="0">
              <a:pos x="connsiteX6504" y="connsiteY6504"/>
            </a:cxn>
            <a:cxn ang="0">
              <a:pos x="connsiteX6505" y="connsiteY6505"/>
            </a:cxn>
            <a:cxn ang="0">
              <a:pos x="connsiteX6506" y="connsiteY6506"/>
            </a:cxn>
            <a:cxn ang="0">
              <a:pos x="connsiteX6507" y="connsiteY6507"/>
            </a:cxn>
            <a:cxn ang="0">
              <a:pos x="connsiteX6508" y="connsiteY6508"/>
            </a:cxn>
            <a:cxn ang="0">
              <a:pos x="connsiteX6509" y="connsiteY6509"/>
            </a:cxn>
            <a:cxn ang="0">
              <a:pos x="connsiteX6510" y="connsiteY6510"/>
            </a:cxn>
            <a:cxn ang="0">
              <a:pos x="connsiteX6511" y="connsiteY6511"/>
            </a:cxn>
            <a:cxn ang="0">
              <a:pos x="connsiteX6512" y="connsiteY6512"/>
            </a:cxn>
            <a:cxn ang="0">
              <a:pos x="connsiteX6513" y="connsiteY6513"/>
            </a:cxn>
            <a:cxn ang="0">
              <a:pos x="connsiteX6514" y="connsiteY6514"/>
            </a:cxn>
            <a:cxn ang="0">
              <a:pos x="connsiteX6515" y="connsiteY6515"/>
            </a:cxn>
            <a:cxn ang="0">
              <a:pos x="connsiteX6516" y="connsiteY6516"/>
            </a:cxn>
            <a:cxn ang="0">
              <a:pos x="connsiteX6517" y="connsiteY6517"/>
            </a:cxn>
            <a:cxn ang="0">
              <a:pos x="connsiteX6518" y="connsiteY6518"/>
            </a:cxn>
            <a:cxn ang="0">
              <a:pos x="connsiteX6519" y="connsiteY6519"/>
            </a:cxn>
            <a:cxn ang="0">
              <a:pos x="connsiteX6520" y="connsiteY6520"/>
            </a:cxn>
            <a:cxn ang="0">
              <a:pos x="connsiteX6521" y="connsiteY6521"/>
            </a:cxn>
            <a:cxn ang="0">
              <a:pos x="connsiteX6522" y="connsiteY6522"/>
            </a:cxn>
            <a:cxn ang="0">
              <a:pos x="connsiteX6523" y="connsiteY6523"/>
            </a:cxn>
            <a:cxn ang="0">
              <a:pos x="connsiteX6524" y="connsiteY6524"/>
            </a:cxn>
            <a:cxn ang="0">
              <a:pos x="connsiteX6525" y="connsiteY6525"/>
            </a:cxn>
            <a:cxn ang="0">
              <a:pos x="connsiteX6526" y="connsiteY6526"/>
            </a:cxn>
            <a:cxn ang="0">
              <a:pos x="connsiteX6527" y="connsiteY6527"/>
            </a:cxn>
            <a:cxn ang="0">
              <a:pos x="connsiteX6528" y="connsiteY6528"/>
            </a:cxn>
            <a:cxn ang="0">
              <a:pos x="connsiteX6529" y="connsiteY6529"/>
            </a:cxn>
            <a:cxn ang="0">
              <a:pos x="connsiteX6530" y="connsiteY6530"/>
            </a:cxn>
            <a:cxn ang="0">
              <a:pos x="connsiteX6531" y="connsiteY6531"/>
            </a:cxn>
            <a:cxn ang="0">
              <a:pos x="connsiteX6532" y="connsiteY6532"/>
            </a:cxn>
            <a:cxn ang="0">
              <a:pos x="connsiteX6533" y="connsiteY6533"/>
            </a:cxn>
            <a:cxn ang="0">
              <a:pos x="connsiteX6534" y="connsiteY6534"/>
            </a:cxn>
            <a:cxn ang="0">
              <a:pos x="connsiteX6535" y="connsiteY6535"/>
            </a:cxn>
            <a:cxn ang="0">
              <a:pos x="connsiteX6536" y="connsiteY6536"/>
            </a:cxn>
            <a:cxn ang="0">
              <a:pos x="connsiteX6537" y="connsiteY6537"/>
            </a:cxn>
            <a:cxn ang="0">
              <a:pos x="connsiteX6538" y="connsiteY6538"/>
            </a:cxn>
            <a:cxn ang="0">
              <a:pos x="connsiteX6539" y="connsiteY6539"/>
            </a:cxn>
            <a:cxn ang="0">
              <a:pos x="connsiteX6540" y="connsiteY6540"/>
            </a:cxn>
            <a:cxn ang="0">
              <a:pos x="connsiteX6541" y="connsiteY6541"/>
            </a:cxn>
            <a:cxn ang="0">
              <a:pos x="connsiteX6542" y="connsiteY6542"/>
            </a:cxn>
            <a:cxn ang="0">
              <a:pos x="connsiteX6543" y="connsiteY6543"/>
            </a:cxn>
            <a:cxn ang="0">
              <a:pos x="connsiteX6544" y="connsiteY6544"/>
            </a:cxn>
            <a:cxn ang="0">
              <a:pos x="connsiteX6545" y="connsiteY6545"/>
            </a:cxn>
            <a:cxn ang="0">
              <a:pos x="connsiteX6546" y="connsiteY6546"/>
            </a:cxn>
            <a:cxn ang="0">
              <a:pos x="connsiteX6547" y="connsiteY6547"/>
            </a:cxn>
            <a:cxn ang="0">
              <a:pos x="connsiteX6548" y="connsiteY6548"/>
            </a:cxn>
            <a:cxn ang="0">
              <a:pos x="connsiteX6549" y="connsiteY6549"/>
            </a:cxn>
            <a:cxn ang="0">
              <a:pos x="connsiteX6550" y="connsiteY6550"/>
            </a:cxn>
            <a:cxn ang="0">
              <a:pos x="connsiteX6551" y="connsiteY6551"/>
            </a:cxn>
            <a:cxn ang="0">
              <a:pos x="connsiteX6552" y="connsiteY6552"/>
            </a:cxn>
            <a:cxn ang="0">
              <a:pos x="connsiteX6553" y="connsiteY6553"/>
            </a:cxn>
            <a:cxn ang="0">
              <a:pos x="connsiteX6554" y="connsiteY6554"/>
            </a:cxn>
            <a:cxn ang="0">
              <a:pos x="connsiteX6555" y="connsiteY6555"/>
            </a:cxn>
            <a:cxn ang="0">
              <a:pos x="connsiteX6556" y="connsiteY6556"/>
            </a:cxn>
            <a:cxn ang="0">
              <a:pos x="connsiteX6557" y="connsiteY6557"/>
            </a:cxn>
            <a:cxn ang="0">
              <a:pos x="connsiteX6558" y="connsiteY6558"/>
            </a:cxn>
            <a:cxn ang="0">
              <a:pos x="connsiteX6559" y="connsiteY6559"/>
            </a:cxn>
            <a:cxn ang="0">
              <a:pos x="connsiteX6560" y="connsiteY6560"/>
            </a:cxn>
            <a:cxn ang="0">
              <a:pos x="connsiteX6561" y="connsiteY6561"/>
            </a:cxn>
            <a:cxn ang="0">
              <a:pos x="connsiteX6562" y="connsiteY6562"/>
            </a:cxn>
            <a:cxn ang="0">
              <a:pos x="connsiteX6563" y="connsiteY6563"/>
            </a:cxn>
            <a:cxn ang="0">
              <a:pos x="connsiteX6564" y="connsiteY6564"/>
            </a:cxn>
            <a:cxn ang="0">
              <a:pos x="connsiteX6565" y="connsiteY6565"/>
            </a:cxn>
            <a:cxn ang="0">
              <a:pos x="connsiteX6566" y="connsiteY6566"/>
            </a:cxn>
            <a:cxn ang="0">
              <a:pos x="connsiteX6567" y="connsiteY6567"/>
            </a:cxn>
            <a:cxn ang="0">
              <a:pos x="connsiteX6568" y="connsiteY6568"/>
            </a:cxn>
            <a:cxn ang="0">
              <a:pos x="connsiteX6569" y="connsiteY6569"/>
            </a:cxn>
            <a:cxn ang="0">
              <a:pos x="connsiteX6570" y="connsiteY6570"/>
            </a:cxn>
            <a:cxn ang="0">
              <a:pos x="connsiteX6571" y="connsiteY6571"/>
            </a:cxn>
            <a:cxn ang="0">
              <a:pos x="connsiteX6572" y="connsiteY6572"/>
            </a:cxn>
            <a:cxn ang="0">
              <a:pos x="connsiteX6573" y="connsiteY6573"/>
            </a:cxn>
            <a:cxn ang="0">
              <a:pos x="connsiteX6574" y="connsiteY6574"/>
            </a:cxn>
            <a:cxn ang="0">
              <a:pos x="connsiteX6575" y="connsiteY6575"/>
            </a:cxn>
            <a:cxn ang="0">
              <a:pos x="connsiteX6576" y="connsiteY6576"/>
            </a:cxn>
            <a:cxn ang="0">
              <a:pos x="connsiteX6577" y="connsiteY6577"/>
            </a:cxn>
            <a:cxn ang="0">
              <a:pos x="connsiteX6578" y="connsiteY6578"/>
            </a:cxn>
            <a:cxn ang="0">
              <a:pos x="connsiteX6579" y="connsiteY6579"/>
            </a:cxn>
            <a:cxn ang="0">
              <a:pos x="connsiteX6580" y="connsiteY6580"/>
            </a:cxn>
            <a:cxn ang="0">
              <a:pos x="connsiteX6581" y="connsiteY6581"/>
            </a:cxn>
            <a:cxn ang="0">
              <a:pos x="connsiteX6582" y="connsiteY6582"/>
            </a:cxn>
            <a:cxn ang="0">
              <a:pos x="connsiteX6583" y="connsiteY6583"/>
            </a:cxn>
            <a:cxn ang="0">
              <a:pos x="connsiteX6584" y="connsiteY6584"/>
            </a:cxn>
            <a:cxn ang="0">
              <a:pos x="connsiteX6585" y="connsiteY6585"/>
            </a:cxn>
            <a:cxn ang="0">
              <a:pos x="connsiteX6586" y="connsiteY6586"/>
            </a:cxn>
            <a:cxn ang="0">
              <a:pos x="connsiteX6587" y="connsiteY6587"/>
            </a:cxn>
            <a:cxn ang="0">
              <a:pos x="connsiteX6588" y="connsiteY6588"/>
            </a:cxn>
            <a:cxn ang="0">
              <a:pos x="connsiteX6589" y="connsiteY6589"/>
            </a:cxn>
            <a:cxn ang="0">
              <a:pos x="connsiteX6590" y="connsiteY6590"/>
            </a:cxn>
            <a:cxn ang="0">
              <a:pos x="connsiteX6591" y="connsiteY6591"/>
            </a:cxn>
            <a:cxn ang="0">
              <a:pos x="connsiteX6592" y="connsiteY6592"/>
            </a:cxn>
            <a:cxn ang="0">
              <a:pos x="connsiteX6593" y="connsiteY6593"/>
            </a:cxn>
            <a:cxn ang="0">
              <a:pos x="connsiteX6594" y="connsiteY6594"/>
            </a:cxn>
            <a:cxn ang="0">
              <a:pos x="connsiteX6595" y="connsiteY6595"/>
            </a:cxn>
            <a:cxn ang="0">
              <a:pos x="connsiteX6596" y="connsiteY6596"/>
            </a:cxn>
            <a:cxn ang="0">
              <a:pos x="connsiteX6597" y="connsiteY6597"/>
            </a:cxn>
            <a:cxn ang="0">
              <a:pos x="connsiteX6598" y="connsiteY6598"/>
            </a:cxn>
            <a:cxn ang="0">
              <a:pos x="connsiteX6599" y="connsiteY6599"/>
            </a:cxn>
            <a:cxn ang="0">
              <a:pos x="connsiteX6600" y="connsiteY6600"/>
            </a:cxn>
            <a:cxn ang="0">
              <a:pos x="connsiteX6601" y="connsiteY6601"/>
            </a:cxn>
            <a:cxn ang="0">
              <a:pos x="connsiteX6602" y="connsiteY6602"/>
            </a:cxn>
            <a:cxn ang="0">
              <a:pos x="connsiteX6603" y="connsiteY6603"/>
            </a:cxn>
            <a:cxn ang="0">
              <a:pos x="connsiteX6604" y="connsiteY6604"/>
            </a:cxn>
            <a:cxn ang="0">
              <a:pos x="connsiteX6605" y="connsiteY6605"/>
            </a:cxn>
            <a:cxn ang="0">
              <a:pos x="connsiteX6606" y="connsiteY6606"/>
            </a:cxn>
            <a:cxn ang="0">
              <a:pos x="connsiteX6607" y="connsiteY6607"/>
            </a:cxn>
            <a:cxn ang="0">
              <a:pos x="connsiteX6608" y="connsiteY6608"/>
            </a:cxn>
            <a:cxn ang="0">
              <a:pos x="connsiteX6609" y="connsiteY6609"/>
            </a:cxn>
            <a:cxn ang="0">
              <a:pos x="connsiteX6610" y="connsiteY6610"/>
            </a:cxn>
            <a:cxn ang="0">
              <a:pos x="connsiteX6611" y="connsiteY6611"/>
            </a:cxn>
            <a:cxn ang="0">
              <a:pos x="connsiteX6612" y="connsiteY6612"/>
            </a:cxn>
            <a:cxn ang="0">
              <a:pos x="connsiteX6613" y="connsiteY6613"/>
            </a:cxn>
            <a:cxn ang="0">
              <a:pos x="connsiteX6614" y="connsiteY6614"/>
            </a:cxn>
            <a:cxn ang="0">
              <a:pos x="connsiteX6615" y="connsiteY6615"/>
            </a:cxn>
            <a:cxn ang="0">
              <a:pos x="connsiteX6616" y="connsiteY6616"/>
            </a:cxn>
            <a:cxn ang="0">
              <a:pos x="connsiteX6617" y="connsiteY6617"/>
            </a:cxn>
            <a:cxn ang="0">
              <a:pos x="connsiteX6618" y="connsiteY6618"/>
            </a:cxn>
            <a:cxn ang="0">
              <a:pos x="connsiteX6619" y="connsiteY6619"/>
            </a:cxn>
            <a:cxn ang="0">
              <a:pos x="connsiteX6620" y="connsiteY6620"/>
            </a:cxn>
            <a:cxn ang="0">
              <a:pos x="connsiteX6621" y="connsiteY6621"/>
            </a:cxn>
            <a:cxn ang="0">
              <a:pos x="connsiteX6622" y="connsiteY6622"/>
            </a:cxn>
            <a:cxn ang="0">
              <a:pos x="connsiteX6623" y="connsiteY6623"/>
            </a:cxn>
            <a:cxn ang="0">
              <a:pos x="connsiteX6624" y="connsiteY6624"/>
            </a:cxn>
            <a:cxn ang="0">
              <a:pos x="connsiteX6625" y="connsiteY6625"/>
            </a:cxn>
            <a:cxn ang="0">
              <a:pos x="connsiteX6626" y="connsiteY6626"/>
            </a:cxn>
            <a:cxn ang="0">
              <a:pos x="connsiteX6627" y="connsiteY6627"/>
            </a:cxn>
            <a:cxn ang="0">
              <a:pos x="connsiteX6628" y="connsiteY6628"/>
            </a:cxn>
            <a:cxn ang="0">
              <a:pos x="connsiteX6629" y="connsiteY6629"/>
            </a:cxn>
            <a:cxn ang="0">
              <a:pos x="connsiteX6630" y="connsiteY6630"/>
            </a:cxn>
            <a:cxn ang="0">
              <a:pos x="connsiteX6631" y="connsiteY6631"/>
            </a:cxn>
            <a:cxn ang="0">
              <a:pos x="connsiteX6632" y="connsiteY6632"/>
            </a:cxn>
            <a:cxn ang="0">
              <a:pos x="connsiteX6633" y="connsiteY6633"/>
            </a:cxn>
            <a:cxn ang="0">
              <a:pos x="connsiteX6634" y="connsiteY6634"/>
            </a:cxn>
            <a:cxn ang="0">
              <a:pos x="connsiteX6635" y="connsiteY6635"/>
            </a:cxn>
            <a:cxn ang="0">
              <a:pos x="connsiteX6636" y="connsiteY6636"/>
            </a:cxn>
            <a:cxn ang="0">
              <a:pos x="connsiteX6637" y="connsiteY6637"/>
            </a:cxn>
            <a:cxn ang="0">
              <a:pos x="connsiteX6638" y="connsiteY6638"/>
            </a:cxn>
            <a:cxn ang="0">
              <a:pos x="connsiteX6639" y="connsiteY6639"/>
            </a:cxn>
            <a:cxn ang="0">
              <a:pos x="connsiteX6640" y="connsiteY6640"/>
            </a:cxn>
            <a:cxn ang="0">
              <a:pos x="connsiteX6641" y="connsiteY6641"/>
            </a:cxn>
            <a:cxn ang="0">
              <a:pos x="connsiteX6642" y="connsiteY6642"/>
            </a:cxn>
            <a:cxn ang="0">
              <a:pos x="connsiteX6643" y="connsiteY6643"/>
            </a:cxn>
            <a:cxn ang="0">
              <a:pos x="connsiteX6644" y="connsiteY6644"/>
            </a:cxn>
            <a:cxn ang="0">
              <a:pos x="connsiteX6645" y="connsiteY6645"/>
            </a:cxn>
            <a:cxn ang="0">
              <a:pos x="connsiteX6646" y="connsiteY6646"/>
            </a:cxn>
            <a:cxn ang="0">
              <a:pos x="connsiteX6647" y="connsiteY6647"/>
            </a:cxn>
            <a:cxn ang="0">
              <a:pos x="connsiteX6648" y="connsiteY6648"/>
            </a:cxn>
            <a:cxn ang="0">
              <a:pos x="connsiteX6649" y="connsiteY6649"/>
            </a:cxn>
            <a:cxn ang="0">
              <a:pos x="connsiteX6650" y="connsiteY6650"/>
            </a:cxn>
            <a:cxn ang="0">
              <a:pos x="connsiteX6651" y="connsiteY6651"/>
            </a:cxn>
            <a:cxn ang="0">
              <a:pos x="connsiteX6652" y="connsiteY6652"/>
            </a:cxn>
            <a:cxn ang="0">
              <a:pos x="connsiteX6653" y="connsiteY6653"/>
            </a:cxn>
            <a:cxn ang="0">
              <a:pos x="connsiteX6654" y="connsiteY6654"/>
            </a:cxn>
            <a:cxn ang="0">
              <a:pos x="connsiteX6655" y="connsiteY6655"/>
            </a:cxn>
            <a:cxn ang="0">
              <a:pos x="connsiteX6656" y="connsiteY6656"/>
            </a:cxn>
            <a:cxn ang="0">
              <a:pos x="connsiteX6657" y="connsiteY6657"/>
            </a:cxn>
            <a:cxn ang="0">
              <a:pos x="connsiteX6658" y="connsiteY6658"/>
            </a:cxn>
            <a:cxn ang="0">
              <a:pos x="connsiteX6659" y="connsiteY6659"/>
            </a:cxn>
            <a:cxn ang="0">
              <a:pos x="connsiteX6660" y="connsiteY6660"/>
            </a:cxn>
            <a:cxn ang="0">
              <a:pos x="connsiteX6661" y="connsiteY6661"/>
            </a:cxn>
            <a:cxn ang="0">
              <a:pos x="connsiteX6662" y="connsiteY6662"/>
            </a:cxn>
            <a:cxn ang="0">
              <a:pos x="connsiteX6663" y="connsiteY6663"/>
            </a:cxn>
            <a:cxn ang="0">
              <a:pos x="connsiteX6664" y="connsiteY6664"/>
            </a:cxn>
            <a:cxn ang="0">
              <a:pos x="connsiteX6665" y="connsiteY6665"/>
            </a:cxn>
            <a:cxn ang="0">
              <a:pos x="connsiteX6666" y="connsiteY6666"/>
            </a:cxn>
            <a:cxn ang="0">
              <a:pos x="connsiteX6667" y="connsiteY6667"/>
            </a:cxn>
            <a:cxn ang="0">
              <a:pos x="connsiteX6668" y="connsiteY6668"/>
            </a:cxn>
            <a:cxn ang="0">
              <a:pos x="connsiteX6669" y="connsiteY6669"/>
            </a:cxn>
            <a:cxn ang="0">
              <a:pos x="connsiteX6670" y="connsiteY6670"/>
            </a:cxn>
            <a:cxn ang="0">
              <a:pos x="connsiteX6671" y="connsiteY6671"/>
            </a:cxn>
            <a:cxn ang="0">
              <a:pos x="connsiteX6672" y="connsiteY6672"/>
            </a:cxn>
            <a:cxn ang="0">
              <a:pos x="connsiteX6673" y="connsiteY6673"/>
            </a:cxn>
            <a:cxn ang="0">
              <a:pos x="connsiteX6674" y="connsiteY6674"/>
            </a:cxn>
            <a:cxn ang="0">
              <a:pos x="connsiteX6675" y="connsiteY6675"/>
            </a:cxn>
            <a:cxn ang="0">
              <a:pos x="connsiteX6676" y="connsiteY6676"/>
            </a:cxn>
            <a:cxn ang="0">
              <a:pos x="connsiteX6677" y="connsiteY6677"/>
            </a:cxn>
            <a:cxn ang="0">
              <a:pos x="connsiteX6678" y="connsiteY6678"/>
            </a:cxn>
            <a:cxn ang="0">
              <a:pos x="connsiteX6679" y="connsiteY6679"/>
            </a:cxn>
            <a:cxn ang="0">
              <a:pos x="connsiteX6680" y="connsiteY6680"/>
            </a:cxn>
            <a:cxn ang="0">
              <a:pos x="connsiteX6681" y="connsiteY6681"/>
            </a:cxn>
            <a:cxn ang="0">
              <a:pos x="connsiteX6682" y="connsiteY6682"/>
            </a:cxn>
            <a:cxn ang="0">
              <a:pos x="connsiteX6683" y="connsiteY6683"/>
            </a:cxn>
            <a:cxn ang="0">
              <a:pos x="connsiteX6684" y="connsiteY6684"/>
            </a:cxn>
            <a:cxn ang="0">
              <a:pos x="connsiteX6685" y="connsiteY6685"/>
            </a:cxn>
            <a:cxn ang="0">
              <a:pos x="connsiteX6686" y="connsiteY6686"/>
            </a:cxn>
            <a:cxn ang="0">
              <a:pos x="connsiteX6687" y="connsiteY6687"/>
            </a:cxn>
            <a:cxn ang="0">
              <a:pos x="connsiteX6688" y="connsiteY6688"/>
            </a:cxn>
            <a:cxn ang="0">
              <a:pos x="connsiteX6689" y="connsiteY6689"/>
            </a:cxn>
            <a:cxn ang="0">
              <a:pos x="connsiteX6690" y="connsiteY6690"/>
            </a:cxn>
            <a:cxn ang="0">
              <a:pos x="connsiteX6691" y="connsiteY6691"/>
            </a:cxn>
            <a:cxn ang="0">
              <a:pos x="connsiteX6692" y="connsiteY6692"/>
            </a:cxn>
            <a:cxn ang="0">
              <a:pos x="connsiteX6693" y="connsiteY6693"/>
            </a:cxn>
            <a:cxn ang="0">
              <a:pos x="connsiteX6694" y="connsiteY6694"/>
            </a:cxn>
            <a:cxn ang="0">
              <a:pos x="connsiteX6695" y="connsiteY6695"/>
            </a:cxn>
            <a:cxn ang="0">
              <a:pos x="connsiteX6696" y="connsiteY6696"/>
            </a:cxn>
            <a:cxn ang="0">
              <a:pos x="connsiteX6697" y="connsiteY6697"/>
            </a:cxn>
            <a:cxn ang="0">
              <a:pos x="connsiteX6698" y="connsiteY6698"/>
            </a:cxn>
            <a:cxn ang="0">
              <a:pos x="connsiteX6699" y="connsiteY6699"/>
            </a:cxn>
            <a:cxn ang="0">
              <a:pos x="connsiteX6700" y="connsiteY6700"/>
            </a:cxn>
            <a:cxn ang="0">
              <a:pos x="connsiteX6701" y="connsiteY6701"/>
            </a:cxn>
            <a:cxn ang="0">
              <a:pos x="connsiteX6702" y="connsiteY6702"/>
            </a:cxn>
            <a:cxn ang="0">
              <a:pos x="connsiteX6703" y="connsiteY6703"/>
            </a:cxn>
            <a:cxn ang="0">
              <a:pos x="connsiteX6704" y="connsiteY6704"/>
            </a:cxn>
            <a:cxn ang="0">
              <a:pos x="connsiteX6705" y="connsiteY6705"/>
            </a:cxn>
            <a:cxn ang="0">
              <a:pos x="connsiteX6706" y="connsiteY6706"/>
            </a:cxn>
            <a:cxn ang="0">
              <a:pos x="connsiteX6707" y="connsiteY6707"/>
            </a:cxn>
            <a:cxn ang="0">
              <a:pos x="connsiteX6708" y="connsiteY6708"/>
            </a:cxn>
            <a:cxn ang="0">
              <a:pos x="connsiteX6709" y="connsiteY6709"/>
            </a:cxn>
            <a:cxn ang="0">
              <a:pos x="connsiteX6710" y="connsiteY6710"/>
            </a:cxn>
            <a:cxn ang="0">
              <a:pos x="connsiteX6711" y="connsiteY6711"/>
            </a:cxn>
            <a:cxn ang="0">
              <a:pos x="connsiteX6712" y="connsiteY6712"/>
            </a:cxn>
            <a:cxn ang="0">
              <a:pos x="connsiteX6713" y="connsiteY6713"/>
            </a:cxn>
            <a:cxn ang="0">
              <a:pos x="connsiteX6714" y="connsiteY6714"/>
            </a:cxn>
            <a:cxn ang="0">
              <a:pos x="connsiteX6715" y="connsiteY6715"/>
            </a:cxn>
            <a:cxn ang="0">
              <a:pos x="connsiteX6716" y="connsiteY6716"/>
            </a:cxn>
            <a:cxn ang="0">
              <a:pos x="connsiteX6717" y="connsiteY6717"/>
            </a:cxn>
            <a:cxn ang="0">
              <a:pos x="connsiteX6718" y="connsiteY6718"/>
            </a:cxn>
            <a:cxn ang="0">
              <a:pos x="connsiteX6719" y="connsiteY6719"/>
            </a:cxn>
            <a:cxn ang="0">
              <a:pos x="connsiteX6720" y="connsiteY6720"/>
            </a:cxn>
            <a:cxn ang="0">
              <a:pos x="connsiteX6721" y="connsiteY6721"/>
            </a:cxn>
            <a:cxn ang="0">
              <a:pos x="connsiteX6722" y="connsiteY6722"/>
            </a:cxn>
            <a:cxn ang="0">
              <a:pos x="connsiteX6723" y="connsiteY6723"/>
            </a:cxn>
            <a:cxn ang="0">
              <a:pos x="connsiteX6724" y="connsiteY6724"/>
            </a:cxn>
            <a:cxn ang="0">
              <a:pos x="connsiteX6725" y="connsiteY6725"/>
            </a:cxn>
            <a:cxn ang="0">
              <a:pos x="connsiteX6726" y="connsiteY6726"/>
            </a:cxn>
            <a:cxn ang="0">
              <a:pos x="connsiteX6727" y="connsiteY6727"/>
            </a:cxn>
            <a:cxn ang="0">
              <a:pos x="connsiteX6728" y="connsiteY6728"/>
            </a:cxn>
            <a:cxn ang="0">
              <a:pos x="connsiteX6729" y="connsiteY6729"/>
            </a:cxn>
            <a:cxn ang="0">
              <a:pos x="connsiteX6730" y="connsiteY6730"/>
            </a:cxn>
            <a:cxn ang="0">
              <a:pos x="connsiteX6731" y="connsiteY6731"/>
            </a:cxn>
            <a:cxn ang="0">
              <a:pos x="connsiteX6732" y="connsiteY6732"/>
            </a:cxn>
            <a:cxn ang="0">
              <a:pos x="connsiteX6733" y="connsiteY6733"/>
            </a:cxn>
            <a:cxn ang="0">
              <a:pos x="connsiteX6734" y="connsiteY6734"/>
            </a:cxn>
            <a:cxn ang="0">
              <a:pos x="connsiteX6735" y="connsiteY6735"/>
            </a:cxn>
            <a:cxn ang="0">
              <a:pos x="connsiteX6736" y="connsiteY6736"/>
            </a:cxn>
            <a:cxn ang="0">
              <a:pos x="connsiteX6737" y="connsiteY6737"/>
            </a:cxn>
            <a:cxn ang="0">
              <a:pos x="connsiteX6738" y="connsiteY6738"/>
            </a:cxn>
            <a:cxn ang="0">
              <a:pos x="connsiteX6739" y="connsiteY6739"/>
            </a:cxn>
            <a:cxn ang="0">
              <a:pos x="connsiteX6740" y="connsiteY6740"/>
            </a:cxn>
            <a:cxn ang="0">
              <a:pos x="connsiteX6741" y="connsiteY6741"/>
            </a:cxn>
            <a:cxn ang="0">
              <a:pos x="connsiteX6742" y="connsiteY6742"/>
            </a:cxn>
            <a:cxn ang="0">
              <a:pos x="connsiteX6743" y="connsiteY6743"/>
            </a:cxn>
            <a:cxn ang="0">
              <a:pos x="connsiteX6744" y="connsiteY6744"/>
            </a:cxn>
            <a:cxn ang="0">
              <a:pos x="connsiteX6745" y="connsiteY6745"/>
            </a:cxn>
            <a:cxn ang="0">
              <a:pos x="connsiteX6746" y="connsiteY6746"/>
            </a:cxn>
            <a:cxn ang="0">
              <a:pos x="connsiteX6747" y="connsiteY6747"/>
            </a:cxn>
            <a:cxn ang="0">
              <a:pos x="connsiteX6748" y="connsiteY6748"/>
            </a:cxn>
            <a:cxn ang="0">
              <a:pos x="connsiteX6749" y="connsiteY6749"/>
            </a:cxn>
            <a:cxn ang="0">
              <a:pos x="connsiteX6750" y="connsiteY6750"/>
            </a:cxn>
            <a:cxn ang="0">
              <a:pos x="connsiteX6751" y="connsiteY6751"/>
            </a:cxn>
            <a:cxn ang="0">
              <a:pos x="connsiteX6752" y="connsiteY6752"/>
            </a:cxn>
            <a:cxn ang="0">
              <a:pos x="connsiteX6753" y="connsiteY6753"/>
            </a:cxn>
            <a:cxn ang="0">
              <a:pos x="connsiteX6754" y="connsiteY6754"/>
            </a:cxn>
            <a:cxn ang="0">
              <a:pos x="connsiteX6755" y="connsiteY6755"/>
            </a:cxn>
            <a:cxn ang="0">
              <a:pos x="connsiteX6756" y="connsiteY6756"/>
            </a:cxn>
            <a:cxn ang="0">
              <a:pos x="connsiteX6757" y="connsiteY6757"/>
            </a:cxn>
            <a:cxn ang="0">
              <a:pos x="connsiteX6758" y="connsiteY6758"/>
            </a:cxn>
            <a:cxn ang="0">
              <a:pos x="connsiteX6759" y="connsiteY6759"/>
            </a:cxn>
            <a:cxn ang="0">
              <a:pos x="connsiteX6760" y="connsiteY6760"/>
            </a:cxn>
            <a:cxn ang="0">
              <a:pos x="connsiteX6761" y="connsiteY6761"/>
            </a:cxn>
            <a:cxn ang="0">
              <a:pos x="connsiteX6762" y="connsiteY6762"/>
            </a:cxn>
            <a:cxn ang="0">
              <a:pos x="connsiteX6763" y="connsiteY6763"/>
            </a:cxn>
            <a:cxn ang="0">
              <a:pos x="connsiteX6764" y="connsiteY6764"/>
            </a:cxn>
            <a:cxn ang="0">
              <a:pos x="connsiteX6765" y="connsiteY6765"/>
            </a:cxn>
            <a:cxn ang="0">
              <a:pos x="connsiteX6766" y="connsiteY6766"/>
            </a:cxn>
            <a:cxn ang="0">
              <a:pos x="connsiteX6767" y="connsiteY6767"/>
            </a:cxn>
            <a:cxn ang="0">
              <a:pos x="connsiteX6768" y="connsiteY6768"/>
            </a:cxn>
            <a:cxn ang="0">
              <a:pos x="connsiteX6769" y="connsiteY6769"/>
            </a:cxn>
            <a:cxn ang="0">
              <a:pos x="connsiteX6770" y="connsiteY6770"/>
            </a:cxn>
            <a:cxn ang="0">
              <a:pos x="connsiteX6771" y="connsiteY6771"/>
            </a:cxn>
            <a:cxn ang="0">
              <a:pos x="connsiteX6772" y="connsiteY6772"/>
            </a:cxn>
            <a:cxn ang="0">
              <a:pos x="connsiteX6773" y="connsiteY6773"/>
            </a:cxn>
            <a:cxn ang="0">
              <a:pos x="connsiteX6774" y="connsiteY6774"/>
            </a:cxn>
            <a:cxn ang="0">
              <a:pos x="connsiteX6775" y="connsiteY6775"/>
            </a:cxn>
            <a:cxn ang="0">
              <a:pos x="connsiteX6776" y="connsiteY6776"/>
            </a:cxn>
            <a:cxn ang="0">
              <a:pos x="connsiteX6777" y="connsiteY6777"/>
            </a:cxn>
            <a:cxn ang="0">
              <a:pos x="connsiteX6778" y="connsiteY6778"/>
            </a:cxn>
            <a:cxn ang="0">
              <a:pos x="connsiteX6779" y="connsiteY6779"/>
            </a:cxn>
            <a:cxn ang="0">
              <a:pos x="connsiteX6780" y="connsiteY6780"/>
            </a:cxn>
            <a:cxn ang="0">
              <a:pos x="connsiteX6781" y="connsiteY6781"/>
            </a:cxn>
            <a:cxn ang="0">
              <a:pos x="connsiteX6782" y="connsiteY6782"/>
            </a:cxn>
            <a:cxn ang="0">
              <a:pos x="connsiteX6783" y="connsiteY6783"/>
            </a:cxn>
            <a:cxn ang="0">
              <a:pos x="connsiteX6784" y="connsiteY6784"/>
            </a:cxn>
            <a:cxn ang="0">
              <a:pos x="connsiteX6785" y="connsiteY6785"/>
            </a:cxn>
            <a:cxn ang="0">
              <a:pos x="connsiteX6786" y="connsiteY6786"/>
            </a:cxn>
            <a:cxn ang="0">
              <a:pos x="connsiteX6787" y="connsiteY6787"/>
            </a:cxn>
            <a:cxn ang="0">
              <a:pos x="connsiteX6788" y="connsiteY6788"/>
            </a:cxn>
            <a:cxn ang="0">
              <a:pos x="connsiteX6789" y="connsiteY6789"/>
            </a:cxn>
            <a:cxn ang="0">
              <a:pos x="connsiteX6790" y="connsiteY6790"/>
            </a:cxn>
            <a:cxn ang="0">
              <a:pos x="connsiteX6791" y="connsiteY6791"/>
            </a:cxn>
            <a:cxn ang="0">
              <a:pos x="connsiteX6792" y="connsiteY6792"/>
            </a:cxn>
            <a:cxn ang="0">
              <a:pos x="connsiteX6793" y="connsiteY6793"/>
            </a:cxn>
            <a:cxn ang="0">
              <a:pos x="connsiteX6794" y="connsiteY6794"/>
            </a:cxn>
            <a:cxn ang="0">
              <a:pos x="connsiteX6795" y="connsiteY6795"/>
            </a:cxn>
            <a:cxn ang="0">
              <a:pos x="connsiteX6796" y="connsiteY6796"/>
            </a:cxn>
            <a:cxn ang="0">
              <a:pos x="connsiteX6797" y="connsiteY6797"/>
            </a:cxn>
            <a:cxn ang="0">
              <a:pos x="connsiteX6798" y="connsiteY6798"/>
            </a:cxn>
            <a:cxn ang="0">
              <a:pos x="connsiteX6799" y="connsiteY6799"/>
            </a:cxn>
            <a:cxn ang="0">
              <a:pos x="connsiteX6800" y="connsiteY6800"/>
            </a:cxn>
            <a:cxn ang="0">
              <a:pos x="connsiteX6801" y="connsiteY6801"/>
            </a:cxn>
            <a:cxn ang="0">
              <a:pos x="connsiteX6802" y="connsiteY6802"/>
            </a:cxn>
            <a:cxn ang="0">
              <a:pos x="connsiteX6803" y="connsiteY6803"/>
            </a:cxn>
            <a:cxn ang="0">
              <a:pos x="connsiteX6804" y="connsiteY6804"/>
            </a:cxn>
            <a:cxn ang="0">
              <a:pos x="connsiteX6805" y="connsiteY6805"/>
            </a:cxn>
            <a:cxn ang="0">
              <a:pos x="connsiteX6806" y="connsiteY6806"/>
            </a:cxn>
            <a:cxn ang="0">
              <a:pos x="connsiteX6807" y="connsiteY6807"/>
            </a:cxn>
            <a:cxn ang="0">
              <a:pos x="connsiteX6808" y="connsiteY6808"/>
            </a:cxn>
            <a:cxn ang="0">
              <a:pos x="connsiteX6809" y="connsiteY6809"/>
            </a:cxn>
            <a:cxn ang="0">
              <a:pos x="connsiteX6810" y="connsiteY6810"/>
            </a:cxn>
            <a:cxn ang="0">
              <a:pos x="connsiteX6811" y="connsiteY6811"/>
            </a:cxn>
            <a:cxn ang="0">
              <a:pos x="connsiteX6812" y="connsiteY6812"/>
            </a:cxn>
            <a:cxn ang="0">
              <a:pos x="connsiteX6813" y="connsiteY6813"/>
            </a:cxn>
            <a:cxn ang="0">
              <a:pos x="connsiteX6814" y="connsiteY6814"/>
            </a:cxn>
            <a:cxn ang="0">
              <a:pos x="connsiteX6815" y="connsiteY6815"/>
            </a:cxn>
            <a:cxn ang="0">
              <a:pos x="connsiteX6816" y="connsiteY6816"/>
            </a:cxn>
            <a:cxn ang="0">
              <a:pos x="connsiteX6817" y="connsiteY6817"/>
            </a:cxn>
            <a:cxn ang="0">
              <a:pos x="connsiteX6818" y="connsiteY6818"/>
            </a:cxn>
            <a:cxn ang="0">
              <a:pos x="connsiteX6819" y="connsiteY6819"/>
            </a:cxn>
            <a:cxn ang="0">
              <a:pos x="connsiteX6820" y="connsiteY6820"/>
            </a:cxn>
            <a:cxn ang="0">
              <a:pos x="connsiteX6821" y="connsiteY6821"/>
            </a:cxn>
            <a:cxn ang="0">
              <a:pos x="connsiteX6822" y="connsiteY6822"/>
            </a:cxn>
            <a:cxn ang="0">
              <a:pos x="connsiteX6823" y="connsiteY6823"/>
            </a:cxn>
            <a:cxn ang="0">
              <a:pos x="connsiteX6824" y="connsiteY6824"/>
            </a:cxn>
            <a:cxn ang="0">
              <a:pos x="connsiteX6825" y="connsiteY6825"/>
            </a:cxn>
            <a:cxn ang="0">
              <a:pos x="connsiteX6826" y="connsiteY6826"/>
            </a:cxn>
            <a:cxn ang="0">
              <a:pos x="connsiteX6827" y="connsiteY6827"/>
            </a:cxn>
            <a:cxn ang="0">
              <a:pos x="connsiteX6828" y="connsiteY6828"/>
            </a:cxn>
            <a:cxn ang="0">
              <a:pos x="connsiteX6829" y="connsiteY6829"/>
            </a:cxn>
            <a:cxn ang="0">
              <a:pos x="connsiteX6830" y="connsiteY6830"/>
            </a:cxn>
            <a:cxn ang="0">
              <a:pos x="connsiteX6831" y="connsiteY6831"/>
            </a:cxn>
            <a:cxn ang="0">
              <a:pos x="connsiteX6832" y="connsiteY6832"/>
            </a:cxn>
            <a:cxn ang="0">
              <a:pos x="connsiteX6833" y="connsiteY6833"/>
            </a:cxn>
            <a:cxn ang="0">
              <a:pos x="connsiteX6834" y="connsiteY6834"/>
            </a:cxn>
            <a:cxn ang="0">
              <a:pos x="connsiteX6835" y="connsiteY6835"/>
            </a:cxn>
            <a:cxn ang="0">
              <a:pos x="connsiteX6836" y="connsiteY6836"/>
            </a:cxn>
            <a:cxn ang="0">
              <a:pos x="connsiteX6837" y="connsiteY6837"/>
            </a:cxn>
            <a:cxn ang="0">
              <a:pos x="connsiteX6838" y="connsiteY6838"/>
            </a:cxn>
            <a:cxn ang="0">
              <a:pos x="connsiteX6839" y="connsiteY6839"/>
            </a:cxn>
            <a:cxn ang="0">
              <a:pos x="connsiteX6840" y="connsiteY6840"/>
            </a:cxn>
            <a:cxn ang="0">
              <a:pos x="connsiteX6841" y="connsiteY6841"/>
            </a:cxn>
            <a:cxn ang="0">
              <a:pos x="connsiteX6842" y="connsiteY6842"/>
            </a:cxn>
            <a:cxn ang="0">
              <a:pos x="connsiteX6843" y="connsiteY6843"/>
            </a:cxn>
            <a:cxn ang="0">
              <a:pos x="connsiteX6844" y="connsiteY6844"/>
            </a:cxn>
            <a:cxn ang="0">
              <a:pos x="connsiteX6845" y="connsiteY6845"/>
            </a:cxn>
            <a:cxn ang="0">
              <a:pos x="connsiteX6846" y="connsiteY6846"/>
            </a:cxn>
            <a:cxn ang="0">
              <a:pos x="connsiteX6847" y="connsiteY6847"/>
            </a:cxn>
            <a:cxn ang="0">
              <a:pos x="connsiteX6848" y="connsiteY6848"/>
            </a:cxn>
            <a:cxn ang="0">
              <a:pos x="connsiteX6849" y="connsiteY6849"/>
            </a:cxn>
            <a:cxn ang="0">
              <a:pos x="connsiteX6850" y="connsiteY6850"/>
            </a:cxn>
            <a:cxn ang="0">
              <a:pos x="connsiteX6851" y="connsiteY6851"/>
            </a:cxn>
            <a:cxn ang="0">
              <a:pos x="connsiteX6852" y="connsiteY6852"/>
            </a:cxn>
            <a:cxn ang="0">
              <a:pos x="connsiteX6853" y="connsiteY6853"/>
            </a:cxn>
            <a:cxn ang="0">
              <a:pos x="connsiteX6854" y="connsiteY6854"/>
            </a:cxn>
            <a:cxn ang="0">
              <a:pos x="connsiteX6855" y="connsiteY6855"/>
            </a:cxn>
            <a:cxn ang="0">
              <a:pos x="connsiteX6856" y="connsiteY6856"/>
            </a:cxn>
            <a:cxn ang="0">
              <a:pos x="connsiteX6857" y="connsiteY6857"/>
            </a:cxn>
            <a:cxn ang="0">
              <a:pos x="connsiteX6858" y="connsiteY6858"/>
            </a:cxn>
            <a:cxn ang="0">
              <a:pos x="connsiteX6859" y="connsiteY6859"/>
            </a:cxn>
            <a:cxn ang="0">
              <a:pos x="connsiteX6860" y="connsiteY6860"/>
            </a:cxn>
            <a:cxn ang="0">
              <a:pos x="connsiteX6861" y="connsiteY6861"/>
            </a:cxn>
            <a:cxn ang="0">
              <a:pos x="connsiteX6862" y="connsiteY6862"/>
            </a:cxn>
            <a:cxn ang="0">
              <a:pos x="connsiteX6863" y="connsiteY6863"/>
            </a:cxn>
            <a:cxn ang="0">
              <a:pos x="connsiteX6864" y="connsiteY6864"/>
            </a:cxn>
            <a:cxn ang="0">
              <a:pos x="connsiteX6865" y="connsiteY6865"/>
            </a:cxn>
            <a:cxn ang="0">
              <a:pos x="connsiteX6866" y="connsiteY6866"/>
            </a:cxn>
            <a:cxn ang="0">
              <a:pos x="connsiteX6867" y="connsiteY6867"/>
            </a:cxn>
            <a:cxn ang="0">
              <a:pos x="connsiteX6868" y="connsiteY6868"/>
            </a:cxn>
            <a:cxn ang="0">
              <a:pos x="connsiteX6869" y="connsiteY6869"/>
            </a:cxn>
            <a:cxn ang="0">
              <a:pos x="connsiteX6870" y="connsiteY6870"/>
            </a:cxn>
            <a:cxn ang="0">
              <a:pos x="connsiteX6871" y="connsiteY6871"/>
            </a:cxn>
            <a:cxn ang="0">
              <a:pos x="connsiteX6872" y="connsiteY6872"/>
            </a:cxn>
            <a:cxn ang="0">
              <a:pos x="connsiteX6873" y="connsiteY6873"/>
            </a:cxn>
            <a:cxn ang="0">
              <a:pos x="connsiteX6874" y="connsiteY6874"/>
            </a:cxn>
            <a:cxn ang="0">
              <a:pos x="connsiteX6875" y="connsiteY6875"/>
            </a:cxn>
            <a:cxn ang="0">
              <a:pos x="connsiteX6876" y="connsiteY6876"/>
            </a:cxn>
            <a:cxn ang="0">
              <a:pos x="connsiteX6877" y="connsiteY6877"/>
            </a:cxn>
            <a:cxn ang="0">
              <a:pos x="connsiteX6878" y="connsiteY6878"/>
            </a:cxn>
            <a:cxn ang="0">
              <a:pos x="connsiteX6879" y="connsiteY6879"/>
            </a:cxn>
            <a:cxn ang="0">
              <a:pos x="connsiteX6880" y="connsiteY6880"/>
            </a:cxn>
            <a:cxn ang="0">
              <a:pos x="connsiteX6881" y="connsiteY6881"/>
            </a:cxn>
            <a:cxn ang="0">
              <a:pos x="connsiteX6882" y="connsiteY6882"/>
            </a:cxn>
            <a:cxn ang="0">
              <a:pos x="connsiteX6883" y="connsiteY6883"/>
            </a:cxn>
            <a:cxn ang="0">
              <a:pos x="connsiteX6884" y="connsiteY6884"/>
            </a:cxn>
            <a:cxn ang="0">
              <a:pos x="connsiteX6885" y="connsiteY6885"/>
            </a:cxn>
            <a:cxn ang="0">
              <a:pos x="connsiteX6886" y="connsiteY6886"/>
            </a:cxn>
            <a:cxn ang="0">
              <a:pos x="connsiteX6887" y="connsiteY6887"/>
            </a:cxn>
            <a:cxn ang="0">
              <a:pos x="connsiteX6888" y="connsiteY6888"/>
            </a:cxn>
            <a:cxn ang="0">
              <a:pos x="connsiteX6889" y="connsiteY6889"/>
            </a:cxn>
            <a:cxn ang="0">
              <a:pos x="connsiteX6890" y="connsiteY6890"/>
            </a:cxn>
            <a:cxn ang="0">
              <a:pos x="connsiteX6891" y="connsiteY6891"/>
            </a:cxn>
            <a:cxn ang="0">
              <a:pos x="connsiteX6892" y="connsiteY6892"/>
            </a:cxn>
            <a:cxn ang="0">
              <a:pos x="connsiteX6893" y="connsiteY6893"/>
            </a:cxn>
            <a:cxn ang="0">
              <a:pos x="connsiteX6894" y="connsiteY6894"/>
            </a:cxn>
            <a:cxn ang="0">
              <a:pos x="connsiteX6895" y="connsiteY6895"/>
            </a:cxn>
            <a:cxn ang="0">
              <a:pos x="connsiteX6896" y="connsiteY6896"/>
            </a:cxn>
            <a:cxn ang="0">
              <a:pos x="connsiteX6897" y="connsiteY6897"/>
            </a:cxn>
            <a:cxn ang="0">
              <a:pos x="connsiteX6898" y="connsiteY6898"/>
            </a:cxn>
            <a:cxn ang="0">
              <a:pos x="connsiteX6899" y="connsiteY6899"/>
            </a:cxn>
            <a:cxn ang="0">
              <a:pos x="connsiteX6900" y="connsiteY6900"/>
            </a:cxn>
            <a:cxn ang="0">
              <a:pos x="connsiteX6901" y="connsiteY6901"/>
            </a:cxn>
            <a:cxn ang="0">
              <a:pos x="connsiteX6902" y="connsiteY6902"/>
            </a:cxn>
            <a:cxn ang="0">
              <a:pos x="connsiteX6903" y="connsiteY6903"/>
            </a:cxn>
            <a:cxn ang="0">
              <a:pos x="connsiteX6904" y="connsiteY6904"/>
            </a:cxn>
            <a:cxn ang="0">
              <a:pos x="connsiteX6905" y="connsiteY6905"/>
            </a:cxn>
            <a:cxn ang="0">
              <a:pos x="connsiteX6906" y="connsiteY6906"/>
            </a:cxn>
            <a:cxn ang="0">
              <a:pos x="connsiteX6907" y="connsiteY6907"/>
            </a:cxn>
            <a:cxn ang="0">
              <a:pos x="connsiteX6908" y="connsiteY6908"/>
            </a:cxn>
            <a:cxn ang="0">
              <a:pos x="connsiteX6909" y="connsiteY6909"/>
            </a:cxn>
            <a:cxn ang="0">
              <a:pos x="connsiteX6910" y="connsiteY6910"/>
            </a:cxn>
            <a:cxn ang="0">
              <a:pos x="connsiteX6911" y="connsiteY6911"/>
            </a:cxn>
            <a:cxn ang="0">
              <a:pos x="connsiteX6912" y="connsiteY6912"/>
            </a:cxn>
            <a:cxn ang="0">
              <a:pos x="connsiteX6913" y="connsiteY6913"/>
            </a:cxn>
            <a:cxn ang="0">
              <a:pos x="connsiteX6914" y="connsiteY6914"/>
            </a:cxn>
            <a:cxn ang="0">
              <a:pos x="connsiteX6915" y="connsiteY6915"/>
            </a:cxn>
            <a:cxn ang="0">
              <a:pos x="connsiteX6916" y="connsiteY6916"/>
            </a:cxn>
            <a:cxn ang="0">
              <a:pos x="connsiteX6917" y="connsiteY6917"/>
            </a:cxn>
            <a:cxn ang="0">
              <a:pos x="connsiteX6918" y="connsiteY6918"/>
            </a:cxn>
            <a:cxn ang="0">
              <a:pos x="connsiteX6919" y="connsiteY6919"/>
            </a:cxn>
            <a:cxn ang="0">
              <a:pos x="connsiteX6920" y="connsiteY6920"/>
            </a:cxn>
            <a:cxn ang="0">
              <a:pos x="connsiteX6921" y="connsiteY6921"/>
            </a:cxn>
            <a:cxn ang="0">
              <a:pos x="connsiteX6922" y="connsiteY6922"/>
            </a:cxn>
            <a:cxn ang="0">
              <a:pos x="connsiteX6923" y="connsiteY6923"/>
            </a:cxn>
            <a:cxn ang="0">
              <a:pos x="connsiteX6924" y="connsiteY6924"/>
            </a:cxn>
            <a:cxn ang="0">
              <a:pos x="connsiteX6925" y="connsiteY6925"/>
            </a:cxn>
            <a:cxn ang="0">
              <a:pos x="connsiteX6926" y="connsiteY6926"/>
            </a:cxn>
            <a:cxn ang="0">
              <a:pos x="connsiteX6927" y="connsiteY6927"/>
            </a:cxn>
            <a:cxn ang="0">
              <a:pos x="connsiteX6928" y="connsiteY6928"/>
            </a:cxn>
            <a:cxn ang="0">
              <a:pos x="connsiteX6929" y="connsiteY6929"/>
            </a:cxn>
            <a:cxn ang="0">
              <a:pos x="connsiteX6930" y="connsiteY6930"/>
            </a:cxn>
            <a:cxn ang="0">
              <a:pos x="connsiteX6931" y="connsiteY6931"/>
            </a:cxn>
            <a:cxn ang="0">
              <a:pos x="connsiteX6932" y="connsiteY6932"/>
            </a:cxn>
            <a:cxn ang="0">
              <a:pos x="connsiteX6933" y="connsiteY6933"/>
            </a:cxn>
            <a:cxn ang="0">
              <a:pos x="connsiteX6934" y="connsiteY6934"/>
            </a:cxn>
            <a:cxn ang="0">
              <a:pos x="connsiteX6935" y="connsiteY6935"/>
            </a:cxn>
            <a:cxn ang="0">
              <a:pos x="connsiteX6936" y="connsiteY6936"/>
            </a:cxn>
            <a:cxn ang="0">
              <a:pos x="connsiteX6937" y="connsiteY6937"/>
            </a:cxn>
            <a:cxn ang="0">
              <a:pos x="connsiteX6938" y="connsiteY6938"/>
            </a:cxn>
            <a:cxn ang="0">
              <a:pos x="connsiteX6939" y="connsiteY6939"/>
            </a:cxn>
            <a:cxn ang="0">
              <a:pos x="connsiteX6940" y="connsiteY6940"/>
            </a:cxn>
            <a:cxn ang="0">
              <a:pos x="connsiteX6941" y="connsiteY6941"/>
            </a:cxn>
            <a:cxn ang="0">
              <a:pos x="connsiteX6942" y="connsiteY6942"/>
            </a:cxn>
            <a:cxn ang="0">
              <a:pos x="connsiteX6943" y="connsiteY6943"/>
            </a:cxn>
            <a:cxn ang="0">
              <a:pos x="connsiteX6944" y="connsiteY6944"/>
            </a:cxn>
            <a:cxn ang="0">
              <a:pos x="connsiteX6945" y="connsiteY6945"/>
            </a:cxn>
            <a:cxn ang="0">
              <a:pos x="connsiteX6946" y="connsiteY6946"/>
            </a:cxn>
            <a:cxn ang="0">
              <a:pos x="connsiteX6947" y="connsiteY6947"/>
            </a:cxn>
            <a:cxn ang="0">
              <a:pos x="connsiteX6948" y="connsiteY6948"/>
            </a:cxn>
            <a:cxn ang="0">
              <a:pos x="connsiteX6949" y="connsiteY6949"/>
            </a:cxn>
            <a:cxn ang="0">
              <a:pos x="connsiteX6950" y="connsiteY6950"/>
            </a:cxn>
            <a:cxn ang="0">
              <a:pos x="connsiteX6951" y="connsiteY6951"/>
            </a:cxn>
            <a:cxn ang="0">
              <a:pos x="connsiteX6952" y="connsiteY6952"/>
            </a:cxn>
            <a:cxn ang="0">
              <a:pos x="connsiteX6953" y="connsiteY6953"/>
            </a:cxn>
            <a:cxn ang="0">
              <a:pos x="connsiteX6954" y="connsiteY6954"/>
            </a:cxn>
            <a:cxn ang="0">
              <a:pos x="connsiteX6955" y="connsiteY6955"/>
            </a:cxn>
            <a:cxn ang="0">
              <a:pos x="connsiteX6956" y="connsiteY6956"/>
            </a:cxn>
            <a:cxn ang="0">
              <a:pos x="connsiteX6957" y="connsiteY6957"/>
            </a:cxn>
            <a:cxn ang="0">
              <a:pos x="connsiteX6958" y="connsiteY6958"/>
            </a:cxn>
            <a:cxn ang="0">
              <a:pos x="connsiteX6959" y="connsiteY6959"/>
            </a:cxn>
            <a:cxn ang="0">
              <a:pos x="connsiteX6960" y="connsiteY6960"/>
            </a:cxn>
            <a:cxn ang="0">
              <a:pos x="connsiteX6961" y="connsiteY6961"/>
            </a:cxn>
            <a:cxn ang="0">
              <a:pos x="connsiteX6962" y="connsiteY6962"/>
            </a:cxn>
            <a:cxn ang="0">
              <a:pos x="connsiteX6963" y="connsiteY6963"/>
            </a:cxn>
            <a:cxn ang="0">
              <a:pos x="connsiteX6964" y="connsiteY6964"/>
            </a:cxn>
            <a:cxn ang="0">
              <a:pos x="connsiteX6965" y="connsiteY6965"/>
            </a:cxn>
            <a:cxn ang="0">
              <a:pos x="connsiteX6966" y="connsiteY6966"/>
            </a:cxn>
            <a:cxn ang="0">
              <a:pos x="connsiteX6967" y="connsiteY6967"/>
            </a:cxn>
            <a:cxn ang="0">
              <a:pos x="connsiteX6968" y="connsiteY6968"/>
            </a:cxn>
            <a:cxn ang="0">
              <a:pos x="connsiteX6969" y="connsiteY6969"/>
            </a:cxn>
            <a:cxn ang="0">
              <a:pos x="connsiteX6970" y="connsiteY6970"/>
            </a:cxn>
            <a:cxn ang="0">
              <a:pos x="connsiteX6971" y="connsiteY6971"/>
            </a:cxn>
            <a:cxn ang="0">
              <a:pos x="connsiteX6972" y="connsiteY6972"/>
            </a:cxn>
            <a:cxn ang="0">
              <a:pos x="connsiteX6973" y="connsiteY6973"/>
            </a:cxn>
            <a:cxn ang="0">
              <a:pos x="connsiteX6974" y="connsiteY6974"/>
            </a:cxn>
            <a:cxn ang="0">
              <a:pos x="connsiteX6975" y="connsiteY6975"/>
            </a:cxn>
            <a:cxn ang="0">
              <a:pos x="connsiteX6976" y="connsiteY6976"/>
            </a:cxn>
            <a:cxn ang="0">
              <a:pos x="connsiteX6977" y="connsiteY6977"/>
            </a:cxn>
            <a:cxn ang="0">
              <a:pos x="connsiteX6978" y="connsiteY6978"/>
            </a:cxn>
            <a:cxn ang="0">
              <a:pos x="connsiteX6979" y="connsiteY6979"/>
            </a:cxn>
            <a:cxn ang="0">
              <a:pos x="connsiteX6980" y="connsiteY6980"/>
            </a:cxn>
            <a:cxn ang="0">
              <a:pos x="connsiteX6981" y="connsiteY6981"/>
            </a:cxn>
            <a:cxn ang="0">
              <a:pos x="connsiteX6982" y="connsiteY6982"/>
            </a:cxn>
            <a:cxn ang="0">
              <a:pos x="connsiteX6983" y="connsiteY6983"/>
            </a:cxn>
            <a:cxn ang="0">
              <a:pos x="connsiteX6984" y="connsiteY6984"/>
            </a:cxn>
            <a:cxn ang="0">
              <a:pos x="connsiteX6985" y="connsiteY6985"/>
            </a:cxn>
            <a:cxn ang="0">
              <a:pos x="connsiteX6986" y="connsiteY6986"/>
            </a:cxn>
            <a:cxn ang="0">
              <a:pos x="connsiteX6987" y="connsiteY6987"/>
            </a:cxn>
            <a:cxn ang="0">
              <a:pos x="connsiteX6988" y="connsiteY6988"/>
            </a:cxn>
            <a:cxn ang="0">
              <a:pos x="connsiteX6989" y="connsiteY6989"/>
            </a:cxn>
            <a:cxn ang="0">
              <a:pos x="connsiteX6990" y="connsiteY6990"/>
            </a:cxn>
            <a:cxn ang="0">
              <a:pos x="connsiteX6991" y="connsiteY6991"/>
            </a:cxn>
            <a:cxn ang="0">
              <a:pos x="connsiteX6992" y="connsiteY6992"/>
            </a:cxn>
            <a:cxn ang="0">
              <a:pos x="connsiteX6993" y="connsiteY6993"/>
            </a:cxn>
            <a:cxn ang="0">
              <a:pos x="connsiteX6994" y="connsiteY6994"/>
            </a:cxn>
            <a:cxn ang="0">
              <a:pos x="connsiteX6995" y="connsiteY6995"/>
            </a:cxn>
            <a:cxn ang="0">
              <a:pos x="connsiteX6996" y="connsiteY6996"/>
            </a:cxn>
            <a:cxn ang="0">
              <a:pos x="connsiteX6997" y="connsiteY6997"/>
            </a:cxn>
            <a:cxn ang="0">
              <a:pos x="connsiteX6998" y="connsiteY6998"/>
            </a:cxn>
            <a:cxn ang="0">
              <a:pos x="connsiteX6999" y="connsiteY6999"/>
            </a:cxn>
            <a:cxn ang="0">
              <a:pos x="connsiteX7000" y="connsiteY7000"/>
            </a:cxn>
            <a:cxn ang="0">
              <a:pos x="connsiteX7001" y="connsiteY7001"/>
            </a:cxn>
            <a:cxn ang="0">
              <a:pos x="connsiteX7002" y="connsiteY7002"/>
            </a:cxn>
            <a:cxn ang="0">
              <a:pos x="connsiteX7003" y="connsiteY7003"/>
            </a:cxn>
            <a:cxn ang="0">
              <a:pos x="connsiteX7004" y="connsiteY7004"/>
            </a:cxn>
            <a:cxn ang="0">
              <a:pos x="connsiteX7005" y="connsiteY7005"/>
            </a:cxn>
            <a:cxn ang="0">
              <a:pos x="connsiteX7006" y="connsiteY7006"/>
            </a:cxn>
            <a:cxn ang="0">
              <a:pos x="connsiteX7007" y="connsiteY7007"/>
            </a:cxn>
            <a:cxn ang="0">
              <a:pos x="connsiteX7008" y="connsiteY7008"/>
            </a:cxn>
            <a:cxn ang="0">
              <a:pos x="connsiteX7009" y="connsiteY7009"/>
            </a:cxn>
            <a:cxn ang="0">
              <a:pos x="connsiteX7010" y="connsiteY7010"/>
            </a:cxn>
            <a:cxn ang="0">
              <a:pos x="connsiteX7011" y="connsiteY7011"/>
            </a:cxn>
            <a:cxn ang="0">
              <a:pos x="connsiteX7012" y="connsiteY7012"/>
            </a:cxn>
            <a:cxn ang="0">
              <a:pos x="connsiteX7013" y="connsiteY7013"/>
            </a:cxn>
            <a:cxn ang="0">
              <a:pos x="connsiteX7014" y="connsiteY7014"/>
            </a:cxn>
            <a:cxn ang="0">
              <a:pos x="connsiteX7015" y="connsiteY7015"/>
            </a:cxn>
            <a:cxn ang="0">
              <a:pos x="connsiteX7016" y="connsiteY7016"/>
            </a:cxn>
            <a:cxn ang="0">
              <a:pos x="connsiteX7017" y="connsiteY7017"/>
            </a:cxn>
            <a:cxn ang="0">
              <a:pos x="connsiteX7018" y="connsiteY7018"/>
            </a:cxn>
            <a:cxn ang="0">
              <a:pos x="connsiteX7019" y="connsiteY7019"/>
            </a:cxn>
            <a:cxn ang="0">
              <a:pos x="connsiteX7020" y="connsiteY7020"/>
            </a:cxn>
            <a:cxn ang="0">
              <a:pos x="connsiteX7021" y="connsiteY7021"/>
            </a:cxn>
            <a:cxn ang="0">
              <a:pos x="connsiteX7022" y="connsiteY7022"/>
            </a:cxn>
            <a:cxn ang="0">
              <a:pos x="connsiteX7023" y="connsiteY7023"/>
            </a:cxn>
            <a:cxn ang="0">
              <a:pos x="connsiteX7024" y="connsiteY7024"/>
            </a:cxn>
            <a:cxn ang="0">
              <a:pos x="connsiteX7025" y="connsiteY7025"/>
            </a:cxn>
            <a:cxn ang="0">
              <a:pos x="connsiteX7026" y="connsiteY7026"/>
            </a:cxn>
            <a:cxn ang="0">
              <a:pos x="connsiteX7027" y="connsiteY7027"/>
            </a:cxn>
            <a:cxn ang="0">
              <a:pos x="connsiteX7028" y="connsiteY7028"/>
            </a:cxn>
            <a:cxn ang="0">
              <a:pos x="connsiteX7029" y="connsiteY7029"/>
            </a:cxn>
            <a:cxn ang="0">
              <a:pos x="connsiteX7030" y="connsiteY7030"/>
            </a:cxn>
            <a:cxn ang="0">
              <a:pos x="connsiteX7031" y="connsiteY7031"/>
            </a:cxn>
            <a:cxn ang="0">
              <a:pos x="connsiteX7032" y="connsiteY7032"/>
            </a:cxn>
            <a:cxn ang="0">
              <a:pos x="connsiteX7033" y="connsiteY7033"/>
            </a:cxn>
            <a:cxn ang="0">
              <a:pos x="connsiteX7034" y="connsiteY7034"/>
            </a:cxn>
            <a:cxn ang="0">
              <a:pos x="connsiteX7035" y="connsiteY7035"/>
            </a:cxn>
            <a:cxn ang="0">
              <a:pos x="connsiteX7036" y="connsiteY7036"/>
            </a:cxn>
            <a:cxn ang="0">
              <a:pos x="connsiteX7037" y="connsiteY7037"/>
            </a:cxn>
            <a:cxn ang="0">
              <a:pos x="connsiteX7038" y="connsiteY7038"/>
            </a:cxn>
            <a:cxn ang="0">
              <a:pos x="connsiteX7039" y="connsiteY7039"/>
            </a:cxn>
            <a:cxn ang="0">
              <a:pos x="connsiteX7040" y="connsiteY7040"/>
            </a:cxn>
            <a:cxn ang="0">
              <a:pos x="connsiteX7041" y="connsiteY7041"/>
            </a:cxn>
            <a:cxn ang="0">
              <a:pos x="connsiteX7042" y="connsiteY7042"/>
            </a:cxn>
            <a:cxn ang="0">
              <a:pos x="connsiteX7043" y="connsiteY7043"/>
            </a:cxn>
            <a:cxn ang="0">
              <a:pos x="connsiteX7044" y="connsiteY7044"/>
            </a:cxn>
            <a:cxn ang="0">
              <a:pos x="connsiteX7045" y="connsiteY7045"/>
            </a:cxn>
            <a:cxn ang="0">
              <a:pos x="connsiteX7046" y="connsiteY7046"/>
            </a:cxn>
            <a:cxn ang="0">
              <a:pos x="connsiteX7047" y="connsiteY7047"/>
            </a:cxn>
            <a:cxn ang="0">
              <a:pos x="connsiteX7048" y="connsiteY7048"/>
            </a:cxn>
            <a:cxn ang="0">
              <a:pos x="connsiteX7049" y="connsiteY7049"/>
            </a:cxn>
            <a:cxn ang="0">
              <a:pos x="connsiteX7050" y="connsiteY7050"/>
            </a:cxn>
            <a:cxn ang="0">
              <a:pos x="connsiteX7051" y="connsiteY7051"/>
            </a:cxn>
            <a:cxn ang="0">
              <a:pos x="connsiteX7052" y="connsiteY7052"/>
            </a:cxn>
            <a:cxn ang="0">
              <a:pos x="connsiteX7053" y="connsiteY7053"/>
            </a:cxn>
            <a:cxn ang="0">
              <a:pos x="connsiteX7054" y="connsiteY7054"/>
            </a:cxn>
            <a:cxn ang="0">
              <a:pos x="connsiteX7055" y="connsiteY7055"/>
            </a:cxn>
            <a:cxn ang="0">
              <a:pos x="connsiteX7056" y="connsiteY7056"/>
            </a:cxn>
            <a:cxn ang="0">
              <a:pos x="connsiteX7057" y="connsiteY7057"/>
            </a:cxn>
            <a:cxn ang="0">
              <a:pos x="connsiteX7058" y="connsiteY7058"/>
            </a:cxn>
            <a:cxn ang="0">
              <a:pos x="connsiteX7059" y="connsiteY7059"/>
            </a:cxn>
            <a:cxn ang="0">
              <a:pos x="connsiteX7060" y="connsiteY7060"/>
            </a:cxn>
            <a:cxn ang="0">
              <a:pos x="connsiteX7061" y="connsiteY7061"/>
            </a:cxn>
            <a:cxn ang="0">
              <a:pos x="connsiteX7062" y="connsiteY7062"/>
            </a:cxn>
            <a:cxn ang="0">
              <a:pos x="connsiteX7063" y="connsiteY7063"/>
            </a:cxn>
            <a:cxn ang="0">
              <a:pos x="connsiteX7064" y="connsiteY7064"/>
            </a:cxn>
            <a:cxn ang="0">
              <a:pos x="connsiteX7065" y="connsiteY7065"/>
            </a:cxn>
            <a:cxn ang="0">
              <a:pos x="connsiteX7066" y="connsiteY7066"/>
            </a:cxn>
            <a:cxn ang="0">
              <a:pos x="connsiteX7067" y="connsiteY7067"/>
            </a:cxn>
            <a:cxn ang="0">
              <a:pos x="connsiteX7068" y="connsiteY7068"/>
            </a:cxn>
            <a:cxn ang="0">
              <a:pos x="connsiteX7069" y="connsiteY7069"/>
            </a:cxn>
            <a:cxn ang="0">
              <a:pos x="connsiteX7070" y="connsiteY7070"/>
            </a:cxn>
            <a:cxn ang="0">
              <a:pos x="connsiteX7071" y="connsiteY7071"/>
            </a:cxn>
            <a:cxn ang="0">
              <a:pos x="connsiteX7072" y="connsiteY7072"/>
            </a:cxn>
            <a:cxn ang="0">
              <a:pos x="connsiteX7073" y="connsiteY7073"/>
            </a:cxn>
            <a:cxn ang="0">
              <a:pos x="connsiteX7074" y="connsiteY7074"/>
            </a:cxn>
            <a:cxn ang="0">
              <a:pos x="connsiteX7075" y="connsiteY7075"/>
            </a:cxn>
            <a:cxn ang="0">
              <a:pos x="connsiteX7076" y="connsiteY7076"/>
            </a:cxn>
            <a:cxn ang="0">
              <a:pos x="connsiteX7077" y="connsiteY7077"/>
            </a:cxn>
            <a:cxn ang="0">
              <a:pos x="connsiteX7078" y="connsiteY7078"/>
            </a:cxn>
            <a:cxn ang="0">
              <a:pos x="connsiteX7079" y="connsiteY7079"/>
            </a:cxn>
            <a:cxn ang="0">
              <a:pos x="connsiteX7080" y="connsiteY7080"/>
            </a:cxn>
            <a:cxn ang="0">
              <a:pos x="connsiteX7081" y="connsiteY7081"/>
            </a:cxn>
            <a:cxn ang="0">
              <a:pos x="connsiteX7082" y="connsiteY7082"/>
            </a:cxn>
            <a:cxn ang="0">
              <a:pos x="connsiteX7083" y="connsiteY7083"/>
            </a:cxn>
            <a:cxn ang="0">
              <a:pos x="connsiteX7084" y="connsiteY7084"/>
            </a:cxn>
            <a:cxn ang="0">
              <a:pos x="connsiteX7085" y="connsiteY7085"/>
            </a:cxn>
            <a:cxn ang="0">
              <a:pos x="connsiteX7086" y="connsiteY7086"/>
            </a:cxn>
            <a:cxn ang="0">
              <a:pos x="connsiteX7087" y="connsiteY7087"/>
            </a:cxn>
            <a:cxn ang="0">
              <a:pos x="connsiteX7088" y="connsiteY7088"/>
            </a:cxn>
            <a:cxn ang="0">
              <a:pos x="connsiteX7089" y="connsiteY7089"/>
            </a:cxn>
            <a:cxn ang="0">
              <a:pos x="connsiteX7090" y="connsiteY7090"/>
            </a:cxn>
            <a:cxn ang="0">
              <a:pos x="connsiteX7091" y="connsiteY7091"/>
            </a:cxn>
            <a:cxn ang="0">
              <a:pos x="connsiteX7092" y="connsiteY7092"/>
            </a:cxn>
            <a:cxn ang="0">
              <a:pos x="connsiteX7093" y="connsiteY7093"/>
            </a:cxn>
            <a:cxn ang="0">
              <a:pos x="connsiteX7094" y="connsiteY7094"/>
            </a:cxn>
            <a:cxn ang="0">
              <a:pos x="connsiteX7095" y="connsiteY7095"/>
            </a:cxn>
            <a:cxn ang="0">
              <a:pos x="connsiteX7096" y="connsiteY7096"/>
            </a:cxn>
            <a:cxn ang="0">
              <a:pos x="connsiteX7097" y="connsiteY7097"/>
            </a:cxn>
            <a:cxn ang="0">
              <a:pos x="connsiteX7098" y="connsiteY7098"/>
            </a:cxn>
            <a:cxn ang="0">
              <a:pos x="connsiteX7099" y="connsiteY7099"/>
            </a:cxn>
            <a:cxn ang="0">
              <a:pos x="connsiteX7100" y="connsiteY7100"/>
            </a:cxn>
            <a:cxn ang="0">
              <a:pos x="connsiteX7101" y="connsiteY7101"/>
            </a:cxn>
            <a:cxn ang="0">
              <a:pos x="connsiteX7102" y="connsiteY7102"/>
            </a:cxn>
            <a:cxn ang="0">
              <a:pos x="connsiteX7103" y="connsiteY7103"/>
            </a:cxn>
            <a:cxn ang="0">
              <a:pos x="connsiteX7104" y="connsiteY7104"/>
            </a:cxn>
            <a:cxn ang="0">
              <a:pos x="connsiteX7105" y="connsiteY7105"/>
            </a:cxn>
            <a:cxn ang="0">
              <a:pos x="connsiteX7106" y="connsiteY7106"/>
            </a:cxn>
            <a:cxn ang="0">
              <a:pos x="connsiteX7107" y="connsiteY7107"/>
            </a:cxn>
            <a:cxn ang="0">
              <a:pos x="connsiteX7108" y="connsiteY7108"/>
            </a:cxn>
            <a:cxn ang="0">
              <a:pos x="connsiteX7109" y="connsiteY7109"/>
            </a:cxn>
            <a:cxn ang="0">
              <a:pos x="connsiteX7110" y="connsiteY7110"/>
            </a:cxn>
            <a:cxn ang="0">
              <a:pos x="connsiteX7111" y="connsiteY7111"/>
            </a:cxn>
            <a:cxn ang="0">
              <a:pos x="connsiteX7112" y="connsiteY7112"/>
            </a:cxn>
            <a:cxn ang="0">
              <a:pos x="connsiteX7113" y="connsiteY7113"/>
            </a:cxn>
            <a:cxn ang="0">
              <a:pos x="connsiteX7114" y="connsiteY7114"/>
            </a:cxn>
            <a:cxn ang="0">
              <a:pos x="connsiteX7115" y="connsiteY7115"/>
            </a:cxn>
            <a:cxn ang="0">
              <a:pos x="connsiteX7116" y="connsiteY7116"/>
            </a:cxn>
            <a:cxn ang="0">
              <a:pos x="connsiteX7117" y="connsiteY7117"/>
            </a:cxn>
            <a:cxn ang="0">
              <a:pos x="connsiteX7118" y="connsiteY7118"/>
            </a:cxn>
            <a:cxn ang="0">
              <a:pos x="connsiteX7119" y="connsiteY7119"/>
            </a:cxn>
            <a:cxn ang="0">
              <a:pos x="connsiteX7120" y="connsiteY7120"/>
            </a:cxn>
            <a:cxn ang="0">
              <a:pos x="connsiteX7121" y="connsiteY7121"/>
            </a:cxn>
            <a:cxn ang="0">
              <a:pos x="connsiteX7122" y="connsiteY7122"/>
            </a:cxn>
            <a:cxn ang="0">
              <a:pos x="connsiteX7123" y="connsiteY7123"/>
            </a:cxn>
            <a:cxn ang="0">
              <a:pos x="connsiteX7124" y="connsiteY7124"/>
            </a:cxn>
            <a:cxn ang="0">
              <a:pos x="connsiteX7125" y="connsiteY7125"/>
            </a:cxn>
            <a:cxn ang="0">
              <a:pos x="connsiteX7126" y="connsiteY7126"/>
            </a:cxn>
            <a:cxn ang="0">
              <a:pos x="connsiteX7127" y="connsiteY7127"/>
            </a:cxn>
            <a:cxn ang="0">
              <a:pos x="connsiteX7128" y="connsiteY7128"/>
            </a:cxn>
            <a:cxn ang="0">
              <a:pos x="connsiteX7129" y="connsiteY7129"/>
            </a:cxn>
            <a:cxn ang="0">
              <a:pos x="connsiteX7130" y="connsiteY7130"/>
            </a:cxn>
            <a:cxn ang="0">
              <a:pos x="connsiteX7131" y="connsiteY7131"/>
            </a:cxn>
            <a:cxn ang="0">
              <a:pos x="connsiteX7132" y="connsiteY7132"/>
            </a:cxn>
            <a:cxn ang="0">
              <a:pos x="connsiteX7133" y="connsiteY7133"/>
            </a:cxn>
            <a:cxn ang="0">
              <a:pos x="connsiteX7134" y="connsiteY7134"/>
            </a:cxn>
            <a:cxn ang="0">
              <a:pos x="connsiteX7135" y="connsiteY7135"/>
            </a:cxn>
            <a:cxn ang="0">
              <a:pos x="connsiteX7136" y="connsiteY7136"/>
            </a:cxn>
            <a:cxn ang="0">
              <a:pos x="connsiteX7137" y="connsiteY7137"/>
            </a:cxn>
            <a:cxn ang="0">
              <a:pos x="connsiteX7138" y="connsiteY7138"/>
            </a:cxn>
            <a:cxn ang="0">
              <a:pos x="connsiteX7139" y="connsiteY7139"/>
            </a:cxn>
            <a:cxn ang="0">
              <a:pos x="connsiteX7140" y="connsiteY7140"/>
            </a:cxn>
            <a:cxn ang="0">
              <a:pos x="connsiteX7141" y="connsiteY7141"/>
            </a:cxn>
            <a:cxn ang="0">
              <a:pos x="connsiteX7142" y="connsiteY7142"/>
            </a:cxn>
            <a:cxn ang="0">
              <a:pos x="connsiteX7143" y="connsiteY7143"/>
            </a:cxn>
            <a:cxn ang="0">
              <a:pos x="connsiteX7144" y="connsiteY7144"/>
            </a:cxn>
            <a:cxn ang="0">
              <a:pos x="connsiteX7145" y="connsiteY7145"/>
            </a:cxn>
            <a:cxn ang="0">
              <a:pos x="connsiteX7146" y="connsiteY7146"/>
            </a:cxn>
            <a:cxn ang="0">
              <a:pos x="connsiteX7147" y="connsiteY7147"/>
            </a:cxn>
            <a:cxn ang="0">
              <a:pos x="connsiteX7148" y="connsiteY7148"/>
            </a:cxn>
            <a:cxn ang="0">
              <a:pos x="connsiteX7149" y="connsiteY7149"/>
            </a:cxn>
            <a:cxn ang="0">
              <a:pos x="connsiteX7150" y="connsiteY7150"/>
            </a:cxn>
            <a:cxn ang="0">
              <a:pos x="connsiteX7151" y="connsiteY7151"/>
            </a:cxn>
            <a:cxn ang="0">
              <a:pos x="connsiteX7152" y="connsiteY7152"/>
            </a:cxn>
            <a:cxn ang="0">
              <a:pos x="connsiteX7153" y="connsiteY7153"/>
            </a:cxn>
            <a:cxn ang="0">
              <a:pos x="connsiteX7154" y="connsiteY7154"/>
            </a:cxn>
            <a:cxn ang="0">
              <a:pos x="connsiteX7155" y="connsiteY7155"/>
            </a:cxn>
            <a:cxn ang="0">
              <a:pos x="connsiteX7156" y="connsiteY7156"/>
            </a:cxn>
            <a:cxn ang="0">
              <a:pos x="connsiteX7157" y="connsiteY7157"/>
            </a:cxn>
            <a:cxn ang="0">
              <a:pos x="connsiteX7158" y="connsiteY7158"/>
            </a:cxn>
            <a:cxn ang="0">
              <a:pos x="connsiteX7159" y="connsiteY7159"/>
            </a:cxn>
            <a:cxn ang="0">
              <a:pos x="connsiteX7160" y="connsiteY7160"/>
            </a:cxn>
            <a:cxn ang="0">
              <a:pos x="connsiteX7161" y="connsiteY7161"/>
            </a:cxn>
            <a:cxn ang="0">
              <a:pos x="connsiteX7162" y="connsiteY7162"/>
            </a:cxn>
            <a:cxn ang="0">
              <a:pos x="connsiteX7163" y="connsiteY7163"/>
            </a:cxn>
            <a:cxn ang="0">
              <a:pos x="connsiteX7164" y="connsiteY7164"/>
            </a:cxn>
            <a:cxn ang="0">
              <a:pos x="connsiteX7165" y="connsiteY7165"/>
            </a:cxn>
            <a:cxn ang="0">
              <a:pos x="connsiteX7166" y="connsiteY7166"/>
            </a:cxn>
            <a:cxn ang="0">
              <a:pos x="connsiteX7167" y="connsiteY7167"/>
            </a:cxn>
            <a:cxn ang="0">
              <a:pos x="connsiteX7168" y="connsiteY7168"/>
            </a:cxn>
            <a:cxn ang="0">
              <a:pos x="connsiteX7169" y="connsiteY7169"/>
            </a:cxn>
            <a:cxn ang="0">
              <a:pos x="connsiteX7170" y="connsiteY7170"/>
            </a:cxn>
            <a:cxn ang="0">
              <a:pos x="connsiteX7171" y="connsiteY7171"/>
            </a:cxn>
            <a:cxn ang="0">
              <a:pos x="connsiteX7172" y="connsiteY7172"/>
            </a:cxn>
            <a:cxn ang="0">
              <a:pos x="connsiteX7173" y="connsiteY7173"/>
            </a:cxn>
            <a:cxn ang="0">
              <a:pos x="connsiteX7174" y="connsiteY7174"/>
            </a:cxn>
            <a:cxn ang="0">
              <a:pos x="connsiteX7175" y="connsiteY7175"/>
            </a:cxn>
            <a:cxn ang="0">
              <a:pos x="connsiteX7176" y="connsiteY7176"/>
            </a:cxn>
            <a:cxn ang="0">
              <a:pos x="connsiteX7177" y="connsiteY7177"/>
            </a:cxn>
            <a:cxn ang="0">
              <a:pos x="connsiteX7178" y="connsiteY7178"/>
            </a:cxn>
            <a:cxn ang="0">
              <a:pos x="connsiteX7179" y="connsiteY7179"/>
            </a:cxn>
            <a:cxn ang="0">
              <a:pos x="connsiteX7180" y="connsiteY7180"/>
            </a:cxn>
            <a:cxn ang="0">
              <a:pos x="connsiteX7181" y="connsiteY7181"/>
            </a:cxn>
            <a:cxn ang="0">
              <a:pos x="connsiteX7182" y="connsiteY7182"/>
            </a:cxn>
            <a:cxn ang="0">
              <a:pos x="connsiteX7183" y="connsiteY7183"/>
            </a:cxn>
            <a:cxn ang="0">
              <a:pos x="connsiteX7184" y="connsiteY7184"/>
            </a:cxn>
            <a:cxn ang="0">
              <a:pos x="connsiteX7185" y="connsiteY7185"/>
            </a:cxn>
            <a:cxn ang="0">
              <a:pos x="connsiteX7186" y="connsiteY7186"/>
            </a:cxn>
            <a:cxn ang="0">
              <a:pos x="connsiteX7187" y="connsiteY7187"/>
            </a:cxn>
            <a:cxn ang="0">
              <a:pos x="connsiteX7188" y="connsiteY7188"/>
            </a:cxn>
            <a:cxn ang="0">
              <a:pos x="connsiteX7189" y="connsiteY7189"/>
            </a:cxn>
            <a:cxn ang="0">
              <a:pos x="connsiteX7190" y="connsiteY7190"/>
            </a:cxn>
            <a:cxn ang="0">
              <a:pos x="connsiteX7191" y="connsiteY7191"/>
            </a:cxn>
            <a:cxn ang="0">
              <a:pos x="connsiteX7192" y="connsiteY7192"/>
            </a:cxn>
            <a:cxn ang="0">
              <a:pos x="connsiteX7193" y="connsiteY7193"/>
            </a:cxn>
            <a:cxn ang="0">
              <a:pos x="connsiteX7194" y="connsiteY7194"/>
            </a:cxn>
            <a:cxn ang="0">
              <a:pos x="connsiteX7195" y="connsiteY7195"/>
            </a:cxn>
            <a:cxn ang="0">
              <a:pos x="connsiteX7196" y="connsiteY7196"/>
            </a:cxn>
            <a:cxn ang="0">
              <a:pos x="connsiteX7197" y="connsiteY7197"/>
            </a:cxn>
            <a:cxn ang="0">
              <a:pos x="connsiteX7198" y="connsiteY7198"/>
            </a:cxn>
            <a:cxn ang="0">
              <a:pos x="connsiteX7199" y="connsiteY7199"/>
            </a:cxn>
            <a:cxn ang="0">
              <a:pos x="connsiteX7200" y="connsiteY7200"/>
            </a:cxn>
            <a:cxn ang="0">
              <a:pos x="connsiteX7201" y="connsiteY7201"/>
            </a:cxn>
            <a:cxn ang="0">
              <a:pos x="connsiteX7202" y="connsiteY7202"/>
            </a:cxn>
            <a:cxn ang="0">
              <a:pos x="connsiteX7203" y="connsiteY7203"/>
            </a:cxn>
            <a:cxn ang="0">
              <a:pos x="connsiteX7204" y="connsiteY7204"/>
            </a:cxn>
            <a:cxn ang="0">
              <a:pos x="connsiteX7205" y="connsiteY7205"/>
            </a:cxn>
            <a:cxn ang="0">
              <a:pos x="connsiteX7206" y="connsiteY7206"/>
            </a:cxn>
            <a:cxn ang="0">
              <a:pos x="connsiteX7207" y="connsiteY7207"/>
            </a:cxn>
            <a:cxn ang="0">
              <a:pos x="connsiteX7208" y="connsiteY7208"/>
            </a:cxn>
            <a:cxn ang="0">
              <a:pos x="connsiteX7209" y="connsiteY7209"/>
            </a:cxn>
            <a:cxn ang="0">
              <a:pos x="connsiteX7210" y="connsiteY7210"/>
            </a:cxn>
            <a:cxn ang="0">
              <a:pos x="connsiteX7211" y="connsiteY7211"/>
            </a:cxn>
            <a:cxn ang="0">
              <a:pos x="connsiteX7212" y="connsiteY7212"/>
            </a:cxn>
            <a:cxn ang="0">
              <a:pos x="connsiteX7213" y="connsiteY7213"/>
            </a:cxn>
            <a:cxn ang="0">
              <a:pos x="connsiteX7214" y="connsiteY7214"/>
            </a:cxn>
            <a:cxn ang="0">
              <a:pos x="connsiteX7215" y="connsiteY7215"/>
            </a:cxn>
            <a:cxn ang="0">
              <a:pos x="connsiteX7216" y="connsiteY7216"/>
            </a:cxn>
            <a:cxn ang="0">
              <a:pos x="connsiteX7217" y="connsiteY7217"/>
            </a:cxn>
            <a:cxn ang="0">
              <a:pos x="connsiteX7218" y="connsiteY7218"/>
            </a:cxn>
            <a:cxn ang="0">
              <a:pos x="connsiteX7219" y="connsiteY7219"/>
            </a:cxn>
            <a:cxn ang="0">
              <a:pos x="connsiteX7220" y="connsiteY7220"/>
            </a:cxn>
            <a:cxn ang="0">
              <a:pos x="connsiteX7221" y="connsiteY7221"/>
            </a:cxn>
            <a:cxn ang="0">
              <a:pos x="connsiteX7222" y="connsiteY7222"/>
            </a:cxn>
            <a:cxn ang="0">
              <a:pos x="connsiteX7223" y="connsiteY7223"/>
            </a:cxn>
            <a:cxn ang="0">
              <a:pos x="connsiteX7224" y="connsiteY7224"/>
            </a:cxn>
            <a:cxn ang="0">
              <a:pos x="connsiteX7225" y="connsiteY7225"/>
            </a:cxn>
            <a:cxn ang="0">
              <a:pos x="connsiteX7226" y="connsiteY7226"/>
            </a:cxn>
            <a:cxn ang="0">
              <a:pos x="connsiteX7227" y="connsiteY7227"/>
            </a:cxn>
            <a:cxn ang="0">
              <a:pos x="connsiteX7228" y="connsiteY7228"/>
            </a:cxn>
            <a:cxn ang="0">
              <a:pos x="connsiteX7229" y="connsiteY7229"/>
            </a:cxn>
            <a:cxn ang="0">
              <a:pos x="connsiteX7230" y="connsiteY7230"/>
            </a:cxn>
            <a:cxn ang="0">
              <a:pos x="connsiteX7231" y="connsiteY7231"/>
            </a:cxn>
            <a:cxn ang="0">
              <a:pos x="connsiteX7232" y="connsiteY7232"/>
            </a:cxn>
            <a:cxn ang="0">
              <a:pos x="connsiteX7233" y="connsiteY7233"/>
            </a:cxn>
            <a:cxn ang="0">
              <a:pos x="connsiteX7234" y="connsiteY7234"/>
            </a:cxn>
            <a:cxn ang="0">
              <a:pos x="connsiteX7235" y="connsiteY7235"/>
            </a:cxn>
            <a:cxn ang="0">
              <a:pos x="connsiteX7236" y="connsiteY7236"/>
            </a:cxn>
            <a:cxn ang="0">
              <a:pos x="connsiteX7237" y="connsiteY7237"/>
            </a:cxn>
            <a:cxn ang="0">
              <a:pos x="connsiteX7238" y="connsiteY7238"/>
            </a:cxn>
            <a:cxn ang="0">
              <a:pos x="connsiteX7239" y="connsiteY7239"/>
            </a:cxn>
            <a:cxn ang="0">
              <a:pos x="connsiteX7240" y="connsiteY7240"/>
            </a:cxn>
            <a:cxn ang="0">
              <a:pos x="connsiteX7241" y="connsiteY7241"/>
            </a:cxn>
            <a:cxn ang="0">
              <a:pos x="connsiteX7242" y="connsiteY7242"/>
            </a:cxn>
            <a:cxn ang="0">
              <a:pos x="connsiteX7243" y="connsiteY7243"/>
            </a:cxn>
            <a:cxn ang="0">
              <a:pos x="connsiteX7244" y="connsiteY7244"/>
            </a:cxn>
            <a:cxn ang="0">
              <a:pos x="connsiteX7245" y="connsiteY7245"/>
            </a:cxn>
            <a:cxn ang="0">
              <a:pos x="connsiteX7246" y="connsiteY7246"/>
            </a:cxn>
            <a:cxn ang="0">
              <a:pos x="connsiteX7247" y="connsiteY7247"/>
            </a:cxn>
            <a:cxn ang="0">
              <a:pos x="connsiteX7248" y="connsiteY7248"/>
            </a:cxn>
            <a:cxn ang="0">
              <a:pos x="connsiteX7249" y="connsiteY7249"/>
            </a:cxn>
            <a:cxn ang="0">
              <a:pos x="connsiteX7250" y="connsiteY7250"/>
            </a:cxn>
            <a:cxn ang="0">
              <a:pos x="connsiteX7251" y="connsiteY7251"/>
            </a:cxn>
            <a:cxn ang="0">
              <a:pos x="connsiteX7252" y="connsiteY7252"/>
            </a:cxn>
            <a:cxn ang="0">
              <a:pos x="connsiteX7253" y="connsiteY7253"/>
            </a:cxn>
            <a:cxn ang="0">
              <a:pos x="connsiteX7254" y="connsiteY7254"/>
            </a:cxn>
            <a:cxn ang="0">
              <a:pos x="connsiteX7255" y="connsiteY7255"/>
            </a:cxn>
            <a:cxn ang="0">
              <a:pos x="connsiteX7256" y="connsiteY7256"/>
            </a:cxn>
            <a:cxn ang="0">
              <a:pos x="connsiteX7257" y="connsiteY7257"/>
            </a:cxn>
            <a:cxn ang="0">
              <a:pos x="connsiteX7258" y="connsiteY7258"/>
            </a:cxn>
            <a:cxn ang="0">
              <a:pos x="connsiteX7259" y="connsiteY7259"/>
            </a:cxn>
            <a:cxn ang="0">
              <a:pos x="connsiteX7260" y="connsiteY7260"/>
            </a:cxn>
            <a:cxn ang="0">
              <a:pos x="connsiteX7261" y="connsiteY7261"/>
            </a:cxn>
            <a:cxn ang="0">
              <a:pos x="connsiteX7262" y="connsiteY7262"/>
            </a:cxn>
            <a:cxn ang="0">
              <a:pos x="connsiteX7263" y="connsiteY7263"/>
            </a:cxn>
            <a:cxn ang="0">
              <a:pos x="connsiteX7264" y="connsiteY7264"/>
            </a:cxn>
            <a:cxn ang="0">
              <a:pos x="connsiteX7265" y="connsiteY7265"/>
            </a:cxn>
            <a:cxn ang="0">
              <a:pos x="connsiteX7266" y="connsiteY7266"/>
            </a:cxn>
            <a:cxn ang="0">
              <a:pos x="connsiteX7267" y="connsiteY7267"/>
            </a:cxn>
            <a:cxn ang="0">
              <a:pos x="connsiteX7268" y="connsiteY7268"/>
            </a:cxn>
            <a:cxn ang="0">
              <a:pos x="connsiteX7269" y="connsiteY7269"/>
            </a:cxn>
            <a:cxn ang="0">
              <a:pos x="connsiteX7270" y="connsiteY7270"/>
            </a:cxn>
            <a:cxn ang="0">
              <a:pos x="connsiteX7271" y="connsiteY7271"/>
            </a:cxn>
            <a:cxn ang="0">
              <a:pos x="connsiteX7272" y="connsiteY7272"/>
            </a:cxn>
            <a:cxn ang="0">
              <a:pos x="connsiteX7273" y="connsiteY7273"/>
            </a:cxn>
            <a:cxn ang="0">
              <a:pos x="connsiteX7274" y="connsiteY7274"/>
            </a:cxn>
            <a:cxn ang="0">
              <a:pos x="connsiteX7275" y="connsiteY7275"/>
            </a:cxn>
            <a:cxn ang="0">
              <a:pos x="connsiteX7276" y="connsiteY7276"/>
            </a:cxn>
            <a:cxn ang="0">
              <a:pos x="connsiteX7277" y="connsiteY7277"/>
            </a:cxn>
            <a:cxn ang="0">
              <a:pos x="connsiteX7278" y="connsiteY7278"/>
            </a:cxn>
            <a:cxn ang="0">
              <a:pos x="connsiteX7279" y="connsiteY7279"/>
            </a:cxn>
            <a:cxn ang="0">
              <a:pos x="connsiteX7280" y="connsiteY7280"/>
            </a:cxn>
            <a:cxn ang="0">
              <a:pos x="connsiteX7281" y="connsiteY7281"/>
            </a:cxn>
            <a:cxn ang="0">
              <a:pos x="connsiteX7282" y="connsiteY7282"/>
            </a:cxn>
            <a:cxn ang="0">
              <a:pos x="connsiteX7283" y="connsiteY7283"/>
            </a:cxn>
            <a:cxn ang="0">
              <a:pos x="connsiteX7284" y="connsiteY7284"/>
            </a:cxn>
            <a:cxn ang="0">
              <a:pos x="connsiteX7285" y="connsiteY7285"/>
            </a:cxn>
            <a:cxn ang="0">
              <a:pos x="connsiteX7286" y="connsiteY7286"/>
            </a:cxn>
            <a:cxn ang="0">
              <a:pos x="connsiteX7287" y="connsiteY7287"/>
            </a:cxn>
            <a:cxn ang="0">
              <a:pos x="connsiteX7288" y="connsiteY7288"/>
            </a:cxn>
            <a:cxn ang="0">
              <a:pos x="connsiteX7289" y="connsiteY7289"/>
            </a:cxn>
            <a:cxn ang="0">
              <a:pos x="connsiteX7290" y="connsiteY7290"/>
            </a:cxn>
            <a:cxn ang="0">
              <a:pos x="connsiteX7291" y="connsiteY7291"/>
            </a:cxn>
            <a:cxn ang="0">
              <a:pos x="connsiteX7292" y="connsiteY7292"/>
            </a:cxn>
            <a:cxn ang="0">
              <a:pos x="connsiteX7293" y="connsiteY7293"/>
            </a:cxn>
            <a:cxn ang="0">
              <a:pos x="connsiteX7294" y="connsiteY7294"/>
            </a:cxn>
            <a:cxn ang="0">
              <a:pos x="connsiteX7295" y="connsiteY7295"/>
            </a:cxn>
            <a:cxn ang="0">
              <a:pos x="connsiteX7296" y="connsiteY7296"/>
            </a:cxn>
            <a:cxn ang="0">
              <a:pos x="connsiteX7297" y="connsiteY7297"/>
            </a:cxn>
            <a:cxn ang="0">
              <a:pos x="connsiteX7298" y="connsiteY7298"/>
            </a:cxn>
            <a:cxn ang="0">
              <a:pos x="connsiteX7299" y="connsiteY7299"/>
            </a:cxn>
            <a:cxn ang="0">
              <a:pos x="connsiteX7300" y="connsiteY7300"/>
            </a:cxn>
            <a:cxn ang="0">
              <a:pos x="connsiteX7301" y="connsiteY7301"/>
            </a:cxn>
            <a:cxn ang="0">
              <a:pos x="connsiteX7302" y="connsiteY7302"/>
            </a:cxn>
            <a:cxn ang="0">
              <a:pos x="connsiteX7303" y="connsiteY7303"/>
            </a:cxn>
            <a:cxn ang="0">
              <a:pos x="connsiteX7304" y="connsiteY7304"/>
            </a:cxn>
            <a:cxn ang="0">
              <a:pos x="connsiteX7305" y="connsiteY7305"/>
            </a:cxn>
            <a:cxn ang="0">
              <a:pos x="connsiteX7306" y="connsiteY7306"/>
            </a:cxn>
            <a:cxn ang="0">
              <a:pos x="connsiteX7307" y="connsiteY7307"/>
            </a:cxn>
            <a:cxn ang="0">
              <a:pos x="connsiteX7308" y="connsiteY7308"/>
            </a:cxn>
            <a:cxn ang="0">
              <a:pos x="connsiteX7309" y="connsiteY7309"/>
            </a:cxn>
            <a:cxn ang="0">
              <a:pos x="connsiteX7310" y="connsiteY7310"/>
            </a:cxn>
            <a:cxn ang="0">
              <a:pos x="connsiteX7311" y="connsiteY7311"/>
            </a:cxn>
            <a:cxn ang="0">
              <a:pos x="connsiteX7312" y="connsiteY7312"/>
            </a:cxn>
            <a:cxn ang="0">
              <a:pos x="connsiteX7313" y="connsiteY7313"/>
            </a:cxn>
            <a:cxn ang="0">
              <a:pos x="connsiteX7314" y="connsiteY7314"/>
            </a:cxn>
            <a:cxn ang="0">
              <a:pos x="connsiteX7315" y="connsiteY7315"/>
            </a:cxn>
            <a:cxn ang="0">
              <a:pos x="connsiteX7316" y="connsiteY7316"/>
            </a:cxn>
            <a:cxn ang="0">
              <a:pos x="connsiteX7317" y="connsiteY7317"/>
            </a:cxn>
            <a:cxn ang="0">
              <a:pos x="connsiteX7318" y="connsiteY7318"/>
            </a:cxn>
            <a:cxn ang="0">
              <a:pos x="connsiteX7319" y="connsiteY7319"/>
            </a:cxn>
            <a:cxn ang="0">
              <a:pos x="connsiteX7320" y="connsiteY7320"/>
            </a:cxn>
            <a:cxn ang="0">
              <a:pos x="connsiteX7321" y="connsiteY7321"/>
            </a:cxn>
            <a:cxn ang="0">
              <a:pos x="connsiteX7322" y="connsiteY7322"/>
            </a:cxn>
            <a:cxn ang="0">
              <a:pos x="connsiteX7323" y="connsiteY7323"/>
            </a:cxn>
            <a:cxn ang="0">
              <a:pos x="connsiteX7324" y="connsiteY7324"/>
            </a:cxn>
            <a:cxn ang="0">
              <a:pos x="connsiteX7325" y="connsiteY7325"/>
            </a:cxn>
            <a:cxn ang="0">
              <a:pos x="connsiteX7326" y="connsiteY7326"/>
            </a:cxn>
            <a:cxn ang="0">
              <a:pos x="connsiteX7327" y="connsiteY7327"/>
            </a:cxn>
            <a:cxn ang="0">
              <a:pos x="connsiteX7328" y="connsiteY7328"/>
            </a:cxn>
            <a:cxn ang="0">
              <a:pos x="connsiteX7329" y="connsiteY7329"/>
            </a:cxn>
            <a:cxn ang="0">
              <a:pos x="connsiteX7330" y="connsiteY7330"/>
            </a:cxn>
            <a:cxn ang="0">
              <a:pos x="connsiteX7331" y="connsiteY7331"/>
            </a:cxn>
            <a:cxn ang="0">
              <a:pos x="connsiteX7332" y="connsiteY7332"/>
            </a:cxn>
            <a:cxn ang="0">
              <a:pos x="connsiteX7333" y="connsiteY7333"/>
            </a:cxn>
            <a:cxn ang="0">
              <a:pos x="connsiteX7334" y="connsiteY7334"/>
            </a:cxn>
            <a:cxn ang="0">
              <a:pos x="connsiteX7335" y="connsiteY7335"/>
            </a:cxn>
            <a:cxn ang="0">
              <a:pos x="connsiteX7336" y="connsiteY7336"/>
            </a:cxn>
            <a:cxn ang="0">
              <a:pos x="connsiteX7337" y="connsiteY7337"/>
            </a:cxn>
            <a:cxn ang="0">
              <a:pos x="connsiteX7338" y="connsiteY7338"/>
            </a:cxn>
            <a:cxn ang="0">
              <a:pos x="connsiteX7339" y="connsiteY7339"/>
            </a:cxn>
            <a:cxn ang="0">
              <a:pos x="connsiteX7340" y="connsiteY7340"/>
            </a:cxn>
            <a:cxn ang="0">
              <a:pos x="connsiteX7341" y="connsiteY7341"/>
            </a:cxn>
            <a:cxn ang="0">
              <a:pos x="connsiteX7342" y="connsiteY7342"/>
            </a:cxn>
            <a:cxn ang="0">
              <a:pos x="connsiteX7343" y="connsiteY7343"/>
            </a:cxn>
            <a:cxn ang="0">
              <a:pos x="connsiteX7344" y="connsiteY7344"/>
            </a:cxn>
            <a:cxn ang="0">
              <a:pos x="connsiteX7345" y="connsiteY7345"/>
            </a:cxn>
            <a:cxn ang="0">
              <a:pos x="connsiteX7346" y="connsiteY7346"/>
            </a:cxn>
            <a:cxn ang="0">
              <a:pos x="connsiteX7347" y="connsiteY7347"/>
            </a:cxn>
            <a:cxn ang="0">
              <a:pos x="connsiteX7348" y="connsiteY7348"/>
            </a:cxn>
            <a:cxn ang="0">
              <a:pos x="connsiteX7349" y="connsiteY7349"/>
            </a:cxn>
            <a:cxn ang="0">
              <a:pos x="connsiteX7350" y="connsiteY7350"/>
            </a:cxn>
            <a:cxn ang="0">
              <a:pos x="connsiteX7351" y="connsiteY7351"/>
            </a:cxn>
            <a:cxn ang="0">
              <a:pos x="connsiteX7352" y="connsiteY7352"/>
            </a:cxn>
            <a:cxn ang="0">
              <a:pos x="connsiteX7353" y="connsiteY7353"/>
            </a:cxn>
            <a:cxn ang="0">
              <a:pos x="connsiteX7354" y="connsiteY7354"/>
            </a:cxn>
            <a:cxn ang="0">
              <a:pos x="connsiteX7355" y="connsiteY7355"/>
            </a:cxn>
            <a:cxn ang="0">
              <a:pos x="connsiteX7356" y="connsiteY7356"/>
            </a:cxn>
            <a:cxn ang="0">
              <a:pos x="connsiteX7357" y="connsiteY7357"/>
            </a:cxn>
            <a:cxn ang="0">
              <a:pos x="connsiteX7358" y="connsiteY7358"/>
            </a:cxn>
            <a:cxn ang="0">
              <a:pos x="connsiteX7359" y="connsiteY7359"/>
            </a:cxn>
            <a:cxn ang="0">
              <a:pos x="connsiteX7360" y="connsiteY7360"/>
            </a:cxn>
            <a:cxn ang="0">
              <a:pos x="connsiteX7361" y="connsiteY7361"/>
            </a:cxn>
            <a:cxn ang="0">
              <a:pos x="connsiteX7362" y="connsiteY7362"/>
            </a:cxn>
            <a:cxn ang="0">
              <a:pos x="connsiteX7363" y="connsiteY7363"/>
            </a:cxn>
            <a:cxn ang="0">
              <a:pos x="connsiteX7364" y="connsiteY7364"/>
            </a:cxn>
            <a:cxn ang="0">
              <a:pos x="connsiteX7365" y="connsiteY7365"/>
            </a:cxn>
            <a:cxn ang="0">
              <a:pos x="connsiteX7366" y="connsiteY7366"/>
            </a:cxn>
            <a:cxn ang="0">
              <a:pos x="connsiteX7367" y="connsiteY7367"/>
            </a:cxn>
            <a:cxn ang="0">
              <a:pos x="connsiteX7368" y="connsiteY7368"/>
            </a:cxn>
            <a:cxn ang="0">
              <a:pos x="connsiteX7369" y="connsiteY7369"/>
            </a:cxn>
            <a:cxn ang="0">
              <a:pos x="connsiteX7370" y="connsiteY7370"/>
            </a:cxn>
            <a:cxn ang="0">
              <a:pos x="connsiteX7371" y="connsiteY7371"/>
            </a:cxn>
            <a:cxn ang="0">
              <a:pos x="connsiteX7372" y="connsiteY7372"/>
            </a:cxn>
            <a:cxn ang="0">
              <a:pos x="connsiteX7373" y="connsiteY7373"/>
            </a:cxn>
            <a:cxn ang="0">
              <a:pos x="connsiteX7374" y="connsiteY7374"/>
            </a:cxn>
            <a:cxn ang="0">
              <a:pos x="connsiteX7375" y="connsiteY7375"/>
            </a:cxn>
            <a:cxn ang="0">
              <a:pos x="connsiteX7376" y="connsiteY7376"/>
            </a:cxn>
            <a:cxn ang="0">
              <a:pos x="connsiteX7377" y="connsiteY7377"/>
            </a:cxn>
            <a:cxn ang="0">
              <a:pos x="connsiteX7378" y="connsiteY7378"/>
            </a:cxn>
            <a:cxn ang="0">
              <a:pos x="connsiteX7379" y="connsiteY7379"/>
            </a:cxn>
            <a:cxn ang="0">
              <a:pos x="connsiteX7380" y="connsiteY7380"/>
            </a:cxn>
            <a:cxn ang="0">
              <a:pos x="connsiteX7381" y="connsiteY7381"/>
            </a:cxn>
            <a:cxn ang="0">
              <a:pos x="connsiteX7382" y="connsiteY7382"/>
            </a:cxn>
            <a:cxn ang="0">
              <a:pos x="connsiteX7383" y="connsiteY7383"/>
            </a:cxn>
            <a:cxn ang="0">
              <a:pos x="connsiteX7384" y="connsiteY7384"/>
            </a:cxn>
            <a:cxn ang="0">
              <a:pos x="connsiteX7385" y="connsiteY7385"/>
            </a:cxn>
            <a:cxn ang="0">
              <a:pos x="connsiteX7386" y="connsiteY7386"/>
            </a:cxn>
            <a:cxn ang="0">
              <a:pos x="connsiteX7387" y="connsiteY7387"/>
            </a:cxn>
            <a:cxn ang="0">
              <a:pos x="connsiteX7388" y="connsiteY7388"/>
            </a:cxn>
            <a:cxn ang="0">
              <a:pos x="connsiteX7389" y="connsiteY7389"/>
            </a:cxn>
            <a:cxn ang="0">
              <a:pos x="connsiteX7390" y="connsiteY7390"/>
            </a:cxn>
            <a:cxn ang="0">
              <a:pos x="connsiteX7391" y="connsiteY7391"/>
            </a:cxn>
            <a:cxn ang="0">
              <a:pos x="connsiteX7392" y="connsiteY7392"/>
            </a:cxn>
            <a:cxn ang="0">
              <a:pos x="connsiteX7393" y="connsiteY7393"/>
            </a:cxn>
            <a:cxn ang="0">
              <a:pos x="connsiteX7394" y="connsiteY7394"/>
            </a:cxn>
            <a:cxn ang="0">
              <a:pos x="connsiteX7395" y="connsiteY7395"/>
            </a:cxn>
            <a:cxn ang="0">
              <a:pos x="connsiteX7396" y="connsiteY7396"/>
            </a:cxn>
            <a:cxn ang="0">
              <a:pos x="connsiteX7397" y="connsiteY7397"/>
            </a:cxn>
            <a:cxn ang="0">
              <a:pos x="connsiteX7398" y="connsiteY7398"/>
            </a:cxn>
            <a:cxn ang="0">
              <a:pos x="connsiteX7399" y="connsiteY7399"/>
            </a:cxn>
            <a:cxn ang="0">
              <a:pos x="connsiteX7400" y="connsiteY7400"/>
            </a:cxn>
            <a:cxn ang="0">
              <a:pos x="connsiteX7401" y="connsiteY7401"/>
            </a:cxn>
            <a:cxn ang="0">
              <a:pos x="connsiteX7402" y="connsiteY7402"/>
            </a:cxn>
            <a:cxn ang="0">
              <a:pos x="connsiteX7403" y="connsiteY7403"/>
            </a:cxn>
            <a:cxn ang="0">
              <a:pos x="connsiteX7404" y="connsiteY7404"/>
            </a:cxn>
            <a:cxn ang="0">
              <a:pos x="connsiteX7405" y="connsiteY7405"/>
            </a:cxn>
            <a:cxn ang="0">
              <a:pos x="connsiteX7406" y="connsiteY7406"/>
            </a:cxn>
            <a:cxn ang="0">
              <a:pos x="connsiteX7407" y="connsiteY7407"/>
            </a:cxn>
            <a:cxn ang="0">
              <a:pos x="connsiteX7408" y="connsiteY7408"/>
            </a:cxn>
            <a:cxn ang="0">
              <a:pos x="connsiteX7409" y="connsiteY7409"/>
            </a:cxn>
            <a:cxn ang="0">
              <a:pos x="connsiteX7410" y="connsiteY7410"/>
            </a:cxn>
            <a:cxn ang="0">
              <a:pos x="connsiteX7411" y="connsiteY7411"/>
            </a:cxn>
            <a:cxn ang="0">
              <a:pos x="connsiteX7412" y="connsiteY7412"/>
            </a:cxn>
            <a:cxn ang="0">
              <a:pos x="connsiteX7413" y="connsiteY7413"/>
            </a:cxn>
            <a:cxn ang="0">
              <a:pos x="connsiteX7414" y="connsiteY7414"/>
            </a:cxn>
            <a:cxn ang="0">
              <a:pos x="connsiteX7415" y="connsiteY7415"/>
            </a:cxn>
            <a:cxn ang="0">
              <a:pos x="connsiteX7416" y="connsiteY7416"/>
            </a:cxn>
            <a:cxn ang="0">
              <a:pos x="connsiteX7417" y="connsiteY7417"/>
            </a:cxn>
            <a:cxn ang="0">
              <a:pos x="connsiteX7418" y="connsiteY7418"/>
            </a:cxn>
            <a:cxn ang="0">
              <a:pos x="connsiteX7419" y="connsiteY7419"/>
            </a:cxn>
            <a:cxn ang="0">
              <a:pos x="connsiteX7420" y="connsiteY7420"/>
            </a:cxn>
            <a:cxn ang="0">
              <a:pos x="connsiteX7421" y="connsiteY7421"/>
            </a:cxn>
            <a:cxn ang="0">
              <a:pos x="connsiteX7422" y="connsiteY7422"/>
            </a:cxn>
            <a:cxn ang="0">
              <a:pos x="connsiteX7423" y="connsiteY7423"/>
            </a:cxn>
            <a:cxn ang="0">
              <a:pos x="connsiteX7424" y="connsiteY7424"/>
            </a:cxn>
            <a:cxn ang="0">
              <a:pos x="connsiteX7425" y="connsiteY7425"/>
            </a:cxn>
            <a:cxn ang="0">
              <a:pos x="connsiteX7426" y="connsiteY7426"/>
            </a:cxn>
            <a:cxn ang="0">
              <a:pos x="connsiteX7427" y="connsiteY7427"/>
            </a:cxn>
            <a:cxn ang="0">
              <a:pos x="connsiteX7428" y="connsiteY7428"/>
            </a:cxn>
            <a:cxn ang="0">
              <a:pos x="connsiteX7429" y="connsiteY7429"/>
            </a:cxn>
            <a:cxn ang="0">
              <a:pos x="connsiteX7430" y="connsiteY7430"/>
            </a:cxn>
            <a:cxn ang="0">
              <a:pos x="connsiteX7431" y="connsiteY7431"/>
            </a:cxn>
            <a:cxn ang="0">
              <a:pos x="connsiteX7432" y="connsiteY7432"/>
            </a:cxn>
            <a:cxn ang="0">
              <a:pos x="connsiteX7433" y="connsiteY7433"/>
            </a:cxn>
            <a:cxn ang="0">
              <a:pos x="connsiteX7434" y="connsiteY7434"/>
            </a:cxn>
            <a:cxn ang="0">
              <a:pos x="connsiteX7435" y="connsiteY7435"/>
            </a:cxn>
            <a:cxn ang="0">
              <a:pos x="connsiteX7436" y="connsiteY7436"/>
            </a:cxn>
            <a:cxn ang="0">
              <a:pos x="connsiteX7437" y="connsiteY7437"/>
            </a:cxn>
            <a:cxn ang="0">
              <a:pos x="connsiteX7438" y="connsiteY7438"/>
            </a:cxn>
            <a:cxn ang="0">
              <a:pos x="connsiteX7439" y="connsiteY7439"/>
            </a:cxn>
            <a:cxn ang="0">
              <a:pos x="connsiteX7440" y="connsiteY7440"/>
            </a:cxn>
            <a:cxn ang="0">
              <a:pos x="connsiteX7441" y="connsiteY7441"/>
            </a:cxn>
            <a:cxn ang="0">
              <a:pos x="connsiteX7442" y="connsiteY7442"/>
            </a:cxn>
            <a:cxn ang="0">
              <a:pos x="connsiteX7443" y="connsiteY7443"/>
            </a:cxn>
            <a:cxn ang="0">
              <a:pos x="connsiteX7444" y="connsiteY7444"/>
            </a:cxn>
            <a:cxn ang="0">
              <a:pos x="connsiteX7445" y="connsiteY7445"/>
            </a:cxn>
            <a:cxn ang="0">
              <a:pos x="connsiteX7446" y="connsiteY7446"/>
            </a:cxn>
            <a:cxn ang="0">
              <a:pos x="connsiteX7447" y="connsiteY7447"/>
            </a:cxn>
            <a:cxn ang="0">
              <a:pos x="connsiteX7448" y="connsiteY7448"/>
            </a:cxn>
            <a:cxn ang="0">
              <a:pos x="connsiteX7449" y="connsiteY7449"/>
            </a:cxn>
            <a:cxn ang="0">
              <a:pos x="connsiteX7450" y="connsiteY7450"/>
            </a:cxn>
            <a:cxn ang="0">
              <a:pos x="connsiteX7451" y="connsiteY7451"/>
            </a:cxn>
            <a:cxn ang="0">
              <a:pos x="connsiteX7452" y="connsiteY7452"/>
            </a:cxn>
            <a:cxn ang="0">
              <a:pos x="connsiteX7453" y="connsiteY7453"/>
            </a:cxn>
            <a:cxn ang="0">
              <a:pos x="connsiteX7454" y="connsiteY7454"/>
            </a:cxn>
            <a:cxn ang="0">
              <a:pos x="connsiteX7455" y="connsiteY7455"/>
            </a:cxn>
            <a:cxn ang="0">
              <a:pos x="connsiteX7456" y="connsiteY7456"/>
            </a:cxn>
            <a:cxn ang="0">
              <a:pos x="connsiteX7457" y="connsiteY7457"/>
            </a:cxn>
            <a:cxn ang="0">
              <a:pos x="connsiteX7458" y="connsiteY7458"/>
            </a:cxn>
            <a:cxn ang="0">
              <a:pos x="connsiteX7459" y="connsiteY7459"/>
            </a:cxn>
            <a:cxn ang="0">
              <a:pos x="connsiteX7460" y="connsiteY7460"/>
            </a:cxn>
            <a:cxn ang="0">
              <a:pos x="connsiteX7461" y="connsiteY7461"/>
            </a:cxn>
            <a:cxn ang="0">
              <a:pos x="connsiteX7462" y="connsiteY7462"/>
            </a:cxn>
            <a:cxn ang="0">
              <a:pos x="connsiteX7463" y="connsiteY7463"/>
            </a:cxn>
            <a:cxn ang="0">
              <a:pos x="connsiteX7464" y="connsiteY7464"/>
            </a:cxn>
            <a:cxn ang="0">
              <a:pos x="connsiteX7465" y="connsiteY7465"/>
            </a:cxn>
            <a:cxn ang="0">
              <a:pos x="connsiteX7466" y="connsiteY7466"/>
            </a:cxn>
            <a:cxn ang="0">
              <a:pos x="connsiteX7467" y="connsiteY7467"/>
            </a:cxn>
            <a:cxn ang="0">
              <a:pos x="connsiteX7468" y="connsiteY7468"/>
            </a:cxn>
            <a:cxn ang="0">
              <a:pos x="connsiteX7469" y="connsiteY7469"/>
            </a:cxn>
            <a:cxn ang="0">
              <a:pos x="connsiteX7470" y="connsiteY7470"/>
            </a:cxn>
            <a:cxn ang="0">
              <a:pos x="connsiteX7471" y="connsiteY7471"/>
            </a:cxn>
            <a:cxn ang="0">
              <a:pos x="connsiteX7472" y="connsiteY7472"/>
            </a:cxn>
            <a:cxn ang="0">
              <a:pos x="connsiteX7473" y="connsiteY7473"/>
            </a:cxn>
            <a:cxn ang="0">
              <a:pos x="connsiteX7474" y="connsiteY7474"/>
            </a:cxn>
            <a:cxn ang="0">
              <a:pos x="connsiteX7475" y="connsiteY7475"/>
            </a:cxn>
            <a:cxn ang="0">
              <a:pos x="connsiteX7476" y="connsiteY7476"/>
            </a:cxn>
            <a:cxn ang="0">
              <a:pos x="connsiteX7477" y="connsiteY7477"/>
            </a:cxn>
            <a:cxn ang="0">
              <a:pos x="connsiteX7478" y="connsiteY7478"/>
            </a:cxn>
            <a:cxn ang="0">
              <a:pos x="connsiteX7479" y="connsiteY7479"/>
            </a:cxn>
            <a:cxn ang="0">
              <a:pos x="connsiteX7480" y="connsiteY7480"/>
            </a:cxn>
            <a:cxn ang="0">
              <a:pos x="connsiteX7481" y="connsiteY7481"/>
            </a:cxn>
            <a:cxn ang="0">
              <a:pos x="connsiteX7482" y="connsiteY7482"/>
            </a:cxn>
            <a:cxn ang="0">
              <a:pos x="connsiteX7483" y="connsiteY7483"/>
            </a:cxn>
            <a:cxn ang="0">
              <a:pos x="connsiteX7484" y="connsiteY7484"/>
            </a:cxn>
            <a:cxn ang="0">
              <a:pos x="connsiteX7485" y="connsiteY7485"/>
            </a:cxn>
            <a:cxn ang="0">
              <a:pos x="connsiteX7486" y="connsiteY7486"/>
            </a:cxn>
            <a:cxn ang="0">
              <a:pos x="connsiteX7487" y="connsiteY7487"/>
            </a:cxn>
            <a:cxn ang="0">
              <a:pos x="connsiteX7488" y="connsiteY7488"/>
            </a:cxn>
            <a:cxn ang="0">
              <a:pos x="connsiteX7489" y="connsiteY7489"/>
            </a:cxn>
            <a:cxn ang="0">
              <a:pos x="connsiteX7490" y="connsiteY7490"/>
            </a:cxn>
            <a:cxn ang="0">
              <a:pos x="connsiteX7491" y="connsiteY7491"/>
            </a:cxn>
            <a:cxn ang="0">
              <a:pos x="connsiteX7492" y="connsiteY7492"/>
            </a:cxn>
            <a:cxn ang="0">
              <a:pos x="connsiteX7493" y="connsiteY7493"/>
            </a:cxn>
            <a:cxn ang="0">
              <a:pos x="connsiteX7494" y="connsiteY7494"/>
            </a:cxn>
            <a:cxn ang="0">
              <a:pos x="connsiteX7495" y="connsiteY7495"/>
            </a:cxn>
            <a:cxn ang="0">
              <a:pos x="connsiteX7496" y="connsiteY7496"/>
            </a:cxn>
            <a:cxn ang="0">
              <a:pos x="connsiteX7497" y="connsiteY7497"/>
            </a:cxn>
            <a:cxn ang="0">
              <a:pos x="connsiteX7498" y="connsiteY7498"/>
            </a:cxn>
            <a:cxn ang="0">
              <a:pos x="connsiteX7499" y="connsiteY7499"/>
            </a:cxn>
            <a:cxn ang="0">
              <a:pos x="connsiteX7500" y="connsiteY7500"/>
            </a:cxn>
            <a:cxn ang="0">
              <a:pos x="connsiteX7501" y="connsiteY7501"/>
            </a:cxn>
            <a:cxn ang="0">
              <a:pos x="connsiteX7502" y="connsiteY7502"/>
            </a:cxn>
            <a:cxn ang="0">
              <a:pos x="connsiteX7503" y="connsiteY7503"/>
            </a:cxn>
            <a:cxn ang="0">
              <a:pos x="connsiteX7504" y="connsiteY7504"/>
            </a:cxn>
            <a:cxn ang="0">
              <a:pos x="connsiteX7505" y="connsiteY7505"/>
            </a:cxn>
            <a:cxn ang="0">
              <a:pos x="connsiteX7506" y="connsiteY7506"/>
            </a:cxn>
            <a:cxn ang="0">
              <a:pos x="connsiteX7507" y="connsiteY7507"/>
            </a:cxn>
            <a:cxn ang="0">
              <a:pos x="connsiteX7508" y="connsiteY7508"/>
            </a:cxn>
            <a:cxn ang="0">
              <a:pos x="connsiteX7509" y="connsiteY7509"/>
            </a:cxn>
            <a:cxn ang="0">
              <a:pos x="connsiteX7510" y="connsiteY7510"/>
            </a:cxn>
            <a:cxn ang="0">
              <a:pos x="connsiteX7511" y="connsiteY7511"/>
            </a:cxn>
            <a:cxn ang="0">
              <a:pos x="connsiteX7512" y="connsiteY7512"/>
            </a:cxn>
            <a:cxn ang="0">
              <a:pos x="connsiteX7513" y="connsiteY7513"/>
            </a:cxn>
            <a:cxn ang="0">
              <a:pos x="connsiteX7514" y="connsiteY7514"/>
            </a:cxn>
            <a:cxn ang="0">
              <a:pos x="connsiteX7515" y="connsiteY7515"/>
            </a:cxn>
            <a:cxn ang="0">
              <a:pos x="connsiteX7516" y="connsiteY7516"/>
            </a:cxn>
            <a:cxn ang="0">
              <a:pos x="connsiteX7517" y="connsiteY7517"/>
            </a:cxn>
            <a:cxn ang="0">
              <a:pos x="connsiteX7518" y="connsiteY7518"/>
            </a:cxn>
            <a:cxn ang="0">
              <a:pos x="connsiteX7519" y="connsiteY7519"/>
            </a:cxn>
            <a:cxn ang="0">
              <a:pos x="connsiteX7520" y="connsiteY7520"/>
            </a:cxn>
            <a:cxn ang="0">
              <a:pos x="connsiteX7521" y="connsiteY7521"/>
            </a:cxn>
            <a:cxn ang="0">
              <a:pos x="connsiteX7522" y="connsiteY7522"/>
            </a:cxn>
            <a:cxn ang="0">
              <a:pos x="connsiteX7523" y="connsiteY7523"/>
            </a:cxn>
            <a:cxn ang="0">
              <a:pos x="connsiteX7524" y="connsiteY7524"/>
            </a:cxn>
            <a:cxn ang="0">
              <a:pos x="connsiteX7525" y="connsiteY7525"/>
            </a:cxn>
            <a:cxn ang="0">
              <a:pos x="connsiteX7526" y="connsiteY7526"/>
            </a:cxn>
            <a:cxn ang="0">
              <a:pos x="connsiteX7527" y="connsiteY7527"/>
            </a:cxn>
            <a:cxn ang="0">
              <a:pos x="connsiteX7528" y="connsiteY7528"/>
            </a:cxn>
            <a:cxn ang="0">
              <a:pos x="connsiteX7529" y="connsiteY7529"/>
            </a:cxn>
            <a:cxn ang="0">
              <a:pos x="connsiteX7530" y="connsiteY7530"/>
            </a:cxn>
            <a:cxn ang="0">
              <a:pos x="connsiteX7531" y="connsiteY7531"/>
            </a:cxn>
            <a:cxn ang="0">
              <a:pos x="connsiteX7532" y="connsiteY7532"/>
            </a:cxn>
            <a:cxn ang="0">
              <a:pos x="connsiteX7533" y="connsiteY7533"/>
            </a:cxn>
            <a:cxn ang="0">
              <a:pos x="connsiteX7534" y="connsiteY7534"/>
            </a:cxn>
            <a:cxn ang="0">
              <a:pos x="connsiteX7535" y="connsiteY7535"/>
            </a:cxn>
            <a:cxn ang="0">
              <a:pos x="connsiteX7536" y="connsiteY7536"/>
            </a:cxn>
            <a:cxn ang="0">
              <a:pos x="connsiteX7537" y="connsiteY7537"/>
            </a:cxn>
            <a:cxn ang="0">
              <a:pos x="connsiteX7538" y="connsiteY7538"/>
            </a:cxn>
            <a:cxn ang="0">
              <a:pos x="connsiteX7539" y="connsiteY7539"/>
            </a:cxn>
            <a:cxn ang="0">
              <a:pos x="connsiteX7540" y="connsiteY7540"/>
            </a:cxn>
            <a:cxn ang="0">
              <a:pos x="connsiteX7541" y="connsiteY7541"/>
            </a:cxn>
            <a:cxn ang="0">
              <a:pos x="connsiteX7542" y="connsiteY7542"/>
            </a:cxn>
            <a:cxn ang="0">
              <a:pos x="connsiteX7543" y="connsiteY7543"/>
            </a:cxn>
            <a:cxn ang="0">
              <a:pos x="connsiteX7544" y="connsiteY7544"/>
            </a:cxn>
            <a:cxn ang="0">
              <a:pos x="connsiteX7545" y="connsiteY7545"/>
            </a:cxn>
            <a:cxn ang="0">
              <a:pos x="connsiteX7546" y="connsiteY7546"/>
            </a:cxn>
            <a:cxn ang="0">
              <a:pos x="connsiteX7547" y="connsiteY7547"/>
            </a:cxn>
            <a:cxn ang="0">
              <a:pos x="connsiteX7548" y="connsiteY7548"/>
            </a:cxn>
            <a:cxn ang="0">
              <a:pos x="connsiteX7549" y="connsiteY7549"/>
            </a:cxn>
            <a:cxn ang="0">
              <a:pos x="connsiteX7550" y="connsiteY7550"/>
            </a:cxn>
            <a:cxn ang="0">
              <a:pos x="connsiteX7551" y="connsiteY7551"/>
            </a:cxn>
            <a:cxn ang="0">
              <a:pos x="connsiteX7552" y="connsiteY7552"/>
            </a:cxn>
            <a:cxn ang="0">
              <a:pos x="connsiteX7553" y="connsiteY7553"/>
            </a:cxn>
            <a:cxn ang="0">
              <a:pos x="connsiteX7554" y="connsiteY7554"/>
            </a:cxn>
            <a:cxn ang="0">
              <a:pos x="connsiteX7555" y="connsiteY7555"/>
            </a:cxn>
            <a:cxn ang="0">
              <a:pos x="connsiteX7556" y="connsiteY7556"/>
            </a:cxn>
            <a:cxn ang="0">
              <a:pos x="connsiteX7557" y="connsiteY7557"/>
            </a:cxn>
            <a:cxn ang="0">
              <a:pos x="connsiteX7558" y="connsiteY7558"/>
            </a:cxn>
            <a:cxn ang="0">
              <a:pos x="connsiteX7559" y="connsiteY7559"/>
            </a:cxn>
            <a:cxn ang="0">
              <a:pos x="connsiteX7560" y="connsiteY7560"/>
            </a:cxn>
            <a:cxn ang="0">
              <a:pos x="connsiteX7561" y="connsiteY7561"/>
            </a:cxn>
            <a:cxn ang="0">
              <a:pos x="connsiteX7562" y="connsiteY7562"/>
            </a:cxn>
            <a:cxn ang="0">
              <a:pos x="connsiteX7563" y="connsiteY7563"/>
            </a:cxn>
            <a:cxn ang="0">
              <a:pos x="connsiteX7564" y="connsiteY7564"/>
            </a:cxn>
            <a:cxn ang="0">
              <a:pos x="connsiteX7565" y="connsiteY7565"/>
            </a:cxn>
            <a:cxn ang="0">
              <a:pos x="connsiteX7566" y="connsiteY7566"/>
            </a:cxn>
            <a:cxn ang="0">
              <a:pos x="connsiteX7567" y="connsiteY7567"/>
            </a:cxn>
            <a:cxn ang="0">
              <a:pos x="connsiteX7568" y="connsiteY7568"/>
            </a:cxn>
            <a:cxn ang="0">
              <a:pos x="connsiteX7569" y="connsiteY7569"/>
            </a:cxn>
            <a:cxn ang="0">
              <a:pos x="connsiteX7570" y="connsiteY7570"/>
            </a:cxn>
            <a:cxn ang="0">
              <a:pos x="connsiteX7571" y="connsiteY7571"/>
            </a:cxn>
            <a:cxn ang="0">
              <a:pos x="connsiteX7572" y="connsiteY7572"/>
            </a:cxn>
            <a:cxn ang="0">
              <a:pos x="connsiteX7573" y="connsiteY7573"/>
            </a:cxn>
            <a:cxn ang="0">
              <a:pos x="connsiteX7574" y="connsiteY7574"/>
            </a:cxn>
            <a:cxn ang="0">
              <a:pos x="connsiteX7575" y="connsiteY7575"/>
            </a:cxn>
            <a:cxn ang="0">
              <a:pos x="connsiteX7576" y="connsiteY7576"/>
            </a:cxn>
            <a:cxn ang="0">
              <a:pos x="connsiteX7577" y="connsiteY7577"/>
            </a:cxn>
            <a:cxn ang="0">
              <a:pos x="connsiteX7578" y="connsiteY7578"/>
            </a:cxn>
            <a:cxn ang="0">
              <a:pos x="connsiteX7579" y="connsiteY7579"/>
            </a:cxn>
            <a:cxn ang="0">
              <a:pos x="connsiteX7580" y="connsiteY7580"/>
            </a:cxn>
            <a:cxn ang="0">
              <a:pos x="connsiteX7581" y="connsiteY7581"/>
            </a:cxn>
            <a:cxn ang="0">
              <a:pos x="connsiteX7582" y="connsiteY7582"/>
            </a:cxn>
            <a:cxn ang="0">
              <a:pos x="connsiteX7583" y="connsiteY7583"/>
            </a:cxn>
            <a:cxn ang="0">
              <a:pos x="connsiteX7584" y="connsiteY7584"/>
            </a:cxn>
            <a:cxn ang="0">
              <a:pos x="connsiteX7585" y="connsiteY7585"/>
            </a:cxn>
            <a:cxn ang="0">
              <a:pos x="connsiteX7586" y="connsiteY7586"/>
            </a:cxn>
            <a:cxn ang="0">
              <a:pos x="connsiteX7587" y="connsiteY7587"/>
            </a:cxn>
            <a:cxn ang="0">
              <a:pos x="connsiteX7588" y="connsiteY7588"/>
            </a:cxn>
            <a:cxn ang="0">
              <a:pos x="connsiteX7589" y="connsiteY7589"/>
            </a:cxn>
            <a:cxn ang="0">
              <a:pos x="connsiteX7590" y="connsiteY7590"/>
            </a:cxn>
            <a:cxn ang="0">
              <a:pos x="connsiteX7591" y="connsiteY7591"/>
            </a:cxn>
            <a:cxn ang="0">
              <a:pos x="connsiteX7592" y="connsiteY7592"/>
            </a:cxn>
            <a:cxn ang="0">
              <a:pos x="connsiteX7593" y="connsiteY7593"/>
            </a:cxn>
            <a:cxn ang="0">
              <a:pos x="connsiteX7594" y="connsiteY7594"/>
            </a:cxn>
            <a:cxn ang="0">
              <a:pos x="connsiteX7595" y="connsiteY7595"/>
            </a:cxn>
            <a:cxn ang="0">
              <a:pos x="connsiteX7596" y="connsiteY7596"/>
            </a:cxn>
            <a:cxn ang="0">
              <a:pos x="connsiteX7597" y="connsiteY7597"/>
            </a:cxn>
            <a:cxn ang="0">
              <a:pos x="connsiteX7598" y="connsiteY7598"/>
            </a:cxn>
            <a:cxn ang="0">
              <a:pos x="connsiteX7599" y="connsiteY7599"/>
            </a:cxn>
            <a:cxn ang="0">
              <a:pos x="connsiteX7600" y="connsiteY7600"/>
            </a:cxn>
            <a:cxn ang="0">
              <a:pos x="connsiteX7601" y="connsiteY7601"/>
            </a:cxn>
            <a:cxn ang="0">
              <a:pos x="connsiteX7602" y="connsiteY7602"/>
            </a:cxn>
            <a:cxn ang="0">
              <a:pos x="connsiteX7603" y="connsiteY7603"/>
            </a:cxn>
            <a:cxn ang="0">
              <a:pos x="connsiteX7604" y="connsiteY7604"/>
            </a:cxn>
            <a:cxn ang="0">
              <a:pos x="connsiteX7605" y="connsiteY7605"/>
            </a:cxn>
            <a:cxn ang="0">
              <a:pos x="connsiteX7606" y="connsiteY7606"/>
            </a:cxn>
            <a:cxn ang="0">
              <a:pos x="connsiteX7607" y="connsiteY7607"/>
            </a:cxn>
            <a:cxn ang="0">
              <a:pos x="connsiteX7608" y="connsiteY7608"/>
            </a:cxn>
            <a:cxn ang="0">
              <a:pos x="connsiteX7609" y="connsiteY7609"/>
            </a:cxn>
            <a:cxn ang="0">
              <a:pos x="connsiteX7610" y="connsiteY7610"/>
            </a:cxn>
            <a:cxn ang="0">
              <a:pos x="connsiteX7611" y="connsiteY7611"/>
            </a:cxn>
            <a:cxn ang="0">
              <a:pos x="connsiteX7612" y="connsiteY7612"/>
            </a:cxn>
            <a:cxn ang="0">
              <a:pos x="connsiteX7613" y="connsiteY7613"/>
            </a:cxn>
            <a:cxn ang="0">
              <a:pos x="connsiteX7614" y="connsiteY7614"/>
            </a:cxn>
            <a:cxn ang="0">
              <a:pos x="connsiteX7615" y="connsiteY7615"/>
            </a:cxn>
            <a:cxn ang="0">
              <a:pos x="connsiteX7616" y="connsiteY7616"/>
            </a:cxn>
            <a:cxn ang="0">
              <a:pos x="connsiteX7617" y="connsiteY7617"/>
            </a:cxn>
            <a:cxn ang="0">
              <a:pos x="connsiteX7618" y="connsiteY7618"/>
            </a:cxn>
            <a:cxn ang="0">
              <a:pos x="connsiteX7619" y="connsiteY7619"/>
            </a:cxn>
            <a:cxn ang="0">
              <a:pos x="connsiteX7620" y="connsiteY7620"/>
            </a:cxn>
            <a:cxn ang="0">
              <a:pos x="connsiteX7621" y="connsiteY7621"/>
            </a:cxn>
            <a:cxn ang="0">
              <a:pos x="connsiteX7622" y="connsiteY7622"/>
            </a:cxn>
            <a:cxn ang="0">
              <a:pos x="connsiteX7623" y="connsiteY7623"/>
            </a:cxn>
            <a:cxn ang="0">
              <a:pos x="connsiteX7624" y="connsiteY7624"/>
            </a:cxn>
            <a:cxn ang="0">
              <a:pos x="connsiteX7625" y="connsiteY7625"/>
            </a:cxn>
            <a:cxn ang="0">
              <a:pos x="connsiteX7626" y="connsiteY7626"/>
            </a:cxn>
            <a:cxn ang="0">
              <a:pos x="connsiteX7627" y="connsiteY7627"/>
            </a:cxn>
            <a:cxn ang="0">
              <a:pos x="connsiteX7628" y="connsiteY7628"/>
            </a:cxn>
            <a:cxn ang="0">
              <a:pos x="connsiteX7629" y="connsiteY7629"/>
            </a:cxn>
            <a:cxn ang="0">
              <a:pos x="connsiteX7630" y="connsiteY7630"/>
            </a:cxn>
            <a:cxn ang="0">
              <a:pos x="connsiteX7631" y="connsiteY7631"/>
            </a:cxn>
            <a:cxn ang="0">
              <a:pos x="connsiteX7632" y="connsiteY7632"/>
            </a:cxn>
            <a:cxn ang="0">
              <a:pos x="connsiteX7633" y="connsiteY7633"/>
            </a:cxn>
            <a:cxn ang="0">
              <a:pos x="connsiteX7634" y="connsiteY7634"/>
            </a:cxn>
            <a:cxn ang="0">
              <a:pos x="connsiteX7635" y="connsiteY7635"/>
            </a:cxn>
            <a:cxn ang="0">
              <a:pos x="connsiteX7636" y="connsiteY7636"/>
            </a:cxn>
            <a:cxn ang="0">
              <a:pos x="connsiteX7637" y="connsiteY7637"/>
            </a:cxn>
            <a:cxn ang="0">
              <a:pos x="connsiteX7638" y="connsiteY7638"/>
            </a:cxn>
            <a:cxn ang="0">
              <a:pos x="connsiteX7639" y="connsiteY7639"/>
            </a:cxn>
            <a:cxn ang="0">
              <a:pos x="connsiteX7640" y="connsiteY7640"/>
            </a:cxn>
            <a:cxn ang="0">
              <a:pos x="connsiteX7641" y="connsiteY7641"/>
            </a:cxn>
            <a:cxn ang="0">
              <a:pos x="connsiteX7642" y="connsiteY7642"/>
            </a:cxn>
            <a:cxn ang="0">
              <a:pos x="connsiteX7643" y="connsiteY7643"/>
            </a:cxn>
            <a:cxn ang="0">
              <a:pos x="connsiteX7644" y="connsiteY7644"/>
            </a:cxn>
            <a:cxn ang="0">
              <a:pos x="connsiteX7645" y="connsiteY7645"/>
            </a:cxn>
            <a:cxn ang="0">
              <a:pos x="connsiteX7646" y="connsiteY7646"/>
            </a:cxn>
            <a:cxn ang="0">
              <a:pos x="connsiteX7647" y="connsiteY7647"/>
            </a:cxn>
            <a:cxn ang="0">
              <a:pos x="connsiteX7648" y="connsiteY7648"/>
            </a:cxn>
            <a:cxn ang="0">
              <a:pos x="connsiteX7649" y="connsiteY7649"/>
            </a:cxn>
            <a:cxn ang="0">
              <a:pos x="connsiteX7650" y="connsiteY7650"/>
            </a:cxn>
            <a:cxn ang="0">
              <a:pos x="connsiteX7651" y="connsiteY7651"/>
            </a:cxn>
            <a:cxn ang="0">
              <a:pos x="connsiteX7652" y="connsiteY7652"/>
            </a:cxn>
            <a:cxn ang="0">
              <a:pos x="connsiteX7653" y="connsiteY7653"/>
            </a:cxn>
            <a:cxn ang="0">
              <a:pos x="connsiteX7654" y="connsiteY7654"/>
            </a:cxn>
            <a:cxn ang="0">
              <a:pos x="connsiteX7655" y="connsiteY7655"/>
            </a:cxn>
            <a:cxn ang="0">
              <a:pos x="connsiteX7656" y="connsiteY7656"/>
            </a:cxn>
            <a:cxn ang="0">
              <a:pos x="connsiteX7657" y="connsiteY7657"/>
            </a:cxn>
            <a:cxn ang="0">
              <a:pos x="connsiteX7658" y="connsiteY7658"/>
            </a:cxn>
            <a:cxn ang="0">
              <a:pos x="connsiteX7659" y="connsiteY7659"/>
            </a:cxn>
            <a:cxn ang="0">
              <a:pos x="connsiteX7660" y="connsiteY7660"/>
            </a:cxn>
            <a:cxn ang="0">
              <a:pos x="connsiteX7661" y="connsiteY7661"/>
            </a:cxn>
            <a:cxn ang="0">
              <a:pos x="connsiteX7662" y="connsiteY7662"/>
            </a:cxn>
            <a:cxn ang="0">
              <a:pos x="connsiteX7663" y="connsiteY7663"/>
            </a:cxn>
            <a:cxn ang="0">
              <a:pos x="connsiteX7664" y="connsiteY7664"/>
            </a:cxn>
            <a:cxn ang="0">
              <a:pos x="connsiteX7665" y="connsiteY7665"/>
            </a:cxn>
            <a:cxn ang="0">
              <a:pos x="connsiteX7666" y="connsiteY7666"/>
            </a:cxn>
            <a:cxn ang="0">
              <a:pos x="connsiteX7667" y="connsiteY7667"/>
            </a:cxn>
            <a:cxn ang="0">
              <a:pos x="connsiteX7668" y="connsiteY7668"/>
            </a:cxn>
            <a:cxn ang="0">
              <a:pos x="connsiteX7669" y="connsiteY7669"/>
            </a:cxn>
            <a:cxn ang="0">
              <a:pos x="connsiteX7670" y="connsiteY7670"/>
            </a:cxn>
            <a:cxn ang="0">
              <a:pos x="connsiteX7671" y="connsiteY7671"/>
            </a:cxn>
            <a:cxn ang="0">
              <a:pos x="connsiteX7672" y="connsiteY7672"/>
            </a:cxn>
            <a:cxn ang="0">
              <a:pos x="connsiteX7673" y="connsiteY7673"/>
            </a:cxn>
            <a:cxn ang="0">
              <a:pos x="connsiteX7674" y="connsiteY7674"/>
            </a:cxn>
            <a:cxn ang="0">
              <a:pos x="connsiteX7675" y="connsiteY7675"/>
            </a:cxn>
            <a:cxn ang="0">
              <a:pos x="connsiteX7676" y="connsiteY7676"/>
            </a:cxn>
            <a:cxn ang="0">
              <a:pos x="connsiteX7677" y="connsiteY7677"/>
            </a:cxn>
            <a:cxn ang="0">
              <a:pos x="connsiteX7678" y="connsiteY7678"/>
            </a:cxn>
            <a:cxn ang="0">
              <a:pos x="connsiteX7679" y="connsiteY7679"/>
            </a:cxn>
            <a:cxn ang="0">
              <a:pos x="connsiteX7680" y="connsiteY7680"/>
            </a:cxn>
            <a:cxn ang="0">
              <a:pos x="connsiteX7681" y="connsiteY7681"/>
            </a:cxn>
            <a:cxn ang="0">
              <a:pos x="connsiteX7682" y="connsiteY7682"/>
            </a:cxn>
            <a:cxn ang="0">
              <a:pos x="connsiteX7683" y="connsiteY7683"/>
            </a:cxn>
            <a:cxn ang="0">
              <a:pos x="connsiteX7684" y="connsiteY7684"/>
            </a:cxn>
            <a:cxn ang="0">
              <a:pos x="connsiteX7685" y="connsiteY7685"/>
            </a:cxn>
            <a:cxn ang="0">
              <a:pos x="connsiteX7686" y="connsiteY7686"/>
            </a:cxn>
            <a:cxn ang="0">
              <a:pos x="connsiteX7687" y="connsiteY7687"/>
            </a:cxn>
            <a:cxn ang="0">
              <a:pos x="connsiteX7688" y="connsiteY7688"/>
            </a:cxn>
            <a:cxn ang="0">
              <a:pos x="connsiteX7689" y="connsiteY7689"/>
            </a:cxn>
            <a:cxn ang="0">
              <a:pos x="connsiteX7690" y="connsiteY7690"/>
            </a:cxn>
            <a:cxn ang="0">
              <a:pos x="connsiteX7691" y="connsiteY7691"/>
            </a:cxn>
            <a:cxn ang="0">
              <a:pos x="connsiteX7692" y="connsiteY7692"/>
            </a:cxn>
            <a:cxn ang="0">
              <a:pos x="connsiteX7693" y="connsiteY7693"/>
            </a:cxn>
            <a:cxn ang="0">
              <a:pos x="connsiteX7694" y="connsiteY7694"/>
            </a:cxn>
            <a:cxn ang="0">
              <a:pos x="connsiteX7695" y="connsiteY7695"/>
            </a:cxn>
            <a:cxn ang="0">
              <a:pos x="connsiteX7696" y="connsiteY7696"/>
            </a:cxn>
            <a:cxn ang="0">
              <a:pos x="connsiteX7697" y="connsiteY7697"/>
            </a:cxn>
            <a:cxn ang="0">
              <a:pos x="connsiteX7698" y="connsiteY7698"/>
            </a:cxn>
            <a:cxn ang="0">
              <a:pos x="connsiteX7699" y="connsiteY7699"/>
            </a:cxn>
            <a:cxn ang="0">
              <a:pos x="connsiteX7700" y="connsiteY7700"/>
            </a:cxn>
            <a:cxn ang="0">
              <a:pos x="connsiteX7701" y="connsiteY7701"/>
            </a:cxn>
            <a:cxn ang="0">
              <a:pos x="connsiteX7702" y="connsiteY7702"/>
            </a:cxn>
            <a:cxn ang="0">
              <a:pos x="connsiteX7703" y="connsiteY7703"/>
            </a:cxn>
            <a:cxn ang="0">
              <a:pos x="connsiteX7704" y="connsiteY7704"/>
            </a:cxn>
            <a:cxn ang="0">
              <a:pos x="connsiteX7705" y="connsiteY7705"/>
            </a:cxn>
            <a:cxn ang="0">
              <a:pos x="connsiteX7706" y="connsiteY7706"/>
            </a:cxn>
            <a:cxn ang="0">
              <a:pos x="connsiteX7707" y="connsiteY7707"/>
            </a:cxn>
            <a:cxn ang="0">
              <a:pos x="connsiteX7708" y="connsiteY7708"/>
            </a:cxn>
            <a:cxn ang="0">
              <a:pos x="connsiteX7709" y="connsiteY7709"/>
            </a:cxn>
            <a:cxn ang="0">
              <a:pos x="connsiteX7710" y="connsiteY7710"/>
            </a:cxn>
            <a:cxn ang="0">
              <a:pos x="connsiteX7711" y="connsiteY7711"/>
            </a:cxn>
            <a:cxn ang="0">
              <a:pos x="connsiteX7712" y="connsiteY7712"/>
            </a:cxn>
            <a:cxn ang="0">
              <a:pos x="connsiteX7713" y="connsiteY7713"/>
            </a:cxn>
            <a:cxn ang="0">
              <a:pos x="connsiteX7714" y="connsiteY7714"/>
            </a:cxn>
            <a:cxn ang="0">
              <a:pos x="connsiteX7715" y="connsiteY7715"/>
            </a:cxn>
            <a:cxn ang="0">
              <a:pos x="connsiteX7716" y="connsiteY7716"/>
            </a:cxn>
            <a:cxn ang="0">
              <a:pos x="connsiteX7717" y="connsiteY7717"/>
            </a:cxn>
            <a:cxn ang="0">
              <a:pos x="connsiteX7718" y="connsiteY7718"/>
            </a:cxn>
            <a:cxn ang="0">
              <a:pos x="connsiteX7719" y="connsiteY7719"/>
            </a:cxn>
            <a:cxn ang="0">
              <a:pos x="connsiteX7720" y="connsiteY7720"/>
            </a:cxn>
            <a:cxn ang="0">
              <a:pos x="connsiteX7721" y="connsiteY7721"/>
            </a:cxn>
            <a:cxn ang="0">
              <a:pos x="connsiteX7722" y="connsiteY7722"/>
            </a:cxn>
            <a:cxn ang="0">
              <a:pos x="connsiteX7723" y="connsiteY7723"/>
            </a:cxn>
            <a:cxn ang="0">
              <a:pos x="connsiteX7724" y="connsiteY7724"/>
            </a:cxn>
            <a:cxn ang="0">
              <a:pos x="connsiteX7725" y="connsiteY7725"/>
            </a:cxn>
            <a:cxn ang="0">
              <a:pos x="connsiteX7726" y="connsiteY7726"/>
            </a:cxn>
            <a:cxn ang="0">
              <a:pos x="connsiteX7727" y="connsiteY7727"/>
            </a:cxn>
            <a:cxn ang="0">
              <a:pos x="connsiteX7728" y="connsiteY7728"/>
            </a:cxn>
            <a:cxn ang="0">
              <a:pos x="connsiteX7729" y="connsiteY7729"/>
            </a:cxn>
            <a:cxn ang="0">
              <a:pos x="connsiteX7730" y="connsiteY7730"/>
            </a:cxn>
            <a:cxn ang="0">
              <a:pos x="connsiteX7731" y="connsiteY7731"/>
            </a:cxn>
            <a:cxn ang="0">
              <a:pos x="connsiteX7732" y="connsiteY7732"/>
            </a:cxn>
            <a:cxn ang="0">
              <a:pos x="connsiteX7733" y="connsiteY7733"/>
            </a:cxn>
            <a:cxn ang="0">
              <a:pos x="connsiteX7734" y="connsiteY7734"/>
            </a:cxn>
            <a:cxn ang="0">
              <a:pos x="connsiteX7735" y="connsiteY7735"/>
            </a:cxn>
            <a:cxn ang="0">
              <a:pos x="connsiteX7736" y="connsiteY7736"/>
            </a:cxn>
            <a:cxn ang="0">
              <a:pos x="connsiteX7737" y="connsiteY7737"/>
            </a:cxn>
            <a:cxn ang="0">
              <a:pos x="connsiteX7738" y="connsiteY7738"/>
            </a:cxn>
            <a:cxn ang="0">
              <a:pos x="connsiteX7739" y="connsiteY7739"/>
            </a:cxn>
            <a:cxn ang="0">
              <a:pos x="connsiteX7740" y="connsiteY7740"/>
            </a:cxn>
            <a:cxn ang="0">
              <a:pos x="connsiteX7741" y="connsiteY7741"/>
            </a:cxn>
            <a:cxn ang="0">
              <a:pos x="connsiteX7742" y="connsiteY7742"/>
            </a:cxn>
            <a:cxn ang="0">
              <a:pos x="connsiteX7743" y="connsiteY7743"/>
            </a:cxn>
            <a:cxn ang="0">
              <a:pos x="connsiteX7744" y="connsiteY7744"/>
            </a:cxn>
            <a:cxn ang="0">
              <a:pos x="connsiteX7745" y="connsiteY7745"/>
            </a:cxn>
            <a:cxn ang="0">
              <a:pos x="connsiteX7746" y="connsiteY7746"/>
            </a:cxn>
            <a:cxn ang="0">
              <a:pos x="connsiteX7747" y="connsiteY7747"/>
            </a:cxn>
            <a:cxn ang="0">
              <a:pos x="connsiteX7748" y="connsiteY7748"/>
            </a:cxn>
            <a:cxn ang="0">
              <a:pos x="connsiteX7749" y="connsiteY7749"/>
            </a:cxn>
            <a:cxn ang="0">
              <a:pos x="connsiteX7750" y="connsiteY7750"/>
            </a:cxn>
            <a:cxn ang="0">
              <a:pos x="connsiteX7751" y="connsiteY7751"/>
            </a:cxn>
            <a:cxn ang="0">
              <a:pos x="connsiteX7752" y="connsiteY7752"/>
            </a:cxn>
            <a:cxn ang="0">
              <a:pos x="connsiteX7753" y="connsiteY7753"/>
            </a:cxn>
            <a:cxn ang="0">
              <a:pos x="connsiteX7754" y="connsiteY7754"/>
            </a:cxn>
            <a:cxn ang="0">
              <a:pos x="connsiteX7755" y="connsiteY7755"/>
            </a:cxn>
            <a:cxn ang="0">
              <a:pos x="connsiteX7756" y="connsiteY7756"/>
            </a:cxn>
            <a:cxn ang="0">
              <a:pos x="connsiteX7757" y="connsiteY7757"/>
            </a:cxn>
            <a:cxn ang="0">
              <a:pos x="connsiteX7758" y="connsiteY7758"/>
            </a:cxn>
            <a:cxn ang="0">
              <a:pos x="connsiteX7759" y="connsiteY7759"/>
            </a:cxn>
            <a:cxn ang="0">
              <a:pos x="connsiteX7760" y="connsiteY7760"/>
            </a:cxn>
            <a:cxn ang="0">
              <a:pos x="connsiteX7761" y="connsiteY7761"/>
            </a:cxn>
            <a:cxn ang="0">
              <a:pos x="connsiteX7762" y="connsiteY7762"/>
            </a:cxn>
            <a:cxn ang="0">
              <a:pos x="connsiteX7763" y="connsiteY7763"/>
            </a:cxn>
            <a:cxn ang="0">
              <a:pos x="connsiteX7764" y="connsiteY7764"/>
            </a:cxn>
            <a:cxn ang="0">
              <a:pos x="connsiteX7765" y="connsiteY7765"/>
            </a:cxn>
            <a:cxn ang="0">
              <a:pos x="connsiteX7766" y="connsiteY7766"/>
            </a:cxn>
            <a:cxn ang="0">
              <a:pos x="connsiteX7767" y="connsiteY7767"/>
            </a:cxn>
            <a:cxn ang="0">
              <a:pos x="connsiteX7768" y="connsiteY7768"/>
            </a:cxn>
            <a:cxn ang="0">
              <a:pos x="connsiteX7769" y="connsiteY7769"/>
            </a:cxn>
            <a:cxn ang="0">
              <a:pos x="connsiteX7770" y="connsiteY7770"/>
            </a:cxn>
            <a:cxn ang="0">
              <a:pos x="connsiteX7771" y="connsiteY7771"/>
            </a:cxn>
            <a:cxn ang="0">
              <a:pos x="connsiteX7772" y="connsiteY7772"/>
            </a:cxn>
            <a:cxn ang="0">
              <a:pos x="connsiteX7773" y="connsiteY7773"/>
            </a:cxn>
            <a:cxn ang="0">
              <a:pos x="connsiteX7774" y="connsiteY7774"/>
            </a:cxn>
            <a:cxn ang="0">
              <a:pos x="connsiteX7775" y="connsiteY7775"/>
            </a:cxn>
            <a:cxn ang="0">
              <a:pos x="connsiteX7776" y="connsiteY7776"/>
            </a:cxn>
            <a:cxn ang="0">
              <a:pos x="connsiteX7777" y="connsiteY7777"/>
            </a:cxn>
            <a:cxn ang="0">
              <a:pos x="connsiteX7778" y="connsiteY7778"/>
            </a:cxn>
            <a:cxn ang="0">
              <a:pos x="connsiteX7779" y="connsiteY7779"/>
            </a:cxn>
            <a:cxn ang="0">
              <a:pos x="connsiteX7780" y="connsiteY7780"/>
            </a:cxn>
            <a:cxn ang="0">
              <a:pos x="connsiteX7781" y="connsiteY7781"/>
            </a:cxn>
            <a:cxn ang="0">
              <a:pos x="connsiteX7782" y="connsiteY7782"/>
            </a:cxn>
            <a:cxn ang="0">
              <a:pos x="connsiteX7783" y="connsiteY7783"/>
            </a:cxn>
            <a:cxn ang="0">
              <a:pos x="connsiteX7784" y="connsiteY7784"/>
            </a:cxn>
            <a:cxn ang="0">
              <a:pos x="connsiteX7785" y="connsiteY7785"/>
            </a:cxn>
            <a:cxn ang="0">
              <a:pos x="connsiteX7786" y="connsiteY7786"/>
            </a:cxn>
            <a:cxn ang="0">
              <a:pos x="connsiteX7787" y="connsiteY7787"/>
            </a:cxn>
            <a:cxn ang="0">
              <a:pos x="connsiteX7788" y="connsiteY7788"/>
            </a:cxn>
            <a:cxn ang="0">
              <a:pos x="connsiteX7789" y="connsiteY7789"/>
            </a:cxn>
            <a:cxn ang="0">
              <a:pos x="connsiteX7790" y="connsiteY7790"/>
            </a:cxn>
            <a:cxn ang="0">
              <a:pos x="connsiteX7791" y="connsiteY7791"/>
            </a:cxn>
            <a:cxn ang="0">
              <a:pos x="connsiteX7792" y="connsiteY7792"/>
            </a:cxn>
            <a:cxn ang="0">
              <a:pos x="connsiteX7793" y="connsiteY7793"/>
            </a:cxn>
            <a:cxn ang="0">
              <a:pos x="connsiteX7794" y="connsiteY7794"/>
            </a:cxn>
            <a:cxn ang="0">
              <a:pos x="connsiteX7795" y="connsiteY7795"/>
            </a:cxn>
            <a:cxn ang="0">
              <a:pos x="connsiteX7796" y="connsiteY7796"/>
            </a:cxn>
            <a:cxn ang="0">
              <a:pos x="connsiteX7797" y="connsiteY7797"/>
            </a:cxn>
            <a:cxn ang="0">
              <a:pos x="connsiteX7798" y="connsiteY7798"/>
            </a:cxn>
            <a:cxn ang="0">
              <a:pos x="connsiteX7799" y="connsiteY7799"/>
            </a:cxn>
            <a:cxn ang="0">
              <a:pos x="connsiteX7800" y="connsiteY7800"/>
            </a:cxn>
            <a:cxn ang="0">
              <a:pos x="connsiteX7801" y="connsiteY7801"/>
            </a:cxn>
            <a:cxn ang="0">
              <a:pos x="connsiteX7802" y="connsiteY7802"/>
            </a:cxn>
            <a:cxn ang="0">
              <a:pos x="connsiteX7803" y="connsiteY7803"/>
            </a:cxn>
            <a:cxn ang="0">
              <a:pos x="connsiteX7804" y="connsiteY7804"/>
            </a:cxn>
            <a:cxn ang="0">
              <a:pos x="connsiteX7805" y="connsiteY7805"/>
            </a:cxn>
            <a:cxn ang="0">
              <a:pos x="connsiteX7806" y="connsiteY7806"/>
            </a:cxn>
            <a:cxn ang="0">
              <a:pos x="connsiteX7807" y="connsiteY7807"/>
            </a:cxn>
            <a:cxn ang="0">
              <a:pos x="connsiteX7808" y="connsiteY7808"/>
            </a:cxn>
            <a:cxn ang="0">
              <a:pos x="connsiteX7809" y="connsiteY7809"/>
            </a:cxn>
            <a:cxn ang="0">
              <a:pos x="connsiteX7810" y="connsiteY7810"/>
            </a:cxn>
            <a:cxn ang="0">
              <a:pos x="connsiteX7811" y="connsiteY7811"/>
            </a:cxn>
            <a:cxn ang="0">
              <a:pos x="connsiteX7812" y="connsiteY7812"/>
            </a:cxn>
            <a:cxn ang="0">
              <a:pos x="connsiteX7813" y="connsiteY7813"/>
            </a:cxn>
            <a:cxn ang="0">
              <a:pos x="connsiteX7814" y="connsiteY7814"/>
            </a:cxn>
            <a:cxn ang="0">
              <a:pos x="connsiteX7815" y="connsiteY7815"/>
            </a:cxn>
            <a:cxn ang="0">
              <a:pos x="connsiteX7816" y="connsiteY7816"/>
            </a:cxn>
            <a:cxn ang="0">
              <a:pos x="connsiteX7817" y="connsiteY7817"/>
            </a:cxn>
            <a:cxn ang="0">
              <a:pos x="connsiteX7818" y="connsiteY7818"/>
            </a:cxn>
            <a:cxn ang="0">
              <a:pos x="connsiteX7819" y="connsiteY7819"/>
            </a:cxn>
            <a:cxn ang="0">
              <a:pos x="connsiteX7820" y="connsiteY7820"/>
            </a:cxn>
            <a:cxn ang="0">
              <a:pos x="connsiteX7821" y="connsiteY7821"/>
            </a:cxn>
            <a:cxn ang="0">
              <a:pos x="connsiteX7822" y="connsiteY7822"/>
            </a:cxn>
            <a:cxn ang="0">
              <a:pos x="connsiteX7823" y="connsiteY7823"/>
            </a:cxn>
            <a:cxn ang="0">
              <a:pos x="connsiteX7824" y="connsiteY7824"/>
            </a:cxn>
            <a:cxn ang="0">
              <a:pos x="connsiteX7825" y="connsiteY7825"/>
            </a:cxn>
            <a:cxn ang="0">
              <a:pos x="connsiteX7826" y="connsiteY7826"/>
            </a:cxn>
            <a:cxn ang="0">
              <a:pos x="connsiteX7827" y="connsiteY7827"/>
            </a:cxn>
            <a:cxn ang="0">
              <a:pos x="connsiteX7828" y="connsiteY7828"/>
            </a:cxn>
            <a:cxn ang="0">
              <a:pos x="connsiteX7829" y="connsiteY7829"/>
            </a:cxn>
            <a:cxn ang="0">
              <a:pos x="connsiteX7830" y="connsiteY7830"/>
            </a:cxn>
            <a:cxn ang="0">
              <a:pos x="connsiteX7831" y="connsiteY7831"/>
            </a:cxn>
            <a:cxn ang="0">
              <a:pos x="connsiteX7832" y="connsiteY7832"/>
            </a:cxn>
            <a:cxn ang="0">
              <a:pos x="connsiteX7833" y="connsiteY7833"/>
            </a:cxn>
            <a:cxn ang="0">
              <a:pos x="connsiteX7834" y="connsiteY7834"/>
            </a:cxn>
            <a:cxn ang="0">
              <a:pos x="connsiteX7835" y="connsiteY7835"/>
            </a:cxn>
            <a:cxn ang="0">
              <a:pos x="connsiteX7836" y="connsiteY7836"/>
            </a:cxn>
            <a:cxn ang="0">
              <a:pos x="connsiteX7837" y="connsiteY7837"/>
            </a:cxn>
            <a:cxn ang="0">
              <a:pos x="connsiteX7838" y="connsiteY7838"/>
            </a:cxn>
            <a:cxn ang="0">
              <a:pos x="connsiteX7839" y="connsiteY7839"/>
            </a:cxn>
            <a:cxn ang="0">
              <a:pos x="connsiteX7840" y="connsiteY7840"/>
            </a:cxn>
            <a:cxn ang="0">
              <a:pos x="connsiteX7841" y="connsiteY7841"/>
            </a:cxn>
            <a:cxn ang="0">
              <a:pos x="connsiteX7842" y="connsiteY7842"/>
            </a:cxn>
            <a:cxn ang="0">
              <a:pos x="connsiteX7843" y="connsiteY7843"/>
            </a:cxn>
            <a:cxn ang="0">
              <a:pos x="connsiteX7844" y="connsiteY7844"/>
            </a:cxn>
            <a:cxn ang="0">
              <a:pos x="connsiteX7845" y="connsiteY7845"/>
            </a:cxn>
            <a:cxn ang="0">
              <a:pos x="connsiteX7846" y="connsiteY7846"/>
            </a:cxn>
            <a:cxn ang="0">
              <a:pos x="connsiteX7847" y="connsiteY7847"/>
            </a:cxn>
            <a:cxn ang="0">
              <a:pos x="connsiteX7848" y="connsiteY7848"/>
            </a:cxn>
            <a:cxn ang="0">
              <a:pos x="connsiteX7849" y="connsiteY7849"/>
            </a:cxn>
            <a:cxn ang="0">
              <a:pos x="connsiteX7850" y="connsiteY7850"/>
            </a:cxn>
            <a:cxn ang="0">
              <a:pos x="connsiteX7851" y="connsiteY7851"/>
            </a:cxn>
            <a:cxn ang="0">
              <a:pos x="connsiteX7852" y="connsiteY7852"/>
            </a:cxn>
            <a:cxn ang="0">
              <a:pos x="connsiteX7853" y="connsiteY7853"/>
            </a:cxn>
            <a:cxn ang="0">
              <a:pos x="connsiteX7854" y="connsiteY7854"/>
            </a:cxn>
            <a:cxn ang="0">
              <a:pos x="connsiteX7855" y="connsiteY7855"/>
            </a:cxn>
            <a:cxn ang="0">
              <a:pos x="connsiteX7856" y="connsiteY7856"/>
            </a:cxn>
            <a:cxn ang="0">
              <a:pos x="connsiteX7857" y="connsiteY7857"/>
            </a:cxn>
            <a:cxn ang="0">
              <a:pos x="connsiteX7858" y="connsiteY7858"/>
            </a:cxn>
            <a:cxn ang="0">
              <a:pos x="connsiteX7859" y="connsiteY7859"/>
            </a:cxn>
            <a:cxn ang="0">
              <a:pos x="connsiteX7860" y="connsiteY7860"/>
            </a:cxn>
            <a:cxn ang="0">
              <a:pos x="connsiteX7861" y="connsiteY7861"/>
            </a:cxn>
            <a:cxn ang="0">
              <a:pos x="connsiteX7862" y="connsiteY7862"/>
            </a:cxn>
            <a:cxn ang="0">
              <a:pos x="connsiteX7863" y="connsiteY7863"/>
            </a:cxn>
            <a:cxn ang="0">
              <a:pos x="connsiteX7864" y="connsiteY7864"/>
            </a:cxn>
            <a:cxn ang="0">
              <a:pos x="connsiteX7865" y="connsiteY7865"/>
            </a:cxn>
            <a:cxn ang="0">
              <a:pos x="connsiteX7866" y="connsiteY7866"/>
            </a:cxn>
            <a:cxn ang="0">
              <a:pos x="connsiteX7867" y="connsiteY7867"/>
            </a:cxn>
            <a:cxn ang="0">
              <a:pos x="connsiteX7868" y="connsiteY7868"/>
            </a:cxn>
            <a:cxn ang="0">
              <a:pos x="connsiteX7869" y="connsiteY7869"/>
            </a:cxn>
            <a:cxn ang="0">
              <a:pos x="connsiteX7870" y="connsiteY7870"/>
            </a:cxn>
            <a:cxn ang="0">
              <a:pos x="connsiteX7871" y="connsiteY7871"/>
            </a:cxn>
            <a:cxn ang="0">
              <a:pos x="connsiteX7872" y="connsiteY7872"/>
            </a:cxn>
            <a:cxn ang="0">
              <a:pos x="connsiteX7873" y="connsiteY7873"/>
            </a:cxn>
            <a:cxn ang="0">
              <a:pos x="connsiteX7874" y="connsiteY7874"/>
            </a:cxn>
            <a:cxn ang="0">
              <a:pos x="connsiteX7875" y="connsiteY7875"/>
            </a:cxn>
            <a:cxn ang="0">
              <a:pos x="connsiteX7876" y="connsiteY7876"/>
            </a:cxn>
            <a:cxn ang="0">
              <a:pos x="connsiteX7877" y="connsiteY7877"/>
            </a:cxn>
            <a:cxn ang="0">
              <a:pos x="connsiteX7878" y="connsiteY7878"/>
            </a:cxn>
            <a:cxn ang="0">
              <a:pos x="connsiteX7879" y="connsiteY7879"/>
            </a:cxn>
            <a:cxn ang="0">
              <a:pos x="connsiteX7880" y="connsiteY7880"/>
            </a:cxn>
            <a:cxn ang="0">
              <a:pos x="connsiteX7881" y="connsiteY7881"/>
            </a:cxn>
            <a:cxn ang="0">
              <a:pos x="connsiteX7882" y="connsiteY7882"/>
            </a:cxn>
            <a:cxn ang="0">
              <a:pos x="connsiteX7883" y="connsiteY7883"/>
            </a:cxn>
            <a:cxn ang="0">
              <a:pos x="connsiteX7884" y="connsiteY7884"/>
            </a:cxn>
            <a:cxn ang="0">
              <a:pos x="connsiteX7885" y="connsiteY7885"/>
            </a:cxn>
            <a:cxn ang="0">
              <a:pos x="connsiteX7886" y="connsiteY7886"/>
            </a:cxn>
            <a:cxn ang="0">
              <a:pos x="connsiteX7887" y="connsiteY7887"/>
            </a:cxn>
            <a:cxn ang="0">
              <a:pos x="connsiteX7888" y="connsiteY7888"/>
            </a:cxn>
            <a:cxn ang="0">
              <a:pos x="connsiteX7889" y="connsiteY7889"/>
            </a:cxn>
            <a:cxn ang="0">
              <a:pos x="connsiteX7890" y="connsiteY7890"/>
            </a:cxn>
            <a:cxn ang="0">
              <a:pos x="connsiteX7891" y="connsiteY7891"/>
            </a:cxn>
            <a:cxn ang="0">
              <a:pos x="connsiteX7892" y="connsiteY7892"/>
            </a:cxn>
            <a:cxn ang="0">
              <a:pos x="connsiteX7893" y="connsiteY7893"/>
            </a:cxn>
            <a:cxn ang="0">
              <a:pos x="connsiteX7894" y="connsiteY7894"/>
            </a:cxn>
            <a:cxn ang="0">
              <a:pos x="connsiteX7895" y="connsiteY7895"/>
            </a:cxn>
            <a:cxn ang="0">
              <a:pos x="connsiteX7896" y="connsiteY7896"/>
            </a:cxn>
            <a:cxn ang="0">
              <a:pos x="connsiteX7897" y="connsiteY7897"/>
            </a:cxn>
            <a:cxn ang="0">
              <a:pos x="connsiteX7898" y="connsiteY7898"/>
            </a:cxn>
            <a:cxn ang="0">
              <a:pos x="connsiteX7899" y="connsiteY7899"/>
            </a:cxn>
            <a:cxn ang="0">
              <a:pos x="connsiteX7900" y="connsiteY7900"/>
            </a:cxn>
            <a:cxn ang="0">
              <a:pos x="connsiteX7901" y="connsiteY7901"/>
            </a:cxn>
            <a:cxn ang="0">
              <a:pos x="connsiteX7902" y="connsiteY7902"/>
            </a:cxn>
            <a:cxn ang="0">
              <a:pos x="connsiteX7903" y="connsiteY7903"/>
            </a:cxn>
            <a:cxn ang="0">
              <a:pos x="connsiteX7904" y="connsiteY7904"/>
            </a:cxn>
            <a:cxn ang="0">
              <a:pos x="connsiteX7905" y="connsiteY7905"/>
            </a:cxn>
            <a:cxn ang="0">
              <a:pos x="connsiteX7906" y="connsiteY7906"/>
            </a:cxn>
            <a:cxn ang="0">
              <a:pos x="connsiteX7907" y="connsiteY7907"/>
            </a:cxn>
            <a:cxn ang="0">
              <a:pos x="connsiteX7908" y="connsiteY7908"/>
            </a:cxn>
            <a:cxn ang="0">
              <a:pos x="connsiteX7909" y="connsiteY7909"/>
            </a:cxn>
            <a:cxn ang="0">
              <a:pos x="connsiteX7910" y="connsiteY7910"/>
            </a:cxn>
            <a:cxn ang="0">
              <a:pos x="connsiteX7911" y="connsiteY7911"/>
            </a:cxn>
            <a:cxn ang="0">
              <a:pos x="connsiteX7912" y="connsiteY7912"/>
            </a:cxn>
            <a:cxn ang="0">
              <a:pos x="connsiteX7913" y="connsiteY7913"/>
            </a:cxn>
            <a:cxn ang="0">
              <a:pos x="connsiteX7914" y="connsiteY7914"/>
            </a:cxn>
            <a:cxn ang="0">
              <a:pos x="connsiteX7915" y="connsiteY7915"/>
            </a:cxn>
            <a:cxn ang="0">
              <a:pos x="connsiteX7916" y="connsiteY7916"/>
            </a:cxn>
            <a:cxn ang="0">
              <a:pos x="connsiteX7917" y="connsiteY7917"/>
            </a:cxn>
            <a:cxn ang="0">
              <a:pos x="connsiteX7918" y="connsiteY7918"/>
            </a:cxn>
            <a:cxn ang="0">
              <a:pos x="connsiteX7919" y="connsiteY7919"/>
            </a:cxn>
            <a:cxn ang="0">
              <a:pos x="connsiteX7920" y="connsiteY7920"/>
            </a:cxn>
            <a:cxn ang="0">
              <a:pos x="connsiteX7921" y="connsiteY7921"/>
            </a:cxn>
            <a:cxn ang="0">
              <a:pos x="connsiteX7922" y="connsiteY7922"/>
            </a:cxn>
            <a:cxn ang="0">
              <a:pos x="connsiteX7923" y="connsiteY7923"/>
            </a:cxn>
            <a:cxn ang="0">
              <a:pos x="connsiteX7924" y="connsiteY7924"/>
            </a:cxn>
            <a:cxn ang="0">
              <a:pos x="connsiteX7925" y="connsiteY7925"/>
            </a:cxn>
            <a:cxn ang="0">
              <a:pos x="connsiteX7926" y="connsiteY7926"/>
            </a:cxn>
            <a:cxn ang="0">
              <a:pos x="connsiteX7927" y="connsiteY7927"/>
            </a:cxn>
            <a:cxn ang="0">
              <a:pos x="connsiteX7928" y="connsiteY7928"/>
            </a:cxn>
            <a:cxn ang="0">
              <a:pos x="connsiteX7929" y="connsiteY7929"/>
            </a:cxn>
            <a:cxn ang="0">
              <a:pos x="connsiteX7930" y="connsiteY7930"/>
            </a:cxn>
            <a:cxn ang="0">
              <a:pos x="connsiteX7931" y="connsiteY7931"/>
            </a:cxn>
            <a:cxn ang="0">
              <a:pos x="connsiteX7932" y="connsiteY7932"/>
            </a:cxn>
            <a:cxn ang="0">
              <a:pos x="connsiteX7933" y="connsiteY7933"/>
            </a:cxn>
            <a:cxn ang="0">
              <a:pos x="connsiteX7934" y="connsiteY7934"/>
            </a:cxn>
            <a:cxn ang="0">
              <a:pos x="connsiteX7935" y="connsiteY7935"/>
            </a:cxn>
            <a:cxn ang="0">
              <a:pos x="connsiteX7936" y="connsiteY7936"/>
            </a:cxn>
            <a:cxn ang="0">
              <a:pos x="connsiteX7937" y="connsiteY7937"/>
            </a:cxn>
            <a:cxn ang="0">
              <a:pos x="connsiteX7938" y="connsiteY7938"/>
            </a:cxn>
            <a:cxn ang="0">
              <a:pos x="connsiteX7939" y="connsiteY7939"/>
            </a:cxn>
            <a:cxn ang="0">
              <a:pos x="connsiteX7940" y="connsiteY7940"/>
            </a:cxn>
            <a:cxn ang="0">
              <a:pos x="connsiteX7941" y="connsiteY7941"/>
            </a:cxn>
            <a:cxn ang="0">
              <a:pos x="connsiteX7942" y="connsiteY7942"/>
            </a:cxn>
            <a:cxn ang="0">
              <a:pos x="connsiteX7943" y="connsiteY7943"/>
            </a:cxn>
            <a:cxn ang="0">
              <a:pos x="connsiteX7944" y="connsiteY7944"/>
            </a:cxn>
            <a:cxn ang="0">
              <a:pos x="connsiteX7945" y="connsiteY7945"/>
            </a:cxn>
            <a:cxn ang="0">
              <a:pos x="connsiteX7946" y="connsiteY7946"/>
            </a:cxn>
            <a:cxn ang="0">
              <a:pos x="connsiteX7947" y="connsiteY7947"/>
            </a:cxn>
            <a:cxn ang="0">
              <a:pos x="connsiteX7948" y="connsiteY7948"/>
            </a:cxn>
            <a:cxn ang="0">
              <a:pos x="connsiteX7949" y="connsiteY7949"/>
            </a:cxn>
            <a:cxn ang="0">
              <a:pos x="connsiteX7950" y="connsiteY7950"/>
            </a:cxn>
            <a:cxn ang="0">
              <a:pos x="connsiteX7951" y="connsiteY7951"/>
            </a:cxn>
            <a:cxn ang="0">
              <a:pos x="connsiteX7952" y="connsiteY7952"/>
            </a:cxn>
            <a:cxn ang="0">
              <a:pos x="connsiteX7953" y="connsiteY7953"/>
            </a:cxn>
            <a:cxn ang="0">
              <a:pos x="connsiteX7954" y="connsiteY7954"/>
            </a:cxn>
            <a:cxn ang="0">
              <a:pos x="connsiteX7955" y="connsiteY7955"/>
            </a:cxn>
            <a:cxn ang="0">
              <a:pos x="connsiteX7956" y="connsiteY7956"/>
            </a:cxn>
            <a:cxn ang="0">
              <a:pos x="connsiteX7957" y="connsiteY7957"/>
            </a:cxn>
            <a:cxn ang="0">
              <a:pos x="connsiteX7958" y="connsiteY7958"/>
            </a:cxn>
            <a:cxn ang="0">
              <a:pos x="connsiteX7959" y="connsiteY7959"/>
            </a:cxn>
            <a:cxn ang="0">
              <a:pos x="connsiteX7960" y="connsiteY7960"/>
            </a:cxn>
            <a:cxn ang="0">
              <a:pos x="connsiteX7961" y="connsiteY7961"/>
            </a:cxn>
            <a:cxn ang="0">
              <a:pos x="connsiteX7962" y="connsiteY7962"/>
            </a:cxn>
            <a:cxn ang="0">
              <a:pos x="connsiteX7963" y="connsiteY7963"/>
            </a:cxn>
            <a:cxn ang="0">
              <a:pos x="connsiteX7964" y="connsiteY7964"/>
            </a:cxn>
            <a:cxn ang="0">
              <a:pos x="connsiteX7965" y="connsiteY7965"/>
            </a:cxn>
            <a:cxn ang="0">
              <a:pos x="connsiteX7966" y="connsiteY7966"/>
            </a:cxn>
            <a:cxn ang="0">
              <a:pos x="connsiteX7967" y="connsiteY7967"/>
            </a:cxn>
            <a:cxn ang="0">
              <a:pos x="connsiteX7968" y="connsiteY7968"/>
            </a:cxn>
            <a:cxn ang="0">
              <a:pos x="connsiteX7969" y="connsiteY7969"/>
            </a:cxn>
            <a:cxn ang="0">
              <a:pos x="connsiteX7970" y="connsiteY7970"/>
            </a:cxn>
            <a:cxn ang="0">
              <a:pos x="connsiteX7971" y="connsiteY7971"/>
            </a:cxn>
            <a:cxn ang="0">
              <a:pos x="connsiteX7972" y="connsiteY7972"/>
            </a:cxn>
            <a:cxn ang="0">
              <a:pos x="connsiteX7973" y="connsiteY7973"/>
            </a:cxn>
            <a:cxn ang="0">
              <a:pos x="connsiteX7974" y="connsiteY7974"/>
            </a:cxn>
            <a:cxn ang="0">
              <a:pos x="connsiteX7975" y="connsiteY7975"/>
            </a:cxn>
            <a:cxn ang="0">
              <a:pos x="connsiteX7976" y="connsiteY7976"/>
            </a:cxn>
            <a:cxn ang="0">
              <a:pos x="connsiteX7977" y="connsiteY7977"/>
            </a:cxn>
            <a:cxn ang="0">
              <a:pos x="connsiteX7978" y="connsiteY7978"/>
            </a:cxn>
            <a:cxn ang="0">
              <a:pos x="connsiteX7979" y="connsiteY7979"/>
            </a:cxn>
            <a:cxn ang="0">
              <a:pos x="connsiteX7980" y="connsiteY7980"/>
            </a:cxn>
            <a:cxn ang="0">
              <a:pos x="connsiteX7981" y="connsiteY7981"/>
            </a:cxn>
            <a:cxn ang="0">
              <a:pos x="connsiteX7982" y="connsiteY7982"/>
            </a:cxn>
            <a:cxn ang="0">
              <a:pos x="connsiteX7983" y="connsiteY7983"/>
            </a:cxn>
            <a:cxn ang="0">
              <a:pos x="connsiteX7984" y="connsiteY7984"/>
            </a:cxn>
            <a:cxn ang="0">
              <a:pos x="connsiteX7985" y="connsiteY7985"/>
            </a:cxn>
            <a:cxn ang="0">
              <a:pos x="connsiteX7986" y="connsiteY7986"/>
            </a:cxn>
            <a:cxn ang="0">
              <a:pos x="connsiteX7987" y="connsiteY7987"/>
            </a:cxn>
            <a:cxn ang="0">
              <a:pos x="connsiteX7988" y="connsiteY7988"/>
            </a:cxn>
            <a:cxn ang="0">
              <a:pos x="connsiteX7989" y="connsiteY7989"/>
            </a:cxn>
            <a:cxn ang="0">
              <a:pos x="connsiteX7990" y="connsiteY7990"/>
            </a:cxn>
            <a:cxn ang="0">
              <a:pos x="connsiteX7991" y="connsiteY7991"/>
            </a:cxn>
            <a:cxn ang="0">
              <a:pos x="connsiteX7992" y="connsiteY7992"/>
            </a:cxn>
            <a:cxn ang="0">
              <a:pos x="connsiteX7993" y="connsiteY7993"/>
            </a:cxn>
            <a:cxn ang="0">
              <a:pos x="connsiteX7994" y="connsiteY7994"/>
            </a:cxn>
            <a:cxn ang="0">
              <a:pos x="connsiteX7995" y="connsiteY7995"/>
            </a:cxn>
            <a:cxn ang="0">
              <a:pos x="connsiteX7996" y="connsiteY7996"/>
            </a:cxn>
            <a:cxn ang="0">
              <a:pos x="connsiteX7997" y="connsiteY7997"/>
            </a:cxn>
            <a:cxn ang="0">
              <a:pos x="connsiteX7998" y="connsiteY7998"/>
            </a:cxn>
            <a:cxn ang="0">
              <a:pos x="connsiteX7999" y="connsiteY7999"/>
            </a:cxn>
            <a:cxn ang="0">
              <a:pos x="connsiteX8000" y="connsiteY8000"/>
            </a:cxn>
            <a:cxn ang="0">
              <a:pos x="connsiteX8001" y="connsiteY8001"/>
            </a:cxn>
            <a:cxn ang="0">
              <a:pos x="connsiteX8002" y="connsiteY8002"/>
            </a:cxn>
            <a:cxn ang="0">
              <a:pos x="connsiteX8003" y="connsiteY8003"/>
            </a:cxn>
            <a:cxn ang="0">
              <a:pos x="connsiteX8004" y="connsiteY8004"/>
            </a:cxn>
            <a:cxn ang="0">
              <a:pos x="connsiteX8005" y="connsiteY8005"/>
            </a:cxn>
            <a:cxn ang="0">
              <a:pos x="connsiteX8006" y="connsiteY8006"/>
            </a:cxn>
            <a:cxn ang="0">
              <a:pos x="connsiteX8007" y="connsiteY8007"/>
            </a:cxn>
            <a:cxn ang="0">
              <a:pos x="connsiteX8008" y="connsiteY8008"/>
            </a:cxn>
            <a:cxn ang="0">
              <a:pos x="connsiteX8009" y="connsiteY8009"/>
            </a:cxn>
            <a:cxn ang="0">
              <a:pos x="connsiteX8010" y="connsiteY8010"/>
            </a:cxn>
            <a:cxn ang="0">
              <a:pos x="connsiteX8011" y="connsiteY8011"/>
            </a:cxn>
            <a:cxn ang="0">
              <a:pos x="connsiteX8012" y="connsiteY8012"/>
            </a:cxn>
            <a:cxn ang="0">
              <a:pos x="connsiteX8013" y="connsiteY8013"/>
            </a:cxn>
            <a:cxn ang="0">
              <a:pos x="connsiteX8014" y="connsiteY8014"/>
            </a:cxn>
            <a:cxn ang="0">
              <a:pos x="connsiteX8015" y="connsiteY8015"/>
            </a:cxn>
            <a:cxn ang="0">
              <a:pos x="connsiteX8016" y="connsiteY8016"/>
            </a:cxn>
            <a:cxn ang="0">
              <a:pos x="connsiteX8017" y="connsiteY8017"/>
            </a:cxn>
            <a:cxn ang="0">
              <a:pos x="connsiteX8018" y="connsiteY8018"/>
            </a:cxn>
            <a:cxn ang="0">
              <a:pos x="connsiteX8019" y="connsiteY8019"/>
            </a:cxn>
            <a:cxn ang="0">
              <a:pos x="connsiteX8020" y="connsiteY8020"/>
            </a:cxn>
            <a:cxn ang="0">
              <a:pos x="connsiteX8021" y="connsiteY8021"/>
            </a:cxn>
            <a:cxn ang="0">
              <a:pos x="connsiteX8022" y="connsiteY8022"/>
            </a:cxn>
            <a:cxn ang="0">
              <a:pos x="connsiteX8023" y="connsiteY8023"/>
            </a:cxn>
            <a:cxn ang="0">
              <a:pos x="connsiteX8024" y="connsiteY8024"/>
            </a:cxn>
            <a:cxn ang="0">
              <a:pos x="connsiteX8025" y="connsiteY8025"/>
            </a:cxn>
            <a:cxn ang="0">
              <a:pos x="connsiteX8026" y="connsiteY8026"/>
            </a:cxn>
            <a:cxn ang="0">
              <a:pos x="connsiteX8027" y="connsiteY8027"/>
            </a:cxn>
            <a:cxn ang="0">
              <a:pos x="connsiteX8028" y="connsiteY8028"/>
            </a:cxn>
            <a:cxn ang="0">
              <a:pos x="connsiteX8029" y="connsiteY8029"/>
            </a:cxn>
            <a:cxn ang="0">
              <a:pos x="connsiteX8030" y="connsiteY8030"/>
            </a:cxn>
            <a:cxn ang="0">
              <a:pos x="connsiteX8031" y="connsiteY8031"/>
            </a:cxn>
            <a:cxn ang="0">
              <a:pos x="connsiteX8032" y="connsiteY8032"/>
            </a:cxn>
            <a:cxn ang="0">
              <a:pos x="connsiteX8033" y="connsiteY8033"/>
            </a:cxn>
            <a:cxn ang="0">
              <a:pos x="connsiteX8034" y="connsiteY8034"/>
            </a:cxn>
            <a:cxn ang="0">
              <a:pos x="connsiteX8035" y="connsiteY8035"/>
            </a:cxn>
            <a:cxn ang="0">
              <a:pos x="connsiteX8036" y="connsiteY8036"/>
            </a:cxn>
            <a:cxn ang="0">
              <a:pos x="connsiteX8037" y="connsiteY8037"/>
            </a:cxn>
            <a:cxn ang="0">
              <a:pos x="connsiteX8038" y="connsiteY8038"/>
            </a:cxn>
            <a:cxn ang="0">
              <a:pos x="connsiteX8039" y="connsiteY8039"/>
            </a:cxn>
            <a:cxn ang="0">
              <a:pos x="connsiteX8040" y="connsiteY8040"/>
            </a:cxn>
            <a:cxn ang="0">
              <a:pos x="connsiteX8041" y="connsiteY8041"/>
            </a:cxn>
            <a:cxn ang="0">
              <a:pos x="connsiteX8042" y="connsiteY8042"/>
            </a:cxn>
            <a:cxn ang="0">
              <a:pos x="connsiteX8043" y="connsiteY8043"/>
            </a:cxn>
            <a:cxn ang="0">
              <a:pos x="connsiteX8044" y="connsiteY8044"/>
            </a:cxn>
            <a:cxn ang="0">
              <a:pos x="connsiteX8045" y="connsiteY8045"/>
            </a:cxn>
            <a:cxn ang="0">
              <a:pos x="connsiteX8046" y="connsiteY8046"/>
            </a:cxn>
            <a:cxn ang="0">
              <a:pos x="connsiteX8047" y="connsiteY8047"/>
            </a:cxn>
            <a:cxn ang="0">
              <a:pos x="connsiteX8048" y="connsiteY8048"/>
            </a:cxn>
            <a:cxn ang="0">
              <a:pos x="connsiteX8049" y="connsiteY8049"/>
            </a:cxn>
            <a:cxn ang="0">
              <a:pos x="connsiteX8050" y="connsiteY8050"/>
            </a:cxn>
            <a:cxn ang="0">
              <a:pos x="connsiteX8051" y="connsiteY8051"/>
            </a:cxn>
            <a:cxn ang="0">
              <a:pos x="connsiteX8052" y="connsiteY8052"/>
            </a:cxn>
            <a:cxn ang="0">
              <a:pos x="connsiteX8053" y="connsiteY8053"/>
            </a:cxn>
            <a:cxn ang="0">
              <a:pos x="connsiteX8054" y="connsiteY8054"/>
            </a:cxn>
            <a:cxn ang="0">
              <a:pos x="connsiteX8055" y="connsiteY8055"/>
            </a:cxn>
            <a:cxn ang="0">
              <a:pos x="connsiteX8056" y="connsiteY8056"/>
            </a:cxn>
            <a:cxn ang="0">
              <a:pos x="connsiteX8057" y="connsiteY8057"/>
            </a:cxn>
            <a:cxn ang="0">
              <a:pos x="connsiteX8058" y="connsiteY8058"/>
            </a:cxn>
            <a:cxn ang="0">
              <a:pos x="connsiteX8059" y="connsiteY8059"/>
            </a:cxn>
            <a:cxn ang="0">
              <a:pos x="connsiteX8060" y="connsiteY8060"/>
            </a:cxn>
            <a:cxn ang="0">
              <a:pos x="connsiteX8061" y="connsiteY8061"/>
            </a:cxn>
            <a:cxn ang="0">
              <a:pos x="connsiteX8062" y="connsiteY8062"/>
            </a:cxn>
            <a:cxn ang="0">
              <a:pos x="connsiteX8063" y="connsiteY8063"/>
            </a:cxn>
            <a:cxn ang="0">
              <a:pos x="connsiteX8064" y="connsiteY8064"/>
            </a:cxn>
            <a:cxn ang="0">
              <a:pos x="connsiteX8065" y="connsiteY8065"/>
            </a:cxn>
            <a:cxn ang="0">
              <a:pos x="connsiteX8066" y="connsiteY8066"/>
            </a:cxn>
            <a:cxn ang="0">
              <a:pos x="connsiteX8067" y="connsiteY8067"/>
            </a:cxn>
            <a:cxn ang="0">
              <a:pos x="connsiteX8068" y="connsiteY8068"/>
            </a:cxn>
            <a:cxn ang="0">
              <a:pos x="connsiteX8069" y="connsiteY8069"/>
            </a:cxn>
            <a:cxn ang="0">
              <a:pos x="connsiteX8070" y="connsiteY8070"/>
            </a:cxn>
            <a:cxn ang="0">
              <a:pos x="connsiteX8071" y="connsiteY8071"/>
            </a:cxn>
            <a:cxn ang="0">
              <a:pos x="connsiteX8072" y="connsiteY8072"/>
            </a:cxn>
            <a:cxn ang="0">
              <a:pos x="connsiteX8073" y="connsiteY8073"/>
            </a:cxn>
            <a:cxn ang="0">
              <a:pos x="connsiteX8074" y="connsiteY8074"/>
            </a:cxn>
            <a:cxn ang="0">
              <a:pos x="connsiteX8075" y="connsiteY8075"/>
            </a:cxn>
            <a:cxn ang="0">
              <a:pos x="connsiteX8076" y="connsiteY8076"/>
            </a:cxn>
            <a:cxn ang="0">
              <a:pos x="connsiteX8077" y="connsiteY8077"/>
            </a:cxn>
            <a:cxn ang="0">
              <a:pos x="connsiteX8078" y="connsiteY8078"/>
            </a:cxn>
            <a:cxn ang="0">
              <a:pos x="connsiteX8079" y="connsiteY8079"/>
            </a:cxn>
            <a:cxn ang="0">
              <a:pos x="connsiteX8080" y="connsiteY8080"/>
            </a:cxn>
            <a:cxn ang="0">
              <a:pos x="connsiteX8081" y="connsiteY8081"/>
            </a:cxn>
            <a:cxn ang="0">
              <a:pos x="connsiteX8082" y="connsiteY8082"/>
            </a:cxn>
            <a:cxn ang="0">
              <a:pos x="connsiteX8083" y="connsiteY8083"/>
            </a:cxn>
            <a:cxn ang="0">
              <a:pos x="connsiteX8084" y="connsiteY8084"/>
            </a:cxn>
            <a:cxn ang="0">
              <a:pos x="connsiteX8085" y="connsiteY8085"/>
            </a:cxn>
            <a:cxn ang="0">
              <a:pos x="connsiteX8086" y="connsiteY8086"/>
            </a:cxn>
            <a:cxn ang="0">
              <a:pos x="connsiteX8087" y="connsiteY8087"/>
            </a:cxn>
            <a:cxn ang="0">
              <a:pos x="connsiteX8088" y="connsiteY8088"/>
            </a:cxn>
            <a:cxn ang="0">
              <a:pos x="connsiteX8089" y="connsiteY8089"/>
            </a:cxn>
            <a:cxn ang="0">
              <a:pos x="connsiteX8090" y="connsiteY8090"/>
            </a:cxn>
            <a:cxn ang="0">
              <a:pos x="connsiteX8091" y="connsiteY8091"/>
            </a:cxn>
            <a:cxn ang="0">
              <a:pos x="connsiteX8092" y="connsiteY8092"/>
            </a:cxn>
            <a:cxn ang="0">
              <a:pos x="connsiteX8093" y="connsiteY8093"/>
            </a:cxn>
            <a:cxn ang="0">
              <a:pos x="connsiteX8094" y="connsiteY8094"/>
            </a:cxn>
            <a:cxn ang="0">
              <a:pos x="connsiteX8095" y="connsiteY8095"/>
            </a:cxn>
            <a:cxn ang="0">
              <a:pos x="connsiteX8096" y="connsiteY8096"/>
            </a:cxn>
            <a:cxn ang="0">
              <a:pos x="connsiteX8097" y="connsiteY8097"/>
            </a:cxn>
            <a:cxn ang="0">
              <a:pos x="connsiteX8098" y="connsiteY8098"/>
            </a:cxn>
            <a:cxn ang="0">
              <a:pos x="connsiteX8099" y="connsiteY8099"/>
            </a:cxn>
            <a:cxn ang="0">
              <a:pos x="connsiteX8100" y="connsiteY8100"/>
            </a:cxn>
            <a:cxn ang="0">
              <a:pos x="connsiteX8101" y="connsiteY8101"/>
            </a:cxn>
            <a:cxn ang="0">
              <a:pos x="connsiteX8102" y="connsiteY8102"/>
            </a:cxn>
            <a:cxn ang="0">
              <a:pos x="connsiteX8103" y="connsiteY8103"/>
            </a:cxn>
            <a:cxn ang="0">
              <a:pos x="connsiteX8104" y="connsiteY8104"/>
            </a:cxn>
            <a:cxn ang="0">
              <a:pos x="connsiteX8105" y="connsiteY8105"/>
            </a:cxn>
            <a:cxn ang="0">
              <a:pos x="connsiteX8106" y="connsiteY8106"/>
            </a:cxn>
            <a:cxn ang="0">
              <a:pos x="connsiteX8107" y="connsiteY8107"/>
            </a:cxn>
            <a:cxn ang="0">
              <a:pos x="connsiteX8108" y="connsiteY8108"/>
            </a:cxn>
            <a:cxn ang="0">
              <a:pos x="connsiteX8109" y="connsiteY8109"/>
            </a:cxn>
            <a:cxn ang="0">
              <a:pos x="connsiteX8110" y="connsiteY8110"/>
            </a:cxn>
            <a:cxn ang="0">
              <a:pos x="connsiteX8111" y="connsiteY8111"/>
            </a:cxn>
            <a:cxn ang="0">
              <a:pos x="connsiteX8112" y="connsiteY8112"/>
            </a:cxn>
            <a:cxn ang="0">
              <a:pos x="connsiteX8113" y="connsiteY8113"/>
            </a:cxn>
            <a:cxn ang="0">
              <a:pos x="connsiteX8114" y="connsiteY8114"/>
            </a:cxn>
            <a:cxn ang="0">
              <a:pos x="connsiteX8115" y="connsiteY8115"/>
            </a:cxn>
            <a:cxn ang="0">
              <a:pos x="connsiteX8116" y="connsiteY8116"/>
            </a:cxn>
            <a:cxn ang="0">
              <a:pos x="connsiteX8117" y="connsiteY8117"/>
            </a:cxn>
            <a:cxn ang="0">
              <a:pos x="connsiteX8118" y="connsiteY8118"/>
            </a:cxn>
            <a:cxn ang="0">
              <a:pos x="connsiteX8119" y="connsiteY8119"/>
            </a:cxn>
            <a:cxn ang="0">
              <a:pos x="connsiteX8120" y="connsiteY8120"/>
            </a:cxn>
            <a:cxn ang="0">
              <a:pos x="connsiteX8121" y="connsiteY8121"/>
            </a:cxn>
            <a:cxn ang="0">
              <a:pos x="connsiteX8122" y="connsiteY8122"/>
            </a:cxn>
            <a:cxn ang="0">
              <a:pos x="connsiteX8123" y="connsiteY8123"/>
            </a:cxn>
            <a:cxn ang="0">
              <a:pos x="connsiteX8124" y="connsiteY8124"/>
            </a:cxn>
            <a:cxn ang="0">
              <a:pos x="connsiteX8125" y="connsiteY8125"/>
            </a:cxn>
            <a:cxn ang="0">
              <a:pos x="connsiteX8126" y="connsiteY8126"/>
            </a:cxn>
            <a:cxn ang="0">
              <a:pos x="connsiteX8127" y="connsiteY8127"/>
            </a:cxn>
            <a:cxn ang="0">
              <a:pos x="connsiteX8128" y="connsiteY8128"/>
            </a:cxn>
            <a:cxn ang="0">
              <a:pos x="connsiteX8129" y="connsiteY8129"/>
            </a:cxn>
            <a:cxn ang="0">
              <a:pos x="connsiteX8130" y="connsiteY8130"/>
            </a:cxn>
            <a:cxn ang="0">
              <a:pos x="connsiteX8131" y="connsiteY8131"/>
            </a:cxn>
            <a:cxn ang="0">
              <a:pos x="connsiteX8132" y="connsiteY8132"/>
            </a:cxn>
            <a:cxn ang="0">
              <a:pos x="connsiteX8133" y="connsiteY8133"/>
            </a:cxn>
            <a:cxn ang="0">
              <a:pos x="connsiteX8134" y="connsiteY8134"/>
            </a:cxn>
            <a:cxn ang="0">
              <a:pos x="connsiteX8135" y="connsiteY8135"/>
            </a:cxn>
            <a:cxn ang="0">
              <a:pos x="connsiteX8136" y="connsiteY8136"/>
            </a:cxn>
            <a:cxn ang="0">
              <a:pos x="connsiteX8137" y="connsiteY8137"/>
            </a:cxn>
            <a:cxn ang="0">
              <a:pos x="connsiteX8138" y="connsiteY8138"/>
            </a:cxn>
            <a:cxn ang="0">
              <a:pos x="connsiteX8139" y="connsiteY8139"/>
            </a:cxn>
            <a:cxn ang="0">
              <a:pos x="connsiteX8140" y="connsiteY8140"/>
            </a:cxn>
            <a:cxn ang="0">
              <a:pos x="connsiteX8141" y="connsiteY8141"/>
            </a:cxn>
            <a:cxn ang="0">
              <a:pos x="connsiteX8142" y="connsiteY8142"/>
            </a:cxn>
            <a:cxn ang="0">
              <a:pos x="connsiteX8143" y="connsiteY8143"/>
            </a:cxn>
            <a:cxn ang="0">
              <a:pos x="connsiteX8144" y="connsiteY8144"/>
            </a:cxn>
            <a:cxn ang="0">
              <a:pos x="connsiteX8145" y="connsiteY8145"/>
            </a:cxn>
            <a:cxn ang="0">
              <a:pos x="connsiteX8146" y="connsiteY8146"/>
            </a:cxn>
            <a:cxn ang="0">
              <a:pos x="connsiteX8147" y="connsiteY8147"/>
            </a:cxn>
            <a:cxn ang="0">
              <a:pos x="connsiteX8148" y="connsiteY8148"/>
            </a:cxn>
            <a:cxn ang="0">
              <a:pos x="connsiteX8149" y="connsiteY8149"/>
            </a:cxn>
            <a:cxn ang="0">
              <a:pos x="connsiteX8150" y="connsiteY8150"/>
            </a:cxn>
            <a:cxn ang="0">
              <a:pos x="connsiteX8151" y="connsiteY8151"/>
            </a:cxn>
            <a:cxn ang="0">
              <a:pos x="connsiteX8152" y="connsiteY8152"/>
            </a:cxn>
            <a:cxn ang="0">
              <a:pos x="connsiteX8153" y="connsiteY8153"/>
            </a:cxn>
            <a:cxn ang="0">
              <a:pos x="connsiteX8154" y="connsiteY8154"/>
            </a:cxn>
            <a:cxn ang="0">
              <a:pos x="connsiteX8155" y="connsiteY8155"/>
            </a:cxn>
            <a:cxn ang="0">
              <a:pos x="connsiteX8156" y="connsiteY8156"/>
            </a:cxn>
            <a:cxn ang="0">
              <a:pos x="connsiteX8157" y="connsiteY8157"/>
            </a:cxn>
            <a:cxn ang="0">
              <a:pos x="connsiteX8158" y="connsiteY8158"/>
            </a:cxn>
            <a:cxn ang="0">
              <a:pos x="connsiteX8159" y="connsiteY8159"/>
            </a:cxn>
            <a:cxn ang="0">
              <a:pos x="connsiteX8160" y="connsiteY8160"/>
            </a:cxn>
            <a:cxn ang="0">
              <a:pos x="connsiteX8161" y="connsiteY8161"/>
            </a:cxn>
            <a:cxn ang="0">
              <a:pos x="connsiteX8162" y="connsiteY8162"/>
            </a:cxn>
            <a:cxn ang="0">
              <a:pos x="connsiteX8163" y="connsiteY8163"/>
            </a:cxn>
            <a:cxn ang="0">
              <a:pos x="connsiteX8164" y="connsiteY8164"/>
            </a:cxn>
            <a:cxn ang="0">
              <a:pos x="connsiteX8165" y="connsiteY8165"/>
            </a:cxn>
            <a:cxn ang="0">
              <a:pos x="connsiteX8166" y="connsiteY8166"/>
            </a:cxn>
            <a:cxn ang="0">
              <a:pos x="connsiteX8167" y="connsiteY8167"/>
            </a:cxn>
            <a:cxn ang="0">
              <a:pos x="connsiteX8168" y="connsiteY8168"/>
            </a:cxn>
            <a:cxn ang="0">
              <a:pos x="connsiteX8169" y="connsiteY8169"/>
            </a:cxn>
            <a:cxn ang="0">
              <a:pos x="connsiteX8170" y="connsiteY8170"/>
            </a:cxn>
            <a:cxn ang="0">
              <a:pos x="connsiteX8171" y="connsiteY8171"/>
            </a:cxn>
            <a:cxn ang="0">
              <a:pos x="connsiteX8172" y="connsiteY8172"/>
            </a:cxn>
            <a:cxn ang="0">
              <a:pos x="connsiteX8173" y="connsiteY8173"/>
            </a:cxn>
            <a:cxn ang="0">
              <a:pos x="connsiteX8174" y="connsiteY8174"/>
            </a:cxn>
            <a:cxn ang="0">
              <a:pos x="connsiteX8175" y="connsiteY8175"/>
            </a:cxn>
            <a:cxn ang="0">
              <a:pos x="connsiteX8176" y="connsiteY8176"/>
            </a:cxn>
            <a:cxn ang="0">
              <a:pos x="connsiteX8177" y="connsiteY8177"/>
            </a:cxn>
            <a:cxn ang="0">
              <a:pos x="connsiteX8178" y="connsiteY8178"/>
            </a:cxn>
            <a:cxn ang="0">
              <a:pos x="connsiteX8179" y="connsiteY8179"/>
            </a:cxn>
            <a:cxn ang="0">
              <a:pos x="connsiteX8180" y="connsiteY8180"/>
            </a:cxn>
            <a:cxn ang="0">
              <a:pos x="connsiteX8181" y="connsiteY8181"/>
            </a:cxn>
            <a:cxn ang="0">
              <a:pos x="connsiteX8182" y="connsiteY8182"/>
            </a:cxn>
            <a:cxn ang="0">
              <a:pos x="connsiteX8183" y="connsiteY8183"/>
            </a:cxn>
            <a:cxn ang="0">
              <a:pos x="connsiteX8184" y="connsiteY8184"/>
            </a:cxn>
            <a:cxn ang="0">
              <a:pos x="connsiteX8185" y="connsiteY8185"/>
            </a:cxn>
            <a:cxn ang="0">
              <a:pos x="connsiteX8186" y="connsiteY8186"/>
            </a:cxn>
            <a:cxn ang="0">
              <a:pos x="connsiteX8187" y="connsiteY8187"/>
            </a:cxn>
            <a:cxn ang="0">
              <a:pos x="connsiteX8188" y="connsiteY8188"/>
            </a:cxn>
            <a:cxn ang="0">
              <a:pos x="connsiteX8189" y="connsiteY8189"/>
            </a:cxn>
            <a:cxn ang="0">
              <a:pos x="connsiteX8190" y="connsiteY8190"/>
            </a:cxn>
            <a:cxn ang="0">
              <a:pos x="connsiteX8191" y="connsiteY8191"/>
            </a:cxn>
            <a:cxn ang="0">
              <a:pos x="connsiteX8192" y="connsiteY8192"/>
            </a:cxn>
            <a:cxn ang="0">
              <a:pos x="connsiteX8193" y="connsiteY8193"/>
            </a:cxn>
            <a:cxn ang="0">
              <a:pos x="connsiteX8194" y="connsiteY8194"/>
            </a:cxn>
            <a:cxn ang="0">
              <a:pos x="connsiteX8195" y="connsiteY8195"/>
            </a:cxn>
            <a:cxn ang="0">
              <a:pos x="connsiteX8196" y="connsiteY8196"/>
            </a:cxn>
            <a:cxn ang="0">
              <a:pos x="connsiteX8197" y="connsiteY8197"/>
            </a:cxn>
            <a:cxn ang="0">
              <a:pos x="connsiteX8198" y="connsiteY8198"/>
            </a:cxn>
            <a:cxn ang="0">
              <a:pos x="connsiteX8199" y="connsiteY8199"/>
            </a:cxn>
            <a:cxn ang="0">
              <a:pos x="connsiteX8200" y="connsiteY8200"/>
            </a:cxn>
            <a:cxn ang="0">
              <a:pos x="connsiteX8201" y="connsiteY8201"/>
            </a:cxn>
            <a:cxn ang="0">
              <a:pos x="connsiteX8202" y="connsiteY8202"/>
            </a:cxn>
            <a:cxn ang="0">
              <a:pos x="connsiteX8203" y="connsiteY8203"/>
            </a:cxn>
            <a:cxn ang="0">
              <a:pos x="connsiteX8204" y="connsiteY8204"/>
            </a:cxn>
            <a:cxn ang="0">
              <a:pos x="connsiteX8205" y="connsiteY8205"/>
            </a:cxn>
            <a:cxn ang="0">
              <a:pos x="connsiteX8206" y="connsiteY8206"/>
            </a:cxn>
            <a:cxn ang="0">
              <a:pos x="connsiteX8207" y="connsiteY8207"/>
            </a:cxn>
            <a:cxn ang="0">
              <a:pos x="connsiteX8208" y="connsiteY8208"/>
            </a:cxn>
            <a:cxn ang="0">
              <a:pos x="connsiteX8209" y="connsiteY8209"/>
            </a:cxn>
            <a:cxn ang="0">
              <a:pos x="connsiteX8210" y="connsiteY8210"/>
            </a:cxn>
            <a:cxn ang="0">
              <a:pos x="connsiteX8211" y="connsiteY8211"/>
            </a:cxn>
            <a:cxn ang="0">
              <a:pos x="connsiteX8212" y="connsiteY8212"/>
            </a:cxn>
            <a:cxn ang="0">
              <a:pos x="connsiteX8213" y="connsiteY8213"/>
            </a:cxn>
            <a:cxn ang="0">
              <a:pos x="connsiteX8214" y="connsiteY8214"/>
            </a:cxn>
            <a:cxn ang="0">
              <a:pos x="connsiteX8215" y="connsiteY8215"/>
            </a:cxn>
            <a:cxn ang="0">
              <a:pos x="connsiteX8216" y="connsiteY8216"/>
            </a:cxn>
            <a:cxn ang="0">
              <a:pos x="connsiteX8217" y="connsiteY8217"/>
            </a:cxn>
            <a:cxn ang="0">
              <a:pos x="connsiteX8218" y="connsiteY8218"/>
            </a:cxn>
            <a:cxn ang="0">
              <a:pos x="connsiteX8219" y="connsiteY8219"/>
            </a:cxn>
            <a:cxn ang="0">
              <a:pos x="connsiteX8220" y="connsiteY8220"/>
            </a:cxn>
            <a:cxn ang="0">
              <a:pos x="connsiteX8221" y="connsiteY8221"/>
            </a:cxn>
            <a:cxn ang="0">
              <a:pos x="connsiteX8222" y="connsiteY8222"/>
            </a:cxn>
            <a:cxn ang="0">
              <a:pos x="connsiteX8223" y="connsiteY8223"/>
            </a:cxn>
            <a:cxn ang="0">
              <a:pos x="connsiteX8224" y="connsiteY8224"/>
            </a:cxn>
            <a:cxn ang="0">
              <a:pos x="connsiteX8225" y="connsiteY8225"/>
            </a:cxn>
            <a:cxn ang="0">
              <a:pos x="connsiteX8226" y="connsiteY8226"/>
            </a:cxn>
            <a:cxn ang="0">
              <a:pos x="connsiteX8227" y="connsiteY8227"/>
            </a:cxn>
            <a:cxn ang="0">
              <a:pos x="connsiteX8228" y="connsiteY8228"/>
            </a:cxn>
            <a:cxn ang="0">
              <a:pos x="connsiteX8229" y="connsiteY8229"/>
            </a:cxn>
            <a:cxn ang="0">
              <a:pos x="connsiteX8230" y="connsiteY8230"/>
            </a:cxn>
            <a:cxn ang="0">
              <a:pos x="connsiteX8231" y="connsiteY8231"/>
            </a:cxn>
            <a:cxn ang="0">
              <a:pos x="connsiteX8232" y="connsiteY8232"/>
            </a:cxn>
            <a:cxn ang="0">
              <a:pos x="connsiteX8233" y="connsiteY8233"/>
            </a:cxn>
            <a:cxn ang="0">
              <a:pos x="connsiteX8234" y="connsiteY8234"/>
            </a:cxn>
            <a:cxn ang="0">
              <a:pos x="connsiteX8235" y="connsiteY8235"/>
            </a:cxn>
            <a:cxn ang="0">
              <a:pos x="connsiteX8236" y="connsiteY8236"/>
            </a:cxn>
            <a:cxn ang="0">
              <a:pos x="connsiteX8237" y="connsiteY8237"/>
            </a:cxn>
            <a:cxn ang="0">
              <a:pos x="connsiteX8238" y="connsiteY8238"/>
            </a:cxn>
            <a:cxn ang="0">
              <a:pos x="connsiteX8239" y="connsiteY8239"/>
            </a:cxn>
            <a:cxn ang="0">
              <a:pos x="connsiteX8240" y="connsiteY8240"/>
            </a:cxn>
            <a:cxn ang="0">
              <a:pos x="connsiteX8241" y="connsiteY8241"/>
            </a:cxn>
            <a:cxn ang="0">
              <a:pos x="connsiteX8242" y="connsiteY8242"/>
            </a:cxn>
            <a:cxn ang="0">
              <a:pos x="connsiteX8243" y="connsiteY8243"/>
            </a:cxn>
            <a:cxn ang="0">
              <a:pos x="connsiteX8244" y="connsiteY8244"/>
            </a:cxn>
            <a:cxn ang="0">
              <a:pos x="connsiteX8245" y="connsiteY8245"/>
            </a:cxn>
            <a:cxn ang="0">
              <a:pos x="connsiteX8246" y="connsiteY8246"/>
            </a:cxn>
            <a:cxn ang="0">
              <a:pos x="connsiteX8247" y="connsiteY8247"/>
            </a:cxn>
            <a:cxn ang="0">
              <a:pos x="connsiteX8248" y="connsiteY8248"/>
            </a:cxn>
            <a:cxn ang="0">
              <a:pos x="connsiteX8249" y="connsiteY8249"/>
            </a:cxn>
            <a:cxn ang="0">
              <a:pos x="connsiteX8250" y="connsiteY8250"/>
            </a:cxn>
            <a:cxn ang="0">
              <a:pos x="connsiteX8251" y="connsiteY8251"/>
            </a:cxn>
            <a:cxn ang="0">
              <a:pos x="connsiteX8252" y="connsiteY8252"/>
            </a:cxn>
            <a:cxn ang="0">
              <a:pos x="connsiteX8253" y="connsiteY8253"/>
            </a:cxn>
            <a:cxn ang="0">
              <a:pos x="connsiteX8254" y="connsiteY8254"/>
            </a:cxn>
            <a:cxn ang="0">
              <a:pos x="connsiteX8255" y="connsiteY8255"/>
            </a:cxn>
            <a:cxn ang="0">
              <a:pos x="connsiteX8256" y="connsiteY8256"/>
            </a:cxn>
            <a:cxn ang="0">
              <a:pos x="connsiteX8257" y="connsiteY8257"/>
            </a:cxn>
            <a:cxn ang="0">
              <a:pos x="connsiteX8258" y="connsiteY8258"/>
            </a:cxn>
            <a:cxn ang="0">
              <a:pos x="connsiteX8259" y="connsiteY8259"/>
            </a:cxn>
            <a:cxn ang="0">
              <a:pos x="connsiteX8260" y="connsiteY8260"/>
            </a:cxn>
            <a:cxn ang="0">
              <a:pos x="connsiteX8261" y="connsiteY8261"/>
            </a:cxn>
            <a:cxn ang="0">
              <a:pos x="connsiteX8262" y="connsiteY8262"/>
            </a:cxn>
            <a:cxn ang="0">
              <a:pos x="connsiteX8263" y="connsiteY8263"/>
            </a:cxn>
            <a:cxn ang="0">
              <a:pos x="connsiteX8264" y="connsiteY8264"/>
            </a:cxn>
            <a:cxn ang="0">
              <a:pos x="connsiteX8265" y="connsiteY8265"/>
            </a:cxn>
            <a:cxn ang="0">
              <a:pos x="connsiteX8266" y="connsiteY8266"/>
            </a:cxn>
            <a:cxn ang="0">
              <a:pos x="connsiteX8267" y="connsiteY8267"/>
            </a:cxn>
            <a:cxn ang="0">
              <a:pos x="connsiteX8268" y="connsiteY8268"/>
            </a:cxn>
            <a:cxn ang="0">
              <a:pos x="connsiteX8269" y="connsiteY8269"/>
            </a:cxn>
            <a:cxn ang="0">
              <a:pos x="connsiteX8270" y="connsiteY8270"/>
            </a:cxn>
            <a:cxn ang="0">
              <a:pos x="connsiteX8271" y="connsiteY8271"/>
            </a:cxn>
            <a:cxn ang="0">
              <a:pos x="connsiteX8272" y="connsiteY8272"/>
            </a:cxn>
            <a:cxn ang="0">
              <a:pos x="connsiteX8273" y="connsiteY8273"/>
            </a:cxn>
            <a:cxn ang="0">
              <a:pos x="connsiteX8274" y="connsiteY8274"/>
            </a:cxn>
            <a:cxn ang="0">
              <a:pos x="connsiteX8275" y="connsiteY8275"/>
            </a:cxn>
            <a:cxn ang="0">
              <a:pos x="connsiteX8276" y="connsiteY8276"/>
            </a:cxn>
            <a:cxn ang="0">
              <a:pos x="connsiteX8277" y="connsiteY8277"/>
            </a:cxn>
            <a:cxn ang="0">
              <a:pos x="connsiteX8278" y="connsiteY8278"/>
            </a:cxn>
            <a:cxn ang="0">
              <a:pos x="connsiteX8279" y="connsiteY8279"/>
            </a:cxn>
            <a:cxn ang="0">
              <a:pos x="connsiteX8280" y="connsiteY8280"/>
            </a:cxn>
            <a:cxn ang="0">
              <a:pos x="connsiteX8281" y="connsiteY8281"/>
            </a:cxn>
            <a:cxn ang="0">
              <a:pos x="connsiteX8282" y="connsiteY8282"/>
            </a:cxn>
            <a:cxn ang="0">
              <a:pos x="connsiteX8283" y="connsiteY8283"/>
            </a:cxn>
            <a:cxn ang="0">
              <a:pos x="connsiteX8284" y="connsiteY8284"/>
            </a:cxn>
            <a:cxn ang="0">
              <a:pos x="connsiteX8285" y="connsiteY8285"/>
            </a:cxn>
            <a:cxn ang="0">
              <a:pos x="connsiteX8286" y="connsiteY8286"/>
            </a:cxn>
            <a:cxn ang="0">
              <a:pos x="connsiteX8287" y="connsiteY8287"/>
            </a:cxn>
            <a:cxn ang="0">
              <a:pos x="connsiteX8288" y="connsiteY8288"/>
            </a:cxn>
            <a:cxn ang="0">
              <a:pos x="connsiteX8289" y="connsiteY8289"/>
            </a:cxn>
            <a:cxn ang="0">
              <a:pos x="connsiteX8290" y="connsiteY8290"/>
            </a:cxn>
            <a:cxn ang="0">
              <a:pos x="connsiteX8291" y="connsiteY8291"/>
            </a:cxn>
            <a:cxn ang="0">
              <a:pos x="connsiteX8292" y="connsiteY8292"/>
            </a:cxn>
            <a:cxn ang="0">
              <a:pos x="connsiteX8293" y="connsiteY8293"/>
            </a:cxn>
            <a:cxn ang="0">
              <a:pos x="connsiteX8294" y="connsiteY8294"/>
            </a:cxn>
            <a:cxn ang="0">
              <a:pos x="connsiteX8295" y="connsiteY8295"/>
            </a:cxn>
            <a:cxn ang="0">
              <a:pos x="connsiteX8296" y="connsiteY8296"/>
            </a:cxn>
            <a:cxn ang="0">
              <a:pos x="connsiteX8297" y="connsiteY8297"/>
            </a:cxn>
            <a:cxn ang="0">
              <a:pos x="connsiteX8298" y="connsiteY8298"/>
            </a:cxn>
            <a:cxn ang="0">
              <a:pos x="connsiteX8299" y="connsiteY8299"/>
            </a:cxn>
            <a:cxn ang="0">
              <a:pos x="connsiteX8300" y="connsiteY8300"/>
            </a:cxn>
            <a:cxn ang="0">
              <a:pos x="connsiteX8301" y="connsiteY8301"/>
            </a:cxn>
            <a:cxn ang="0">
              <a:pos x="connsiteX8302" y="connsiteY8302"/>
            </a:cxn>
            <a:cxn ang="0">
              <a:pos x="connsiteX8303" y="connsiteY8303"/>
            </a:cxn>
            <a:cxn ang="0">
              <a:pos x="connsiteX8304" y="connsiteY8304"/>
            </a:cxn>
            <a:cxn ang="0">
              <a:pos x="connsiteX8305" y="connsiteY8305"/>
            </a:cxn>
            <a:cxn ang="0">
              <a:pos x="connsiteX8306" y="connsiteY8306"/>
            </a:cxn>
            <a:cxn ang="0">
              <a:pos x="connsiteX8307" y="connsiteY8307"/>
            </a:cxn>
            <a:cxn ang="0">
              <a:pos x="connsiteX8308" y="connsiteY8308"/>
            </a:cxn>
            <a:cxn ang="0">
              <a:pos x="connsiteX8309" y="connsiteY8309"/>
            </a:cxn>
            <a:cxn ang="0">
              <a:pos x="connsiteX8310" y="connsiteY8310"/>
            </a:cxn>
            <a:cxn ang="0">
              <a:pos x="connsiteX8311" y="connsiteY8311"/>
            </a:cxn>
            <a:cxn ang="0">
              <a:pos x="connsiteX8312" y="connsiteY8312"/>
            </a:cxn>
            <a:cxn ang="0">
              <a:pos x="connsiteX8313" y="connsiteY8313"/>
            </a:cxn>
            <a:cxn ang="0">
              <a:pos x="connsiteX8314" y="connsiteY8314"/>
            </a:cxn>
            <a:cxn ang="0">
              <a:pos x="connsiteX8315" y="connsiteY8315"/>
            </a:cxn>
            <a:cxn ang="0">
              <a:pos x="connsiteX8316" y="connsiteY8316"/>
            </a:cxn>
            <a:cxn ang="0">
              <a:pos x="connsiteX8317" y="connsiteY8317"/>
            </a:cxn>
            <a:cxn ang="0">
              <a:pos x="connsiteX8318" y="connsiteY8318"/>
            </a:cxn>
            <a:cxn ang="0">
              <a:pos x="connsiteX8319" y="connsiteY8319"/>
            </a:cxn>
            <a:cxn ang="0">
              <a:pos x="connsiteX8320" y="connsiteY8320"/>
            </a:cxn>
            <a:cxn ang="0">
              <a:pos x="connsiteX8321" y="connsiteY8321"/>
            </a:cxn>
            <a:cxn ang="0">
              <a:pos x="connsiteX8322" y="connsiteY8322"/>
            </a:cxn>
            <a:cxn ang="0">
              <a:pos x="connsiteX8323" y="connsiteY8323"/>
            </a:cxn>
            <a:cxn ang="0">
              <a:pos x="connsiteX8324" y="connsiteY8324"/>
            </a:cxn>
            <a:cxn ang="0">
              <a:pos x="connsiteX8325" y="connsiteY8325"/>
            </a:cxn>
            <a:cxn ang="0">
              <a:pos x="connsiteX8326" y="connsiteY8326"/>
            </a:cxn>
            <a:cxn ang="0">
              <a:pos x="connsiteX8327" y="connsiteY8327"/>
            </a:cxn>
            <a:cxn ang="0">
              <a:pos x="connsiteX8328" y="connsiteY8328"/>
            </a:cxn>
            <a:cxn ang="0">
              <a:pos x="connsiteX8329" y="connsiteY8329"/>
            </a:cxn>
            <a:cxn ang="0">
              <a:pos x="connsiteX8330" y="connsiteY8330"/>
            </a:cxn>
            <a:cxn ang="0">
              <a:pos x="connsiteX8331" y="connsiteY8331"/>
            </a:cxn>
            <a:cxn ang="0">
              <a:pos x="connsiteX8332" y="connsiteY8332"/>
            </a:cxn>
            <a:cxn ang="0">
              <a:pos x="connsiteX8333" y="connsiteY8333"/>
            </a:cxn>
            <a:cxn ang="0">
              <a:pos x="connsiteX8334" y="connsiteY8334"/>
            </a:cxn>
            <a:cxn ang="0">
              <a:pos x="connsiteX8335" y="connsiteY8335"/>
            </a:cxn>
            <a:cxn ang="0">
              <a:pos x="connsiteX8336" y="connsiteY8336"/>
            </a:cxn>
            <a:cxn ang="0">
              <a:pos x="connsiteX8337" y="connsiteY8337"/>
            </a:cxn>
            <a:cxn ang="0">
              <a:pos x="connsiteX8338" y="connsiteY8338"/>
            </a:cxn>
            <a:cxn ang="0">
              <a:pos x="connsiteX8339" y="connsiteY8339"/>
            </a:cxn>
            <a:cxn ang="0">
              <a:pos x="connsiteX8340" y="connsiteY8340"/>
            </a:cxn>
            <a:cxn ang="0">
              <a:pos x="connsiteX8341" y="connsiteY8341"/>
            </a:cxn>
            <a:cxn ang="0">
              <a:pos x="connsiteX8342" y="connsiteY8342"/>
            </a:cxn>
            <a:cxn ang="0">
              <a:pos x="connsiteX8343" y="connsiteY8343"/>
            </a:cxn>
            <a:cxn ang="0">
              <a:pos x="connsiteX8344" y="connsiteY8344"/>
            </a:cxn>
            <a:cxn ang="0">
              <a:pos x="connsiteX8345" y="connsiteY8345"/>
            </a:cxn>
            <a:cxn ang="0">
              <a:pos x="connsiteX8346" y="connsiteY8346"/>
            </a:cxn>
            <a:cxn ang="0">
              <a:pos x="connsiteX8347" y="connsiteY8347"/>
            </a:cxn>
            <a:cxn ang="0">
              <a:pos x="connsiteX8348" y="connsiteY8348"/>
            </a:cxn>
            <a:cxn ang="0">
              <a:pos x="connsiteX8349" y="connsiteY8349"/>
            </a:cxn>
            <a:cxn ang="0">
              <a:pos x="connsiteX8350" y="connsiteY8350"/>
            </a:cxn>
            <a:cxn ang="0">
              <a:pos x="connsiteX8351" y="connsiteY8351"/>
            </a:cxn>
            <a:cxn ang="0">
              <a:pos x="connsiteX8352" y="connsiteY8352"/>
            </a:cxn>
            <a:cxn ang="0">
              <a:pos x="connsiteX8353" y="connsiteY8353"/>
            </a:cxn>
            <a:cxn ang="0">
              <a:pos x="connsiteX8354" y="connsiteY8354"/>
            </a:cxn>
            <a:cxn ang="0">
              <a:pos x="connsiteX8355" y="connsiteY8355"/>
            </a:cxn>
            <a:cxn ang="0">
              <a:pos x="connsiteX8356" y="connsiteY8356"/>
            </a:cxn>
            <a:cxn ang="0">
              <a:pos x="connsiteX8357" y="connsiteY8357"/>
            </a:cxn>
            <a:cxn ang="0">
              <a:pos x="connsiteX8358" y="connsiteY8358"/>
            </a:cxn>
            <a:cxn ang="0">
              <a:pos x="connsiteX8359" y="connsiteY8359"/>
            </a:cxn>
            <a:cxn ang="0">
              <a:pos x="connsiteX8360" y="connsiteY8360"/>
            </a:cxn>
            <a:cxn ang="0">
              <a:pos x="connsiteX8361" y="connsiteY8361"/>
            </a:cxn>
            <a:cxn ang="0">
              <a:pos x="connsiteX8362" y="connsiteY8362"/>
            </a:cxn>
            <a:cxn ang="0">
              <a:pos x="connsiteX8363" y="connsiteY8363"/>
            </a:cxn>
            <a:cxn ang="0">
              <a:pos x="connsiteX8364" y="connsiteY8364"/>
            </a:cxn>
            <a:cxn ang="0">
              <a:pos x="connsiteX8365" y="connsiteY8365"/>
            </a:cxn>
            <a:cxn ang="0">
              <a:pos x="connsiteX8366" y="connsiteY8366"/>
            </a:cxn>
            <a:cxn ang="0">
              <a:pos x="connsiteX8367" y="connsiteY8367"/>
            </a:cxn>
            <a:cxn ang="0">
              <a:pos x="connsiteX8368" y="connsiteY8368"/>
            </a:cxn>
            <a:cxn ang="0">
              <a:pos x="connsiteX8369" y="connsiteY8369"/>
            </a:cxn>
            <a:cxn ang="0">
              <a:pos x="connsiteX8370" y="connsiteY8370"/>
            </a:cxn>
            <a:cxn ang="0">
              <a:pos x="connsiteX8371" y="connsiteY8371"/>
            </a:cxn>
            <a:cxn ang="0">
              <a:pos x="connsiteX8372" y="connsiteY8372"/>
            </a:cxn>
            <a:cxn ang="0">
              <a:pos x="connsiteX8373" y="connsiteY8373"/>
            </a:cxn>
            <a:cxn ang="0">
              <a:pos x="connsiteX8374" y="connsiteY8374"/>
            </a:cxn>
            <a:cxn ang="0">
              <a:pos x="connsiteX8375" y="connsiteY8375"/>
            </a:cxn>
            <a:cxn ang="0">
              <a:pos x="connsiteX8376" y="connsiteY8376"/>
            </a:cxn>
            <a:cxn ang="0">
              <a:pos x="connsiteX8377" y="connsiteY8377"/>
            </a:cxn>
            <a:cxn ang="0">
              <a:pos x="connsiteX8378" y="connsiteY8378"/>
            </a:cxn>
            <a:cxn ang="0">
              <a:pos x="connsiteX8379" y="connsiteY8379"/>
            </a:cxn>
            <a:cxn ang="0">
              <a:pos x="connsiteX8380" y="connsiteY8380"/>
            </a:cxn>
            <a:cxn ang="0">
              <a:pos x="connsiteX8381" y="connsiteY8381"/>
            </a:cxn>
            <a:cxn ang="0">
              <a:pos x="connsiteX8382" y="connsiteY8382"/>
            </a:cxn>
            <a:cxn ang="0">
              <a:pos x="connsiteX8383" y="connsiteY8383"/>
            </a:cxn>
            <a:cxn ang="0">
              <a:pos x="connsiteX8384" y="connsiteY8384"/>
            </a:cxn>
            <a:cxn ang="0">
              <a:pos x="connsiteX8385" y="connsiteY8385"/>
            </a:cxn>
            <a:cxn ang="0">
              <a:pos x="connsiteX8386" y="connsiteY8386"/>
            </a:cxn>
            <a:cxn ang="0">
              <a:pos x="connsiteX8387" y="connsiteY8387"/>
            </a:cxn>
            <a:cxn ang="0">
              <a:pos x="connsiteX8388" y="connsiteY8388"/>
            </a:cxn>
            <a:cxn ang="0">
              <a:pos x="connsiteX8389" y="connsiteY8389"/>
            </a:cxn>
            <a:cxn ang="0">
              <a:pos x="connsiteX8390" y="connsiteY8390"/>
            </a:cxn>
            <a:cxn ang="0">
              <a:pos x="connsiteX8391" y="connsiteY8391"/>
            </a:cxn>
            <a:cxn ang="0">
              <a:pos x="connsiteX8392" y="connsiteY8392"/>
            </a:cxn>
            <a:cxn ang="0">
              <a:pos x="connsiteX8393" y="connsiteY8393"/>
            </a:cxn>
            <a:cxn ang="0">
              <a:pos x="connsiteX8394" y="connsiteY8394"/>
            </a:cxn>
            <a:cxn ang="0">
              <a:pos x="connsiteX8395" y="connsiteY8395"/>
            </a:cxn>
            <a:cxn ang="0">
              <a:pos x="connsiteX8396" y="connsiteY8396"/>
            </a:cxn>
            <a:cxn ang="0">
              <a:pos x="connsiteX8397" y="connsiteY8397"/>
            </a:cxn>
            <a:cxn ang="0">
              <a:pos x="connsiteX8398" y="connsiteY8398"/>
            </a:cxn>
            <a:cxn ang="0">
              <a:pos x="connsiteX8399" y="connsiteY8399"/>
            </a:cxn>
            <a:cxn ang="0">
              <a:pos x="connsiteX8400" y="connsiteY8400"/>
            </a:cxn>
            <a:cxn ang="0">
              <a:pos x="connsiteX8401" y="connsiteY8401"/>
            </a:cxn>
            <a:cxn ang="0">
              <a:pos x="connsiteX8402" y="connsiteY8402"/>
            </a:cxn>
            <a:cxn ang="0">
              <a:pos x="connsiteX8403" y="connsiteY8403"/>
            </a:cxn>
            <a:cxn ang="0">
              <a:pos x="connsiteX8404" y="connsiteY8404"/>
            </a:cxn>
            <a:cxn ang="0">
              <a:pos x="connsiteX8405" y="connsiteY8405"/>
            </a:cxn>
            <a:cxn ang="0">
              <a:pos x="connsiteX8406" y="connsiteY8406"/>
            </a:cxn>
            <a:cxn ang="0">
              <a:pos x="connsiteX8407" y="connsiteY8407"/>
            </a:cxn>
            <a:cxn ang="0">
              <a:pos x="connsiteX8408" y="connsiteY8408"/>
            </a:cxn>
            <a:cxn ang="0">
              <a:pos x="connsiteX8409" y="connsiteY8409"/>
            </a:cxn>
            <a:cxn ang="0">
              <a:pos x="connsiteX8410" y="connsiteY8410"/>
            </a:cxn>
            <a:cxn ang="0">
              <a:pos x="connsiteX8411" y="connsiteY8411"/>
            </a:cxn>
            <a:cxn ang="0">
              <a:pos x="connsiteX8412" y="connsiteY8412"/>
            </a:cxn>
            <a:cxn ang="0">
              <a:pos x="connsiteX8413" y="connsiteY8413"/>
            </a:cxn>
            <a:cxn ang="0">
              <a:pos x="connsiteX8414" y="connsiteY8414"/>
            </a:cxn>
            <a:cxn ang="0">
              <a:pos x="connsiteX8415" y="connsiteY8415"/>
            </a:cxn>
            <a:cxn ang="0">
              <a:pos x="connsiteX8416" y="connsiteY8416"/>
            </a:cxn>
            <a:cxn ang="0">
              <a:pos x="connsiteX8417" y="connsiteY8417"/>
            </a:cxn>
            <a:cxn ang="0">
              <a:pos x="connsiteX8418" y="connsiteY8418"/>
            </a:cxn>
            <a:cxn ang="0">
              <a:pos x="connsiteX8419" y="connsiteY8419"/>
            </a:cxn>
            <a:cxn ang="0">
              <a:pos x="connsiteX8420" y="connsiteY8420"/>
            </a:cxn>
            <a:cxn ang="0">
              <a:pos x="connsiteX8421" y="connsiteY8421"/>
            </a:cxn>
            <a:cxn ang="0">
              <a:pos x="connsiteX8422" y="connsiteY8422"/>
            </a:cxn>
            <a:cxn ang="0">
              <a:pos x="connsiteX8423" y="connsiteY8423"/>
            </a:cxn>
            <a:cxn ang="0">
              <a:pos x="connsiteX8424" y="connsiteY8424"/>
            </a:cxn>
            <a:cxn ang="0">
              <a:pos x="connsiteX8425" y="connsiteY8425"/>
            </a:cxn>
            <a:cxn ang="0">
              <a:pos x="connsiteX8426" y="connsiteY8426"/>
            </a:cxn>
            <a:cxn ang="0">
              <a:pos x="connsiteX8427" y="connsiteY8427"/>
            </a:cxn>
            <a:cxn ang="0">
              <a:pos x="connsiteX8428" y="connsiteY8428"/>
            </a:cxn>
            <a:cxn ang="0">
              <a:pos x="connsiteX8429" y="connsiteY8429"/>
            </a:cxn>
            <a:cxn ang="0">
              <a:pos x="connsiteX8430" y="connsiteY8430"/>
            </a:cxn>
            <a:cxn ang="0">
              <a:pos x="connsiteX8431" y="connsiteY8431"/>
            </a:cxn>
            <a:cxn ang="0">
              <a:pos x="connsiteX8432" y="connsiteY8432"/>
            </a:cxn>
            <a:cxn ang="0">
              <a:pos x="connsiteX8433" y="connsiteY8433"/>
            </a:cxn>
            <a:cxn ang="0">
              <a:pos x="connsiteX8434" y="connsiteY8434"/>
            </a:cxn>
            <a:cxn ang="0">
              <a:pos x="connsiteX8435" y="connsiteY8435"/>
            </a:cxn>
            <a:cxn ang="0">
              <a:pos x="connsiteX8436" y="connsiteY8436"/>
            </a:cxn>
            <a:cxn ang="0">
              <a:pos x="connsiteX8437" y="connsiteY8437"/>
            </a:cxn>
            <a:cxn ang="0">
              <a:pos x="connsiteX8438" y="connsiteY8438"/>
            </a:cxn>
            <a:cxn ang="0">
              <a:pos x="connsiteX8439" y="connsiteY8439"/>
            </a:cxn>
            <a:cxn ang="0">
              <a:pos x="connsiteX8440" y="connsiteY8440"/>
            </a:cxn>
            <a:cxn ang="0">
              <a:pos x="connsiteX8441" y="connsiteY8441"/>
            </a:cxn>
            <a:cxn ang="0">
              <a:pos x="connsiteX8442" y="connsiteY8442"/>
            </a:cxn>
            <a:cxn ang="0">
              <a:pos x="connsiteX8443" y="connsiteY8443"/>
            </a:cxn>
            <a:cxn ang="0">
              <a:pos x="connsiteX8444" y="connsiteY8444"/>
            </a:cxn>
            <a:cxn ang="0">
              <a:pos x="connsiteX8445" y="connsiteY8445"/>
            </a:cxn>
            <a:cxn ang="0">
              <a:pos x="connsiteX8446" y="connsiteY8446"/>
            </a:cxn>
            <a:cxn ang="0">
              <a:pos x="connsiteX8447" y="connsiteY8447"/>
            </a:cxn>
            <a:cxn ang="0">
              <a:pos x="connsiteX8448" y="connsiteY8448"/>
            </a:cxn>
            <a:cxn ang="0">
              <a:pos x="connsiteX8449" y="connsiteY8449"/>
            </a:cxn>
            <a:cxn ang="0">
              <a:pos x="connsiteX8450" y="connsiteY8450"/>
            </a:cxn>
            <a:cxn ang="0">
              <a:pos x="connsiteX8451" y="connsiteY8451"/>
            </a:cxn>
            <a:cxn ang="0">
              <a:pos x="connsiteX8452" y="connsiteY8452"/>
            </a:cxn>
            <a:cxn ang="0">
              <a:pos x="connsiteX8453" y="connsiteY8453"/>
            </a:cxn>
            <a:cxn ang="0">
              <a:pos x="connsiteX8454" y="connsiteY8454"/>
            </a:cxn>
            <a:cxn ang="0">
              <a:pos x="connsiteX8455" y="connsiteY8455"/>
            </a:cxn>
            <a:cxn ang="0">
              <a:pos x="connsiteX8456" y="connsiteY8456"/>
            </a:cxn>
            <a:cxn ang="0">
              <a:pos x="connsiteX8457" y="connsiteY8457"/>
            </a:cxn>
            <a:cxn ang="0">
              <a:pos x="connsiteX8458" y="connsiteY8458"/>
            </a:cxn>
            <a:cxn ang="0">
              <a:pos x="connsiteX8459" y="connsiteY8459"/>
            </a:cxn>
            <a:cxn ang="0">
              <a:pos x="connsiteX8460" y="connsiteY8460"/>
            </a:cxn>
            <a:cxn ang="0">
              <a:pos x="connsiteX8461" y="connsiteY8461"/>
            </a:cxn>
            <a:cxn ang="0">
              <a:pos x="connsiteX8462" y="connsiteY8462"/>
            </a:cxn>
            <a:cxn ang="0">
              <a:pos x="connsiteX8463" y="connsiteY8463"/>
            </a:cxn>
            <a:cxn ang="0">
              <a:pos x="connsiteX8464" y="connsiteY8464"/>
            </a:cxn>
            <a:cxn ang="0">
              <a:pos x="connsiteX8465" y="connsiteY8465"/>
            </a:cxn>
            <a:cxn ang="0">
              <a:pos x="connsiteX8466" y="connsiteY8466"/>
            </a:cxn>
            <a:cxn ang="0">
              <a:pos x="connsiteX8467" y="connsiteY8467"/>
            </a:cxn>
            <a:cxn ang="0">
              <a:pos x="connsiteX8468" y="connsiteY8468"/>
            </a:cxn>
            <a:cxn ang="0">
              <a:pos x="connsiteX8469" y="connsiteY8469"/>
            </a:cxn>
            <a:cxn ang="0">
              <a:pos x="connsiteX8470" y="connsiteY8470"/>
            </a:cxn>
            <a:cxn ang="0">
              <a:pos x="connsiteX8471" y="connsiteY8471"/>
            </a:cxn>
            <a:cxn ang="0">
              <a:pos x="connsiteX8472" y="connsiteY8472"/>
            </a:cxn>
            <a:cxn ang="0">
              <a:pos x="connsiteX8473" y="connsiteY8473"/>
            </a:cxn>
            <a:cxn ang="0">
              <a:pos x="connsiteX8474" y="connsiteY8474"/>
            </a:cxn>
            <a:cxn ang="0">
              <a:pos x="connsiteX8475" y="connsiteY8475"/>
            </a:cxn>
            <a:cxn ang="0">
              <a:pos x="connsiteX8476" y="connsiteY8476"/>
            </a:cxn>
            <a:cxn ang="0">
              <a:pos x="connsiteX8477" y="connsiteY8477"/>
            </a:cxn>
            <a:cxn ang="0">
              <a:pos x="connsiteX8478" y="connsiteY8478"/>
            </a:cxn>
            <a:cxn ang="0">
              <a:pos x="connsiteX8479" y="connsiteY8479"/>
            </a:cxn>
            <a:cxn ang="0">
              <a:pos x="connsiteX8480" y="connsiteY8480"/>
            </a:cxn>
            <a:cxn ang="0">
              <a:pos x="connsiteX8481" y="connsiteY8481"/>
            </a:cxn>
            <a:cxn ang="0">
              <a:pos x="connsiteX8482" y="connsiteY8482"/>
            </a:cxn>
            <a:cxn ang="0">
              <a:pos x="connsiteX8483" y="connsiteY8483"/>
            </a:cxn>
            <a:cxn ang="0">
              <a:pos x="connsiteX8484" y="connsiteY8484"/>
            </a:cxn>
            <a:cxn ang="0">
              <a:pos x="connsiteX8485" y="connsiteY8485"/>
            </a:cxn>
            <a:cxn ang="0">
              <a:pos x="connsiteX8486" y="connsiteY8486"/>
            </a:cxn>
            <a:cxn ang="0">
              <a:pos x="connsiteX8487" y="connsiteY8487"/>
            </a:cxn>
            <a:cxn ang="0">
              <a:pos x="connsiteX8488" y="connsiteY8488"/>
            </a:cxn>
            <a:cxn ang="0">
              <a:pos x="connsiteX8489" y="connsiteY8489"/>
            </a:cxn>
            <a:cxn ang="0">
              <a:pos x="connsiteX8490" y="connsiteY8490"/>
            </a:cxn>
            <a:cxn ang="0">
              <a:pos x="connsiteX8491" y="connsiteY8491"/>
            </a:cxn>
            <a:cxn ang="0">
              <a:pos x="connsiteX8492" y="connsiteY8492"/>
            </a:cxn>
            <a:cxn ang="0">
              <a:pos x="connsiteX8493" y="connsiteY8493"/>
            </a:cxn>
            <a:cxn ang="0">
              <a:pos x="connsiteX8494" y="connsiteY8494"/>
            </a:cxn>
            <a:cxn ang="0">
              <a:pos x="connsiteX8495" y="connsiteY8495"/>
            </a:cxn>
            <a:cxn ang="0">
              <a:pos x="connsiteX8496" y="connsiteY8496"/>
            </a:cxn>
            <a:cxn ang="0">
              <a:pos x="connsiteX8497" y="connsiteY8497"/>
            </a:cxn>
            <a:cxn ang="0">
              <a:pos x="connsiteX8498" y="connsiteY8498"/>
            </a:cxn>
            <a:cxn ang="0">
              <a:pos x="connsiteX8499" y="connsiteY8499"/>
            </a:cxn>
            <a:cxn ang="0">
              <a:pos x="connsiteX8500" y="connsiteY8500"/>
            </a:cxn>
            <a:cxn ang="0">
              <a:pos x="connsiteX8501" y="connsiteY8501"/>
            </a:cxn>
            <a:cxn ang="0">
              <a:pos x="connsiteX8502" y="connsiteY8502"/>
            </a:cxn>
            <a:cxn ang="0">
              <a:pos x="connsiteX8503" y="connsiteY8503"/>
            </a:cxn>
            <a:cxn ang="0">
              <a:pos x="connsiteX8504" y="connsiteY8504"/>
            </a:cxn>
            <a:cxn ang="0">
              <a:pos x="connsiteX8505" y="connsiteY8505"/>
            </a:cxn>
            <a:cxn ang="0">
              <a:pos x="connsiteX8506" y="connsiteY8506"/>
            </a:cxn>
            <a:cxn ang="0">
              <a:pos x="connsiteX8507" y="connsiteY8507"/>
            </a:cxn>
            <a:cxn ang="0">
              <a:pos x="connsiteX8508" y="connsiteY8508"/>
            </a:cxn>
            <a:cxn ang="0">
              <a:pos x="connsiteX8509" y="connsiteY8509"/>
            </a:cxn>
            <a:cxn ang="0">
              <a:pos x="connsiteX8510" y="connsiteY8510"/>
            </a:cxn>
            <a:cxn ang="0">
              <a:pos x="connsiteX8511" y="connsiteY8511"/>
            </a:cxn>
            <a:cxn ang="0">
              <a:pos x="connsiteX8512" y="connsiteY8512"/>
            </a:cxn>
            <a:cxn ang="0">
              <a:pos x="connsiteX8513" y="connsiteY8513"/>
            </a:cxn>
            <a:cxn ang="0">
              <a:pos x="connsiteX8514" y="connsiteY8514"/>
            </a:cxn>
            <a:cxn ang="0">
              <a:pos x="connsiteX8515" y="connsiteY8515"/>
            </a:cxn>
            <a:cxn ang="0">
              <a:pos x="connsiteX8516" y="connsiteY8516"/>
            </a:cxn>
            <a:cxn ang="0">
              <a:pos x="connsiteX8517" y="connsiteY8517"/>
            </a:cxn>
            <a:cxn ang="0">
              <a:pos x="connsiteX8518" y="connsiteY8518"/>
            </a:cxn>
            <a:cxn ang="0">
              <a:pos x="connsiteX8519" y="connsiteY8519"/>
            </a:cxn>
            <a:cxn ang="0">
              <a:pos x="connsiteX8520" y="connsiteY8520"/>
            </a:cxn>
            <a:cxn ang="0">
              <a:pos x="connsiteX8521" y="connsiteY8521"/>
            </a:cxn>
            <a:cxn ang="0">
              <a:pos x="connsiteX8522" y="connsiteY8522"/>
            </a:cxn>
            <a:cxn ang="0">
              <a:pos x="connsiteX8523" y="connsiteY8523"/>
            </a:cxn>
            <a:cxn ang="0">
              <a:pos x="connsiteX8524" y="connsiteY8524"/>
            </a:cxn>
            <a:cxn ang="0">
              <a:pos x="connsiteX8525" y="connsiteY8525"/>
            </a:cxn>
            <a:cxn ang="0">
              <a:pos x="connsiteX8526" y="connsiteY8526"/>
            </a:cxn>
            <a:cxn ang="0">
              <a:pos x="connsiteX8527" y="connsiteY8527"/>
            </a:cxn>
            <a:cxn ang="0">
              <a:pos x="connsiteX8528" y="connsiteY8528"/>
            </a:cxn>
            <a:cxn ang="0">
              <a:pos x="connsiteX8529" y="connsiteY8529"/>
            </a:cxn>
            <a:cxn ang="0">
              <a:pos x="connsiteX8530" y="connsiteY8530"/>
            </a:cxn>
            <a:cxn ang="0">
              <a:pos x="connsiteX8531" y="connsiteY8531"/>
            </a:cxn>
            <a:cxn ang="0">
              <a:pos x="connsiteX8532" y="connsiteY8532"/>
            </a:cxn>
            <a:cxn ang="0">
              <a:pos x="connsiteX8533" y="connsiteY8533"/>
            </a:cxn>
            <a:cxn ang="0">
              <a:pos x="connsiteX8534" y="connsiteY8534"/>
            </a:cxn>
            <a:cxn ang="0">
              <a:pos x="connsiteX8535" y="connsiteY8535"/>
            </a:cxn>
            <a:cxn ang="0">
              <a:pos x="connsiteX8536" y="connsiteY8536"/>
            </a:cxn>
            <a:cxn ang="0">
              <a:pos x="connsiteX8537" y="connsiteY8537"/>
            </a:cxn>
            <a:cxn ang="0">
              <a:pos x="connsiteX8538" y="connsiteY8538"/>
            </a:cxn>
            <a:cxn ang="0">
              <a:pos x="connsiteX8539" y="connsiteY8539"/>
            </a:cxn>
            <a:cxn ang="0">
              <a:pos x="connsiteX8540" y="connsiteY8540"/>
            </a:cxn>
            <a:cxn ang="0">
              <a:pos x="connsiteX8541" y="connsiteY8541"/>
            </a:cxn>
            <a:cxn ang="0">
              <a:pos x="connsiteX8542" y="connsiteY8542"/>
            </a:cxn>
            <a:cxn ang="0">
              <a:pos x="connsiteX8543" y="connsiteY8543"/>
            </a:cxn>
            <a:cxn ang="0">
              <a:pos x="connsiteX8544" y="connsiteY8544"/>
            </a:cxn>
            <a:cxn ang="0">
              <a:pos x="connsiteX8545" y="connsiteY8545"/>
            </a:cxn>
            <a:cxn ang="0">
              <a:pos x="connsiteX8546" y="connsiteY8546"/>
            </a:cxn>
            <a:cxn ang="0">
              <a:pos x="connsiteX8547" y="connsiteY8547"/>
            </a:cxn>
            <a:cxn ang="0">
              <a:pos x="connsiteX8548" y="connsiteY8548"/>
            </a:cxn>
            <a:cxn ang="0">
              <a:pos x="connsiteX8549" y="connsiteY8549"/>
            </a:cxn>
            <a:cxn ang="0">
              <a:pos x="connsiteX8550" y="connsiteY8550"/>
            </a:cxn>
            <a:cxn ang="0">
              <a:pos x="connsiteX8551" y="connsiteY8551"/>
            </a:cxn>
            <a:cxn ang="0">
              <a:pos x="connsiteX8552" y="connsiteY8552"/>
            </a:cxn>
            <a:cxn ang="0">
              <a:pos x="connsiteX8553" y="connsiteY8553"/>
            </a:cxn>
            <a:cxn ang="0">
              <a:pos x="connsiteX8554" y="connsiteY8554"/>
            </a:cxn>
            <a:cxn ang="0">
              <a:pos x="connsiteX8555" y="connsiteY8555"/>
            </a:cxn>
            <a:cxn ang="0">
              <a:pos x="connsiteX8556" y="connsiteY8556"/>
            </a:cxn>
            <a:cxn ang="0">
              <a:pos x="connsiteX8557" y="connsiteY8557"/>
            </a:cxn>
            <a:cxn ang="0">
              <a:pos x="connsiteX8558" y="connsiteY8558"/>
            </a:cxn>
            <a:cxn ang="0">
              <a:pos x="connsiteX8559" y="connsiteY8559"/>
            </a:cxn>
            <a:cxn ang="0">
              <a:pos x="connsiteX8560" y="connsiteY8560"/>
            </a:cxn>
            <a:cxn ang="0">
              <a:pos x="connsiteX8561" y="connsiteY8561"/>
            </a:cxn>
            <a:cxn ang="0">
              <a:pos x="connsiteX8562" y="connsiteY8562"/>
            </a:cxn>
            <a:cxn ang="0">
              <a:pos x="connsiteX8563" y="connsiteY8563"/>
            </a:cxn>
            <a:cxn ang="0">
              <a:pos x="connsiteX8564" y="connsiteY8564"/>
            </a:cxn>
            <a:cxn ang="0">
              <a:pos x="connsiteX8565" y="connsiteY8565"/>
            </a:cxn>
            <a:cxn ang="0">
              <a:pos x="connsiteX8566" y="connsiteY8566"/>
            </a:cxn>
            <a:cxn ang="0">
              <a:pos x="connsiteX8567" y="connsiteY8567"/>
            </a:cxn>
            <a:cxn ang="0">
              <a:pos x="connsiteX8568" y="connsiteY8568"/>
            </a:cxn>
            <a:cxn ang="0">
              <a:pos x="connsiteX8569" y="connsiteY8569"/>
            </a:cxn>
            <a:cxn ang="0">
              <a:pos x="connsiteX8570" y="connsiteY8570"/>
            </a:cxn>
            <a:cxn ang="0">
              <a:pos x="connsiteX8571" y="connsiteY8571"/>
            </a:cxn>
            <a:cxn ang="0">
              <a:pos x="connsiteX8572" y="connsiteY8572"/>
            </a:cxn>
            <a:cxn ang="0">
              <a:pos x="connsiteX8573" y="connsiteY8573"/>
            </a:cxn>
            <a:cxn ang="0">
              <a:pos x="connsiteX8574" y="connsiteY8574"/>
            </a:cxn>
            <a:cxn ang="0">
              <a:pos x="connsiteX8575" y="connsiteY8575"/>
            </a:cxn>
            <a:cxn ang="0">
              <a:pos x="connsiteX8576" y="connsiteY8576"/>
            </a:cxn>
            <a:cxn ang="0">
              <a:pos x="connsiteX8577" y="connsiteY8577"/>
            </a:cxn>
            <a:cxn ang="0">
              <a:pos x="connsiteX8578" y="connsiteY8578"/>
            </a:cxn>
            <a:cxn ang="0">
              <a:pos x="connsiteX8579" y="connsiteY8579"/>
            </a:cxn>
            <a:cxn ang="0">
              <a:pos x="connsiteX8580" y="connsiteY8580"/>
            </a:cxn>
            <a:cxn ang="0">
              <a:pos x="connsiteX8581" y="connsiteY8581"/>
            </a:cxn>
            <a:cxn ang="0">
              <a:pos x="connsiteX8582" y="connsiteY8582"/>
            </a:cxn>
            <a:cxn ang="0">
              <a:pos x="connsiteX8583" y="connsiteY8583"/>
            </a:cxn>
            <a:cxn ang="0">
              <a:pos x="connsiteX8584" y="connsiteY8584"/>
            </a:cxn>
            <a:cxn ang="0">
              <a:pos x="connsiteX8585" y="connsiteY8585"/>
            </a:cxn>
            <a:cxn ang="0">
              <a:pos x="connsiteX8586" y="connsiteY8586"/>
            </a:cxn>
            <a:cxn ang="0">
              <a:pos x="connsiteX8587" y="connsiteY8587"/>
            </a:cxn>
            <a:cxn ang="0">
              <a:pos x="connsiteX8588" y="connsiteY8588"/>
            </a:cxn>
            <a:cxn ang="0">
              <a:pos x="connsiteX8589" y="connsiteY8589"/>
            </a:cxn>
            <a:cxn ang="0">
              <a:pos x="connsiteX8590" y="connsiteY8590"/>
            </a:cxn>
            <a:cxn ang="0">
              <a:pos x="connsiteX8591" y="connsiteY8591"/>
            </a:cxn>
            <a:cxn ang="0">
              <a:pos x="connsiteX8592" y="connsiteY8592"/>
            </a:cxn>
            <a:cxn ang="0">
              <a:pos x="connsiteX8593" y="connsiteY8593"/>
            </a:cxn>
            <a:cxn ang="0">
              <a:pos x="connsiteX8594" y="connsiteY8594"/>
            </a:cxn>
            <a:cxn ang="0">
              <a:pos x="connsiteX8595" y="connsiteY8595"/>
            </a:cxn>
            <a:cxn ang="0">
              <a:pos x="connsiteX8596" y="connsiteY8596"/>
            </a:cxn>
            <a:cxn ang="0">
              <a:pos x="connsiteX8597" y="connsiteY8597"/>
            </a:cxn>
            <a:cxn ang="0">
              <a:pos x="connsiteX8598" y="connsiteY8598"/>
            </a:cxn>
            <a:cxn ang="0">
              <a:pos x="connsiteX8599" y="connsiteY8599"/>
            </a:cxn>
            <a:cxn ang="0">
              <a:pos x="connsiteX8600" y="connsiteY8600"/>
            </a:cxn>
            <a:cxn ang="0">
              <a:pos x="connsiteX8601" y="connsiteY8601"/>
            </a:cxn>
            <a:cxn ang="0">
              <a:pos x="connsiteX8602" y="connsiteY8602"/>
            </a:cxn>
            <a:cxn ang="0">
              <a:pos x="connsiteX8603" y="connsiteY8603"/>
            </a:cxn>
            <a:cxn ang="0">
              <a:pos x="connsiteX8604" y="connsiteY8604"/>
            </a:cxn>
            <a:cxn ang="0">
              <a:pos x="connsiteX8605" y="connsiteY8605"/>
            </a:cxn>
            <a:cxn ang="0">
              <a:pos x="connsiteX8606" y="connsiteY8606"/>
            </a:cxn>
            <a:cxn ang="0">
              <a:pos x="connsiteX8607" y="connsiteY8607"/>
            </a:cxn>
            <a:cxn ang="0">
              <a:pos x="connsiteX8608" y="connsiteY8608"/>
            </a:cxn>
            <a:cxn ang="0">
              <a:pos x="connsiteX8609" y="connsiteY8609"/>
            </a:cxn>
            <a:cxn ang="0">
              <a:pos x="connsiteX8610" y="connsiteY8610"/>
            </a:cxn>
            <a:cxn ang="0">
              <a:pos x="connsiteX8611" y="connsiteY8611"/>
            </a:cxn>
            <a:cxn ang="0">
              <a:pos x="connsiteX8612" y="connsiteY8612"/>
            </a:cxn>
            <a:cxn ang="0">
              <a:pos x="connsiteX8613" y="connsiteY8613"/>
            </a:cxn>
            <a:cxn ang="0">
              <a:pos x="connsiteX8614" y="connsiteY8614"/>
            </a:cxn>
            <a:cxn ang="0">
              <a:pos x="connsiteX8615" y="connsiteY8615"/>
            </a:cxn>
            <a:cxn ang="0">
              <a:pos x="connsiteX8616" y="connsiteY8616"/>
            </a:cxn>
            <a:cxn ang="0">
              <a:pos x="connsiteX8617" y="connsiteY8617"/>
            </a:cxn>
            <a:cxn ang="0">
              <a:pos x="connsiteX8618" y="connsiteY8618"/>
            </a:cxn>
            <a:cxn ang="0">
              <a:pos x="connsiteX8619" y="connsiteY8619"/>
            </a:cxn>
            <a:cxn ang="0">
              <a:pos x="connsiteX8620" y="connsiteY8620"/>
            </a:cxn>
            <a:cxn ang="0">
              <a:pos x="connsiteX8621" y="connsiteY8621"/>
            </a:cxn>
            <a:cxn ang="0">
              <a:pos x="connsiteX8622" y="connsiteY8622"/>
            </a:cxn>
            <a:cxn ang="0">
              <a:pos x="connsiteX8623" y="connsiteY8623"/>
            </a:cxn>
            <a:cxn ang="0">
              <a:pos x="connsiteX8624" y="connsiteY8624"/>
            </a:cxn>
            <a:cxn ang="0">
              <a:pos x="connsiteX8625" y="connsiteY8625"/>
            </a:cxn>
            <a:cxn ang="0">
              <a:pos x="connsiteX8626" y="connsiteY8626"/>
            </a:cxn>
            <a:cxn ang="0">
              <a:pos x="connsiteX8627" y="connsiteY8627"/>
            </a:cxn>
            <a:cxn ang="0">
              <a:pos x="connsiteX8628" y="connsiteY8628"/>
            </a:cxn>
            <a:cxn ang="0">
              <a:pos x="connsiteX8629" y="connsiteY8629"/>
            </a:cxn>
            <a:cxn ang="0">
              <a:pos x="connsiteX8630" y="connsiteY8630"/>
            </a:cxn>
            <a:cxn ang="0">
              <a:pos x="connsiteX8631" y="connsiteY8631"/>
            </a:cxn>
            <a:cxn ang="0">
              <a:pos x="connsiteX8632" y="connsiteY8632"/>
            </a:cxn>
            <a:cxn ang="0">
              <a:pos x="connsiteX8633" y="connsiteY8633"/>
            </a:cxn>
            <a:cxn ang="0">
              <a:pos x="connsiteX8634" y="connsiteY8634"/>
            </a:cxn>
            <a:cxn ang="0">
              <a:pos x="connsiteX8635" y="connsiteY8635"/>
            </a:cxn>
            <a:cxn ang="0">
              <a:pos x="connsiteX8636" y="connsiteY8636"/>
            </a:cxn>
            <a:cxn ang="0">
              <a:pos x="connsiteX8637" y="connsiteY8637"/>
            </a:cxn>
            <a:cxn ang="0">
              <a:pos x="connsiteX8638" y="connsiteY8638"/>
            </a:cxn>
            <a:cxn ang="0">
              <a:pos x="connsiteX8639" y="connsiteY8639"/>
            </a:cxn>
            <a:cxn ang="0">
              <a:pos x="connsiteX8640" y="connsiteY8640"/>
            </a:cxn>
            <a:cxn ang="0">
              <a:pos x="connsiteX8641" y="connsiteY8641"/>
            </a:cxn>
            <a:cxn ang="0">
              <a:pos x="connsiteX8642" y="connsiteY8642"/>
            </a:cxn>
            <a:cxn ang="0">
              <a:pos x="connsiteX8643" y="connsiteY8643"/>
            </a:cxn>
            <a:cxn ang="0">
              <a:pos x="connsiteX8644" y="connsiteY8644"/>
            </a:cxn>
            <a:cxn ang="0">
              <a:pos x="connsiteX8645" y="connsiteY8645"/>
            </a:cxn>
            <a:cxn ang="0">
              <a:pos x="connsiteX8646" y="connsiteY8646"/>
            </a:cxn>
            <a:cxn ang="0">
              <a:pos x="connsiteX8647" y="connsiteY8647"/>
            </a:cxn>
            <a:cxn ang="0">
              <a:pos x="connsiteX8648" y="connsiteY8648"/>
            </a:cxn>
            <a:cxn ang="0">
              <a:pos x="connsiteX8649" y="connsiteY8649"/>
            </a:cxn>
            <a:cxn ang="0">
              <a:pos x="connsiteX8650" y="connsiteY8650"/>
            </a:cxn>
            <a:cxn ang="0">
              <a:pos x="connsiteX8651" y="connsiteY8651"/>
            </a:cxn>
            <a:cxn ang="0">
              <a:pos x="connsiteX8652" y="connsiteY8652"/>
            </a:cxn>
            <a:cxn ang="0">
              <a:pos x="connsiteX8653" y="connsiteY8653"/>
            </a:cxn>
            <a:cxn ang="0">
              <a:pos x="connsiteX8654" y="connsiteY8654"/>
            </a:cxn>
            <a:cxn ang="0">
              <a:pos x="connsiteX8655" y="connsiteY8655"/>
            </a:cxn>
            <a:cxn ang="0">
              <a:pos x="connsiteX8656" y="connsiteY8656"/>
            </a:cxn>
            <a:cxn ang="0">
              <a:pos x="connsiteX8657" y="connsiteY8657"/>
            </a:cxn>
            <a:cxn ang="0">
              <a:pos x="connsiteX8658" y="connsiteY8658"/>
            </a:cxn>
            <a:cxn ang="0">
              <a:pos x="connsiteX8659" y="connsiteY8659"/>
            </a:cxn>
            <a:cxn ang="0">
              <a:pos x="connsiteX8660" y="connsiteY8660"/>
            </a:cxn>
            <a:cxn ang="0">
              <a:pos x="connsiteX8661" y="connsiteY8661"/>
            </a:cxn>
            <a:cxn ang="0">
              <a:pos x="connsiteX8662" y="connsiteY8662"/>
            </a:cxn>
            <a:cxn ang="0">
              <a:pos x="connsiteX8663" y="connsiteY8663"/>
            </a:cxn>
            <a:cxn ang="0">
              <a:pos x="connsiteX8664" y="connsiteY8664"/>
            </a:cxn>
            <a:cxn ang="0">
              <a:pos x="connsiteX8665" y="connsiteY8665"/>
            </a:cxn>
            <a:cxn ang="0">
              <a:pos x="connsiteX8666" y="connsiteY8666"/>
            </a:cxn>
            <a:cxn ang="0">
              <a:pos x="connsiteX8667" y="connsiteY8667"/>
            </a:cxn>
            <a:cxn ang="0">
              <a:pos x="connsiteX8668" y="connsiteY8668"/>
            </a:cxn>
            <a:cxn ang="0">
              <a:pos x="connsiteX8669" y="connsiteY8669"/>
            </a:cxn>
            <a:cxn ang="0">
              <a:pos x="connsiteX8670" y="connsiteY8670"/>
            </a:cxn>
            <a:cxn ang="0">
              <a:pos x="connsiteX8671" y="connsiteY8671"/>
            </a:cxn>
            <a:cxn ang="0">
              <a:pos x="connsiteX8672" y="connsiteY8672"/>
            </a:cxn>
            <a:cxn ang="0">
              <a:pos x="connsiteX8673" y="connsiteY8673"/>
            </a:cxn>
            <a:cxn ang="0">
              <a:pos x="connsiteX8674" y="connsiteY8674"/>
            </a:cxn>
            <a:cxn ang="0">
              <a:pos x="connsiteX8675" y="connsiteY8675"/>
            </a:cxn>
            <a:cxn ang="0">
              <a:pos x="connsiteX8676" y="connsiteY8676"/>
            </a:cxn>
            <a:cxn ang="0">
              <a:pos x="connsiteX8677" y="connsiteY8677"/>
            </a:cxn>
            <a:cxn ang="0">
              <a:pos x="connsiteX8678" y="connsiteY8678"/>
            </a:cxn>
            <a:cxn ang="0">
              <a:pos x="connsiteX8679" y="connsiteY8679"/>
            </a:cxn>
            <a:cxn ang="0">
              <a:pos x="connsiteX8680" y="connsiteY8680"/>
            </a:cxn>
            <a:cxn ang="0">
              <a:pos x="connsiteX8681" y="connsiteY8681"/>
            </a:cxn>
            <a:cxn ang="0">
              <a:pos x="connsiteX8682" y="connsiteY8682"/>
            </a:cxn>
            <a:cxn ang="0">
              <a:pos x="connsiteX8683" y="connsiteY8683"/>
            </a:cxn>
            <a:cxn ang="0">
              <a:pos x="connsiteX8684" y="connsiteY8684"/>
            </a:cxn>
            <a:cxn ang="0">
              <a:pos x="connsiteX8685" y="connsiteY8685"/>
            </a:cxn>
            <a:cxn ang="0">
              <a:pos x="connsiteX8686" y="connsiteY8686"/>
            </a:cxn>
            <a:cxn ang="0">
              <a:pos x="connsiteX8687" y="connsiteY8687"/>
            </a:cxn>
            <a:cxn ang="0">
              <a:pos x="connsiteX8688" y="connsiteY8688"/>
            </a:cxn>
            <a:cxn ang="0">
              <a:pos x="connsiteX8689" y="connsiteY8689"/>
            </a:cxn>
            <a:cxn ang="0">
              <a:pos x="connsiteX8690" y="connsiteY8690"/>
            </a:cxn>
            <a:cxn ang="0">
              <a:pos x="connsiteX8691" y="connsiteY8691"/>
            </a:cxn>
            <a:cxn ang="0">
              <a:pos x="connsiteX8692" y="connsiteY8692"/>
            </a:cxn>
            <a:cxn ang="0">
              <a:pos x="connsiteX8693" y="connsiteY8693"/>
            </a:cxn>
            <a:cxn ang="0">
              <a:pos x="connsiteX8694" y="connsiteY8694"/>
            </a:cxn>
            <a:cxn ang="0">
              <a:pos x="connsiteX8695" y="connsiteY8695"/>
            </a:cxn>
            <a:cxn ang="0">
              <a:pos x="connsiteX8696" y="connsiteY8696"/>
            </a:cxn>
            <a:cxn ang="0">
              <a:pos x="connsiteX8697" y="connsiteY8697"/>
            </a:cxn>
            <a:cxn ang="0">
              <a:pos x="connsiteX8698" y="connsiteY8698"/>
            </a:cxn>
            <a:cxn ang="0">
              <a:pos x="connsiteX8699" y="connsiteY8699"/>
            </a:cxn>
            <a:cxn ang="0">
              <a:pos x="connsiteX8700" y="connsiteY8700"/>
            </a:cxn>
            <a:cxn ang="0">
              <a:pos x="connsiteX8701" y="connsiteY8701"/>
            </a:cxn>
            <a:cxn ang="0">
              <a:pos x="connsiteX8702" y="connsiteY8702"/>
            </a:cxn>
            <a:cxn ang="0">
              <a:pos x="connsiteX8703" y="connsiteY8703"/>
            </a:cxn>
            <a:cxn ang="0">
              <a:pos x="connsiteX8704" y="connsiteY8704"/>
            </a:cxn>
            <a:cxn ang="0">
              <a:pos x="connsiteX8705" y="connsiteY8705"/>
            </a:cxn>
            <a:cxn ang="0">
              <a:pos x="connsiteX8706" y="connsiteY8706"/>
            </a:cxn>
            <a:cxn ang="0">
              <a:pos x="connsiteX8707" y="connsiteY8707"/>
            </a:cxn>
            <a:cxn ang="0">
              <a:pos x="connsiteX8708" y="connsiteY8708"/>
            </a:cxn>
            <a:cxn ang="0">
              <a:pos x="connsiteX8709" y="connsiteY8709"/>
            </a:cxn>
            <a:cxn ang="0">
              <a:pos x="connsiteX8710" y="connsiteY8710"/>
            </a:cxn>
            <a:cxn ang="0">
              <a:pos x="connsiteX8711" y="connsiteY8711"/>
            </a:cxn>
            <a:cxn ang="0">
              <a:pos x="connsiteX8712" y="connsiteY8712"/>
            </a:cxn>
            <a:cxn ang="0">
              <a:pos x="connsiteX8713" y="connsiteY8713"/>
            </a:cxn>
            <a:cxn ang="0">
              <a:pos x="connsiteX8714" y="connsiteY8714"/>
            </a:cxn>
            <a:cxn ang="0">
              <a:pos x="connsiteX8715" y="connsiteY8715"/>
            </a:cxn>
            <a:cxn ang="0">
              <a:pos x="connsiteX8716" y="connsiteY8716"/>
            </a:cxn>
            <a:cxn ang="0">
              <a:pos x="connsiteX8717" y="connsiteY8717"/>
            </a:cxn>
            <a:cxn ang="0">
              <a:pos x="connsiteX8718" y="connsiteY8718"/>
            </a:cxn>
            <a:cxn ang="0">
              <a:pos x="connsiteX8719" y="connsiteY8719"/>
            </a:cxn>
            <a:cxn ang="0">
              <a:pos x="connsiteX8720" y="connsiteY8720"/>
            </a:cxn>
            <a:cxn ang="0">
              <a:pos x="connsiteX8721" y="connsiteY8721"/>
            </a:cxn>
            <a:cxn ang="0">
              <a:pos x="connsiteX8722" y="connsiteY8722"/>
            </a:cxn>
            <a:cxn ang="0">
              <a:pos x="connsiteX8723" y="connsiteY8723"/>
            </a:cxn>
            <a:cxn ang="0">
              <a:pos x="connsiteX8724" y="connsiteY8724"/>
            </a:cxn>
            <a:cxn ang="0">
              <a:pos x="connsiteX8725" y="connsiteY8725"/>
            </a:cxn>
            <a:cxn ang="0">
              <a:pos x="connsiteX8726" y="connsiteY8726"/>
            </a:cxn>
            <a:cxn ang="0">
              <a:pos x="connsiteX8727" y="connsiteY8727"/>
            </a:cxn>
            <a:cxn ang="0">
              <a:pos x="connsiteX8728" y="connsiteY8728"/>
            </a:cxn>
            <a:cxn ang="0">
              <a:pos x="connsiteX8729" y="connsiteY8729"/>
            </a:cxn>
            <a:cxn ang="0">
              <a:pos x="connsiteX8730" y="connsiteY8730"/>
            </a:cxn>
            <a:cxn ang="0">
              <a:pos x="connsiteX8731" y="connsiteY8731"/>
            </a:cxn>
            <a:cxn ang="0">
              <a:pos x="connsiteX8732" y="connsiteY8732"/>
            </a:cxn>
            <a:cxn ang="0">
              <a:pos x="connsiteX8733" y="connsiteY8733"/>
            </a:cxn>
            <a:cxn ang="0">
              <a:pos x="connsiteX8734" y="connsiteY8734"/>
            </a:cxn>
            <a:cxn ang="0">
              <a:pos x="connsiteX8735" y="connsiteY8735"/>
            </a:cxn>
            <a:cxn ang="0">
              <a:pos x="connsiteX8736" y="connsiteY8736"/>
            </a:cxn>
            <a:cxn ang="0">
              <a:pos x="connsiteX8737" y="connsiteY8737"/>
            </a:cxn>
            <a:cxn ang="0">
              <a:pos x="connsiteX8738" y="connsiteY8738"/>
            </a:cxn>
            <a:cxn ang="0">
              <a:pos x="connsiteX8739" y="connsiteY8739"/>
            </a:cxn>
            <a:cxn ang="0">
              <a:pos x="connsiteX8740" y="connsiteY8740"/>
            </a:cxn>
            <a:cxn ang="0">
              <a:pos x="connsiteX8741" y="connsiteY8741"/>
            </a:cxn>
            <a:cxn ang="0">
              <a:pos x="connsiteX8742" y="connsiteY8742"/>
            </a:cxn>
            <a:cxn ang="0">
              <a:pos x="connsiteX8743" y="connsiteY8743"/>
            </a:cxn>
            <a:cxn ang="0">
              <a:pos x="connsiteX8744" y="connsiteY8744"/>
            </a:cxn>
            <a:cxn ang="0">
              <a:pos x="connsiteX8745" y="connsiteY8745"/>
            </a:cxn>
            <a:cxn ang="0">
              <a:pos x="connsiteX8746" y="connsiteY8746"/>
            </a:cxn>
            <a:cxn ang="0">
              <a:pos x="connsiteX8747" y="connsiteY8747"/>
            </a:cxn>
            <a:cxn ang="0">
              <a:pos x="connsiteX8748" y="connsiteY8748"/>
            </a:cxn>
            <a:cxn ang="0">
              <a:pos x="connsiteX8749" y="connsiteY8749"/>
            </a:cxn>
            <a:cxn ang="0">
              <a:pos x="connsiteX8750" y="connsiteY8750"/>
            </a:cxn>
            <a:cxn ang="0">
              <a:pos x="connsiteX8751" y="connsiteY8751"/>
            </a:cxn>
            <a:cxn ang="0">
              <a:pos x="connsiteX8752" y="connsiteY8752"/>
            </a:cxn>
            <a:cxn ang="0">
              <a:pos x="connsiteX8753" y="connsiteY8753"/>
            </a:cxn>
            <a:cxn ang="0">
              <a:pos x="connsiteX8754" y="connsiteY8754"/>
            </a:cxn>
            <a:cxn ang="0">
              <a:pos x="connsiteX8755" y="connsiteY8755"/>
            </a:cxn>
            <a:cxn ang="0">
              <a:pos x="connsiteX8756" y="connsiteY8756"/>
            </a:cxn>
            <a:cxn ang="0">
              <a:pos x="connsiteX8757" y="connsiteY8757"/>
            </a:cxn>
            <a:cxn ang="0">
              <a:pos x="connsiteX8758" y="connsiteY8758"/>
            </a:cxn>
            <a:cxn ang="0">
              <a:pos x="connsiteX8759" y="connsiteY8759"/>
            </a:cxn>
            <a:cxn ang="0">
              <a:pos x="connsiteX8760" y="connsiteY8760"/>
            </a:cxn>
            <a:cxn ang="0">
              <a:pos x="connsiteX8761" y="connsiteY8761"/>
            </a:cxn>
            <a:cxn ang="0">
              <a:pos x="connsiteX8762" y="connsiteY8762"/>
            </a:cxn>
            <a:cxn ang="0">
              <a:pos x="connsiteX8763" y="connsiteY8763"/>
            </a:cxn>
            <a:cxn ang="0">
              <a:pos x="connsiteX8764" y="connsiteY8764"/>
            </a:cxn>
            <a:cxn ang="0">
              <a:pos x="connsiteX8765" y="connsiteY8765"/>
            </a:cxn>
            <a:cxn ang="0">
              <a:pos x="connsiteX8766" y="connsiteY8766"/>
            </a:cxn>
            <a:cxn ang="0">
              <a:pos x="connsiteX8767" y="connsiteY8767"/>
            </a:cxn>
            <a:cxn ang="0">
              <a:pos x="connsiteX8768" y="connsiteY8768"/>
            </a:cxn>
            <a:cxn ang="0">
              <a:pos x="connsiteX8769" y="connsiteY8769"/>
            </a:cxn>
            <a:cxn ang="0">
              <a:pos x="connsiteX8770" y="connsiteY8770"/>
            </a:cxn>
            <a:cxn ang="0">
              <a:pos x="connsiteX8771" y="connsiteY8771"/>
            </a:cxn>
            <a:cxn ang="0">
              <a:pos x="connsiteX8772" y="connsiteY8772"/>
            </a:cxn>
            <a:cxn ang="0">
              <a:pos x="connsiteX8773" y="connsiteY8773"/>
            </a:cxn>
            <a:cxn ang="0">
              <a:pos x="connsiteX8774" y="connsiteY8774"/>
            </a:cxn>
            <a:cxn ang="0">
              <a:pos x="connsiteX8775" y="connsiteY8775"/>
            </a:cxn>
            <a:cxn ang="0">
              <a:pos x="connsiteX8776" y="connsiteY8776"/>
            </a:cxn>
            <a:cxn ang="0">
              <a:pos x="connsiteX8777" y="connsiteY8777"/>
            </a:cxn>
            <a:cxn ang="0">
              <a:pos x="connsiteX8778" y="connsiteY8778"/>
            </a:cxn>
            <a:cxn ang="0">
              <a:pos x="connsiteX8779" y="connsiteY8779"/>
            </a:cxn>
            <a:cxn ang="0">
              <a:pos x="connsiteX8780" y="connsiteY8780"/>
            </a:cxn>
            <a:cxn ang="0">
              <a:pos x="connsiteX8781" y="connsiteY8781"/>
            </a:cxn>
            <a:cxn ang="0">
              <a:pos x="connsiteX8782" y="connsiteY8782"/>
            </a:cxn>
            <a:cxn ang="0">
              <a:pos x="connsiteX8783" y="connsiteY8783"/>
            </a:cxn>
            <a:cxn ang="0">
              <a:pos x="connsiteX8784" y="connsiteY8784"/>
            </a:cxn>
            <a:cxn ang="0">
              <a:pos x="connsiteX8785" y="connsiteY8785"/>
            </a:cxn>
            <a:cxn ang="0">
              <a:pos x="connsiteX8786" y="connsiteY8786"/>
            </a:cxn>
            <a:cxn ang="0">
              <a:pos x="connsiteX8787" y="connsiteY8787"/>
            </a:cxn>
            <a:cxn ang="0">
              <a:pos x="connsiteX8788" y="connsiteY8788"/>
            </a:cxn>
            <a:cxn ang="0">
              <a:pos x="connsiteX8789" y="connsiteY8789"/>
            </a:cxn>
            <a:cxn ang="0">
              <a:pos x="connsiteX8790" y="connsiteY8790"/>
            </a:cxn>
            <a:cxn ang="0">
              <a:pos x="connsiteX8791" y="connsiteY8791"/>
            </a:cxn>
            <a:cxn ang="0">
              <a:pos x="connsiteX8792" y="connsiteY8792"/>
            </a:cxn>
            <a:cxn ang="0">
              <a:pos x="connsiteX8793" y="connsiteY8793"/>
            </a:cxn>
            <a:cxn ang="0">
              <a:pos x="connsiteX8794" y="connsiteY8794"/>
            </a:cxn>
            <a:cxn ang="0">
              <a:pos x="connsiteX8795" y="connsiteY8795"/>
            </a:cxn>
            <a:cxn ang="0">
              <a:pos x="connsiteX8796" y="connsiteY8796"/>
            </a:cxn>
            <a:cxn ang="0">
              <a:pos x="connsiteX8797" y="connsiteY8797"/>
            </a:cxn>
            <a:cxn ang="0">
              <a:pos x="connsiteX8798" y="connsiteY8798"/>
            </a:cxn>
            <a:cxn ang="0">
              <a:pos x="connsiteX8799" y="connsiteY8799"/>
            </a:cxn>
            <a:cxn ang="0">
              <a:pos x="connsiteX8800" y="connsiteY8800"/>
            </a:cxn>
            <a:cxn ang="0">
              <a:pos x="connsiteX8801" y="connsiteY8801"/>
            </a:cxn>
            <a:cxn ang="0">
              <a:pos x="connsiteX8802" y="connsiteY8802"/>
            </a:cxn>
            <a:cxn ang="0">
              <a:pos x="connsiteX8803" y="connsiteY8803"/>
            </a:cxn>
            <a:cxn ang="0">
              <a:pos x="connsiteX8804" y="connsiteY8804"/>
            </a:cxn>
            <a:cxn ang="0">
              <a:pos x="connsiteX8805" y="connsiteY8805"/>
            </a:cxn>
            <a:cxn ang="0">
              <a:pos x="connsiteX8806" y="connsiteY8806"/>
            </a:cxn>
            <a:cxn ang="0">
              <a:pos x="connsiteX8807" y="connsiteY8807"/>
            </a:cxn>
            <a:cxn ang="0">
              <a:pos x="connsiteX8808" y="connsiteY8808"/>
            </a:cxn>
            <a:cxn ang="0">
              <a:pos x="connsiteX8809" y="connsiteY8809"/>
            </a:cxn>
            <a:cxn ang="0">
              <a:pos x="connsiteX8810" y="connsiteY8810"/>
            </a:cxn>
            <a:cxn ang="0">
              <a:pos x="connsiteX8811" y="connsiteY8811"/>
            </a:cxn>
            <a:cxn ang="0">
              <a:pos x="connsiteX8812" y="connsiteY8812"/>
            </a:cxn>
            <a:cxn ang="0">
              <a:pos x="connsiteX8813" y="connsiteY8813"/>
            </a:cxn>
            <a:cxn ang="0">
              <a:pos x="connsiteX8814" y="connsiteY8814"/>
            </a:cxn>
            <a:cxn ang="0">
              <a:pos x="connsiteX8815" y="connsiteY8815"/>
            </a:cxn>
            <a:cxn ang="0">
              <a:pos x="connsiteX8816" y="connsiteY8816"/>
            </a:cxn>
            <a:cxn ang="0">
              <a:pos x="connsiteX8817" y="connsiteY8817"/>
            </a:cxn>
            <a:cxn ang="0">
              <a:pos x="connsiteX8818" y="connsiteY8818"/>
            </a:cxn>
            <a:cxn ang="0">
              <a:pos x="connsiteX8819" y="connsiteY8819"/>
            </a:cxn>
            <a:cxn ang="0">
              <a:pos x="connsiteX8820" y="connsiteY8820"/>
            </a:cxn>
            <a:cxn ang="0">
              <a:pos x="connsiteX8821" y="connsiteY8821"/>
            </a:cxn>
            <a:cxn ang="0">
              <a:pos x="connsiteX8822" y="connsiteY8822"/>
            </a:cxn>
            <a:cxn ang="0">
              <a:pos x="connsiteX8823" y="connsiteY8823"/>
            </a:cxn>
            <a:cxn ang="0">
              <a:pos x="connsiteX8824" y="connsiteY8824"/>
            </a:cxn>
            <a:cxn ang="0">
              <a:pos x="connsiteX8825" y="connsiteY8825"/>
            </a:cxn>
            <a:cxn ang="0">
              <a:pos x="connsiteX8826" y="connsiteY8826"/>
            </a:cxn>
            <a:cxn ang="0">
              <a:pos x="connsiteX8827" y="connsiteY8827"/>
            </a:cxn>
            <a:cxn ang="0">
              <a:pos x="connsiteX8828" y="connsiteY8828"/>
            </a:cxn>
            <a:cxn ang="0">
              <a:pos x="connsiteX8829" y="connsiteY8829"/>
            </a:cxn>
            <a:cxn ang="0">
              <a:pos x="connsiteX8830" y="connsiteY8830"/>
            </a:cxn>
            <a:cxn ang="0">
              <a:pos x="connsiteX8831" y="connsiteY8831"/>
            </a:cxn>
            <a:cxn ang="0">
              <a:pos x="connsiteX8832" y="connsiteY8832"/>
            </a:cxn>
            <a:cxn ang="0">
              <a:pos x="connsiteX8833" y="connsiteY8833"/>
            </a:cxn>
            <a:cxn ang="0">
              <a:pos x="connsiteX8834" y="connsiteY8834"/>
            </a:cxn>
            <a:cxn ang="0">
              <a:pos x="connsiteX8835" y="connsiteY8835"/>
            </a:cxn>
            <a:cxn ang="0">
              <a:pos x="connsiteX8836" y="connsiteY8836"/>
            </a:cxn>
            <a:cxn ang="0">
              <a:pos x="connsiteX8837" y="connsiteY8837"/>
            </a:cxn>
            <a:cxn ang="0">
              <a:pos x="connsiteX8838" y="connsiteY8838"/>
            </a:cxn>
            <a:cxn ang="0">
              <a:pos x="connsiteX8839" y="connsiteY8839"/>
            </a:cxn>
            <a:cxn ang="0">
              <a:pos x="connsiteX8840" y="connsiteY8840"/>
            </a:cxn>
            <a:cxn ang="0">
              <a:pos x="connsiteX8841" y="connsiteY8841"/>
            </a:cxn>
            <a:cxn ang="0">
              <a:pos x="connsiteX8842" y="connsiteY8842"/>
            </a:cxn>
            <a:cxn ang="0">
              <a:pos x="connsiteX8843" y="connsiteY8843"/>
            </a:cxn>
            <a:cxn ang="0">
              <a:pos x="connsiteX8844" y="connsiteY8844"/>
            </a:cxn>
            <a:cxn ang="0">
              <a:pos x="connsiteX8845" y="connsiteY8845"/>
            </a:cxn>
            <a:cxn ang="0">
              <a:pos x="connsiteX8846" y="connsiteY8846"/>
            </a:cxn>
            <a:cxn ang="0">
              <a:pos x="connsiteX8847" y="connsiteY8847"/>
            </a:cxn>
            <a:cxn ang="0">
              <a:pos x="connsiteX8848" y="connsiteY8848"/>
            </a:cxn>
            <a:cxn ang="0">
              <a:pos x="connsiteX8849" y="connsiteY8849"/>
            </a:cxn>
            <a:cxn ang="0">
              <a:pos x="connsiteX8850" y="connsiteY8850"/>
            </a:cxn>
            <a:cxn ang="0">
              <a:pos x="connsiteX8851" y="connsiteY8851"/>
            </a:cxn>
            <a:cxn ang="0">
              <a:pos x="connsiteX8852" y="connsiteY8852"/>
            </a:cxn>
            <a:cxn ang="0">
              <a:pos x="connsiteX8853" y="connsiteY8853"/>
            </a:cxn>
            <a:cxn ang="0">
              <a:pos x="connsiteX8854" y="connsiteY8854"/>
            </a:cxn>
            <a:cxn ang="0">
              <a:pos x="connsiteX8855" y="connsiteY8855"/>
            </a:cxn>
            <a:cxn ang="0">
              <a:pos x="connsiteX8856" y="connsiteY8856"/>
            </a:cxn>
            <a:cxn ang="0">
              <a:pos x="connsiteX8857" y="connsiteY8857"/>
            </a:cxn>
            <a:cxn ang="0">
              <a:pos x="connsiteX8858" y="connsiteY8858"/>
            </a:cxn>
            <a:cxn ang="0">
              <a:pos x="connsiteX8859" y="connsiteY8859"/>
            </a:cxn>
            <a:cxn ang="0">
              <a:pos x="connsiteX8860" y="connsiteY8860"/>
            </a:cxn>
            <a:cxn ang="0">
              <a:pos x="connsiteX8861" y="connsiteY8861"/>
            </a:cxn>
            <a:cxn ang="0">
              <a:pos x="connsiteX8862" y="connsiteY8862"/>
            </a:cxn>
            <a:cxn ang="0">
              <a:pos x="connsiteX8863" y="connsiteY8863"/>
            </a:cxn>
            <a:cxn ang="0">
              <a:pos x="connsiteX8864" y="connsiteY8864"/>
            </a:cxn>
            <a:cxn ang="0">
              <a:pos x="connsiteX8865" y="connsiteY8865"/>
            </a:cxn>
            <a:cxn ang="0">
              <a:pos x="connsiteX8866" y="connsiteY8866"/>
            </a:cxn>
            <a:cxn ang="0">
              <a:pos x="connsiteX8867" y="connsiteY8867"/>
            </a:cxn>
            <a:cxn ang="0">
              <a:pos x="connsiteX8868" y="connsiteY8868"/>
            </a:cxn>
            <a:cxn ang="0">
              <a:pos x="connsiteX8869" y="connsiteY8869"/>
            </a:cxn>
            <a:cxn ang="0">
              <a:pos x="connsiteX8870" y="connsiteY8870"/>
            </a:cxn>
            <a:cxn ang="0">
              <a:pos x="connsiteX8871" y="connsiteY8871"/>
            </a:cxn>
            <a:cxn ang="0">
              <a:pos x="connsiteX8872" y="connsiteY8872"/>
            </a:cxn>
            <a:cxn ang="0">
              <a:pos x="connsiteX8873" y="connsiteY8873"/>
            </a:cxn>
            <a:cxn ang="0">
              <a:pos x="connsiteX8874" y="connsiteY8874"/>
            </a:cxn>
            <a:cxn ang="0">
              <a:pos x="connsiteX8875" y="connsiteY8875"/>
            </a:cxn>
            <a:cxn ang="0">
              <a:pos x="connsiteX8876" y="connsiteY8876"/>
            </a:cxn>
            <a:cxn ang="0">
              <a:pos x="connsiteX8877" y="connsiteY8877"/>
            </a:cxn>
            <a:cxn ang="0">
              <a:pos x="connsiteX8878" y="connsiteY8878"/>
            </a:cxn>
            <a:cxn ang="0">
              <a:pos x="connsiteX8879" y="connsiteY8879"/>
            </a:cxn>
            <a:cxn ang="0">
              <a:pos x="connsiteX8880" y="connsiteY8880"/>
            </a:cxn>
            <a:cxn ang="0">
              <a:pos x="connsiteX8881" y="connsiteY8881"/>
            </a:cxn>
            <a:cxn ang="0">
              <a:pos x="connsiteX8882" y="connsiteY8882"/>
            </a:cxn>
            <a:cxn ang="0">
              <a:pos x="connsiteX8883" y="connsiteY8883"/>
            </a:cxn>
            <a:cxn ang="0">
              <a:pos x="connsiteX8884" y="connsiteY8884"/>
            </a:cxn>
            <a:cxn ang="0">
              <a:pos x="connsiteX8885" y="connsiteY8885"/>
            </a:cxn>
            <a:cxn ang="0">
              <a:pos x="connsiteX8886" y="connsiteY8886"/>
            </a:cxn>
            <a:cxn ang="0">
              <a:pos x="connsiteX8887" y="connsiteY8887"/>
            </a:cxn>
            <a:cxn ang="0">
              <a:pos x="connsiteX8888" y="connsiteY8888"/>
            </a:cxn>
            <a:cxn ang="0">
              <a:pos x="connsiteX8889" y="connsiteY8889"/>
            </a:cxn>
            <a:cxn ang="0">
              <a:pos x="connsiteX8890" y="connsiteY8890"/>
            </a:cxn>
            <a:cxn ang="0">
              <a:pos x="connsiteX8891" y="connsiteY8891"/>
            </a:cxn>
            <a:cxn ang="0">
              <a:pos x="connsiteX8892" y="connsiteY8892"/>
            </a:cxn>
            <a:cxn ang="0">
              <a:pos x="connsiteX8893" y="connsiteY8893"/>
            </a:cxn>
            <a:cxn ang="0">
              <a:pos x="connsiteX8894" y="connsiteY8894"/>
            </a:cxn>
            <a:cxn ang="0">
              <a:pos x="connsiteX8895" y="connsiteY8895"/>
            </a:cxn>
            <a:cxn ang="0">
              <a:pos x="connsiteX8896" y="connsiteY8896"/>
            </a:cxn>
            <a:cxn ang="0">
              <a:pos x="connsiteX8897" y="connsiteY8897"/>
            </a:cxn>
            <a:cxn ang="0">
              <a:pos x="connsiteX8898" y="connsiteY8898"/>
            </a:cxn>
            <a:cxn ang="0">
              <a:pos x="connsiteX8899" y="connsiteY8899"/>
            </a:cxn>
            <a:cxn ang="0">
              <a:pos x="connsiteX8900" y="connsiteY8900"/>
            </a:cxn>
            <a:cxn ang="0">
              <a:pos x="connsiteX8901" y="connsiteY8901"/>
            </a:cxn>
            <a:cxn ang="0">
              <a:pos x="connsiteX8902" y="connsiteY8902"/>
            </a:cxn>
            <a:cxn ang="0">
              <a:pos x="connsiteX8903" y="connsiteY8903"/>
            </a:cxn>
            <a:cxn ang="0">
              <a:pos x="connsiteX8904" y="connsiteY8904"/>
            </a:cxn>
            <a:cxn ang="0">
              <a:pos x="connsiteX8905" y="connsiteY8905"/>
            </a:cxn>
            <a:cxn ang="0">
              <a:pos x="connsiteX8906" y="connsiteY8906"/>
            </a:cxn>
            <a:cxn ang="0">
              <a:pos x="connsiteX8907" y="connsiteY8907"/>
            </a:cxn>
            <a:cxn ang="0">
              <a:pos x="connsiteX8908" y="connsiteY8908"/>
            </a:cxn>
            <a:cxn ang="0">
              <a:pos x="connsiteX8909" y="connsiteY8909"/>
            </a:cxn>
            <a:cxn ang="0">
              <a:pos x="connsiteX8910" y="connsiteY8910"/>
            </a:cxn>
            <a:cxn ang="0">
              <a:pos x="connsiteX8911" y="connsiteY8911"/>
            </a:cxn>
            <a:cxn ang="0">
              <a:pos x="connsiteX8912" y="connsiteY8912"/>
            </a:cxn>
            <a:cxn ang="0">
              <a:pos x="connsiteX8913" y="connsiteY8913"/>
            </a:cxn>
            <a:cxn ang="0">
              <a:pos x="connsiteX8914" y="connsiteY8914"/>
            </a:cxn>
            <a:cxn ang="0">
              <a:pos x="connsiteX8915" y="connsiteY8915"/>
            </a:cxn>
            <a:cxn ang="0">
              <a:pos x="connsiteX8916" y="connsiteY8916"/>
            </a:cxn>
            <a:cxn ang="0">
              <a:pos x="connsiteX8917" y="connsiteY8917"/>
            </a:cxn>
            <a:cxn ang="0">
              <a:pos x="connsiteX8918" y="connsiteY8918"/>
            </a:cxn>
            <a:cxn ang="0">
              <a:pos x="connsiteX8919" y="connsiteY8919"/>
            </a:cxn>
            <a:cxn ang="0">
              <a:pos x="connsiteX8920" y="connsiteY8920"/>
            </a:cxn>
            <a:cxn ang="0">
              <a:pos x="connsiteX8921" y="connsiteY8921"/>
            </a:cxn>
            <a:cxn ang="0">
              <a:pos x="connsiteX8922" y="connsiteY8922"/>
            </a:cxn>
            <a:cxn ang="0">
              <a:pos x="connsiteX8923" y="connsiteY8923"/>
            </a:cxn>
            <a:cxn ang="0">
              <a:pos x="connsiteX8924" y="connsiteY8924"/>
            </a:cxn>
            <a:cxn ang="0">
              <a:pos x="connsiteX8925" y="connsiteY8925"/>
            </a:cxn>
            <a:cxn ang="0">
              <a:pos x="connsiteX8926" y="connsiteY8926"/>
            </a:cxn>
            <a:cxn ang="0">
              <a:pos x="connsiteX8927" y="connsiteY8927"/>
            </a:cxn>
            <a:cxn ang="0">
              <a:pos x="connsiteX8928" y="connsiteY8928"/>
            </a:cxn>
            <a:cxn ang="0">
              <a:pos x="connsiteX8929" y="connsiteY8929"/>
            </a:cxn>
            <a:cxn ang="0">
              <a:pos x="connsiteX8930" y="connsiteY8930"/>
            </a:cxn>
            <a:cxn ang="0">
              <a:pos x="connsiteX8931" y="connsiteY8931"/>
            </a:cxn>
            <a:cxn ang="0">
              <a:pos x="connsiteX8932" y="connsiteY8932"/>
            </a:cxn>
            <a:cxn ang="0">
              <a:pos x="connsiteX8933" y="connsiteY8933"/>
            </a:cxn>
            <a:cxn ang="0">
              <a:pos x="connsiteX8934" y="connsiteY8934"/>
            </a:cxn>
            <a:cxn ang="0">
              <a:pos x="connsiteX8935" y="connsiteY8935"/>
            </a:cxn>
            <a:cxn ang="0">
              <a:pos x="connsiteX8936" y="connsiteY8936"/>
            </a:cxn>
            <a:cxn ang="0">
              <a:pos x="connsiteX8937" y="connsiteY8937"/>
            </a:cxn>
            <a:cxn ang="0">
              <a:pos x="connsiteX8938" y="connsiteY8938"/>
            </a:cxn>
            <a:cxn ang="0">
              <a:pos x="connsiteX8939" y="connsiteY8939"/>
            </a:cxn>
            <a:cxn ang="0">
              <a:pos x="connsiteX8940" y="connsiteY8940"/>
            </a:cxn>
            <a:cxn ang="0">
              <a:pos x="connsiteX8941" y="connsiteY8941"/>
            </a:cxn>
            <a:cxn ang="0">
              <a:pos x="connsiteX8942" y="connsiteY8942"/>
            </a:cxn>
            <a:cxn ang="0">
              <a:pos x="connsiteX8943" y="connsiteY8943"/>
            </a:cxn>
            <a:cxn ang="0">
              <a:pos x="connsiteX8944" y="connsiteY8944"/>
            </a:cxn>
            <a:cxn ang="0">
              <a:pos x="connsiteX8945" y="connsiteY8945"/>
            </a:cxn>
            <a:cxn ang="0">
              <a:pos x="connsiteX8946" y="connsiteY8946"/>
            </a:cxn>
            <a:cxn ang="0">
              <a:pos x="connsiteX8947" y="connsiteY8947"/>
            </a:cxn>
            <a:cxn ang="0">
              <a:pos x="connsiteX8948" y="connsiteY8948"/>
            </a:cxn>
            <a:cxn ang="0">
              <a:pos x="connsiteX8949" y="connsiteY8949"/>
            </a:cxn>
            <a:cxn ang="0">
              <a:pos x="connsiteX8950" y="connsiteY8950"/>
            </a:cxn>
            <a:cxn ang="0">
              <a:pos x="connsiteX8951" y="connsiteY8951"/>
            </a:cxn>
            <a:cxn ang="0">
              <a:pos x="connsiteX8952" y="connsiteY8952"/>
            </a:cxn>
            <a:cxn ang="0">
              <a:pos x="connsiteX8953" y="connsiteY8953"/>
            </a:cxn>
            <a:cxn ang="0">
              <a:pos x="connsiteX8954" y="connsiteY8954"/>
            </a:cxn>
            <a:cxn ang="0">
              <a:pos x="connsiteX8955" y="connsiteY8955"/>
            </a:cxn>
            <a:cxn ang="0">
              <a:pos x="connsiteX8956" y="connsiteY8956"/>
            </a:cxn>
            <a:cxn ang="0">
              <a:pos x="connsiteX8957" y="connsiteY8957"/>
            </a:cxn>
            <a:cxn ang="0">
              <a:pos x="connsiteX8958" y="connsiteY8958"/>
            </a:cxn>
            <a:cxn ang="0">
              <a:pos x="connsiteX8959" y="connsiteY8959"/>
            </a:cxn>
            <a:cxn ang="0">
              <a:pos x="connsiteX8960" y="connsiteY8960"/>
            </a:cxn>
            <a:cxn ang="0">
              <a:pos x="connsiteX8961" y="connsiteY8961"/>
            </a:cxn>
            <a:cxn ang="0">
              <a:pos x="connsiteX8962" y="connsiteY8962"/>
            </a:cxn>
            <a:cxn ang="0">
              <a:pos x="connsiteX8963" y="connsiteY8963"/>
            </a:cxn>
            <a:cxn ang="0">
              <a:pos x="connsiteX8964" y="connsiteY8964"/>
            </a:cxn>
            <a:cxn ang="0">
              <a:pos x="connsiteX8965" y="connsiteY8965"/>
            </a:cxn>
            <a:cxn ang="0">
              <a:pos x="connsiteX8966" y="connsiteY8966"/>
            </a:cxn>
            <a:cxn ang="0">
              <a:pos x="connsiteX8967" y="connsiteY8967"/>
            </a:cxn>
            <a:cxn ang="0">
              <a:pos x="connsiteX8968" y="connsiteY8968"/>
            </a:cxn>
            <a:cxn ang="0">
              <a:pos x="connsiteX8969" y="connsiteY8969"/>
            </a:cxn>
            <a:cxn ang="0">
              <a:pos x="connsiteX8970" y="connsiteY8970"/>
            </a:cxn>
            <a:cxn ang="0">
              <a:pos x="connsiteX8971" y="connsiteY8971"/>
            </a:cxn>
            <a:cxn ang="0">
              <a:pos x="connsiteX8972" y="connsiteY8972"/>
            </a:cxn>
            <a:cxn ang="0">
              <a:pos x="connsiteX8973" y="connsiteY8973"/>
            </a:cxn>
            <a:cxn ang="0">
              <a:pos x="connsiteX8974" y="connsiteY8974"/>
            </a:cxn>
            <a:cxn ang="0">
              <a:pos x="connsiteX8975" y="connsiteY8975"/>
            </a:cxn>
            <a:cxn ang="0">
              <a:pos x="connsiteX8976" y="connsiteY8976"/>
            </a:cxn>
            <a:cxn ang="0">
              <a:pos x="connsiteX8977" y="connsiteY8977"/>
            </a:cxn>
            <a:cxn ang="0">
              <a:pos x="connsiteX8978" y="connsiteY8978"/>
            </a:cxn>
            <a:cxn ang="0">
              <a:pos x="connsiteX8979" y="connsiteY8979"/>
            </a:cxn>
            <a:cxn ang="0">
              <a:pos x="connsiteX8980" y="connsiteY8980"/>
            </a:cxn>
            <a:cxn ang="0">
              <a:pos x="connsiteX8981" y="connsiteY8981"/>
            </a:cxn>
            <a:cxn ang="0">
              <a:pos x="connsiteX8982" y="connsiteY8982"/>
            </a:cxn>
            <a:cxn ang="0">
              <a:pos x="connsiteX8983" y="connsiteY8983"/>
            </a:cxn>
            <a:cxn ang="0">
              <a:pos x="connsiteX8984" y="connsiteY8984"/>
            </a:cxn>
            <a:cxn ang="0">
              <a:pos x="connsiteX8985" y="connsiteY8985"/>
            </a:cxn>
            <a:cxn ang="0">
              <a:pos x="connsiteX8986" y="connsiteY8986"/>
            </a:cxn>
            <a:cxn ang="0">
              <a:pos x="connsiteX8987" y="connsiteY8987"/>
            </a:cxn>
            <a:cxn ang="0">
              <a:pos x="connsiteX8988" y="connsiteY8988"/>
            </a:cxn>
            <a:cxn ang="0">
              <a:pos x="connsiteX8989" y="connsiteY8989"/>
            </a:cxn>
            <a:cxn ang="0">
              <a:pos x="connsiteX8990" y="connsiteY8990"/>
            </a:cxn>
            <a:cxn ang="0">
              <a:pos x="connsiteX8991" y="connsiteY8991"/>
            </a:cxn>
            <a:cxn ang="0">
              <a:pos x="connsiteX8992" y="connsiteY8992"/>
            </a:cxn>
            <a:cxn ang="0">
              <a:pos x="connsiteX8993" y="connsiteY8993"/>
            </a:cxn>
            <a:cxn ang="0">
              <a:pos x="connsiteX8994" y="connsiteY8994"/>
            </a:cxn>
            <a:cxn ang="0">
              <a:pos x="connsiteX8995" y="connsiteY8995"/>
            </a:cxn>
            <a:cxn ang="0">
              <a:pos x="connsiteX8996" y="connsiteY8996"/>
            </a:cxn>
            <a:cxn ang="0">
              <a:pos x="connsiteX8997" y="connsiteY8997"/>
            </a:cxn>
            <a:cxn ang="0">
              <a:pos x="connsiteX8998" y="connsiteY8998"/>
            </a:cxn>
            <a:cxn ang="0">
              <a:pos x="connsiteX8999" y="connsiteY8999"/>
            </a:cxn>
            <a:cxn ang="0">
              <a:pos x="connsiteX9000" y="connsiteY9000"/>
            </a:cxn>
            <a:cxn ang="0">
              <a:pos x="connsiteX9001" y="connsiteY9001"/>
            </a:cxn>
            <a:cxn ang="0">
              <a:pos x="connsiteX9002" y="connsiteY9002"/>
            </a:cxn>
            <a:cxn ang="0">
              <a:pos x="connsiteX9003" y="connsiteY9003"/>
            </a:cxn>
            <a:cxn ang="0">
              <a:pos x="connsiteX9004" y="connsiteY9004"/>
            </a:cxn>
            <a:cxn ang="0">
              <a:pos x="connsiteX9005" y="connsiteY9005"/>
            </a:cxn>
            <a:cxn ang="0">
              <a:pos x="connsiteX9006" y="connsiteY9006"/>
            </a:cxn>
            <a:cxn ang="0">
              <a:pos x="connsiteX9007" y="connsiteY9007"/>
            </a:cxn>
            <a:cxn ang="0">
              <a:pos x="connsiteX9008" y="connsiteY9008"/>
            </a:cxn>
            <a:cxn ang="0">
              <a:pos x="connsiteX9009" y="connsiteY9009"/>
            </a:cxn>
            <a:cxn ang="0">
              <a:pos x="connsiteX9010" y="connsiteY9010"/>
            </a:cxn>
            <a:cxn ang="0">
              <a:pos x="connsiteX9011" y="connsiteY9011"/>
            </a:cxn>
            <a:cxn ang="0">
              <a:pos x="connsiteX9012" y="connsiteY9012"/>
            </a:cxn>
            <a:cxn ang="0">
              <a:pos x="connsiteX9013" y="connsiteY9013"/>
            </a:cxn>
            <a:cxn ang="0">
              <a:pos x="connsiteX9014" y="connsiteY9014"/>
            </a:cxn>
            <a:cxn ang="0">
              <a:pos x="connsiteX9015" y="connsiteY9015"/>
            </a:cxn>
            <a:cxn ang="0">
              <a:pos x="connsiteX9016" y="connsiteY9016"/>
            </a:cxn>
            <a:cxn ang="0">
              <a:pos x="connsiteX9017" y="connsiteY9017"/>
            </a:cxn>
            <a:cxn ang="0">
              <a:pos x="connsiteX9018" y="connsiteY9018"/>
            </a:cxn>
            <a:cxn ang="0">
              <a:pos x="connsiteX9019" y="connsiteY9019"/>
            </a:cxn>
            <a:cxn ang="0">
              <a:pos x="connsiteX9020" y="connsiteY9020"/>
            </a:cxn>
            <a:cxn ang="0">
              <a:pos x="connsiteX9021" y="connsiteY9021"/>
            </a:cxn>
            <a:cxn ang="0">
              <a:pos x="connsiteX9022" y="connsiteY9022"/>
            </a:cxn>
            <a:cxn ang="0">
              <a:pos x="connsiteX9023" y="connsiteY9023"/>
            </a:cxn>
            <a:cxn ang="0">
              <a:pos x="connsiteX9024" y="connsiteY9024"/>
            </a:cxn>
            <a:cxn ang="0">
              <a:pos x="connsiteX9025" y="connsiteY9025"/>
            </a:cxn>
            <a:cxn ang="0">
              <a:pos x="connsiteX9026" y="connsiteY9026"/>
            </a:cxn>
            <a:cxn ang="0">
              <a:pos x="connsiteX9027" y="connsiteY9027"/>
            </a:cxn>
            <a:cxn ang="0">
              <a:pos x="connsiteX9028" y="connsiteY9028"/>
            </a:cxn>
            <a:cxn ang="0">
              <a:pos x="connsiteX9029" y="connsiteY9029"/>
            </a:cxn>
            <a:cxn ang="0">
              <a:pos x="connsiteX9030" y="connsiteY9030"/>
            </a:cxn>
            <a:cxn ang="0">
              <a:pos x="connsiteX9031" y="connsiteY9031"/>
            </a:cxn>
            <a:cxn ang="0">
              <a:pos x="connsiteX9032" y="connsiteY9032"/>
            </a:cxn>
            <a:cxn ang="0">
              <a:pos x="connsiteX9033" y="connsiteY9033"/>
            </a:cxn>
            <a:cxn ang="0">
              <a:pos x="connsiteX9034" y="connsiteY9034"/>
            </a:cxn>
            <a:cxn ang="0">
              <a:pos x="connsiteX9035" y="connsiteY9035"/>
            </a:cxn>
            <a:cxn ang="0">
              <a:pos x="connsiteX9036" y="connsiteY9036"/>
            </a:cxn>
            <a:cxn ang="0">
              <a:pos x="connsiteX9037" y="connsiteY9037"/>
            </a:cxn>
            <a:cxn ang="0">
              <a:pos x="connsiteX9038" y="connsiteY9038"/>
            </a:cxn>
            <a:cxn ang="0">
              <a:pos x="connsiteX9039" y="connsiteY9039"/>
            </a:cxn>
            <a:cxn ang="0">
              <a:pos x="connsiteX9040" y="connsiteY9040"/>
            </a:cxn>
            <a:cxn ang="0">
              <a:pos x="connsiteX9041" y="connsiteY9041"/>
            </a:cxn>
            <a:cxn ang="0">
              <a:pos x="connsiteX9042" y="connsiteY9042"/>
            </a:cxn>
            <a:cxn ang="0">
              <a:pos x="connsiteX9043" y="connsiteY9043"/>
            </a:cxn>
            <a:cxn ang="0">
              <a:pos x="connsiteX9044" y="connsiteY9044"/>
            </a:cxn>
            <a:cxn ang="0">
              <a:pos x="connsiteX9045" y="connsiteY9045"/>
            </a:cxn>
            <a:cxn ang="0">
              <a:pos x="connsiteX9046" y="connsiteY9046"/>
            </a:cxn>
            <a:cxn ang="0">
              <a:pos x="connsiteX9047" y="connsiteY9047"/>
            </a:cxn>
            <a:cxn ang="0">
              <a:pos x="connsiteX9048" y="connsiteY9048"/>
            </a:cxn>
            <a:cxn ang="0">
              <a:pos x="connsiteX9049" y="connsiteY9049"/>
            </a:cxn>
            <a:cxn ang="0">
              <a:pos x="connsiteX9050" y="connsiteY9050"/>
            </a:cxn>
            <a:cxn ang="0">
              <a:pos x="connsiteX9051" y="connsiteY9051"/>
            </a:cxn>
            <a:cxn ang="0">
              <a:pos x="connsiteX9052" y="connsiteY9052"/>
            </a:cxn>
            <a:cxn ang="0">
              <a:pos x="connsiteX9053" y="connsiteY9053"/>
            </a:cxn>
            <a:cxn ang="0">
              <a:pos x="connsiteX9054" y="connsiteY9054"/>
            </a:cxn>
            <a:cxn ang="0">
              <a:pos x="connsiteX9055" y="connsiteY9055"/>
            </a:cxn>
            <a:cxn ang="0">
              <a:pos x="connsiteX9056" y="connsiteY9056"/>
            </a:cxn>
            <a:cxn ang="0">
              <a:pos x="connsiteX9057" y="connsiteY9057"/>
            </a:cxn>
            <a:cxn ang="0">
              <a:pos x="connsiteX9058" y="connsiteY9058"/>
            </a:cxn>
            <a:cxn ang="0">
              <a:pos x="connsiteX9059" y="connsiteY9059"/>
            </a:cxn>
            <a:cxn ang="0">
              <a:pos x="connsiteX9060" y="connsiteY9060"/>
            </a:cxn>
            <a:cxn ang="0">
              <a:pos x="connsiteX9061" y="connsiteY9061"/>
            </a:cxn>
            <a:cxn ang="0">
              <a:pos x="connsiteX9062" y="connsiteY9062"/>
            </a:cxn>
            <a:cxn ang="0">
              <a:pos x="connsiteX9063" y="connsiteY9063"/>
            </a:cxn>
            <a:cxn ang="0">
              <a:pos x="connsiteX9064" y="connsiteY9064"/>
            </a:cxn>
            <a:cxn ang="0">
              <a:pos x="connsiteX9065" y="connsiteY9065"/>
            </a:cxn>
            <a:cxn ang="0">
              <a:pos x="connsiteX9066" y="connsiteY9066"/>
            </a:cxn>
            <a:cxn ang="0">
              <a:pos x="connsiteX9067" y="connsiteY9067"/>
            </a:cxn>
            <a:cxn ang="0">
              <a:pos x="connsiteX9068" y="connsiteY9068"/>
            </a:cxn>
            <a:cxn ang="0">
              <a:pos x="connsiteX9069" y="connsiteY9069"/>
            </a:cxn>
            <a:cxn ang="0">
              <a:pos x="connsiteX9070" y="connsiteY9070"/>
            </a:cxn>
            <a:cxn ang="0">
              <a:pos x="connsiteX9071" y="connsiteY9071"/>
            </a:cxn>
            <a:cxn ang="0">
              <a:pos x="connsiteX9072" y="connsiteY9072"/>
            </a:cxn>
            <a:cxn ang="0">
              <a:pos x="connsiteX9073" y="connsiteY9073"/>
            </a:cxn>
            <a:cxn ang="0">
              <a:pos x="connsiteX9074" y="connsiteY9074"/>
            </a:cxn>
            <a:cxn ang="0">
              <a:pos x="connsiteX9075" y="connsiteY9075"/>
            </a:cxn>
            <a:cxn ang="0">
              <a:pos x="connsiteX9076" y="connsiteY9076"/>
            </a:cxn>
            <a:cxn ang="0">
              <a:pos x="connsiteX9077" y="connsiteY9077"/>
            </a:cxn>
            <a:cxn ang="0">
              <a:pos x="connsiteX9078" y="connsiteY9078"/>
            </a:cxn>
            <a:cxn ang="0">
              <a:pos x="connsiteX9079" y="connsiteY9079"/>
            </a:cxn>
            <a:cxn ang="0">
              <a:pos x="connsiteX9080" y="connsiteY9080"/>
            </a:cxn>
            <a:cxn ang="0">
              <a:pos x="connsiteX9081" y="connsiteY9081"/>
            </a:cxn>
            <a:cxn ang="0">
              <a:pos x="connsiteX9082" y="connsiteY9082"/>
            </a:cxn>
            <a:cxn ang="0">
              <a:pos x="connsiteX9083" y="connsiteY9083"/>
            </a:cxn>
            <a:cxn ang="0">
              <a:pos x="connsiteX9084" y="connsiteY9084"/>
            </a:cxn>
            <a:cxn ang="0">
              <a:pos x="connsiteX9085" y="connsiteY9085"/>
            </a:cxn>
            <a:cxn ang="0">
              <a:pos x="connsiteX9086" y="connsiteY9086"/>
            </a:cxn>
            <a:cxn ang="0">
              <a:pos x="connsiteX9087" y="connsiteY9087"/>
            </a:cxn>
            <a:cxn ang="0">
              <a:pos x="connsiteX9088" y="connsiteY9088"/>
            </a:cxn>
            <a:cxn ang="0">
              <a:pos x="connsiteX9089" y="connsiteY9089"/>
            </a:cxn>
            <a:cxn ang="0">
              <a:pos x="connsiteX9090" y="connsiteY9090"/>
            </a:cxn>
            <a:cxn ang="0">
              <a:pos x="connsiteX9091" y="connsiteY9091"/>
            </a:cxn>
            <a:cxn ang="0">
              <a:pos x="connsiteX9092" y="connsiteY9092"/>
            </a:cxn>
            <a:cxn ang="0">
              <a:pos x="connsiteX9093" y="connsiteY9093"/>
            </a:cxn>
            <a:cxn ang="0">
              <a:pos x="connsiteX9094" y="connsiteY9094"/>
            </a:cxn>
            <a:cxn ang="0">
              <a:pos x="connsiteX9095" y="connsiteY9095"/>
            </a:cxn>
            <a:cxn ang="0">
              <a:pos x="connsiteX9096" y="connsiteY9096"/>
            </a:cxn>
            <a:cxn ang="0">
              <a:pos x="connsiteX9097" y="connsiteY9097"/>
            </a:cxn>
            <a:cxn ang="0">
              <a:pos x="connsiteX9098" y="connsiteY9098"/>
            </a:cxn>
            <a:cxn ang="0">
              <a:pos x="connsiteX9099" y="connsiteY9099"/>
            </a:cxn>
            <a:cxn ang="0">
              <a:pos x="connsiteX9100" y="connsiteY9100"/>
            </a:cxn>
            <a:cxn ang="0">
              <a:pos x="connsiteX9101" y="connsiteY9101"/>
            </a:cxn>
            <a:cxn ang="0">
              <a:pos x="connsiteX9102" y="connsiteY9102"/>
            </a:cxn>
            <a:cxn ang="0">
              <a:pos x="connsiteX9103" y="connsiteY9103"/>
            </a:cxn>
            <a:cxn ang="0">
              <a:pos x="connsiteX9104" y="connsiteY9104"/>
            </a:cxn>
            <a:cxn ang="0">
              <a:pos x="connsiteX9105" y="connsiteY9105"/>
            </a:cxn>
            <a:cxn ang="0">
              <a:pos x="connsiteX9106" y="connsiteY9106"/>
            </a:cxn>
            <a:cxn ang="0">
              <a:pos x="connsiteX9107" y="connsiteY9107"/>
            </a:cxn>
            <a:cxn ang="0">
              <a:pos x="connsiteX9108" y="connsiteY9108"/>
            </a:cxn>
            <a:cxn ang="0">
              <a:pos x="connsiteX9109" y="connsiteY9109"/>
            </a:cxn>
            <a:cxn ang="0">
              <a:pos x="connsiteX9110" y="connsiteY9110"/>
            </a:cxn>
            <a:cxn ang="0">
              <a:pos x="connsiteX9111" y="connsiteY9111"/>
            </a:cxn>
            <a:cxn ang="0">
              <a:pos x="connsiteX9112" y="connsiteY9112"/>
            </a:cxn>
            <a:cxn ang="0">
              <a:pos x="connsiteX9113" y="connsiteY9113"/>
            </a:cxn>
            <a:cxn ang="0">
              <a:pos x="connsiteX9114" y="connsiteY9114"/>
            </a:cxn>
            <a:cxn ang="0">
              <a:pos x="connsiteX9115" y="connsiteY9115"/>
            </a:cxn>
            <a:cxn ang="0">
              <a:pos x="connsiteX9116" y="connsiteY9116"/>
            </a:cxn>
            <a:cxn ang="0">
              <a:pos x="connsiteX9117" y="connsiteY9117"/>
            </a:cxn>
            <a:cxn ang="0">
              <a:pos x="connsiteX9118" y="connsiteY9118"/>
            </a:cxn>
            <a:cxn ang="0">
              <a:pos x="connsiteX9119" y="connsiteY9119"/>
            </a:cxn>
            <a:cxn ang="0">
              <a:pos x="connsiteX9120" y="connsiteY9120"/>
            </a:cxn>
            <a:cxn ang="0">
              <a:pos x="connsiteX9121" y="connsiteY9121"/>
            </a:cxn>
            <a:cxn ang="0">
              <a:pos x="connsiteX9122" y="connsiteY9122"/>
            </a:cxn>
            <a:cxn ang="0">
              <a:pos x="connsiteX9123" y="connsiteY9123"/>
            </a:cxn>
            <a:cxn ang="0">
              <a:pos x="connsiteX9124" y="connsiteY9124"/>
            </a:cxn>
            <a:cxn ang="0">
              <a:pos x="connsiteX9125" y="connsiteY9125"/>
            </a:cxn>
            <a:cxn ang="0">
              <a:pos x="connsiteX9126" y="connsiteY9126"/>
            </a:cxn>
            <a:cxn ang="0">
              <a:pos x="connsiteX9127" y="connsiteY9127"/>
            </a:cxn>
            <a:cxn ang="0">
              <a:pos x="connsiteX9128" y="connsiteY9128"/>
            </a:cxn>
            <a:cxn ang="0">
              <a:pos x="connsiteX9129" y="connsiteY9129"/>
            </a:cxn>
            <a:cxn ang="0">
              <a:pos x="connsiteX9130" y="connsiteY9130"/>
            </a:cxn>
            <a:cxn ang="0">
              <a:pos x="connsiteX9131" y="connsiteY9131"/>
            </a:cxn>
            <a:cxn ang="0">
              <a:pos x="connsiteX9132" y="connsiteY9132"/>
            </a:cxn>
            <a:cxn ang="0">
              <a:pos x="connsiteX9133" y="connsiteY9133"/>
            </a:cxn>
            <a:cxn ang="0">
              <a:pos x="connsiteX9134" y="connsiteY9134"/>
            </a:cxn>
            <a:cxn ang="0">
              <a:pos x="connsiteX9135" y="connsiteY9135"/>
            </a:cxn>
            <a:cxn ang="0">
              <a:pos x="connsiteX9136" y="connsiteY9136"/>
            </a:cxn>
            <a:cxn ang="0">
              <a:pos x="connsiteX9137" y="connsiteY9137"/>
            </a:cxn>
            <a:cxn ang="0">
              <a:pos x="connsiteX9138" y="connsiteY9138"/>
            </a:cxn>
            <a:cxn ang="0">
              <a:pos x="connsiteX9139" y="connsiteY9139"/>
            </a:cxn>
            <a:cxn ang="0">
              <a:pos x="connsiteX9140" y="connsiteY9140"/>
            </a:cxn>
            <a:cxn ang="0">
              <a:pos x="connsiteX9141" y="connsiteY9141"/>
            </a:cxn>
            <a:cxn ang="0">
              <a:pos x="connsiteX9142" y="connsiteY9142"/>
            </a:cxn>
            <a:cxn ang="0">
              <a:pos x="connsiteX9143" y="connsiteY9143"/>
            </a:cxn>
            <a:cxn ang="0">
              <a:pos x="connsiteX9144" y="connsiteY9144"/>
            </a:cxn>
            <a:cxn ang="0">
              <a:pos x="connsiteX9145" y="connsiteY9145"/>
            </a:cxn>
            <a:cxn ang="0">
              <a:pos x="connsiteX9146" y="connsiteY9146"/>
            </a:cxn>
            <a:cxn ang="0">
              <a:pos x="connsiteX9147" y="connsiteY9147"/>
            </a:cxn>
            <a:cxn ang="0">
              <a:pos x="connsiteX9148" y="connsiteY9148"/>
            </a:cxn>
            <a:cxn ang="0">
              <a:pos x="connsiteX9149" y="connsiteY9149"/>
            </a:cxn>
            <a:cxn ang="0">
              <a:pos x="connsiteX9150" y="connsiteY9150"/>
            </a:cxn>
            <a:cxn ang="0">
              <a:pos x="connsiteX9151" y="connsiteY9151"/>
            </a:cxn>
            <a:cxn ang="0">
              <a:pos x="connsiteX9152" y="connsiteY9152"/>
            </a:cxn>
            <a:cxn ang="0">
              <a:pos x="connsiteX9153" y="connsiteY9153"/>
            </a:cxn>
            <a:cxn ang="0">
              <a:pos x="connsiteX9154" y="connsiteY9154"/>
            </a:cxn>
            <a:cxn ang="0">
              <a:pos x="connsiteX9155" y="connsiteY9155"/>
            </a:cxn>
            <a:cxn ang="0">
              <a:pos x="connsiteX9156" y="connsiteY9156"/>
            </a:cxn>
            <a:cxn ang="0">
              <a:pos x="connsiteX9157" y="connsiteY9157"/>
            </a:cxn>
            <a:cxn ang="0">
              <a:pos x="connsiteX9158" y="connsiteY9158"/>
            </a:cxn>
            <a:cxn ang="0">
              <a:pos x="connsiteX9159" y="connsiteY9159"/>
            </a:cxn>
            <a:cxn ang="0">
              <a:pos x="connsiteX9160" y="connsiteY9160"/>
            </a:cxn>
            <a:cxn ang="0">
              <a:pos x="connsiteX9161" y="connsiteY9161"/>
            </a:cxn>
            <a:cxn ang="0">
              <a:pos x="connsiteX9162" y="connsiteY9162"/>
            </a:cxn>
            <a:cxn ang="0">
              <a:pos x="connsiteX9163" y="connsiteY9163"/>
            </a:cxn>
            <a:cxn ang="0">
              <a:pos x="connsiteX9164" y="connsiteY9164"/>
            </a:cxn>
            <a:cxn ang="0">
              <a:pos x="connsiteX9165" y="connsiteY9165"/>
            </a:cxn>
            <a:cxn ang="0">
              <a:pos x="connsiteX9166" y="connsiteY9166"/>
            </a:cxn>
            <a:cxn ang="0">
              <a:pos x="connsiteX9167" y="connsiteY9167"/>
            </a:cxn>
            <a:cxn ang="0">
              <a:pos x="connsiteX9168" y="connsiteY9168"/>
            </a:cxn>
            <a:cxn ang="0">
              <a:pos x="connsiteX9169" y="connsiteY9169"/>
            </a:cxn>
            <a:cxn ang="0">
              <a:pos x="connsiteX9170" y="connsiteY9170"/>
            </a:cxn>
            <a:cxn ang="0">
              <a:pos x="connsiteX9171" y="connsiteY9171"/>
            </a:cxn>
            <a:cxn ang="0">
              <a:pos x="connsiteX9172" y="connsiteY9172"/>
            </a:cxn>
            <a:cxn ang="0">
              <a:pos x="connsiteX9173" y="connsiteY9173"/>
            </a:cxn>
            <a:cxn ang="0">
              <a:pos x="connsiteX9174" y="connsiteY9174"/>
            </a:cxn>
            <a:cxn ang="0">
              <a:pos x="connsiteX9175" y="connsiteY9175"/>
            </a:cxn>
            <a:cxn ang="0">
              <a:pos x="connsiteX9176" y="connsiteY9176"/>
            </a:cxn>
            <a:cxn ang="0">
              <a:pos x="connsiteX9177" y="connsiteY9177"/>
            </a:cxn>
            <a:cxn ang="0">
              <a:pos x="connsiteX9178" y="connsiteY9178"/>
            </a:cxn>
            <a:cxn ang="0">
              <a:pos x="connsiteX9179" y="connsiteY9179"/>
            </a:cxn>
            <a:cxn ang="0">
              <a:pos x="connsiteX9180" y="connsiteY9180"/>
            </a:cxn>
            <a:cxn ang="0">
              <a:pos x="connsiteX9181" y="connsiteY9181"/>
            </a:cxn>
            <a:cxn ang="0">
              <a:pos x="connsiteX9182" y="connsiteY9182"/>
            </a:cxn>
            <a:cxn ang="0">
              <a:pos x="connsiteX9183" y="connsiteY9183"/>
            </a:cxn>
            <a:cxn ang="0">
              <a:pos x="connsiteX9184" y="connsiteY9184"/>
            </a:cxn>
            <a:cxn ang="0">
              <a:pos x="connsiteX9185" y="connsiteY9185"/>
            </a:cxn>
            <a:cxn ang="0">
              <a:pos x="connsiteX9186" y="connsiteY9186"/>
            </a:cxn>
            <a:cxn ang="0">
              <a:pos x="connsiteX9187" y="connsiteY9187"/>
            </a:cxn>
            <a:cxn ang="0">
              <a:pos x="connsiteX9188" y="connsiteY9188"/>
            </a:cxn>
            <a:cxn ang="0">
              <a:pos x="connsiteX9189" y="connsiteY9189"/>
            </a:cxn>
            <a:cxn ang="0">
              <a:pos x="connsiteX9190" y="connsiteY9190"/>
            </a:cxn>
            <a:cxn ang="0">
              <a:pos x="connsiteX9191" y="connsiteY9191"/>
            </a:cxn>
            <a:cxn ang="0">
              <a:pos x="connsiteX9192" y="connsiteY9192"/>
            </a:cxn>
            <a:cxn ang="0">
              <a:pos x="connsiteX9193" y="connsiteY9193"/>
            </a:cxn>
            <a:cxn ang="0">
              <a:pos x="connsiteX9194" y="connsiteY9194"/>
            </a:cxn>
            <a:cxn ang="0">
              <a:pos x="connsiteX9195" y="connsiteY9195"/>
            </a:cxn>
            <a:cxn ang="0">
              <a:pos x="connsiteX9196" y="connsiteY9196"/>
            </a:cxn>
            <a:cxn ang="0">
              <a:pos x="connsiteX9197" y="connsiteY9197"/>
            </a:cxn>
            <a:cxn ang="0">
              <a:pos x="connsiteX9198" y="connsiteY9198"/>
            </a:cxn>
            <a:cxn ang="0">
              <a:pos x="connsiteX9199" y="connsiteY9199"/>
            </a:cxn>
            <a:cxn ang="0">
              <a:pos x="connsiteX9200" y="connsiteY9200"/>
            </a:cxn>
            <a:cxn ang="0">
              <a:pos x="connsiteX9201" y="connsiteY9201"/>
            </a:cxn>
            <a:cxn ang="0">
              <a:pos x="connsiteX9202" y="connsiteY9202"/>
            </a:cxn>
            <a:cxn ang="0">
              <a:pos x="connsiteX9203" y="connsiteY9203"/>
            </a:cxn>
            <a:cxn ang="0">
              <a:pos x="connsiteX9204" y="connsiteY9204"/>
            </a:cxn>
            <a:cxn ang="0">
              <a:pos x="connsiteX9205" y="connsiteY9205"/>
            </a:cxn>
            <a:cxn ang="0">
              <a:pos x="connsiteX9206" y="connsiteY9206"/>
            </a:cxn>
            <a:cxn ang="0">
              <a:pos x="connsiteX9207" y="connsiteY9207"/>
            </a:cxn>
            <a:cxn ang="0">
              <a:pos x="connsiteX9208" y="connsiteY9208"/>
            </a:cxn>
            <a:cxn ang="0">
              <a:pos x="connsiteX9209" y="connsiteY9209"/>
            </a:cxn>
            <a:cxn ang="0">
              <a:pos x="connsiteX9210" y="connsiteY9210"/>
            </a:cxn>
            <a:cxn ang="0">
              <a:pos x="connsiteX9211" y="connsiteY9211"/>
            </a:cxn>
            <a:cxn ang="0">
              <a:pos x="connsiteX9212" y="connsiteY9212"/>
            </a:cxn>
            <a:cxn ang="0">
              <a:pos x="connsiteX9213" y="connsiteY9213"/>
            </a:cxn>
            <a:cxn ang="0">
              <a:pos x="connsiteX9214" y="connsiteY9214"/>
            </a:cxn>
            <a:cxn ang="0">
              <a:pos x="connsiteX9215" y="connsiteY9215"/>
            </a:cxn>
            <a:cxn ang="0">
              <a:pos x="connsiteX9216" y="connsiteY9216"/>
            </a:cxn>
            <a:cxn ang="0">
              <a:pos x="connsiteX9217" y="connsiteY9217"/>
            </a:cxn>
            <a:cxn ang="0">
              <a:pos x="connsiteX9218" y="connsiteY9218"/>
            </a:cxn>
            <a:cxn ang="0">
              <a:pos x="connsiteX9219" y="connsiteY9219"/>
            </a:cxn>
            <a:cxn ang="0">
              <a:pos x="connsiteX9220" y="connsiteY9220"/>
            </a:cxn>
            <a:cxn ang="0">
              <a:pos x="connsiteX9221" y="connsiteY9221"/>
            </a:cxn>
            <a:cxn ang="0">
              <a:pos x="connsiteX9222" y="connsiteY9222"/>
            </a:cxn>
            <a:cxn ang="0">
              <a:pos x="connsiteX9223" y="connsiteY9223"/>
            </a:cxn>
            <a:cxn ang="0">
              <a:pos x="connsiteX9224" y="connsiteY9224"/>
            </a:cxn>
            <a:cxn ang="0">
              <a:pos x="connsiteX9225" y="connsiteY9225"/>
            </a:cxn>
            <a:cxn ang="0">
              <a:pos x="connsiteX9226" y="connsiteY9226"/>
            </a:cxn>
            <a:cxn ang="0">
              <a:pos x="connsiteX9227" y="connsiteY9227"/>
            </a:cxn>
            <a:cxn ang="0">
              <a:pos x="connsiteX9228" y="connsiteY9228"/>
            </a:cxn>
            <a:cxn ang="0">
              <a:pos x="connsiteX9229" y="connsiteY9229"/>
            </a:cxn>
            <a:cxn ang="0">
              <a:pos x="connsiteX9230" y="connsiteY9230"/>
            </a:cxn>
            <a:cxn ang="0">
              <a:pos x="connsiteX9231" y="connsiteY9231"/>
            </a:cxn>
            <a:cxn ang="0">
              <a:pos x="connsiteX9232" y="connsiteY9232"/>
            </a:cxn>
            <a:cxn ang="0">
              <a:pos x="connsiteX9233" y="connsiteY9233"/>
            </a:cxn>
            <a:cxn ang="0">
              <a:pos x="connsiteX9234" y="connsiteY9234"/>
            </a:cxn>
            <a:cxn ang="0">
              <a:pos x="connsiteX9235" y="connsiteY9235"/>
            </a:cxn>
            <a:cxn ang="0">
              <a:pos x="connsiteX9236" y="connsiteY9236"/>
            </a:cxn>
            <a:cxn ang="0">
              <a:pos x="connsiteX9237" y="connsiteY9237"/>
            </a:cxn>
            <a:cxn ang="0">
              <a:pos x="connsiteX9238" y="connsiteY9238"/>
            </a:cxn>
            <a:cxn ang="0">
              <a:pos x="connsiteX9239" y="connsiteY9239"/>
            </a:cxn>
            <a:cxn ang="0">
              <a:pos x="connsiteX9240" y="connsiteY9240"/>
            </a:cxn>
            <a:cxn ang="0">
              <a:pos x="connsiteX9241" y="connsiteY9241"/>
            </a:cxn>
            <a:cxn ang="0">
              <a:pos x="connsiteX9242" y="connsiteY9242"/>
            </a:cxn>
            <a:cxn ang="0">
              <a:pos x="connsiteX9243" y="connsiteY9243"/>
            </a:cxn>
            <a:cxn ang="0">
              <a:pos x="connsiteX9244" y="connsiteY9244"/>
            </a:cxn>
            <a:cxn ang="0">
              <a:pos x="connsiteX9245" y="connsiteY9245"/>
            </a:cxn>
            <a:cxn ang="0">
              <a:pos x="connsiteX9246" y="connsiteY9246"/>
            </a:cxn>
            <a:cxn ang="0">
              <a:pos x="connsiteX9247" y="connsiteY9247"/>
            </a:cxn>
            <a:cxn ang="0">
              <a:pos x="connsiteX9248" y="connsiteY9248"/>
            </a:cxn>
            <a:cxn ang="0">
              <a:pos x="connsiteX9249" y="connsiteY9249"/>
            </a:cxn>
            <a:cxn ang="0">
              <a:pos x="connsiteX9250" y="connsiteY9250"/>
            </a:cxn>
            <a:cxn ang="0">
              <a:pos x="connsiteX9251" y="connsiteY9251"/>
            </a:cxn>
            <a:cxn ang="0">
              <a:pos x="connsiteX9252" y="connsiteY9252"/>
            </a:cxn>
            <a:cxn ang="0">
              <a:pos x="connsiteX9253" y="connsiteY9253"/>
            </a:cxn>
            <a:cxn ang="0">
              <a:pos x="connsiteX9254" y="connsiteY9254"/>
            </a:cxn>
            <a:cxn ang="0">
              <a:pos x="connsiteX9255" y="connsiteY9255"/>
            </a:cxn>
            <a:cxn ang="0">
              <a:pos x="connsiteX9256" y="connsiteY9256"/>
            </a:cxn>
            <a:cxn ang="0">
              <a:pos x="connsiteX9257" y="connsiteY9257"/>
            </a:cxn>
            <a:cxn ang="0">
              <a:pos x="connsiteX9258" y="connsiteY9258"/>
            </a:cxn>
            <a:cxn ang="0">
              <a:pos x="connsiteX9259" y="connsiteY9259"/>
            </a:cxn>
            <a:cxn ang="0">
              <a:pos x="connsiteX9260" y="connsiteY9260"/>
            </a:cxn>
            <a:cxn ang="0">
              <a:pos x="connsiteX9261" y="connsiteY9261"/>
            </a:cxn>
            <a:cxn ang="0">
              <a:pos x="connsiteX9262" y="connsiteY9262"/>
            </a:cxn>
            <a:cxn ang="0">
              <a:pos x="connsiteX9263" y="connsiteY9263"/>
            </a:cxn>
            <a:cxn ang="0">
              <a:pos x="connsiteX9264" y="connsiteY9264"/>
            </a:cxn>
            <a:cxn ang="0">
              <a:pos x="connsiteX9265" y="connsiteY9265"/>
            </a:cxn>
            <a:cxn ang="0">
              <a:pos x="connsiteX9266" y="connsiteY9266"/>
            </a:cxn>
            <a:cxn ang="0">
              <a:pos x="connsiteX9267" y="connsiteY9267"/>
            </a:cxn>
            <a:cxn ang="0">
              <a:pos x="connsiteX9268" y="connsiteY9268"/>
            </a:cxn>
            <a:cxn ang="0">
              <a:pos x="connsiteX9269" y="connsiteY9269"/>
            </a:cxn>
            <a:cxn ang="0">
              <a:pos x="connsiteX9270" y="connsiteY9270"/>
            </a:cxn>
            <a:cxn ang="0">
              <a:pos x="connsiteX9271" y="connsiteY9271"/>
            </a:cxn>
            <a:cxn ang="0">
              <a:pos x="connsiteX9272" y="connsiteY9272"/>
            </a:cxn>
            <a:cxn ang="0">
              <a:pos x="connsiteX9273" y="connsiteY9273"/>
            </a:cxn>
            <a:cxn ang="0">
              <a:pos x="connsiteX9274" y="connsiteY9274"/>
            </a:cxn>
            <a:cxn ang="0">
              <a:pos x="connsiteX9275" y="connsiteY9275"/>
            </a:cxn>
            <a:cxn ang="0">
              <a:pos x="connsiteX9276" y="connsiteY9276"/>
            </a:cxn>
            <a:cxn ang="0">
              <a:pos x="connsiteX9277" y="connsiteY9277"/>
            </a:cxn>
            <a:cxn ang="0">
              <a:pos x="connsiteX9278" y="connsiteY9278"/>
            </a:cxn>
            <a:cxn ang="0">
              <a:pos x="connsiteX9279" y="connsiteY9279"/>
            </a:cxn>
            <a:cxn ang="0">
              <a:pos x="connsiteX9280" y="connsiteY9280"/>
            </a:cxn>
            <a:cxn ang="0">
              <a:pos x="connsiteX9281" y="connsiteY9281"/>
            </a:cxn>
            <a:cxn ang="0">
              <a:pos x="connsiteX9282" y="connsiteY9282"/>
            </a:cxn>
            <a:cxn ang="0">
              <a:pos x="connsiteX9283" y="connsiteY9283"/>
            </a:cxn>
            <a:cxn ang="0">
              <a:pos x="connsiteX9284" y="connsiteY9284"/>
            </a:cxn>
            <a:cxn ang="0">
              <a:pos x="connsiteX9285" y="connsiteY9285"/>
            </a:cxn>
            <a:cxn ang="0">
              <a:pos x="connsiteX9286" y="connsiteY9286"/>
            </a:cxn>
            <a:cxn ang="0">
              <a:pos x="connsiteX9287" y="connsiteY9287"/>
            </a:cxn>
            <a:cxn ang="0">
              <a:pos x="connsiteX9288" y="connsiteY9288"/>
            </a:cxn>
            <a:cxn ang="0">
              <a:pos x="connsiteX9289" y="connsiteY9289"/>
            </a:cxn>
            <a:cxn ang="0">
              <a:pos x="connsiteX9290" y="connsiteY9290"/>
            </a:cxn>
            <a:cxn ang="0">
              <a:pos x="connsiteX9291" y="connsiteY9291"/>
            </a:cxn>
            <a:cxn ang="0">
              <a:pos x="connsiteX9292" y="connsiteY9292"/>
            </a:cxn>
            <a:cxn ang="0">
              <a:pos x="connsiteX9293" y="connsiteY9293"/>
            </a:cxn>
            <a:cxn ang="0">
              <a:pos x="connsiteX9294" y="connsiteY9294"/>
            </a:cxn>
            <a:cxn ang="0">
              <a:pos x="connsiteX9295" y="connsiteY9295"/>
            </a:cxn>
            <a:cxn ang="0">
              <a:pos x="connsiteX9296" y="connsiteY9296"/>
            </a:cxn>
            <a:cxn ang="0">
              <a:pos x="connsiteX9297" y="connsiteY9297"/>
            </a:cxn>
            <a:cxn ang="0">
              <a:pos x="connsiteX9298" y="connsiteY9298"/>
            </a:cxn>
            <a:cxn ang="0">
              <a:pos x="connsiteX9299" y="connsiteY9299"/>
            </a:cxn>
            <a:cxn ang="0">
              <a:pos x="connsiteX9300" y="connsiteY9300"/>
            </a:cxn>
            <a:cxn ang="0">
              <a:pos x="connsiteX9301" y="connsiteY9301"/>
            </a:cxn>
            <a:cxn ang="0">
              <a:pos x="connsiteX9302" y="connsiteY9302"/>
            </a:cxn>
            <a:cxn ang="0">
              <a:pos x="connsiteX9303" y="connsiteY9303"/>
            </a:cxn>
            <a:cxn ang="0">
              <a:pos x="connsiteX9304" y="connsiteY9304"/>
            </a:cxn>
            <a:cxn ang="0">
              <a:pos x="connsiteX9305" y="connsiteY9305"/>
            </a:cxn>
            <a:cxn ang="0">
              <a:pos x="connsiteX9306" y="connsiteY9306"/>
            </a:cxn>
            <a:cxn ang="0">
              <a:pos x="connsiteX9307" y="connsiteY9307"/>
            </a:cxn>
            <a:cxn ang="0">
              <a:pos x="connsiteX9308" y="connsiteY9308"/>
            </a:cxn>
            <a:cxn ang="0">
              <a:pos x="connsiteX9309" y="connsiteY9309"/>
            </a:cxn>
            <a:cxn ang="0">
              <a:pos x="connsiteX9310" y="connsiteY9310"/>
            </a:cxn>
            <a:cxn ang="0">
              <a:pos x="connsiteX9311" y="connsiteY9311"/>
            </a:cxn>
            <a:cxn ang="0">
              <a:pos x="connsiteX9312" y="connsiteY9312"/>
            </a:cxn>
            <a:cxn ang="0">
              <a:pos x="connsiteX9313" y="connsiteY9313"/>
            </a:cxn>
            <a:cxn ang="0">
              <a:pos x="connsiteX9314" y="connsiteY9314"/>
            </a:cxn>
            <a:cxn ang="0">
              <a:pos x="connsiteX9315" y="connsiteY9315"/>
            </a:cxn>
            <a:cxn ang="0">
              <a:pos x="connsiteX9316" y="connsiteY9316"/>
            </a:cxn>
            <a:cxn ang="0">
              <a:pos x="connsiteX9317" y="connsiteY9317"/>
            </a:cxn>
            <a:cxn ang="0">
              <a:pos x="connsiteX9318" y="connsiteY9318"/>
            </a:cxn>
            <a:cxn ang="0">
              <a:pos x="connsiteX9319" y="connsiteY9319"/>
            </a:cxn>
            <a:cxn ang="0">
              <a:pos x="connsiteX9320" y="connsiteY9320"/>
            </a:cxn>
            <a:cxn ang="0">
              <a:pos x="connsiteX9321" y="connsiteY9321"/>
            </a:cxn>
            <a:cxn ang="0">
              <a:pos x="connsiteX9322" y="connsiteY9322"/>
            </a:cxn>
            <a:cxn ang="0">
              <a:pos x="connsiteX9323" y="connsiteY9323"/>
            </a:cxn>
            <a:cxn ang="0">
              <a:pos x="connsiteX9324" y="connsiteY9324"/>
            </a:cxn>
            <a:cxn ang="0">
              <a:pos x="connsiteX9325" y="connsiteY9325"/>
            </a:cxn>
            <a:cxn ang="0">
              <a:pos x="connsiteX9326" y="connsiteY9326"/>
            </a:cxn>
            <a:cxn ang="0">
              <a:pos x="connsiteX9327" y="connsiteY9327"/>
            </a:cxn>
            <a:cxn ang="0">
              <a:pos x="connsiteX9328" y="connsiteY9328"/>
            </a:cxn>
            <a:cxn ang="0">
              <a:pos x="connsiteX9329" y="connsiteY9329"/>
            </a:cxn>
            <a:cxn ang="0">
              <a:pos x="connsiteX9330" y="connsiteY9330"/>
            </a:cxn>
            <a:cxn ang="0">
              <a:pos x="connsiteX9331" y="connsiteY9331"/>
            </a:cxn>
            <a:cxn ang="0">
              <a:pos x="connsiteX9332" y="connsiteY9332"/>
            </a:cxn>
            <a:cxn ang="0">
              <a:pos x="connsiteX9333" y="connsiteY9333"/>
            </a:cxn>
            <a:cxn ang="0">
              <a:pos x="connsiteX9334" y="connsiteY9334"/>
            </a:cxn>
            <a:cxn ang="0">
              <a:pos x="connsiteX9335" y="connsiteY9335"/>
            </a:cxn>
            <a:cxn ang="0">
              <a:pos x="connsiteX9336" y="connsiteY9336"/>
            </a:cxn>
            <a:cxn ang="0">
              <a:pos x="connsiteX9337" y="connsiteY9337"/>
            </a:cxn>
            <a:cxn ang="0">
              <a:pos x="connsiteX9338" y="connsiteY9338"/>
            </a:cxn>
            <a:cxn ang="0">
              <a:pos x="connsiteX9339" y="connsiteY9339"/>
            </a:cxn>
            <a:cxn ang="0">
              <a:pos x="connsiteX9340" y="connsiteY9340"/>
            </a:cxn>
            <a:cxn ang="0">
              <a:pos x="connsiteX9341" y="connsiteY9341"/>
            </a:cxn>
            <a:cxn ang="0">
              <a:pos x="connsiteX9342" y="connsiteY9342"/>
            </a:cxn>
            <a:cxn ang="0">
              <a:pos x="connsiteX9343" y="connsiteY9343"/>
            </a:cxn>
            <a:cxn ang="0">
              <a:pos x="connsiteX9344" y="connsiteY9344"/>
            </a:cxn>
            <a:cxn ang="0">
              <a:pos x="connsiteX9345" y="connsiteY9345"/>
            </a:cxn>
            <a:cxn ang="0">
              <a:pos x="connsiteX9346" y="connsiteY9346"/>
            </a:cxn>
            <a:cxn ang="0">
              <a:pos x="connsiteX9347" y="connsiteY9347"/>
            </a:cxn>
            <a:cxn ang="0">
              <a:pos x="connsiteX9348" y="connsiteY9348"/>
            </a:cxn>
            <a:cxn ang="0">
              <a:pos x="connsiteX9349" y="connsiteY9349"/>
            </a:cxn>
            <a:cxn ang="0">
              <a:pos x="connsiteX9350" y="connsiteY9350"/>
            </a:cxn>
            <a:cxn ang="0">
              <a:pos x="connsiteX9351" y="connsiteY9351"/>
            </a:cxn>
            <a:cxn ang="0">
              <a:pos x="connsiteX9352" y="connsiteY9352"/>
            </a:cxn>
            <a:cxn ang="0">
              <a:pos x="connsiteX9353" y="connsiteY9353"/>
            </a:cxn>
            <a:cxn ang="0">
              <a:pos x="connsiteX9354" y="connsiteY9354"/>
            </a:cxn>
            <a:cxn ang="0">
              <a:pos x="connsiteX9355" y="connsiteY9355"/>
            </a:cxn>
            <a:cxn ang="0">
              <a:pos x="connsiteX9356" y="connsiteY9356"/>
            </a:cxn>
            <a:cxn ang="0">
              <a:pos x="connsiteX9357" y="connsiteY9357"/>
            </a:cxn>
            <a:cxn ang="0">
              <a:pos x="connsiteX9358" y="connsiteY9358"/>
            </a:cxn>
            <a:cxn ang="0">
              <a:pos x="connsiteX9359" y="connsiteY9359"/>
            </a:cxn>
            <a:cxn ang="0">
              <a:pos x="connsiteX9360" y="connsiteY9360"/>
            </a:cxn>
            <a:cxn ang="0">
              <a:pos x="connsiteX9361" y="connsiteY9361"/>
            </a:cxn>
            <a:cxn ang="0">
              <a:pos x="connsiteX9362" y="connsiteY9362"/>
            </a:cxn>
            <a:cxn ang="0">
              <a:pos x="connsiteX9363" y="connsiteY9363"/>
            </a:cxn>
            <a:cxn ang="0">
              <a:pos x="connsiteX9364" y="connsiteY9364"/>
            </a:cxn>
            <a:cxn ang="0">
              <a:pos x="connsiteX9365" y="connsiteY9365"/>
            </a:cxn>
            <a:cxn ang="0">
              <a:pos x="connsiteX9366" y="connsiteY9366"/>
            </a:cxn>
            <a:cxn ang="0">
              <a:pos x="connsiteX9367" y="connsiteY9367"/>
            </a:cxn>
            <a:cxn ang="0">
              <a:pos x="connsiteX9368" y="connsiteY9368"/>
            </a:cxn>
            <a:cxn ang="0">
              <a:pos x="connsiteX9369" y="connsiteY9369"/>
            </a:cxn>
            <a:cxn ang="0">
              <a:pos x="connsiteX9370" y="connsiteY9370"/>
            </a:cxn>
            <a:cxn ang="0">
              <a:pos x="connsiteX9371" y="connsiteY9371"/>
            </a:cxn>
            <a:cxn ang="0">
              <a:pos x="connsiteX9372" y="connsiteY9372"/>
            </a:cxn>
            <a:cxn ang="0">
              <a:pos x="connsiteX9373" y="connsiteY9373"/>
            </a:cxn>
            <a:cxn ang="0">
              <a:pos x="connsiteX9374" y="connsiteY9374"/>
            </a:cxn>
            <a:cxn ang="0">
              <a:pos x="connsiteX9375" y="connsiteY9375"/>
            </a:cxn>
            <a:cxn ang="0">
              <a:pos x="connsiteX9376" y="connsiteY9376"/>
            </a:cxn>
            <a:cxn ang="0">
              <a:pos x="connsiteX9377" y="connsiteY9377"/>
            </a:cxn>
            <a:cxn ang="0">
              <a:pos x="connsiteX9378" y="connsiteY9378"/>
            </a:cxn>
            <a:cxn ang="0">
              <a:pos x="connsiteX9379" y="connsiteY9379"/>
            </a:cxn>
            <a:cxn ang="0">
              <a:pos x="connsiteX9380" y="connsiteY9380"/>
            </a:cxn>
            <a:cxn ang="0">
              <a:pos x="connsiteX9381" y="connsiteY9381"/>
            </a:cxn>
            <a:cxn ang="0">
              <a:pos x="connsiteX9382" y="connsiteY9382"/>
            </a:cxn>
            <a:cxn ang="0">
              <a:pos x="connsiteX9383" y="connsiteY9383"/>
            </a:cxn>
            <a:cxn ang="0">
              <a:pos x="connsiteX9384" y="connsiteY9384"/>
            </a:cxn>
            <a:cxn ang="0">
              <a:pos x="connsiteX9385" y="connsiteY9385"/>
            </a:cxn>
            <a:cxn ang="0">
              <a:pos x="connsiteX9386" y="connsiteY9386"/>
            </a:cxn>
            <a:cxn ang="0">
              <a:pos x="connsiteX9387" y="connsiteY9387"/>
            </a:cxn>
            <a:cxn ang="0">
              <a:pos x="connsiteX9388" y="connsiteY9388"/>
            </a:cxn>
            <a:cxn ang="0">
              <a:pos x="connsiteX9389" y="connsiteY9389"/>
            </a:cxn>
            <a:cxn ang="0">
              <a:pos x="connsiteX9390" y="connsiteY9390"/>
            </a:cxn>
            <a:cxn ang="0">
              <a:pos x="connsiteX9391" y="connsiteY9391"/>
            </a:cxn>
            <a:cxn ang="0">
              <a:pos x="connsiteX9392" y="connsiteY9392"/>
            </a:cxn>
            <a:cxn ang="0">
              <a:pos x="connsiteX9393" y="connsiteY9393"/>
            </a:cxn>
            <a:cxn ang="0">
              <a:pos x="connsiteX9394" y="connsiteY9394"/>
            </a:cxn>
            <a:cxn ang="0">
              <a:pos x="connsiteX9395" y="connsiteY9395"/>
            </a:cxn>
            <a:cxn ang="0">
              <a:pos x="connsiteX9396" y="connsiteY9396"/>
            </a:cxn>
            <a:cxn ang="0">
              <a:pos x="connsiteX9397" y="connsiteY9397"/>
            </a:cxn>
            <a:cxn ang="0">
              <a:pos x="connsiteX9398" y="connsiteY9398"/>
            </a:cxn>
            <a:cxn ang="0">
              <a:pos x="connsiteX9399" y="connsiteY9399"/>
            </a:cxn>
            <a:cxn ang="0">
              <a:pos x="connsiteX9400" y="connsiteY9400"/>
            </a:cxn>
            <a:cxn ang="0">
              <a:pos x="connsiteX9401" y="connsiteY9401"/>
            </a:cxn>
            <a:cxn ang="0">
              <a:pos x="connsiteX9402" y="connsiteY9402"/>
            </a:cxn>
            <a:cxn ang="0">
              <a:pos x="connsiteX9403" y="connsiteY9403"/>
            </a:cxn>
            <a:cxn ang="0">
              <a:pos x="connsiteX9404" y="connsiteY9404"/>
            </a:cxn>
            <a:cxn ang="0">
              <a:pos x="connsiteX9405" y="connsiteY9405"/>
            </a:cxn>
            <a:cxn ang="0">
              <a:pos x="connsiteX9406" y="connsiteY9406"/>
            </a:cxn>
            <a:cxn ang="0">
              <a:pos x="connsiteX9407" y="connsiteY9407"/>
            </a:cxn>
            <a:cxn ang="0">
              <a:pos x="connsiteX9408" y="connsiteY9408"/>
            </a:cxn>
            <a:cxn ang="0">
              <a:pos x="connsiteX9409" y="connsiteY9409"/>
            </a:cxn>
            <a:cxn ang="0">
              <a:pos x="connsiteX9410" y="connsiteY9410"/>
            </a:cxn>
            <a:cxn ang="0">
              <a:pos x="connsiteX9411" y="connsiteY9411"/>
            </a:cxn>
            <a:cxn ang="0">
              <a:pos x="connsiteX9412" y="connsiteY9412"/>
            </a:cxn>
            <a:cxn ang="0">
              <a:pos x="connsiteX9413" y="connsiteY9413"/>
            </a:cxn>
            <a:cxn ang="0">
              <a:pos x="connsiteX9414" y="connsiteY9414"/>
            </a:cxn>
            <a:cxn ang="0">
              <a:pos x="connsiteX9415" y="connsiteY9415"/>
            </a:cxn>
            <a:cxn ang="0">
              <a:pos x="connsiteX9416" y="connsiteY9416"/>
            </a:cxn>
            <a:cxn ang="0">
              <a:pos x="connsiteX9417" y="connsiteY9417"/>
            </a:cxn>
            <a:cxn ang="0">
              <a:pos x="connsiteX9418" y="connsiteY9418"/>
            </a:cxn>
            <a:cxn ang="0">
              <a:pos x="connsiteX9419" y="connsiteY9419"/>
            </a:cxn>
            <a:cxn ang="0">
              <a:pos x="connsiteX9420" y="connsiteY9420"/>
            </a:cxn>
            <a:cxn ang="0">
              <a:pos x="connsiteX9421" y="connsiteY9421"/>
            </a:cxn>
            <a:cxn ang="0">
              <a:pos x="connsiteX9422" y="connsiteY9422"/>
            </a:cxn>
            <a:cxn ang="0">
              <a:pos x="connsiteX9423" y="connsiteY9423"/>
            </a:cxn>
            <a:cxn ang="0">
              <a:pos x="connsiteX9424" y="connsiteY9424"/>
            </a:cxn>
            <a:cxn ang="0">
              <a:pos x="connsiteX9425" y="connsiteY9425"/>
            </a:cxn>
            <a:cxn ang="0">
              <a:pos x="connsiteX9426" y="connsiteY9426"/>
            </a:cxn>
            <a:cxn ang="0">
              <a:pos x="connsiteX9427" y="connsiteY9427"/>
            </a:cxn>
            <a:cxn ang="0">
              <a:pos x="connsiteX9428" y="connsiteY9428"/>
            </a:cxn>
            <a:cxn ang="0">
              <a:pos x="connsiteX9429" y="connsiteY9429"/>
            </a:cxn>
            <a:cxn ang="0">
              <a:pos x="connsiteX9430" y="connsiteY9430"/>
            </a:cxn>
            <a:cxn ang="0">
              <a:pos x="connsiteX9431" y="connsiteY9431"/>
            </a:cxn>
            <a:cxn ang="0">
              <a:pos x="connsiteX9432" y="connsiteY9432"/>
            </a:cxn>
            <a:cxn ang="0">
              <a:pos x="connsiteX9433" y="connsiteY9433"/>
            </a:cxn>
            <a:cxn ang="0">
              <a:pos x="connsiteX9434" y="connsiteY9434"/>
            </a:cxn>
            <a:cxn ang="0">
              <a:pos x="connsiteX9435" y="connsiteY9435"/>
            </a:cxn>
            <a:cxn ang="0">
              <a:pos x="connsiteX9436" y="connsiteY9436"/>
            </a:cxn>
            <a:cxn ang="0">
              <a:pos x="connsiteX9437" y="connsiteY9437"/>
            </a:cxn>
            <a:cxn ang="0">
              <a:pos x="connsiteX9438" y="connsiteY9438"/>
            </a:cxn>
            <a:cxn ang="0">
              <a:pos x="connsiteX9439" y="connsiteY9439"/>
            </a:cxn>
            <a:cxn ang="0">
              <a:pos x="connsiteX9440" y="connsiteY9440"/>
            </a:cxn>
            <a:cxn ang="0">
              <a:pos x="connsiteX9441" y="connsiteY9441"/>
            </a:cxn>
            <a:cxn ang="0">
              <a:pos x="connsiteX9442" y="connsiteY9442"/>
            </a:cxn>
            <a:cxn ang="0">
              <a:pos x="connsiteX9443" y="connsiteY9443"/>
            </a:cxn>
            <a:cxn ang="0">
              <a:pos x="connsiteX9444" y="connsiteY9444"/>
            </a:cxn>
            <a:cxn ang="0">
              <a:pos x="connsiteX9445" y="connsiteY9445"/>
            </a:cxn>
            <a:cxn ang="0">
              <a:pos x="connsiteX9446" y="connsiteY9446"/>
            </a:cxn>
            <a:cxn ang="0">
              <a:pos x="connsiteX9447" y="connsiteY9447"/>
            </a:cxn>
            <a:cxn ang="0">
              <a:pos x="connsiteX9448" y="connsiteY9448"/>
            </a:cxn>
            <a:cxn ang="0">
              <a:pos x="connsiteX9449" y="connsiteY9449"/>
            </a:cxn>
            <a:cxn ang="0">
              <a:pos x="connsiteX9450" y="connsiteY9450"/>
            </a:cxn>
            <a:cxn ang="0">
              <a:pos x="connsiteX9451" y="connsiteY9451"/>
            </a:cxn>
            <a:cxn ang="0">
              <a:pos x="connsiteX9452" y="connsiteY9452"/>
            </a:cxn>
            <a:cxn ang="0">
              <a:pos x="connsiteX9453" y="connsiteY9453"/>
            </a:cxn>
            <a:cxn ang="0">
              <a:pos x="connsiteX9454" y="connsiteY9454"/>
            </a:cxn>
            <a:cxn ang="0">
              <a:pos x="connsiteX9455" y="connsiteY9455"/>
            </a:cxn>
            <a:cxn ang="0">
              <a:pos x="connsiteX9456" y="connsiteY9456"/>
            </a:cxn>
            <a:cxn ang="0">
              <a:pos x="connsiteX9457" y="connsiteY9457"/>
            </a:cxn>
            <a:cxn ang="0">
              <a:pos x="connsiteX9458" y="connsiteY9458"/>
            </a:cxn>
            <a:cxn ang="0">
              <a:pos x="connsiteX9459" y="connsiteY9459"/>
            </a:cxn>
            <a:cxn ang="0">
              <a:pos x="connsiteX9460" y="connsiteY9460"/>
            </a:cxn>
            <a:cxn ang="0">
              <a:pos x="connsiteX9461" y="connsiteY9461"/>
            </a:cxn>
            <a:cxn ang="0">
              <a:pos x="connsiteX9462" y="connsiteY9462"/>
            </a:cxn>
            <a:cxn ang="0">
              <a:pos x="connsiteX9463" y="connsiteY9463"/>
            </a:cxn>
            <a:cxn ang="0">
              <a:pos x="connsiteX9464" y="connsiteY9464"/>
            </a:cxn>
            <a:cxn ang="0">
              <a:pos x="connsiteX9465" y="connsiteY9465"/>
            </a:cxn>
            <a:cxn ang="0">
              <a:pos x="connsiteX9466" y="connsiteY9466"/>
            </a:cxn>
            <a:cxn ang="0">
              <a:pos x="connsiteX9467" y="connsiteY9467"/>
            </a:cxn>
            <a:cxn ang="0">
              <a:pos x="connsiteX9468" y="connsiteY9468"/>
            </a:cxn>
            <a:cxn ang="0">
              <a:pos x="connsiteX9469" y="connsiteY9469"/>
            </a:cxn>
            <a:cxn ang="0">
              <a:pos x="connsiteX9470" y="connsiteY9470"/>
            </a:cxn>
            <a:cxn ang="0">
              <a:pos x="connsiteX9471" y="connsiteY9471"/>
            </a:cxn>
            <a:cxn ang="0">
              <a:pos x="connsiteX9472" y="connsiteY9472"/>
            </a:cxn>
            <a:cxn ang="0">
              <a:pos x="connsiteX9473" y="connsiteY9473"/>
            </a:cxn>
            <a:cxn ang="0">
              <a:pos x="connsiteX9474" y="connsiteY9474"/>
            </a:cxn>
            <a:cxn ang="0">
              <a:pos x="connsiteX9475" y="connsiteY9475"/>
            </a:cxn>
            <a:cxn ang="0">
              <a:pos x="connsiteX9476" y="connsiteY9476"/>
            </a:cxn>
            <a:cxn ang="0">
              <a:pos x="connsiteX9477" y="connsiteY9477"/>
            </a:cxn>
            <a:cxn ang="0">
              <a:pos x="connsiteX9478" y="connsiteY9478"/>
            </a:cxn>
            <a:cxn ang="0">
              <a:pos x="connsiteX9479" y="connsiteY9479"/>
            </a:cxn>
            <a:cxn ang="0">
              <a:pos x="connsiteX9480" y="connsiteY9480"/>
            </a:cxn>
            <a:cxn ang="0">
              <a:pos x="connsiteX9481" y="connsiteY9481"/>
            </a:cxn>
            <a:cxn ang="0">
              <a:pos x="connsiteX9482" y="connsiteY9482"/>
            </a:cxn>
            <a:cxn ang="0">
              <a:pos x="connsiteX9483" y="connsiteY9483"/>
            </a:cxn>
            <a:cxn ang="0">
              <a:pos x="connsiteX9484" y="connsiteY9484"/>
            </a:cxn>
            <a:cxn ang="0">
              <a:pos x="connsiteX9485" y="connsiteY9485"/>
            </a:cxn>
            <a:cxn ang="0">
              <a:pos x="connsiteX9486" y="connsiteY9486"/>
            </a:cxn>
            <a:cxn ang="0">
              <a:pos x="connsiteX9487" y="connsiteY9487"/>
            </a:cxn>
            <a:cxn ang="0">
              <a:pos x="connsiteX9488" y="connsiteY9488"/>
            </a:cxn>
            <a:cxn ang="0">
              <a:pos x="connsiteX9489" y="connsiteY9489"/>
            </a:cxn>
            <a:cxn ang="0">
              <a:pos x="connsiteX9490" y="connsiteY9490"/>
            </a:cxn>
            <a:cxn ang="0">
              <a:pos x="connsiteX9491" y="connsiteY9491"/>
            </a:cxn>
            <a:cxn ang="0">
              <a:pos x="connsiteX9492" y="connsiteY9492"/>
            </a:cxn>
            <a:cxn ang="0">
              <a:pos x="connsiteX9493" y="connsiteY9493"/>
            </a:cxn>
            <a:cxn ang="0">
              <a:pos x="connsiteX9494" y="connsiteY9494"/>
            </a:cxn>
            <a:cxn ang="0">
              <a:pos x="connsiteX9495" y="connsiteY9495"/>
            </a:cxn>
            <a:cxn ang="0">
              <a:pos x="connsiteX9496" y="connsiteY9496"/>
            </a:cxn>
            <a:cxn ang="0">
              <a:pos x="connsiteX9497" y="connsiteY9497"/>
            </a:cxn>
            <a:cxn ang="0">
              <a:pos x="connsiteX9498" y="connsiteY9498"/>
            </a:cxn>
            <a:cxn ang="0">
              <a:pos x="connsiteX9499" y="connsiteY9499"/>
            </a:cxn>
            <a:cxn ang="0">
              <a:pos x="connsiteX9500" y="connsiteY9500"/>
            </a:cxn>
            <a:cxn ang="0">
              <a:pos x="connsiteX9501" y="connsiteY9501"/>
            </a:cxn>
            <a:cxn ang="0">
              <a:pos x="connsiteX9502" y="connsiteY9502"/>
            </a:cxn>
            <a:cxn ang="0">
              <a:pos x="connsiteX9503" y="connsiteY9503"/>
            </a:cxn>
            <a:cxn ang="0">
              <a:pos x="connsiteX9504" y="connsiteY9504"/>
            </a:cxn>
            <a:cxn ang="0">
              <a:pos x="connsiteX9505" y="connsiteY9505"/>
            </a:cxn>
            <a:cxn ang="0">
              <a:pos x="connsiteX9506" y="connsiteY9506"/>
            </a:cxn>
            <a:cxn ang="0">
              <a:pos x="connsiteX9507" y="connsiteY9507"/>
            </a:cxn>
            <a:cxn ang="0">
              <a:pos x="connsiteX9508" y="connsiteY9508"/>
            </a:cxn>
            <a:cxn ang="0">
              <a:pos x="connsiteX9509" y="connsiteY9509"/>
            </a:cxn>
            <a:cxn ang="0">
              <a:pos x="connsiteX9510" y="connsiteY9510"/>
            </a:cxn>
            <a:cxn ang="0">
              <a:pos x="connsiteX9511" y="connsiteY9511"/>
            </a:cxn>
            <a:cxn ang="0">
              <a:pos x="connsiteX9512" y="connsiteY9512"/>
            </a:cxn>
            <a:cxn ang="0">
              <a:pos x="connsiteX9513" y="connsiteY9513"/>
            </a:cxn>
            <a:cxn ang="0">
              <a:pos x="connsiteX9514" y="connsiteY9514"/>
            </a:cxn>
            <a:cxn ang="0">
              <a:pos x="connsiteX9515" y="connsiteY9515"/>
            </a:cxn>
            <a:cxn ang="0">
              <a:pos x="connsiteX9516" y="connsiteY9516"/>
            </a:cxn>
            <a:cxn ang="0">
              <a:pos x="connsiteX9517" y="connsiteY9517"/>
            </a:cxn>
            <a:cxn ang="0">
              <a:pos x="connsiteX9518" y="connsiteY9518"/>
            </a:cxn>
            <a:cxn ang="0">
              <a:pos x="connsiteX9519" y="connsiteY9519"/>
            </a:cxn>
            <a:cxn ang="0">
              <a:pos x="connsiteX9520" y="connsiteY9520"/>
            </a:cxn>
            <a:cxn ang="0">
              <a:pos x="connsiteX9521" y="connsiteY9521"/>
            </a:cxn>
            <a:cxn ang="0">
              <a:pos x="connsiteX9522" y="connsiteY9522"/>
            </a:cxn>
            <a:cxn ang="0">
              <a:pos x="connsiteX9523" y="connsiteY9523"/>
            </a:cxn>
            <a:cxn ang="0">
              <a:pos x="connsiteX9524" y="connsiteY9524"/>
            </a:cxn>
            <a:cxn ang="0">
              <a:pos x="connsiteX9525" y="connsiteY9525"/>
            </a:cxn>
            <a:cxn ang="0">
              <a:pos x="connsiteX9526" y="connsiteY9526"/>
            </a:cxn>
            <a:cxn ang="0">
              <a:pos x="connsiteX9527" y="connsiteY9527"/>
            </a:cxn>
            <a:cxn ang="0">
              <a:pos x="connsiteX9528" y="connsiteY9528"/>
            </a:cxn>
            <a:cxn ang="0">
              <a:pos x="connsiteX9529" y="connsiteY9529"/>
            </a:cxn>
            <a:cxn ang="0">
              <a:pos x="connsiteX9530" y="connsiteY9530"/>
            </a:cxn>
            <a:cxn ang="0">
              <a:pos x="connsiteX9531" y="connsiteY9531"/>
            </a:cxn>
            <a:cxn ang="0">
              <a:pos x="connsiteX9532" y="connsiteY9532"/>
            </a:cxn>
            <a:cxn ang="0">
              <a:pos x="connsiteX9533" y="connsiteY9533"/>
            </a:cxn>
            <a:cxn ang="0">
              <a:pos x="connsiteX9534" y="connsiteY9534"/>
            </a:cxn>
            <a:cxn ang="0">
              <a:pos x="connsiteX9535" y="connsiteY9535"/>
            </a:cxn>
            <a:cxn ang="0">
              <a:pos x="connsiteX9536" y="connsiteY9536"/>
            </a:cxn>
            <a:cxn ang="0">
              <a:pos x="connsiteX9537" y="connsiteY9537"/>
            </a:cxn>
            <a:cxn ang="0">
              <a:pos x="connsiteX9538" y="connsiteY9538"/>
            </a:cxn>
            <a:cxn ang="0">
              <a:pos x="connsiteX9539" y="connsiteY9539"/>
            </a:cxn>
            <a:cxn ang="0">
              <a:pos x="connsiteX9540" y="connsiteY9540"/>
            </a:cxn>
            <a:cxn ang="0">
              <a:pos x="connsiteX9541" y="connsiteY9541"/>
            </a:cxn>
            <a:cxn ang="0">
              <a:pos x="connsiteX9542" y="connsiteY9542"/>
            </a:cxn>
            <a:cxn ang="0">
              <a:pos x="connsiteX9543" y="connsiteY9543"/>
            </a:cxn>
            <a:cxn ang="0">
              <a:pos x="connsiteX9544" y="connsiteY9544"/>
            </a:cxn>
            <a:cxn ang="0">
              <a:pos x="connsiteX9545" y="connsiteY9545"/>
            </a:cxn>
            <a:cxn ang="0">
              <a:pos x="connsiteX9546" y="connsiteY9546"/>
            </a:cxn>
            <a:cxn ang="0">
              <a:pos x="connsiteX9547" y="connsiteY9547"/>
            </a:cxn>
            <a:cxn ang="0">
              <a:pos x="connsiteX9548" y="connsiteY9548"/>
            </a:cxn>
            <a:cxn ang="0">
              <a:pos x="connsiteX9549" y="connsiteY9549"/>
            </a:cxn>
            <a:cxn ang="0">
              <a:pos x="connsiteX9550" y="connsiteY9550"/>
            </a:cxn>
            <a:cxn ang="0">
              <a:pos x="connsiteX9551" y="connsiteY9551"/>
            </a:cxn>
            <a:cxn ang="0">
              <a:pos x="connsiteX9552" y="connsiteY9552"/>
            </a:cxn>
            <a:cxn ang="0">
              <a:pos x="connsiteX9553" y="connsiteY9553"/>
            </a:cxn>
            <a:cxn ang="0">
              <a:pos x="connsiteX9554" y="connsiteY9554"/>
            </a:cxn>
            <a:cxn ang="0">
              <a:pos x="connsiteX9555" y="connsiteY9555"/>
            </a:cxn>
            <a:cxn ang="0">
              <a:pos x="connsiteX9556" y="connsiteY9556"/>
            </a:cxn>
            <a:cxn ang="0">
              <a:pos x="connsiteX9557" y="connsiteY9557"/>
            </a:cxn>
            <a:cxn ang="0">
              <a:pos x="connsiteX9558" y="connsiteY9558"/>
            </a:cxn>
            <a:cxn ang="0">
              <a:pos x="connsiteX9559" y="connsiteY9559"/>
            </a:cxn>
            <a:cxn ang="0">
              <a:pos x="connsiteX9560" y="connsiteY9560"/>
            </a:cxn>
            <a:cxn ang="0">
              <a:pos x="connsiteX9561" y="connsiteY9561"/>
            </a:cxn>
            <a:cxn ang="0">
              <a:pos x="connsiteX9562" y="connsiteY9562"/>
            </a:cxn>
            <a:cxn ang="0">
              <a:pos x="connsiteX9563" y="connsiteY9563"/>
            </a:cxn>
            <a:cxn ang="0">
              <a:pos x="connsiteX9564" y="connsiteY9564"/>
            </a:cxn>
            <a:cxn ang="0">
              <a:pos x="connsiteX9565" y="connsiteY9565"/>
            </a:cxn>
            <a:cxn ang="0">
              <a:pos x="connsiteX9566" y="connsiteY9566"/>
            </a:cxn>
            <a:cxn ang="0">
              <a:pos x="connsiteX9567" y="connsiteY9567"/>
            </a:cxn>
            <a:cxn ang="0">
              <a:pos x="connsiteX9568" y="connsiteY9568"/>
            </a:cxn>
            <a:cxn ang="0">
              <a:pos x="connsiteX9569" y="connsiteY9569"/>
            </a:cxn>
            <a:cxn ang="0">
              <a:pos x="connsiteX9570" y="connsiteY9570"/>
            </a:cxn>
            <a:cxn ang="0">
              <a:pos x="connsiteX9571" y="connsiteY9571"/>
            </a:cxn>
            <a:cxn ang="0">
              <a:pos x="connsiteX9572" y="connsiteY9572"/>
            </a:cxn>
            <a:cxn ang="0">
              <a:pos x="connsiteX9573" y="connsiteY9573"/>
            </a:cxn>
            <a:cxn ang="0">
              <a:pos x="connsiteX9574" y="connsiteY9574"/>
            </a:cxn>
            <a:cxn ang="0">
              <a:pos x="connsiteX9575" y="connsiteY9575"/>
            </a:cxn>
            <a:cxn ang="0">
              <a:pos x="connsiteX9576" y="connsiteY9576"/>
            </a:cxn>
            <a:cxn ang="0">
              <a:pos x="connsiteX9577" y="connsiteY9577"/>
            </a:cxn>
            <a:cxn ang="0">
              <a:pos x="connsiteX9578" y="connsiteY9578"/>
            </a:cxn>
            <a:cxn ang="0">
              <a:pos x="connsiteX9579" y="connsiteY9579"/>
            </a:cxn>
            <a:cxn ang="0">
              <a:pos x="connsiteX9580" y="connsiteY9580"/>
            </a:cxn>
            <a:cxn ang="0">
              <a:pos x="connsiteX9581" y="connsiteY9581"/>
            </a:cxn>
            <a:cxn ang="0">
              <a:pos x="connsiteX9582" y="connsiteY9582"/>
            </a:cxn>
            <a:cxn ang="0">
              <a:pos x="connsiteX9583" y="connsiteY9583"/>
            </a:cxn>
            <a:cxn ang="0">
              <a:pos x="connsiteX9584" y="connsiteY9584"/>
            </a:cxn>
            <a:cxn ang="0">
              <a:pos x="connsiteX9585" y="connsiteY9585"/>
            </a:cxn>
            <a:cxn ang="0">
              <a:pos x="connsiteX9586" y="connsiteY9586"/>
            </a:cxn>
            <a:cxn ang="0">
              <a:pos x="connsiteX9587" y="connsiteY9587"/>
            </a:cxn>
            <a:cxn ang="0">
              <a:pos x="connsiteX9588" y="connsiteY9588"/>
            </a:cxn>
            <a:cxn ang="0">
              <a:pos x="connsiteX9589" y="connsiteY9589"/>
            </a:cxn>
            <a:cxn ang="0">
              <a:pos x="connsiteX9590" y="connsiteY9590"/>
            </a:cxn>
            <a:cxn ang="0">
              <a:pos x="connsiteX9591" y="connsiteY9591"/>
            </a:cxn>
            <a:cxn ang="0">
              <a:pos x="connsiteX9592" y="connsiteY9592"/>
            </a:cxn>
            <a:cxn ang="0">
              <a:pos x="connsiteX9593" y="connsiteY9593"/>
            </a:cxn>
            <a:cxn ang="0">
              <a:pos x="connsiteX9594" y="connsiteY9594"/>
            </a:cxn>
            <a:cxn ang="0">
              <a:pos x="connsiteX9595" y="connsiteY9595"/>
            </a:cxn>
            <a:cxn ang="0">
              <a:pos x="connsiteX9596" y="connsiteY9596"/>
            </a:cxn>
            <a:cxn ang="0">
              <a:pos x="connsiteX9597" y="connsiteY9597"/>
            </a:cxn>
            <a:cxn ang="0">
              <a:pos x="connsiteX9598" y="connsiteY9598"/>
            </a:cxn>
            <a:cxn ang="0">
              <a:pos x="connsiteX9599" y="connsiteY9599"/>
            </a:cxn>
            <a:cxn ang="0">
              <a:pos x="connsiteX9600" y="connsiteY9600"/>
            </a:cxn>
            <a:cxn ang="0">
              <a:pos x="connsiteX9601" y="connsiteY9601"/>
            </a:cxn>
            <a:cxn ang="0">
              <a:pos x="connsiteX9602" y="connsiteY9602"/>
            </a:cxn>
            <a:cxn ang="0">
              <a:pos x="connsiteX9603" y="connsiteY9603"/>
            </a:cxn>
            <a:cxn ang="0">
              <a:pos x="connsiteX9604" y="connsiteY9604"/>
            </a:cxn>
            <a:cxn ang="0">
              <a:pos x="connsiteX9605" y="connsiteY9605"/>
            </a:cxn>
            <a:cxn ang="0">
              <a:pos x="connsiteX9606" y="connsiteY9606"/>
            </a:cxn>
            <a:cxn ang="0">
              <a:pos x="connsiteX9607" y="connsiteY9607"/>
            </a:cxn>
            <a:cxn ang="0">
              <a:pos x="connsiteX9608" y="connsiteY9608"/>
            </a:cxn>
            <a:cxn ang="0">
              <a:pos x="connsiteX9609" y="connsiteY9609"/>
            </a:cxn>
            <a:cxn ang="0">
              <a:pos x="connsiteX9610" y="connsiteY9610"/>
            </a:cxn>
            <a:cxn ang="0">
              <a:pos x="connsiteX9611" y="connsiteY9611"/>
            </a:cxn>
            <a:cxn ang="0">
              <a:pos x="connsiteX9612" y="connsiteY9612"/>
            </a:cxn>
            <a:cxn ang="0">
              <a:pos x="connsiteX9613" y="connsiteY9613"/>
            </a:cxn>
            <a:cxn ang="0">
              <a:pos x="connsiteX9614" y="connsiteY9614"/>
            </a:cxn>
            <a:cxn ang="0">
              <a:pos x="connsiteX9615" y="connsiteY9615"/>
            </a:cxn>
            <a:cxn ang="0">
              <a:pos x="connsiteX9616" y="connsiteY9616"/>
            </a:cxn>
            <a:cxn ang="0">
              <a:pos x="connsiteX9617" y="connsiteY9617"/>
            </a:cxn>
            <a:cxn ang="0">
              <a:pos x="connsiteX9618" y="connsiteY9618"/>
            </a:cxn>
            <a:cxn ang="0">
              <a:pos x="connsiteX9619" y="connsiteY9619"/>
            </a:cxn>
            <a:cxn ang="0">
              <a:pos x="connsiteX9620" y="connsiteY9620"/>
            </a:cxn>
            <a:cxn ang="0">
              <a:pos x="connsiteX9621" y="connsiteY9621"/>
            </a:cxn>
            <a:cxn ang="0">
              <a:pos x="connsiteX9622" y="connsiteY9622"/>
            </a:cxn>
            <a:cxn ang="0">
              <a:pos x="connsiteX9623" y="connsiteY9623"/>
            </a:cxn>
            <a:cxn ang="0">
              <a:pos x="connsiteX9624" y="connsiteY9624"/>
            </a:cxn>
            <a:cxn ang="0">
              <a:pos x="connsiteX9625" y="connsiteY9625"/>
            </a:cxn>
            <a:cxn ang="0">
              <a:pos x="connsiteX9626" y="connsiteY9626"/>
            </a:cxn>
            <a:cxn ang="0">
              <a:pos x="connsiteX9627" y="connsiteY9627"/>
            </a:cxn>
            <a:cxn ang="0">
              <a:pos x="connsiteX9628" y="connsiteY9628"/>
            </a:cxn>
            <a:cxn ang="0">
              <a:pos x="connsiteX9629" y="connsiteY9629"/>
            </a:cxn>
            <a:cxn ang="0">
              <a:pos x="connsiteX9630" y="connsiteY9630"/>
            </a:cxn>
            <a:cxn ang="0">
              <a:pos x="connsiteX9631" y="connsiteY9631"/>
            </a:cxn>
            <a:cxn ang="0">
              <a:pos x="connsiteX9632" y="connsiteY9632"/>
            </a:cxn>
            <a:cxn ang="0">
              <a:pos x="connsiteX9633" y="connsiteY9633"/>
            </a:cxn>
            <a:cxn ang="0">
              <a:pos x="connsiteX9634" y="connsiteY9634"/>
            </a:cxn>
            <a:cxn ang="0">
              <a:pos x="connsiteX9635" y="connsiteY9635"/>
            </a:cxn>
            <a:cxn ang="0">
              <a:pos x="connsiteX9636" y="connsiteY9636"/>
            </a:cxn>
            <a:cxn ang="0">
              <a:pos x="connsiteX9637" y="connsiteY9637"/>
            </a:cxn>
            <a:cxn ang="0">
              <a:pos x="connsiteX9638" y="connsiteY9638"/>
            </a:cxn>
            <a:cxn ang="0">
              <a:pos x="connsiteX9639" y="connsiteY9639"/>
            </a:cxn>
            <a:cxn ang="0">
              <a:pos x="connsiteX9640" y="connsiteY9640"/>
            </a:cxn>
            <a:cxn ang="0">
              <a:pos x="connsiteX9641" y="connsiteY9641"/>
            </a:cxn>
            <a:cxn ang="0">
              <a:pos x="connsiteX9642" y="connsiteY9642"/>
            </a:cxn>
            <a:cxn ang="0">
              <a:pos x="connsiteX9643" y="connsiteY9643"/>
            </a:cxn>
            <a:cxn ang="0">
              <a:pos x="connsiteX9644" y="connsiteY9644"/>
            </a:cxn>
            <a:cxn ang="0">
              <a:pos x="connsiteX9645" y="connsiteY9645"/>
            </a:cxn>
            <a:cxn ang="0">
              <a:pos x="connsiteX9646" y="connsiteY9646"/>
            </a:cxn>
            <a:cxn ang="0">
              <a:pos x="connsiteX9647" y="connsiteY9647"/>
            </a:cxn>
            <a:cxn ang="0">
              <a:pos x="connsiteX9648" y="connsiteY9648"/>
            </a:cxn>
            <a:cxn ang="0">
              <a:pos x="connsiteX9649" y="connsiteY9649"/>
            </a:cxn>
            <a:cxn ang="0">
              <a:pos x="connsiteX9650" y="connsiteY9650"/>
            </a:cxn>
            <a:cxn ang="0">
              <a:pos x="connsiteX9651" y="connsiteY9651"/>
            </a:cxn>
            <a:cxn ang="0">
              <a:pos x="connsiteX9652" y="connsiteY9652"/>
            </a:cxn>
            <a:cxn ang="0">
              <a:pos x="connsiteX9653" y="connsiteY9653"/>
            </a:cxn>
            <a:cxn ang="0">
              <a:pos x="connsiteX9654" y="connsiteY9654"/>
            </a:cxn>
            <a:cxn ang="0">
              <a:pos x="connsiteX9655" y="connsiteY9655"/>
            </a:cxn>
            <a:cxn ang="0">
              <a:pos x="connsiteX9656" y="connsiteY9656"/>
            </a:cxn>
            <a:cxn ang="0">
              <a:pos x="connsiteX9657" y="connsiteY9657"/>
            </a:cxn>
            <a:cxn ang="0">
              <a:pos x="connsiteX9658" y="connsiteY9658"/>
            </a:cxn>
            <a:cxn ang="0">
              <a:pos x="connsiteX9659" y="connsiteY9659"/>
            </a:cxn>
            <a:cxn ang="0">
              <a:pos x="connsiteX9660" y="connsiteY9660"/>
            </a:cxn>
            <a:cxn ang="0">
              <a:pos x="connsiteX9661" y="connsiteY9661"/>
            </a:cxn>
            <a:cxn ang="0">
              <a:pos x="connsiteX9662" y="connsiteY9662"/>
            </a:cxn>
            <a:cxn ang="0">
              <a:pos x="connsiteX9663" y="connsiteY9663"/>
            </a:cxn>
            <a:cxn ang="0">
              <a:pos x="connsiteX9664" y="connsiteY9664"/>
            </a:cxn>
            <a:cxn ang="0">
              <a:pos x="connsiteX9665" y="connsiteY9665"/>
            </a:cxn>
            <a:cxn ang="0">
              <a:pos x="connsiteX9666" y="connsiteY9666"/>
            </a:cxn>
            <a:cxn ang="0">
              <a:pos x="connsiteX9667" y="connsiteY9667"/>
            </a:cxn>
            <a:cxn ang="0">
              <a:pos x="connsiteX9668" y="connsiteY9668"/>
            </a:cxn>
            <a:cxn ang="0">
              <a:pos x="connsiteX9669" y="connsiteY9669"/>
            </a:cxn>
            <a:cxn ang="0">
              <a:pos x="connsiteX9670" y="connsiteY9670"/>
            </a:cxn>
            <a:cxn ang="0">
              <a:pos x="connsiteX9671" y="connsiteY9671"/>
            </a:cxn>
            <a:cxn ang="0">
              <a:pos x="connsiteX9672" y="connsiteY9672"/>
            </a:cxn>
            <a:cxn ang="0">
              <a:pos x="connsiteX9673" y="connsiteY9673"/>
            </a:cxn>
            <a:cxn ang="0">
              <a:pos x="connsiteX9674" y="connsiteY9674"/>
            </a:cxn>
            <a:cxn ang="0">
              <a:pos x="connsiteX9675" y="connsiteY9675"/>
            </a:cxn>
            <a:cxn ang="0">
              <a:pos x="connsiteX9676" y="connsiteY9676"/>
            </a:cxn>
            <a:cxn ang="0">
              <a:pos x="connsiteX9677" y="connsiteY9677"/>
            </a:cxn>
            <a:cxn ang="0">
              <a:pos x="connsiteX9678" y="connsiteY9678"/>
            </a:cxn>
            <a:cxn ang="0">
              <a:pos x="connsiteX9679" y="connsiteY9679"/>
            </a:cxn>
            <a:cxn ang="0">
              <a:pos x="connsiteX9680" y="connsiteY9680"/>
            </a:cxn>
            <a:cxn ang="0">
              <a:pos x="connsiteX9681" y="connsiteY9681"/>
            </a:cxn>
            <a:cxn ang="0">
              <a:pos x="connsiteX9682" y="connsiteY9682"/>
            </a:cxn>
            <a:cxn ang="0">
              <a:pos x="connsiteX9683" y="connsiteY9683"/>
            </a:cxn>
            <a:cxn ang="0">
              <a:pos x="connsiteX9684" y="connsiteY9684"/>
            </a:cxn>
            <a:cxn ang="0">
              <a:pos x="connsiteX9685" y="connsiteY9685"/>
            </a:cxn>
            <a:cxn ang="0">
              <a:pos x="connsiteX9686" y="connsiteY9686"/>
            </a:cxn>
            <a:cxn ang="0">
              <a:pos x="connsiteX9687" y="connsiteY9687"/>
            </a:cxn>
            <a:cxn ang="0">
              <a:pos x="connsiteX9688" y="connsiteY9688"/>
            </a:cxn>
            <a:cxn ang="0">
              <a:pos x="connsiteX9689" y="connsiteY9689"/>
            </a:cxn>
            <a:cxn ang="0">
              <a:pos x="connsiteX9690" y="connsiteY9690"/>
            </a:cxn>
            <a:cxn ang="0">
              <a:pos x="connsiteX9691" y="connsiteY9691"/>
            </a:cxn>
            <a:cxn ang="0">
              <a:pos x="connsiteX9692" y="connsiteY9692"/>
            </a:cxn>
            <a:cxn ang="0">
              <a:pos x="connsiteX9693" y="connsiteY9693"/>
            </a:cxn>
            <a:cxn ang="0">
              <a:pos x="connsiteX9694" y="connsiteY9694"/>
            </a:cxn>
            <a:cxn ang="0">
              <a:pos x="connsiteX9695" y="connsiteY9695"/>
            </a:cxn>
            <a:cxn ang="0">
              <a:pos x="connsiteX9696" y="connsiteY9696"/>
            </a:cxn>
            <a:cxn ang="0">
              <a:pos x="connsiteX9697" y="connsiteY9697"/>
            </a:cxn>
            <a:cxn ang="0">
              <a:pos x="connsiteX9698" y="connsiteY9698"/>
            </a:cxn>
            <a:cxn ang="0">
              <a:pos x="connsiteX9699" y="connsiteY9699"/>
            </a:cxn>
            <a:cxn ang="0">
              <a:pos x="connsiteX9700" y="connsiteY9700"/>
            </a:cxn>
            <a:cxn ang="0">
              <a:pos x="connsiteX9701" y="connsiteY9701"/>
            </a:cxn>
            <a:cxn ang="0">
              <a:pos x="connsiteX9702" y="connsiteY9702"/>
            </a:cxn>
            <a:cxn ang="0">
              <a:pos x="connsiteX9703" y="connsiteY9703"/>
            </a:cxn>
            <a:cxn ang="0">
              <a:pos x="connsiteX9704" y="connsiteY9704"/>
            </a:cxn>
            <a:cxn ang="0">
              <a:pos x="connsiteX9705" y="connsiteY9705"/>
            </a:cxn>
            <a:cxn ang="0">
              <a:pos x="connsiteX9706" y="connsiteY9706"/>
            </a:cxn>
            <a:cxn ang="0">
              <a:pos x="connsiteX9707" y="connsiteY9707"/>
            </a:cxn>
            <a:cxn ang="0">
              <a:pos x="connsiteX9708" y="connsiteY9708"/>
            </a:cxn>
            <a:cxn ang="0">
              <a:pos x="connsiteX9709" y="connsiteY9709"/>
            </a:cxn>
            <a:cxn ang="0">
              <a:pos x="connsiteX9710" y="connsiteY9710"/>
            </a:cxn>
            <a:cxn ang="0">
              <a:pos x="connsiteX9711" y="connsiteY9711"/>
            </a:cxn>
            <a:cxn ang="0">
              <a:pos x="connsiteX9712" y="connsiteY9712"/>
            </a:cxn>
            <a:cxn ang="0">
              <a:pos x="connsiteX9713" y="connsiteY9713"/>
            </a:cxn>
            <a:cxn ang="0">
              <a:pos x="connsiteX9714" y="connsiteY9714"/>
            </a:cxn>
            <a:cxn ang="0">
              <a:pos x="connsiteX9715" y="connsiteY9715"/>
            </a:cxn>
            <a:cxn ang="0">
              <a:pos x="connsiteX9716" y="connsiteY9716"/>
            </a:cxn>
            <a:cxn ang="0">
              <a:pos x="connsiteX9717" y="connsiteY9717"/>
            </a:cxn>
            <a:cxn ang="0">
              <a:pos x="connsiteX9718" y="connsiteY9718"/>
            </a:cxn>
            <a:cxn ang="0">
              <a:pos x="connsiteX9719" y="connsiteY9719"/>
            </a:cxn>
            <a:cxn ang="0">
              <a:pos x="connsiteX9720" y="connsiteY9720"/>
            </a:cxn>
            <a:cxn ang="0">
              <a:pos x="connsiteX9721" y="connsiteY9721"/>
            </a:cxn>
            <a:cxn ang="0">
              <a:pos x="connsiteX9722" y="connsiteY9722"/>
            </a:cxn>
            <a:cxn ang="0">
              <a:pos x="connsiteX9723" y="connsiteY9723"/>
            </a:cxn>
            <a:cxn ang="0">
              <a:pos x="connsiteX9724" y="connsiteY9724"/>
            </a:cxn>
            <a:cxn ang="0">
              <a:pos x="connsiteX9725" y="connsiteY9725"/>
            </a:cxn>
            <a:cxn ang="0">
              <a:pos x="connsiteX9726" y="connsiteY9726"/>
            </a:cxn>
            <a:cxn ang="0">
              <a:pos x="connsiteX9727" y="connsiteY9727"/>
            </a:cxn>
            <a:cxn ang="0">
              <a:pos x="connsiteX9728" y="connsiteY9728"/>
            </a:cxn>
            <a:cxn ang="0">
              <a:pos x="connsiteX9729" y="connsiteY9729"/>
            </a:cxn>
            <a:cxn ang="0">
              <a:pos x="connsiteX9730" y="connsiteY9730"/>
            </a:cxn>
            <a:cxn ang="0">
              <a:pos x="connsiteX9731" y="connsiteY9731"/>
            </a:cxn>
            <a:cxn ang="0">
              <a:pos x="connsiteX9732" y="connsiteY9732"/>
            </a:cxn>
            <a:cxn ang="0">
              <a:pos x="connsiteX9733" y="connsiteY9733"/>
            </a:cxn>
            <a:cxn ang="0">
              <a:pos x="connsiteX9734" y="connsiteY9734"/>
            </a:cxn>
            <a:cxn ang="0">
              <a:pos x="connsiteX9735" y="connsiteY9735"/>
            </a:cxn>
            <a:cxn ang="0">
              <a:pos x="connsiteX9736" y="connsiteY9736"/>
            </a:cxn>
            <a:cxn ang="0">
              <a:pos x="connsiteX9737" y="connsiteY9737"/>
            </a:cxn>
            <a:cxn ang="0">
              <a:pos x="connsiteX9738" y="connsiteY9738"/>
            </a:cxn>
            <a:cxn ang="0">
              <a:pos x="connsiteX9739" y="connsiteY9739"/>
            </a:cxn>
            <a:cxn ang="0">
              <a:pos x="connsiteX9740" y="connsiteY9740"/>
            </a:cxn>
            <a:cxn ang="0">
              <a:pos x="connsiteX9741" y="connsiteY9741"/>
            </a:cxn>
            <a:cxn ang="0">
              <a:pos x="connsiteX9742" y="connsiteY9742"/>
            </a:cxn>
            <a:cxn ang="0">
              <a:pos x="connsiteX9743" y="connsiteY9743"/>
            </a:cxn>
            <a:cxn ang="0">
              <a:pos x="connsiteX9744" y="connsiteY9744"/>
            </a:cxn>
            <a:cxn ang="0">
              <a:pos x="connsiteX9745" y="connsiteY9745"/>
            </a:cxn>
            <a:cxn ang="0">
              <a:pos x="connsiteX9746" y="connsiteY9746"/>
            </a:cxn>
            <a:cxn ang="0">
              <a:pos x="connsiteX9747" y="connsiteY9747"/>
            </a:cxn>
            <a:cxn ang="0">
              <a:pos x="connsiteX9748" y="connsiteY9748"/>
            </a:cxn>
            <a:cxn ang="0">
              <a:pos x="connsiteX9749" y="connsiteY9749"/>
            </a:cxn>
            <a:cxn ang="0">
              <a:pos x="connsiteX9750" y="connsiteY9750"/>
            </a:cxn>
            <a:cxn ang="0">
              <a:pos x="connsiteX9751" y="connsiteY9751"/>
            </a:cxn>
            <a:cxn ang="0">
              <a:pos x="connsiteX9752" y="connsiteY9752"/>
            </a:cxn>
            <a:cxn ang="0">
              <a:pos x="connsiteX9753" y="connsiteY9753"/>
            </a:cxn>
            <a:cxn ang="0">
              <a:pos x="connsiteX9754" y="connsiteY9754"/>
            </a:cxn>
            <a:cxn ang="0">
              <a:pos x="connsiteX9755" y="connsiteY9755"/>
            </a:cxn>
            <a:cxn ang="0">
              <a:pos x="connsiteX9756" y="connsiteY9756"/>
            </a:cxn>
            <a:cxn ang="0">
              <a:pos x="connsiteX9757" y="connsiteY9757"/>
            </a:cxn>
            <a:cxn ang="0">
              <a:pos x="connsiteX9758" y="connsiteY9758"/>
            </a:cxn>
            <a:cxn ang="0">
              <a:pos x="connsiteX9759" y="connsiteY9759"/>
            </a:cxn>
            <a:cxn ang="0">
              <a:pos x="connsiteX9760" y="connsiteY9760"/>
            </a:cxn>
            <a:cxn ang="0">
              <a:pos x="connsiteX9761" y="connsiteY9761"/>
            </a:cxn>
            <a:cxn ang="0">
              <a:pos x="connsiteX9762" y="connsiteY9762"/>
            </a:cxn>
            <a:cxn ang="0">
              <a:pos x="connsiteX9763" y="connsiteY9763"/>
            </a:cxn>
            <a:cxn ang="0">
              <a:pos x="connsiteX9764" y="connsiteY9764"/>
            </a:cxn>
            <a:cxn ang="0">
              <a:pos x="connsiteX9765" y="connsiteY9765"/>
            </a:cxn>
            <a:cxn ang="0">
              <a:pos x="connsiteX9766" y="connsiteY9766"/>
            </a:cxn>
            <a:cxn ang="0">
              <a:pos x="connsiteX9767" y="connsiteY9767"/>
            </a:cxn>
            <a:cxn ang="0">
              <a:pos x="connsiteX9768" y="connsiteY9768"/>
            </a:cxn>
            <a:cxn ang="0">
              <a:pos x="connsiteX9769" y="connsiteY9769"/>
            </a:cxn>
            <a:cxn ang="0">
              <a:pos x="connsiteX9770" y="connsiteY9770"/>
            </a:cxn>
            <a:cxn ang="0">
              <a:pos x="connsiteX9771" y="connsiteY9771"/>
            </a:cxn>
            <a:cxn ang="0">
              <a:pos x="connsiteX9772" y="connsiteY9772"/>
            </a:cxn>
            <a:cxn ang="0">
              <a:pos x="connsiteX9773" y="connsiteY9773"/>
            </a:cxn>
            <a:cxn ang="0">
              <a:pos x="connsiteX9774" y="connsiteY9774"/>
            </a:cxn>
            <a:cxn ang="0">
              <a:pos x="connsiteX9775" y="connsiteY9775"/>
            </a:cxn>
            <a:cxn ang="0">
              <a:pos x="connsiteX9776" y="connsiteY9776"/>
            </a:cxn>
            <a:cxn ang="0">
              <a:pos x="connsiteX9777" y="connsiteY9777"/>
            </a:cxn>
            <a:cxn ang="0">
              <a:pos x="connsiteX9778" y="connsiteY9778"/>
            </a:cxn>
            <a:cxn ang="0">
              <a:pos x="connsiteX9779" y="connsiteY9779"/>
            </a:cxn>
            <a:cxn ang="0">
              <a:pos x="connsiteX9780" y="connsiteY9780"/>
            </a:cxn>
            <a:cxn ang="0">
              <a:pos x="connsiteX9781" y="connsiteY9781"/>
            </a:cxn>
            <a:cxn ang="0">
              <a:pos x="connsiteX9782" y="connsiteY9782"/>
            </a:cxn>
            <a:cxn ang="0">
              <a:pos x="connsiteX9783" y="connsiteY9783"/>
            </a:cxn>
            <a:cxn ang="0">
              <a:pos x="connsiteX9784" y="connsiteY9784"/>
            </a:cxn>
            <a:cxn ang="0">
              <a:pos x="connsiteX9785" y="connsiteY9785"/>
            </a:cxn>
            <a:cxn ang="0">
              <a:pos x="connsiteX9786" y="connsiteY9786"/>
            </a:cxn>
            <a:cxn ang="0">
              <a:pos x="connsiteX9787" y="connsiteY9787"/>
            </a:cxn>
            <a:cxn ang="0">
              <a:pos x="connsiteX9788" y="connsiteY9788"/>
            </a:cxn>
            <a:cxn ang="0">
              <a:pos x="connsiteX9789" y="connsiteY9789"/>
            </a:cxn>
            <a:cxn ang="0">
              <a:pos x="connsiteX9790" y="connsiteY9790"/>
            </a:cxn>
            <a:cxn ang="0">
              <a:pos x="connsiteX9791" y="connsiteY9791"/>
            </a:cxn>
            <a:cxn ang="0">
              <a:pos x="connsiteX9792" y="connsiteY9792"/>
            </a:cxn>
            <a:cxn ang="0">
              <a:pos x="connsiteX9793" y="connsiteY9793"/>
            </a:cxn>
            <a:cxn ang="0">
              <a:pos x="connsiteX9794" y="connsiteY9794"/>
            </a:cxn>
            <a:cxn ang="0">
              <a:pos x="connsiteX9795" y="connsiteY9795"/>
            </a:cxn>
            <a:cxn ang="0">
              <a:pos x="connsiteX9796" y="connsiteY9796"/>
            </a:cxn>
            <a:cxn ang="0">
              <a:pos x="connsiteX9797" y="connsiteY9797"/>
            </a:cxn>
            <a:cxn ang="0">
              <a:pos x="connsiteX9798" y="connsiteY9798"/>
            </a:cxn>
            <a:cxn ang="0">
              <a:pos x="connsiteX9799" y="connsiteY9799"/>
            </a:cxn>
            <a:cxn ang="0">
              <a:pos x="connsiteX9800" y="connsiteY9800"/>
            </a:cxn>
            <a:cxn ang="0">
              <a:pos x="connsiteX9801" y="connsiteY9801"/>
            </a:cxn>
            <a:cxn ang="0">
              <a:pos x="connsiteX9802" y="connsiteY9802"/>
            </a:cxn>
            <a:cxn ang="0">
              <a:pos x="connsiteX9803" y="connsiteY9803"/>
            </a:cxn>
            <a:cxn ang="0">
              <a:pos x="connsiteX9804" y="connsiteY9804"/>
            </a:cxn>
            <a:cxn ang="0">
              <a:pos x="connsiteX9805" y="connsiteY9805"/>
            </a:cxn>
            <a:cxn ang="0">
              <a:pos x="connsiteX9806" y="connsiteY9806"/>
            </a:cxn>
            <a:cxn ang="0">
              <a:pos x="connsiteX9807" y="connsiteY9807"/>
            </a:cxn>
            <a:cxn ang="0">
              <a:pos x="connsiteX9808" y="connsiteY9808"/>
            </a:cxn>
            <a:cxn ang="0">
              <a:pos x="connsiteX9809" y="connsiteY9809"/>
            </a:cxn>
            <a:cxn ang="0">
              <a:pos x="connsiteX9810" y="connsiteY9810"/>
            </a:cxn>
            <a:cxn ang="0">
              <a:pos x="connsiteX9811" y="connsiteY9811"/>
            </a:cxn>
            <a:cxn ang="0">
              <a:pos x="connsiteX9812" y="connsiteY9812"/>
            </a:cxn>
            <a:cxn ang="0">
              <a:pos x="connsiteX9813" y="connsiteY9813"/>
            </a:cxn>
            <a:cxn ang="0">
              <a:pos x="connsiteX9814" y="connsiteY9814"/>
            </a:cxn>
            <a:cxn ang="0">
              <a:pos x="connsiteX9815" y="connsiteY9815"/>
            </a:cxn>
            <a:cxn ang="0">
              <a:pos x="connsiteX9816" y="connsiteY9816"/>
            </a:cxn>
            <a:cxn ang="0">
              <a:pos x="connsiteX9817" y="connsiteY9817"/>
            </a:cxn>
            <a:cxn ang="0">
              <a:pos x="connsiteX9818" y="connsiteY9818"/>
            </a:cxn>
            <a:cxn ang="0">
              <a:pos x="connsiteX9819" y="connsiteY9819"/>
            </a:cxn>
            <a:cxn ang="0">
              <a:pos x="connsiteX9820" y="connsiteY9820"/>
            </a:cxn>
            <a:cxn ang="0">
              <a:pos x="connsiteX9821" y="connsiteY9821"/>
            </a:cxn>
            <a:cxn ang="0">
              <a:pos x="connsiteX9822" y="connsiteY9822"/>
            </a:cxn>
            <a:cxn ang="0">
              <a:pos x="connsiteX9823" y="connsiteY9823"/>
            </a:cxn>
            <a:cxn ang="0">
              <a:pos x="connsiteX9824" y="connsiteY9824"/>
            </a:cxn>
            <a:cxn ang="0">
              <a:pos x="connsiteX9825" y="connsiteY9825"/>
            </a:cxn>
            <a:cxn ang="0">
              <a:pos x="connsiteX9826" y="connsiteY9826"/>
            </a:cxn>
            <a:cxn ang="0">
              <a:pos x="connsiteX9827" y="connsiteY9827"/>
            </a:cxn>
            <a:cxn ang="0">
              <a:pos x="connsiteX9828" y="connsiteY9828"/>
            </a:cxn>
            <a:cxn ang="0">
              <a:pos x="connsiteX9829" y="connsiteY9829"/>
            </a:cxn>
            <a:cxn ang="0">
              <a:pos x="connsiteX9830" y="connsiteY9830"/>
            </a:cxn>
            <a:cxn ang="0">
              <a:pos x="connsiteX9831" y="connsiteY9831"/>
            </a:cxn>
            <a:cxn ang="0">
              <a:pos x="connsiteX9832" y="connsiteY9832"/>
            </a:cxn>
            <a:cxn ang="0">
              <a:pos x="connsiteX9833" y="connsiteY9833"/>
            </a:cxn>
            <a:cxn ang="0">
              <a:pos x="connsiteX9834" y="connsiteY9834"/>
            </a:cxn>
            <a:cxn ang="0">
              <a:pos x="connsiteX9835" y="connsiteY9835"/>
            </a:cxn>
            <a:cxn ang="0">
              <a:pos x="connsiteX9836" y="connsiteY9836"/>
            </a:cxn>
            <a:cxn ang="0">
              <a:pos x="connsiteX9837" y="connsiteY9837"/>
            </a:cxn>
            <a:cxn ang="0">
              <a:pos x="connsiteX9838" y="connsiteY9838"/>
            </a:cxn>
            <a:cxn ang="0">
              <a:pos x="connsiteX9839" y="connsiteY9839"/>
            </a:cxn>
            <a:cxn ang="0">
              <a:pos x="connsiteX9840" y="connsiteY9840"/>
            </a:cxn>
            <a:cxn ang="0">
              <a:pos x="connsiteX9841" y="connsiteY9841"/>
            </a:cxn>
            <a:cxn ang="0">
              <a:pos x="connsiteX9842" y="connsiteY9842"/>
            </a:cxn>
            <a:cxn ang="0">
              <a:pos x="connsiteX9843" y="connsiteY9843"/>
            </a:cxn>
            <a:cxn ang="0">
              <a:pos x="connsiteX9844" y="connsiteY9844"/>
            </a:cxn>
            <a:cxn ang="0">
              <a:pos x="connsiteX9845" y="connsiteY9845"/>
            </a:cxn>
            <a:cxn ang="0">
              <a:pos x="connsiteX9846" y="connsiteY9846"/>
            </a:cxn>
            <a:cxn ang="0">
              <a:pos x="connsiteX9847" y="connsiteY9847"/>
            </a:cxn>
            <a:cxn ang="0">
              <a:pos x="connsiteX9848" y="connsiteY9848"/>
            </a:cxn>
            <a:cxn ang="0">
              <a:pos x="connsiteX9849" y="connsiteY9849"/>
            </a:cxn>
            <a:cxn ang="0">
              <a:pos x="connsiteX9850" y="connsiteY9850"/>
            </a:cxn>
            <a:cxn ang="0">
              <a:pos x="connsiteX9851" y="connsiteY9851"/>
            </a:cxn>
            <a:cxn ang="0">
              <a:pos x="connsiteX9852" y="connsiteY9852"/>
            </a:cxn>
            <a:cxn ang="0">
              <a:pos x="connsiteX9853" y="connsiteY9853"/>
            </a:cxn>
            <a:cxn ang="0">
              <a:pos x="connsiteX9854" y="connsiteY9854"/>
            </a:cxn>
            <a:cxn ang="0">
              <a:pos x="connsiteX9855" y="connsiteY9855"/>
            </a:cxn>
            <a:cxn ang="0">
              <a:pos x="connsiteX9856" y="connsiteY9856"/>
            </a:cxn>
            <a:cxn ang="0">
              <a:pos x="connsiteX9857" y="connsiteY9857"/>
            </a:cxn>
            <a:cxn ang="0">
              <a:pos x="connsiteX9858" y="connsiteY9858"/>
            </a:cxn>
            <a:cxn ang="0">
              <a:pos x="connsiteX9859" y="connsiteY9859"/>
            </a:cxn>
            <a:cxn ang="0">
              <a:pos x="connsiteX9860" y="connsiteY9860"/>
            </a:cxn>
            <a:cxn ang="0">
              <a:pos x="connsiteX9861" y="connsiteY9861"/>
            </a:cxn>
            <a:cxn ang="0">
              <a:pos x="connsiteX9862" y="connsiteY9862"/>
            </a:cxn>
            <a:cxn ang="0">
              <a:pos x="connsiteX9863" y="connsiteY9863"/>
            </a:cxn>
            <a:cxn ang="0">
              <a:pos x="connsiteX9864" y="connsiteY9864"/>
            </a:cxn>
            <a:cxn ang="0">
              <a:pos x="connsiteX9865" y="connsiteY9865"/>
            </a:cxn>
            <a:cxn ang="0">
              <a:pos x="connsiteX9866" y="connsiteY9866"/>
            </a:cxn>
            <a:cxn ang="0">
              <a:pos x="connsiteX9867" y="connsiteY9867"/>
            </a:cxn>
            <a:cxn ang="0">
              <a:pos x="connsiteX9868" y="connsiteY9868"/>
            </a:cxn>
            <a:cxn ang="0">
              <a:pos x="connsiteX9869" y="connsiteY9869"/>
            </a:cxn>
            <a:cxn ang="0">
              <a:pos x="connsiteX9870" y="connsiteY9870"/>
            </a:cxn>
            <a:cxn ang="0">
              <a:pos x="connsiteX9871" y="connsiteY9871"/>
            </a:cxn>
            <a:cxn ang="0">
              <a:pos x="connsiteX9872" y="connsiteY9872"/>
            </a:cxn>
            <a:cxn ang="0">
              <a:pos x="connsiteX9873" y="connsiteY9873"/>
            </a:cxn>
            <a:cxn ang="0">
              <a:pos x="connsiteX9874" y="connsiteY9874"/>
            </a:cxn>
            <a:cxn ang="0">
              <a:pos x="connsiteX9875" y="connsiteY9875"/>
            </a:cxn>
            <a:cxn ang="0">
              <a:pos x="connsiteX9876" y="connsiteY9876"/>
            </a:cxn>
            <a:cxn ang="0">
              <a:pos x="connsiteX9877" y="connsiteY9877"/>
            </a:cxn>
            <a:cxn ang="0">
              <a:pos x="connsiteX9878" y="connsiteY9878"/>
            </a:cxn>
            <a:cxn ang="0">
              <a:pos x="connsiteX9879" y="connsiteY9879"/>
            </a:cxn>
            <a:cxn ang="0">
              <a:pos x="connsiteX9880" y="connsiteY9880"/>
            </a:cxn>
            <a:cxn ang="0">
              <a:pos x="connsiteX9881" y="connsiteY9881"/>
            </a:cxn>
            <a:cxn ang="0">
              <a:pos x="connsiteX9882" y="connsiteY9882"/>
            </a:cxn>
            <a:cxn ang="0">
              <a:pos x="connsiteX9883" y="connsiteY9883"/>
            </a:cxn>
            <a:cxn ang="0">
              <a:pos x="connsiteX9884" y="connsiteY9884"/>
            </a:cxn>
            <a:cxn ang="0">
              <a:pos x="connsiteX9885" y="connsiteY9885"/>
            </a:cxn>
            <a:cxn ang="0">
              <a:pos x="connsiteX9886" y="connsiteY9886"/>
            </a:cxn>
            <a:cxn ang="0">
              <a:pos x="connsiteX9887" y="connsiteY9887"/>
            </a:cxn>
            <a:cxn ang="0">
              <a:pos x="connsiteX9888" y="connsiteY9888"/>
            </a:cxn>
            <a:cxn ang="0">
              <a:pos x="connsiteX9889" y="connsiteY9889"/>
            </a:cxn>
            <a:cxn ang="0">
              <a:pos x="connsiteX9890" y="connsiteY9890"/>
            </a:cxn>
            <a:cxn ang="0">
              <a:pos x="connsiteX9891" y="connsiteY9891"/>
            </a:cxn>
            <a:cxn ang="0">
              <a:pos x="connsiteX9892" y="connsiteY9892"/>
            </a:cxn>
            <a:cxn ang="0">
              <a:pos x="connsiteX9893" y="connsiteY9893"/>
            </a:cxn>
            <a:cxn ang="0">
              <a:pos x="connsiteX9894" y="connsiteY9894"/>
            </a:cxn>
            <a:cxn ang="0">
              <a:pos x="connsiteX9895" y="connsiteY9895"/>
            </a:cxn>
            <a:cxn ang="0">
              <a:pos x="connsiteX9896" y="connsiteY9896"/>
            </a:cxn>
            <a:cxn ang="0">
              <a:pos x="connsiteX9897" y="connsiteY9897"/>
            </a:cxn>
            <a:cxn ang="0">
              <a:pos x="connsiteX9898" y="connsiteY9898"/>
            </a:cxn>
            <a:cxn ang="0">
              <a:pos x="connsiteX9899" y="connsiteY9899"/>
            </a:cxn>
            <a:cxn ang="0">
              <a:pos x="connsiteX9900" y="connsiteY9900"/>
            </a:cxn>
            <a:cxn ang="0">
              <a:pos x="connsiteX9901" y="connsiteY9901"/>
            </a:cxn>
            <a:cxn ang="0">
              <a:pos x="connsiteX9902" y="connsiteY9902"/>
            </a:cxn>
            <a:cxn ang="0">
              <a:pos x="connsiteX9903" y="connsiteY9903"/>
            </a:cxn>
            <a:cxn ang="0">
              <a:pos x="connsiteX9904" y="connsiteY9904"/>
            </a:cxn>
            <a:cxn ang="0">
              <a:pos x="connsiteX9905" y="connsiteY9905"/>
            </a:cxn>
            <a:cxn ang="0">
              <a:pos x="connsiteX9906" y="connsiteY9906"/>
            </a:cxn>
            <a:cxn ang="0">
              <a:pos x="connsiteX9907" y="connsiteY9907"/>
            </a:cxn>
            <a:cxn ang="0">
              <a:pos x="connsiteX9908" y="connsiteY9908"/>
            </a:cxn>
            <a:cxn ang="0">
              <a:pos x="connsiteX9909" y="connsiteY9909"/>
            </a:cxn>
            <a:cxn ang="0">
              <a:pos x="connsiteX9910" y="connsiteY9910"/>
            </a:cxn>
            <a:cxn ang="0">
              <a:pos x="connsiteX9911" y="connsiteY9911"/>
            </a:cxn>
            <a:cxn ang="0">
              <a:pos x="connsiteX9912" y="connsiteY9912"/>
            </a:cxn>
            <a:cxn ang="0">
              <a:pos x="connsiteX9913" y="connsiteY9913"/>
            </a:cxn>
            <a:cxn ang="0">
              <a:pos x="connsiteX9914" y="connsiteY9914"/>
            </a:cxn>
            <a:cxn ang="0">
              <a:pos x="connsiteX9915" y="connsiteY9915"/>
            </a:cxn>
            <a:cxn ang="0">
              <a:pos x="connsiteX9916" y="connsiteY9916"/>
            </a:cxn>
            <a:cxn ang="0">
              <a:pos x="connsiteX9917" y="connsiteY9917"/>
            </a:cxn>
            <a:cxn ang="0">
              <a:pos x="connsiteX9918" y="connsiteY9918"/>
            </a:cxn>
            <a:cxn ang="0">
              <a:pos x="connsiteX9919" y="connsiteY9919"/>
            </a:cxn>
            <a:cxn ang="0">
              <a:pos x="connsiteX9920" y="connsiteY9920"/>
            </a:cxn>
            <a:cxn ang="0">
              <a:pos x="connsiteX9921" y="connsiteY9921"/>
            </a:cxn>
            <a:cxn ang="0">
              <a:pos x="connsiteX9922" y="connsiteY9922"/>
            </a:cxn>
            <a:cxn ang="0">
              <a:pos x="connsiteX9923" y="connsiteY9923"/>
            </a:cxn>
            <a:cxn ang="0">
              <a:pos x="connsiteX9924" y="connsiteY9924"/>
            </a:cxn>
            <a:cxn ang="0">
              <a:pos x="connsiteX9925" y="connsiteY9925"/>
            </a:cxn>
            <a:cxn ang="0">
              <a:pos x="connsiteX9926" y="connsiteY9926"/>
            </a:cxn>
            <a:cxn ang="0">
              <a:pos x="connsiteX9927" y="connsiteY9927"/>
            </a:cxn>
            <a:cxn ang="0">
              <a:pos x="connsiteX9928" y="connsiteY9928"/>
            </a:cxn>
            <a:cxn ang="0">
              <a:pos x="connsiteX9929" y="connsiteY9929"/>
            </a:cxn>
            <a:cxn ang="0">
              <a:pos x="connsiteX9930" y="connsiteY9930"/>
            </a:cxn>
            <a:cxn ang="0">
              <a:pos x="connsiteX9931" y="connsiteY9931"/>
            </a:cxn>
            <a:cxn ang="0">
              <a:pos x="connsiteX9932" y="connsiteY9932"/>
            </a:cxn>
            <a:cxn ang="0">
              <a:pos x="connsiteX9933" y="connsiteY9933"/>
            </a:cxn>
            <a:cxn ang="0">
              <a:pos x="connsiteX9934" y="connsiteY9934"/>
            </a:cxn>
            <a:cxn ang="0">
              <a:pos x="connsiteX9935" y="connsiteY9935"/>
            </a:cxn>
            <a:cxn ang="0">
              <a:pos x="connsiteX9936" y="connsiteY9936"/>
            </a:cxn>
            <a:cxn ang="0">
              <a:pos x="connsiteX9937" y="connsiteY9937"/>
            </a:cxn>
            <a:cxn ang="0">
              <a:pos x="connsiteX9938" y="connsiteY9938"/>
            </a:cxn>
            <a:cxn ang="0">
              <a:pos x="connsiteX9939" y="connsiteY9939"/>
            </a:cxn>
            <a:cxn ang="0">
              <a:pos x="connsiteX9940" y="connsiteY9940"/>
            </a:cxn>
            <a:cxn ang="0">
              <a:pos x="connsiteX9941" y="connsiteY9941"/>
            </a:cxn>
            <a:cxn ang="0">
              <a:pos x="connsiteX9942" y="connsiteY9942"/>
            </a:cxn>
            <a:cxn ang="0">
              <a:pos x="connsiteX9943" y="connsiteY9943"/>
            </a:cxn>
            <a:cxn ang="0">
              <a:pos x="connsiteX9944" y="connsiteY9944"/>
            </a:cxn>
            <a:cxn ang="0">
              <a:pos x="connsiteX9945" y="connsiteY9945"/>
            </a:cxn>
            <a:cxn ang="0">
              <a:pos x="connsiteX9946" y="connsiteY9946"/>
            </a:cxn>
            <a:cxn ang="0">
              <a:pos x="connsiteX9947" y="connsiteY9947"/>
            </a:cxn>
            <a:cxn ang="0">
              <a:pos x="connsiteX9948" y="connsiteY9948"/>
            </a:cxn>
            <a:cxn ang="0">
              <a:pos x="connsiteX9949" y="connsiteY9949"/>
            </a:cxn>
            <a:cxn ang="0">
              <a:pos x="connsiteX9950" y="connsiteY9950"/>
            </a:cxn>
            <a:cxn ang="0">
              <a:pos x="connsiteX9951" y="connsiteY9951"/>
            </a:cxn>
            <a:cxn ang="0">
              <a:pos x="connsiteX9952" y="connsiteY9952"/>
            </a:cxn>
            <a:cxn ang="0">
              <a:pos x="connsiteX9953" y="connsiteY9953"/>
            </a:cxn>
            <a:cxn ang="0">
              <a:pos x="connsiteX9954" y="connsiteY9954"/>
            </a:cxn>
            <a:cxn ang="0">
              <a:pos x="connsiteX9955" y="connsiteY9955"/>
            </a:cxn>
            <a:cxn ang="0">
              <a:pos x="connsiteX9956" y="connsiteY9956"/>
            </a:cxn>
            <a:cxn ang="0">
              <a:pos x="connsiteX9957" y="connsiteY9957"/>
            </a:cxn>
            <a:cxn ang="0">
              <a:pos x="connsiteX9958" y="connsiteY9958"/>
            </a:cxn>
            <a:cxn ang="0">
              <a:pos x="connsiteX9959" y="connsiteY9959"/>
            </a:cxn>
            <a:cxn ang="0">
              <a:pos x="connsiteX9960" y="connsiteY9960"/>
            </a:cxn>
            <a:cxn ang="0">
              <a:pos x="connsiteX9961" y="connsiteY9961"/>
            </a:cxn>
            <a:cxn ang="0">
              <a:pos x="connsiteX9962" y="connsiteY9962"/>
            </a:cxn>
            <a:cxn ang="0">
              <a:pos x="connsiteX9963" y="connsiteY9963"/>
            </a:cxn>
            <a:cxn ang="0">
              <a:pos x="connsiteX9964" y="connsiteY9964"/>
            </a:cxn>
            <a:cxn ang="0">
              <a:pos x="connsiteX9965" y="connsiteY9965"/>
            </a:cxn>
            <a:cxn ang="0">
              <a:pos x="connsiteX9966" y="connsiteY9966"/>
            </a:cxn>
            <a:cxn ang="0">
              <a:pos x="connsiteX9967" y="connsiteY9967"/>
            </a:cxn>
            <a:cxn ang="0">
              <a:pos x="connsiteX9968" y="connsiteY9968"/>
            </a:cxn>
            <a:cxn ang="0">
              <a:pos x="connsiteX9969" y="connsiteY9969"/>
            </a:cxn>
            <a:cxn ang="0">
              <a:pos x="connsiteX9970" y="connsiteY9970"/>
            </a:cxn>
            <a:cxn ang="0">
              <a:pos x="connsiteX9971" y="connsiteY9971"/>
            </a:cxn>
            <a:cxn ang="0">
              <a:pos x="connsiteX9972" y="connsiteY9972"/>
            </a:cxn>
            <a:cxn ang="0">
              <a:pos x="connsiteX9973" y="connsiteY9973"/>
            </a:cxn>
            <a:cxn ang="0">
              <a:pos x="connsiteX9974" y="connsiteY9974"/>
            </a:cxn>
            <a:cxn ang="0">
              <a:pos x="connsiteX9975" y="connsiteY9975"/>
            </a:cxn>
            <a:cxn ang="0">
              <a:pos x="connsiteX9976" y="connsiteY9976"/>
            </a:cxn>
            <a:cxn ang="0">
              <a:pos x="connsiteX9977" y="connsiteY9977"/>
            </a:cxn>
            <a:cxn ang="0">
              <a:pos x="connsiteX9978" y="connsiteY9978"/>
            </a:cxn>
            <a:cxn ang="0">
              <a:pos x="connsiteX9979" y="connsiteY9979"/>
            </a:cxn>
            <a:cxn ang="0">
              <a:pos x="connsiteX9980" y="connsiteY9980"/>
            </a:cxn>
            <a:cxn ang="0">
              <a:pos x="connsiteX9981" y="connsiteY9981"/>
            </a:cxn>
            <a:cxn ang="0">
              <a:pos x="connsiteX9982" y="connsiteY9982"/>
            </a:cxn>
            <a:cxn ang="0">
              <a:pos x="connsiteX9983" y="connsiteY9983"/>
            </a:cxn>
            <a:cxn ang="0">
              <a:pos x="connsiteX9984" y="connsiteY9984"/>
            </a:cxn>
            <a:cxn ang="0">
              <a:pos x="connsiteX9985" y="connsiteY9985"/>
            </a:cxn>
            <a:cxn ang="0">
              <a:pos x="connsiteX9986" y="connsiteY9986"/>
            </a:cxn>
            <a:cxn ang="0">
              <a:pos x="connsiteX9987" y="connsiteY9987"/>
            </a:cxn>
            <a:cxn ang="0">
              <a:pos x="connsiteX9988" y="connsiteY9988"/>
            </a:cxn>
            <a:cxn ang="0">
              <a:pos x="connsiteX9989" y="connsiteY9989"/>
            </a:cxn>
            <a:cxn ang="0">
              <a:pos x="connsiteX9990" y="connsiteY9990"/>
            </a:cxn>
            <a:cxn ang="0">
              <a:pos x="connsiteX9991" y="connsiteY9991"/>
            </a:cxn>
            <a:cxn ang="0">
              <a:pos x="connsiteX9992" y="connsiteY9992"/>
            </a:cxn>
            <a:cxn ang="0">
              <a:pos x="connsiteX9993" y="connsiteY9993"/>
            </a:cxn>
            <a:cxn ang="0">
              <a:pos x="connsiteX9994" y="connsiteY9994"/>
            </a:cxn>
            <a:cxn ang="0">
              <a:pos x="connsiteX9995" y="connsiteY9995"/>
            </a:cxn>
            <a:cxn ang="0">
              <a:pos x="connsiteX9996" y="connsiteY9996"/>
            </a:cxn>
            <a:cxn ang="0">
              <a:pos x="connsiteX9997" y="connsiteY9997"/>
            </a:cxn>
            <a:cxn ang="0">
              <a:pos x="connsiteX9998" y="connsiteY9998"/>
            </a:cxn>
            <a:cxn ang="0">
              <a:pos x="connsiteX9999" y="connsiteY9999"/>
            </a:cxn>
            <a:cxn ang="0">
              <a:pos x="connsiteX10000" y="connsiteY10000"/>
            </a:cxn>
            <a:cxn ang="0">
              <a:pos x="connsiteX10001" y="connsiteY10001"/>
            </a:cxn>
            <a:cxn ang="0">
              <a:pos x="connsiteX10002" y="connsiteY10002"/>
            </a:cxn>
            <a:cxn ang="0">
              <a:pos x="connsiteX10003" y="connsiteY10003"/>
            </a:cxn>
            <a:cxn ang="0">
              <a:pos x="connsiteX10004" y="connsiteY10004"/>
            </a:cxn>
            <a:cxn ang="0">
              <a:pos x="connsiteX10005" y="connsiteY10005"/>
            </a:cxn>
            <a:cxn ang="0">
              <a:pos x="connsiteX10006" y="connsiteY10006"/>
            </a:cxn>
            <a:cxn ang="0">
              <a:pos x="connsiteX10007" y="connsiteY10007"/>
            </a:cxn>
            <a:cxn ang="0">
              <a:pos x="connsiteX10008" y="connsiteY10008"/>
            </a:cxn>
            <a:cxn ang="0">
              <a:pos x="connsiteX10009" y="connsiteY10009"/>
            </a:cxn>
            <a:cxn ang="0">
              <a:pos x="connsiteX10010" y="connsiteY10010"/>
            </a:cxn>
            <a:cxn ang="0">
              <a:pos x="connsiteX10011" y="connsiteY10011"/>
            </a:cxn>
            <a:cxn ang="0">
              <a:pos x="connsiteX10012" y="connsiteY10012"/>
            </a:cxn>
            <a:cxn ang="0">
              <a:pos x="connsiteX10013" y="connsiteY10013"/>
            </a:cxn>
            <a:cxn ang="0">
              <a:pos x="connsiteX10014" y="connsiteY10014"/>
            </a:cxn>
            <a:cxn ang="0">
              <a:pos x="connsiteX10015" y="connsiteY10015"/>
            </a:cxn>
            <a:cxn ang="0">
              <a:pos x="connsiteX10016" y="connsiteY10016"/>
            </a:cxn>
            <a:cxn ang="0">
              <a:pos x="connsiteX10017" y="connsiteY10017"/>
            </a:cxn>
            <a:cxn ang="0">
              <a:pos x="connsiteX10018" y="connsiteY10018"/>
            </a:cxn>
            <a:cxn ang="0">
              <a:pos x="connsiteX10019" y="connsiteY10019"/>
            </a:cxn>
            <a:cxn ang="0">
              <a:pos x="connsiteX10020" y="connsiteY10020"/>
            </a:cxn>
            <a:cxn ang="0">
              <a:pos x="connsiteX10021" y="connsiteY10021"/>
            </a:cxn>
            <a:cxn ang="0">
              <a:pos x="connsiteX10022" y="connsiteY10022"/>
            </a:cxn>
            <a:cxn ang="0">
              <a:pos x="connsiteX10023" y="connsiteY10023"/>
            </a:cxn>
            <a:cxn ang="0">
              <a:pos x="connsiteX10024" y="connsiteY10024"/>
            </a:cxn>
            <a:cxn ang="0">
              <a:pos x="connsiteX10025" y="connsiteY10025"/>
            </a:cxn>
            <a:cxn ang="0">
              <a:pos x="connsiteX10026" y="connsiteY10026"/>
            </a:cxn>
            <a:cxn ang="0">
              <a:pos x="connsiteX10027" y="connsiteY10027"/>
            </a:cxn>
            <a:cxn ang="0">
              <a:pos x="connsiteX10028" y="connsiteY10028"/>
            </a:cxn>
            <a:cxn ang="0">
              <a:pos x="connsiteX10029" y="connsiteY10029"/>
            </a:cxn>
            <a:cxn ang="0">
              <a:pos x="connsiteX10030" y="connsiteY10030"/>
            </a:cxn>
            <a:cxn ang="0">
              <a:pos x="connsiteX10031" y="connsiteY10031"/>
            </a:cxn>
            <a:cxn ang="0">
              <a:pos x="connsiteX10032" y="connsiteY10032"/>
            </a:cxn>
            <a:cxn ang="0">
              <a:pos x="connsiteX10033" y="connsiteY10033"/>
            </a:cxn>
            <a:cxn ang="0">
              <a:pos x="connsiteX10034" y="connsiteY10034"/>
            </a:cxn>
            <a:cxn ang="0">
              <a:pos x="connsiteX10035" y="connsiteY10035"/>
            </a:cxn>
            <a:cxn ang="0">
              <a:pos x="connsiteX10036" y="connsiteY10036"/>
            </a:cxn>
            <a:cxn ang="0">
              <a:pos x="connsiteX10037" y="connsiteY10037"/>
            </a:cxn>
            <a:cxn ang="0">
              <a:pos x="connsiteX10038" y="connsiteY10038"/>
            </a:cxn>
            <a:cxn ang="0">
              <a:pos x="connsiteX10039" y="connsiteY10039"/>
            </a:cxn>
            <a:cxn ang="0">
              <a:pos x="connsiteX10040" y="connsiteY10040"/>
            </a:cxn>
            <a:cxn ang="0">
              <a:pos x="connsiteX10041" y="connsiteY10041"/>
            </a:cxn>
            <a:cxn ang="0">
              <a:pos x="connsiteX10042" y="connsiteY10042"/>
            </a:cxn>
            <a:cxn ang="0">
              <a:pos x="connsiteX10043" y="connsiteY10043"/>
            </a:cxn>
            <a:cxn ang="0">
              <a:pos x="connsiteX10044" y="connsiteY10044"/>
            </a:cxn>
            <a:cxn ang="0">
              <a:pos x="connsiteX10045" y="connsiteY10045"/>
            </a:cxn>
            <a:cxn ang="0">
              <a:pos x="connsiteX10046" y="connsiteY10046"/>
            </a:cxn>
            <a:cxn ang="0">
              <a:pos x="connsiteX10047" y="connsiteY10047"/>
            </a:cxn>
            <a:cxn ang="0">
              <a:pos x="connsiteX10048" y="connsiteY10048"/>
            </a:cxn>
            <a:cxn ang="0">
              <a:pos x="connsiteX10049" y="connsiteY10049"/>
            </a:cxn>
            <a:cxn ang="0">
              <a:pos x="connsiteX10050" y="connsiteY10050"/>
            </a:cxn>
            <a:cxn ang="0">
              <a:pos x="connsiteX10051" y="connsiteY10051"/>
            </a:cxn>
            <a:cxn ang="0">
              <a:pos x="connsiteX10052" y="connsiteY10052"/>
            </a:cxn>
            <a:cxn ang="0">
              <a:pos x="connsiteX10053" y="connsiteY10053"/>
            </a:cxn>
            <a:cxn ang="0">
              <a:pos x="connsiteX10054" y="connsiteY10054"/>
            </a:cxn>
            <a:cxn ang="0">
              <a:pos x="connsiteX10055" y="connsiteY10055"/>
            </a:cxn>
            <a:cxn ang="0">
              <a:pos x="connsiteX10056" y="connsiteY10056"/>
            </a:cxn>
            <a:cxn ang="0">
              <a:pos x="connsiteX10057" y="connsiteY10057"/>
            </a:cxn>
            <a:cxn ang="0">
              <a:pos x="connsiteX10058" y="connsiteY10058"/>
            </a:cxn>
            <a:cxn ang="0">
              <a:pos x="connsiteX10059" y="connsiteY10059"/>
            </a:cxn>
            <a:cxn ang="0">
              <a:pos x="connsiteX10060" y="connsiteY10060"/>
            </a:cxn>
            <a:cxn ang="0">
              <a:pos x="connsiteX10061" y="connsiteY10061"/>
            </a:cxn>
            <a:cxn ang="0">
              <a:pos x="connsiteX10062" y="connsiteY10062"/>
            </a:cxn>
            <a:cxn ang="0">
              <a:pos x="connsiteX10063" y="connsiteY10063"/>
            </a:cxn>
            <a:cxn ang="0">
              <a:pos x="connsiteX10064" y="connsiteY10064"/>
            </a:cxn>
            <a:cxn ang="0">
              <a:pos x="connsiteX10065" y="connsiteY10065"/>
            </a:cxn>
            <a:cxn ang="0">
              <a:pos x="connsiteX10066" y="connsiteY10066"/>
            </a:cxn>
            <a:cxn ang="0">
              <a:pos x="connsiteX10067" y="connsiteY10067"/>
            </a:cxn>
            <a:cxn ang="0">
              <a:pos x="connsiteX10068" y="connsiteY10068"/>
            </a:cxn>
            <a:cxn ang="0">
              <a:pos x="connsiteX10069" y="connsiteY10069"/>
            </a:cxn>
            <a:cxn ang="0">
              <a:pos x="connsiteX10070" y="connsiteY10070"/>
            </a:cxn>
            <a:cxn ang="0">
              <a:pos x="connsiteX10071" y="connsiteY10071"/>
            </a:cxn>
            <a:cxn ang="0">
              <a:pos x="connsiteX10072" y="connsiteY10072"/>
            </a:cxn>
            <a:cxn ang="0">
              <a:pos x="connsiteX10073" y="connsiteY10073"/>
            </a:cxn>
            <a:cxn ang="0">
              <a:pos x="connsiteX10074" y="connsiteY10074"/>
            </a:cxn>
            <a:cxn ang="0">
              <a:pos x="connsiteX10075" y="connsiteY10075"/>
            </a:cxn>
            <a:cxn ang="0">
              <a:pos x="connsiteX10076" y="connsiteY10076"/>
            </a:cxn>
            <a:cxn ang="0">
              <a:pos x="connsiteX10077" y="connsiteY10077"/>
            </a:cxn>
            <a:cxn ang="0">
              <a:pos x="connsiteX10078" y="connsiteY10078"/>
            </a:cxn>
            <a:cxn ang="0">
              <a:pos x="connsiteX10079" y="connsiteY10079"/>
            </a:cxn>
            <a:cxn ang="0">
              <a:pos x="connsiteX10080" y="connsiteY10080"/>
            </a:cxn>
            <a:cxn ang="0">
              <a:pos x="connsiteX10081" y="connsiteY10081"/>
            </a:cxn>
            <a:cxn ang="0">
              <a:pos x="connsiteX10082" y="connsiteY10082"/>
            </a:cxn>
            <a:cxn ang="0">
              <a:pos x="connsiteX10083" y="connsiteY10083"/>
            </a:cxn>
            <a:cxn ang="0">
              <a:pos x="connsiteX10084" y="connsiteY10084"/>
            </a:cxn>
            <a:cxn ang="0">
              <a:pos x="connsiteX10085" y="connsiteY10085"/>
            </a:cxn>
            <a:cxn ang="0">
              <a:pos x="connsiteX10086" y="connsiteY10086"/>
            </a:cxn>
            <a:cxn ang="0">
              <a:pos x="connsiteX10087" y="connsiteY10087"/>
            </a:cxn>
            <a:cxn ang="0">
              <a:pos x="connsiteX10088" y="connsiteY10088"/>
            </a:cxn>
            <a:cxn ang="0">
              <a:pos x="connsiteX10089" y="connsiteY10089"/>
            </a:cxn>
            <a:cxn ang="0">
              <a:pos x="connsiteX10090" y="connsiteY10090"/>
            </a:cxn>
            <a:cxn ang="0">
              <a:pos x="connsiteX10091" y="connsiteY10091"/>
            </a:cxn>
            <a:cxn ang="0">
              <a:pos x="connsiteX10092" y="connsiteY10092"/>
            </a:cxn>
            <a:cxn ang="0">
              <a:pos x="connsiteX10093" y="connsiteY10093"/>
            </a:cxn>
            <a:cxn ang="0">
              <a:pos x="connsiteX10094" y="connsiteY10094"/>
            </a:cxn>
            <a:cxn ang="0">
              <a:pos x="connsiteX10095" y="connsiteY10095"/>
            </a:cxn>
            <a:cxn ang="0">
              <a:pos x="connsiteX10096" y="connsiteY10096"/>
            </a:cxn>
            <a:cxn ang="0">
              <a:pos x="connsiteX10097" y="connsiteY10097"/>
            </a:cxn>
            <a:cxn ang="0">
              <a:pos x="connsiteX10098" y="connsiteY10098"/>
            </a:cxn>
            <a:cxn ang="0">
              <a:pos x="connsiteX10099" y="connsiteY10099"/>
            </a:cxn>
            <a:cxn ang="0">
              <a:pos x="connsiteX10100" y="connsiteY10100"/>
            </a:cxn>
            <a:cxn ang="0">
              <a:pos x="connsiteX10101" y="connsiteY10101"/>
            </a:cxn>
            <a:cxn ang="0">
              <a:pos x="connsiteX10102" y="connsiteY10102"/>
            </a:cxn>
            <a:cxn ang="0">
              <a:pos x="connsiteX10103" y="connsiteY10103"/>
            </a:cxn>
            <a:cxn ang="0">
              <a:pos x="connsiteX10104" y="connsiteY10104"/>
            </a:cxn>
            <a:cxn ang="0">
              <a:pos x="connsiteX10105" y="connsiteY10105"/>
            </a:cxn>
            <a:cxn ang="0">
              <a:pos x="connsiteX10106" y="connsiteY10106"/>
            </a:cxn>
            <a:cxn ang="0">
              <a:pos x="connsiteX10107" y="connsiteY10107"/>
            </a:cxn>
            <a:cxn ang="0">
              <a:pos x="connsiteX10108" y="connsiteY10108"/>
            </a:cxn>
            <a:cxn ang="0">
              <a:pos x="connsiteX10109" y="connsiteY10109"/>
            </a:cxn>
            <a:cxn ang="0">
              <a:pos x="connsiteX10110" y="connsiteY10110"/>
            </a:cxn>
            <a:cxn ang="0">
              <a:pos x="connsiteX10111" y="connsiteY10111"/>
            </a:cxn>
            <a:cxn ang="0">
              <a:pos x="connsiteX10112" y="connsiteY10112"/>
            </a:cxn>
            <a:cxn ang="0">
              <a:pos x="connsiteX10113" y="connsiteY10113"/>
            </a:cxn>
            <a:cxn ang="0">
              <a:pos x="connsiteX10114" y="connsiteY10114"/>
            </a:cxn>
            <a:cxn ang="0">
              <a:pos x="connsiteX10115" y="connsiteY10115"/>
            </a:cxn>
            <a:cxn ang="0">
              <a:pos x="connsiteX10116" y="connsiteY10116"/>
            </a:cxn>
            <a:cxn ang="0">
              <a:pos x="connsiteX10117" y="connsiteY10117"/>
            </a:cxn>
            <a:cxn ang="0">
              <a:pos x="connsiteX10118" y="connsiteY10118"/>
            </a:cxn>
            <a:cxn ang="0">
              <a:pos x="connsiteX10119" y="connsiteY10119"/>
            </a:cxn>
            <a:cxn ang="0">
              <a:pos x="connsiteX10120" y="connsiteY10120"/>
            </a:cxn>
            <a:cxn ang="0">
              <a:pos x="connsiteX10121" y="connsiteY10121"/>
            </a:cxn>
            <a:cxn ang="0">
              <a:pos x="connsiteX10122" y="connsiteY10122"/>
            </a:cxn>
            <a:cxn ang="0">
              <a:pos x="connsiteX10123" y="connsiteY10123"/>
            </a:cxn>
            <a:cxn ang="0">
              <a:pos x="connsiteX10124" y="connsiteY10124"/>
            </a:cxn>
            <a:cxn ang="0">
              <a:pos x="connsiteX10125" y="connsiteY10125"/>
            </a:cxn>
            <a:cxn ang="0">
              <a:pos x="connsiteX10126" y="connsiteY10126"/>
            </a:cxn>
            <a:cxn ang="0">
              <a:pos x="connsiteX10127" y="connsiteY10127"/>
            </a:cxn>
            <a:cxn ang="0">
              <a:pos x="connsiteX10128" y="connsiteY10128"/>
            </a:cxn>
            <a:cxn ang="0">
              <a:pos x="connsiteX10129" y="connsiteY10129"/>
            </a:cxn>
            <a:cxn ang="0">
              <a:pos x="connsiteX10130" y="connsiteY10130"/>
            </a:cxn>
            <a:cxn ang="0">
              <a:pos x="connsiteX10131" y="connsiteY10131"/>
            </a:cxn>
            <a:cxn ang="0">
              <a:pos x="connsiteX10132" y="connsiteY10132"/>
            </a:cxn>
            <a:cxn ang="0">
              <a:pos x="connsiteX10133" y="connsiteY10133"/>
            </a:cxn>
            <a:cxn ang="0">
              <a:pos x="connsiteX10134" y="connsiteY10134"/>
            </a:cxn>
            <a:cxn ang="0">
              <a:pos x="connsiteX10135" y="connsiteY10135"/>
            </a:cxn>
            <a:cxn ang="0">
              <a:pos x="connsiteX10136" y="connsiteY10136"/>
            </a:cxn>
            <a:cxn ang="0">
              <a:pos x="connsiteX10137" y="connsiteY10137"/>
            </a:cxn>
            <a:cxn ang="0">
              <a:pos x="connsiteX10138" y="connsiteY10138"/>
            </a:cxn>
            <a:cxn ang="0">
              <a:pos x="connsiteX10139" y="connsiteY10139"/>
            </a:cxn>
            <a:cxn ang="0">
              <a:pos x="connsiteX10140" y="connsiteY10140"/>
            </a:cxn>
            <a:cxn ang="0">
              <a:pos x="connsiteX10141" y="connsiteY10141"/>
            </a:cxn>
            <a:cxn ang="0">
              <a:pos x="connsiteX10142" y="connsiteY10142"/>
            </a:cxn>
            <a:cxn ang="0">
              <a:pos x="connsiteX10143" y="connsiteY10143"/>
            </a:cxn>
            <a:cxn ang="0">
              <a:pos x="connsiteX10144" y="connsiteY10144"/>
            </a:cxn>
            <a:cxn ang="0">
              <a:pos x="connsiteX10145" y="connsiteY10145"/>
            </a:cxn>
            <a:cxn ang="0">
              <a:pos x="connsiteX10146" y="connsiteY10146"/>
            </a:cxn>
            <a:cxn ang="0">
              <a:pos x="connsiteX10147" y="connsiteY10147"/>
            </a:cxn>
            <a:cxn ang="0">
              <a:pos x="connsiteX10148" y="connsiteY10148"/>
            </a:cxn>
            <a:cxn ang="0">
              <a:pos x="connsiteX10149" y="connsiteY10149"/>
            </a:cxn>
            <a:cxn ang="0">
              <a:pos x="connsiteX10150" y="connsiteY10150"/>
            </a:cxn>
            <a:cxn ang="0">
              <a:pos x="connsiteX10151" y="connsiteY10151"/>
            </a:cxn>
            <a:cxn ang="0">
              <a:pos x="connsiteX10152" y="connsiteY10152"/>
            </a:cxn>
            <a:cxn ang="0">
              <a:pos x="connsiteX10153" y="connsiteY10153"/>
            </a:cxn>
            <a:cxn ang="0">
              <a:pos x="connsiteX10154" y="connsiteY10154"/>
            </a:cxn>
            <a:cxn ang="0">
              <a:pos x="connsiteX10155" y="connsiteY10155"/>
            </a:cxn>
            <a:cxn ang="0">
              <a:pos x="connsiteX10156" y="connsiteY10156"/>
            </a:cxn>
            <a:cxn ang="0">
              <a:pos x="connsiteX10157" y="connsiteY10157"/>
            </a:cxn>
            <a:cxn ang="0">
              <a:pos x="connsiteX10158" y="connsiteY10158"/>
            </a:cxn>
            <a:cxn ang="0">
              <a:pos x="connsiteX10159" y="connsiteY10159"/>
            </a:cxn>
            <a:cxn ang="0">
              <a:pos x="connsiteX10160" y="connsiteY10160"/>
            </a:cxn>
            <a:cxn ang="0">
              <a:pos x="connsiteX10161" y="connsiteY10161"/>
            </a:cxn>
            <a:cxn ang="0">
              <a:pos x="connsiteX10162" y="connsiteY10162"/>
            </a:cxn>
            <a:cxn ang="0">
              <a:pos x="connsiteX10163" y="connsiteY10163"/>
            </a:cxn>
            <a:cxn ang="0">
              <a:pos x="connsiteX10164" y="connsiteY10164"/>
            </a:cxn>
            <a:cxn ang="0">
              <a:pos x="connsiteX10165" y="connsiteY10165"/>
            </a:cxn>
            <a:cxn ang="0">
              <a:pos x="connsiteX10166" y="connsiteY10166"/>
            </a:cxn>
            <a:cxn ang="0">
              <a:pos x="connsiteX10167" y="connsiteY10167"/>
            </a:cxn>
            <a:cxn ang="0">
              <a:pos x="connsiteX10168" y="connsiteY10168"/>
            </a:cxn>
            <a:cxn ang="0">
              <a:pos x="connsiteX10169" y="connsiteY10169"/>
            </a:cxn>
            <a:cxn ang="0">
              <a:pos x="connsiteX10170" y="connsiteY10170"/>
            </a:cxn>
            <a:cxn ang="0">
              <a:pos x="connsiteX10171" y="connsiteY10171"/>
            </a:cxn>
            <a:cxn ang="0">
              <a:pos x="connsiteX10172" y="connsiteY10172"/>
            </a:cxn>
            <a:cxn ang="0">
              <a:pos x="connsiteX10173" y="connsiteY10173"/>
            </a:cxn>
            <a:cxn ang="0">
              <a:pos x="connsiteX10174" y="connsiteY10174"/>
            </a:cxn>
            <a:cxn ang="0">
              <a:pos x="connsiteX10175" y="connsiteY10175"/>
            </a:cxn>
            <a:cxn ang="0">
              <a:pos x="connsiteX10176" y="connsiteY10176"/>
            </a:cxn>
            <a:cxn ang="0">
              <a:pos x="connsiteX10177" y="connsiteY10177"/>
            </a:cxn>
            <a:cxn ang="0">
              <a:pos x="connsiteX10178" y="connsiteY10178"/>
            </a:cxn>
            <a:cxn ang="0">
              <a:pos x="connsiteX10179" y="connsiteY10179"/>
            </a:cxn>
            <a:cxn ang="0">
              <a:pos x="connsiteX10180" y="connsiteY10180"/>
            </a:cxn>
            <a:cxn ang="0">
              <a:pos x="connsiteX10181" y="connsiteY10181"/>
            </a:cxn>
            <a:cxn ang="0">
              <a:pos x="connsiteX10182" y="connsiteY10182"/>
            </a:cxn>
            <a:cxn ang="0">
              <a:pos x="connsiteX10183" y="connsiteY10183"/>
            </a:cxn>
            <a:cxn ang="0">
              <a:pos x="connsiteX10184" y="connsiteY10184"/>
            </a:cxn>
            <a:cxn ang="0">
              <a:pos x="connsiteX10185" y="connsiteY10185"/>
            </a:cxn>
            <a:cxn ang="0">
              <a:pos x="connsiteX10186" y="connsiteY10186"/>
            </a:cxn>
            <a:cxn ang="0">
              <a:pos x="connsiteX10187" y="connsiteY10187"/>
            </a:cxn>
            <a:cxn ang="0">
              <a:pos x="connsiteX10188" y="connsiteY10188"/>
            </a:cxn>
            <a:cxn ang="0">
              <a:pos x="connsiteX10189" y="connsiteY10189"/>
            </a:cxn>
            <a:cxn ang="0">
              <a:pos x="connsiteX10190" y="connsiteY10190"/>
            </a:cxn>
            <a:cxn ang="0">
              <a:pos x="connsiteX10191" y="connsiteY10191"/>
            </a:cxn>
            <a:cxn ang="0">
              <a:pos x="connsiteX10192" y="connsiteY10192"/>
            </a:cxn>
            <a:cxn ang="0">
              <a:pos x="connsiteX10193" y="connsiteY10193"/>
            </a:cxn>
            <a:cxn ang="0">
              <a:pos x="connsiteX10194" y="connsiteY10194"/>
            </a:cxn>
            <a:cxn ang="0">
              <a:pos x="connsiteX10195" y="connsiteY10195"/>
            </a:cxn>
            <a:cxn ang="0">
              <a:pos x="connsiteX10196" y="connsiteY10196"/>
            </a:cxn>
            <a:cxn ang="0">
              <a:pos x="connsiteX10197" y="connsiteY10197"/>
            </a:cxn>
            <a:cxn ang="0">
              <a:pos x="connsiteX10198" y="connsiteY10198"/>
            </a:cxn>
            <a:cxn ang="0">
              <a:pos x="connsiteX10199" y="connsiteY10199"/>
            </a:cxn>
            <a:cxn ang="0">
              <a:pos x="connsiteX10200" y="connsiteY10200"/>
            </a:cxn>
            <a:cxn ang="0">
              <a:pos x="connsiteX10201" y="connsiteY10201"/>
            </a:cxn>
            <a:cxn ang="0">
              <a:pos x="connsiteX10202" y="connsiteY10202"/>
            </a:cxn>
            <a:cxn ang="0">
              <a:pos x="connsiteX10203" y="connsiteY10203"/>
            </a:cxn>
            <a:cxn ang="0">
              <a:pos x="connsiteX10204" y="connsiteY10204"/>
            </a:cxn>
            <a:cxn ang="0">
              <a:pos x="connsiteX10205" y="connsiteY10205"/>
            </a:cxn>
            <a:cxn ang="0">
              <a:pos x="connsiteX10206" y="connsiteY10206"/>
            </a:cxn>
            <a:cxn ang="0">
              <a:pos x="connsiteX10207" y="connsiteY10207"/>
            </a:cxn>
            <a:cxn ang="0">
              <a:pos x="connsiteX10208" y="connsiteY10208"/>
            </a:cxn>
            <a:cxn ang="0">
              <a:pos x="connsiteX10209" y="connsiteY10209"/>
            </a:cxn>
            <a:cxn ang="0">
              <a:pos x="connsiteX10210" y="connsiteY10210"/>
            </a:cxn>
            <a:cxn ang="0">
              <a:pos x="connsiteX10211" y="connsiteY10211"/>
            </a:cxn>
            <a:cxn ang="0">
              <a:pos x="connsiteX10212" y="connsiteY10212"/>
            </a:cxn>
            <a:cxn ang="0">
              <a:pos x="connsiteX10213" y="connsiteY10213"/>
            </a:cxn>
            <a:cxn ang="0">
              <a:pos x="connsiteX10214" y="connsiteY10214"/>
            </a:cxn>
            <a:cxn ang="0">
              <a:pos x="connsiteX10215" y="connsiteY10215"/>
            </a:cxn>
            <a:cxn ang="0">
              <a:pos x="connsiteX10216" y="connsiteY10216"/>
            </a:cxn>
            <a:cxn ang="0">
              <a:pos x="connsiteX10217" y="connsiteY10217"/>
            </a:cxn>
            <a:cxn ang="0">
              <a:pos x="connsiteX10218" y="connsiteY10218"/>
            </a:cxn>
            <a:cxn ang="0">
              <a:pos x="connsiteX10219" y="connsiteY10219"/>
            </a:cxn>
            <a:cxn ang="0">
              <a:pos x="connsiteX10220" y="connsiteY10220"/>
            </a:cxn>
            <a:cxn ang="0">
              <a:pos x="connsiteX10221" y="connsiteY10221"/>
            </a:cxn>
            <a:cxn ang="0">
              <a:pos x="connsiteX10222" y="connsiteY10222"/>
            </a:cxn>
            <a:cxn ang="0">
              <a:pos x="connsiteX10223" y="connsiteY10223"/>
            </a:cxn>
            <a:cxn ang="0">
              <a:pos x="connsiteX10224" y="connsiteY10224"/>
            </a:cxn>
            <a:cxn ang="0">
              <a:pos x="connsiteX10225" y="connsiteY10225"/>
            </a:cxn>
            <a:cxn ang="0">
              <a:pos x="connsiteX10226" y="connsiteY10226"/>
            </a:cxn>
            <a:cxn ang="0">
              <a:pos x="connsiteX10227" y="connsiteY10227"/>
            </a:cxn>
            <a:cxn ang="0">
              <a:pos x="connsiteX10228" y="connsiteY10228"/>
            </a:cxn>
            <a:cxn ang="0">
              <a:pos x="connsiteX10229" y="connsiteY10229"/>
            </a:cxn>
            <a:cxn ang="0">
              <a:pos x="connsiteX10230" y="connsiteY10230"/>
            </a:cxn>
            <a:cxn ang="0">
              <a:pos x="connsiteX10231" y="connsiteY10231"/>
            </a:cxn>
            <a:cxn ang="0">
              <a:pos x="connsiteX10232" y="connsiteY10232"/>
            </a:cxn>
            <a:cxn ang="0">
              <a:pos x="connsiteX10233" y="connsiteY10233"/>
            </a:cxn>
            <a:cxn ang="0">
              <a:pos x="connsiteX10234" y="connsiteY10234"/>
            </a:cxn>
            <a:cxn ang="0">
              <a:pos x="connsiteX10235" y="connsiteY10235"/>
            </a:cxn>
            <a:cxn ang="0">
              <a:pos x="connsiteX10236" y="connsiteY10236"/>
            </a:cxn>
            <a:cxn ang="0">
              <a:pos x="connsiteX10237" y="connsiteY10237"/>
            </a:cxn>
            <a:cxn ang="0">
              <a:pos x="connsiteX10238" y="connsiteY10238"/>
            </a:cxn>
            <a:cxn ang="0">
              <a:pos x="connsiteX10239" y="connsiteY10239"/>
            </a:cxn>
            <a:cxn ang="0">
              <a:pos x="connsiteX10240" y="connsiteY10240"/>
            </a:cxn>
            <a:cxn ang="0">
              <a:pos x="connsiteX10241" y="connsiteY10241"/>
            </a:cxn>
            <a:cxn ang="0">
              <a:pos x="connsiteX10242" y="connsiteY10242"/>
            </a:cxn>
            <a:cxn ang="0">
              <a:pos x="connsiteX10243" y="connsiteY10243"/>
            </a:cxn>
            <a:cxn ang="0">
              <a:pos x="connsiteX10244" y="connsiteY10244"/>
            </a:cxn>
            <a:cxn ang="0">
              <a:pos x="connsiteX10245" y="connsiteY10245"/>
            </a:cxn>
            <a:cxn ang="0">
              <a:pos x="connsiteX10246" y="connsiteY10246"/>
            </a:cxn>
            <a:cxn ang="0">
              <a:pos x="connsiteX10247" y="connsiteY10247"/>
            </a:cxn>
            <a:cxn ang="0">
              <a:pos x="connsiteX10248" y="connsiteY10248"/>
            </a:cxn>
            <a:cxn ang="0">
              <a:pos x="connsiteX10249" y="connsiteY10249"/>
            </a:cxn>
            <a:cxn ang="0">
              <a:pos x="connsiteX10250" y="connsiteY10250"/>
            </a:cxn>
            <a:cxn ang="0">
              <a:pos x="connsiteX10251" y="connsiteY10251"/>
            </a:cxn>
            <a:cxn ang="0">
              <a:pos x="connsiteX10252" y="connsiteY10252"/>
            </a:cxn>
            <a:cxn ang="0">
              <a:pos x="connsiteX10253" y="connsiteY10253"/>
            </a:cxn>
            <a:cxn ang="0">
              <a:pos x="connsiteX10254" y="connsiteY10254"/>
            </a:cxn>
            <a:cxn ang="0">
              <a:pos x="connsiteX10255" y="connsiteY10255"/>
            </a:cxn>
            <a:cxn ang="0">
              <a:pos x="connsiteX10256" y="connsiteY10256"/>
            </a:cxn>
            <a:cxn ang="0">
              <a:pos x="connsiteX10257" y="connsiteY10257"/>
            </a:cxn>
            <a:cxn ang="0">
              <a:pos x="connsiteX10258" y="connsiteY10258"/>
            </a:cxn>
            <a:cxn ang="0">
              <a:pos x="connsiteX10259" y="connsiteY10259"/>
            </a:cxn>
            <a:cxn ang="0">
              <a:pos x="connsiteX10260" y="connsiteY10260"/>
            </a:cxn>
            <a:cxn ang="0">
              <a:pos x="connsiteX10261" y="connsiteY10261"/>
            </a:cxn>
            <a:cxn ang="0">
              <a:pos x="connsiteX10262" y="connsiteY10262"/>
            </a:cxn>
            <a:cxn ang="0">
              <a:pos x="connsiteX10263" y="connsiteY10263"/>
            </a:cxn>
            <a:cxn ang="0">
              <a:pos x="connsiteX10264" y="connsiteY10264"/>
            </a:cxn>
            <a:cxn ang="0">
              <a:pos x="connsiteX10265" y="connsiteY10265"/>
            </a:cxn>
            <a:cxn ang="0">
              <a:pos x="connsiteX10266" y="connsiteY10266"/>
            </a:cxn>
            <a:cxn ang="0">
              <a:pos x="connsiteX10267" y="connsiteY10267"/>
            </a:cxn>
            <a:cxn ang="0">
              <a:pos x="connsiteX10268" y="connsiteY10268"/>
            </a:cxn>
            <a:cxn ang="0">
              <a:pos x="connsiteX10269" y="connsiteY10269"/>
            </a:cxn>
            <a:cxn ang="0">
              <a:pos x="connsiteX10270" y="connsiteY10270"/>
            </a:cxn>
            <a:cxn ang="0">
              <a:pos x="connsiteX10271" y="connsiteY10271"/>
            </a:cxn>
            <a:cxn ang="0">
              <a:pos x="connsiteX10272" y="connsiteY10272"/>
            </a:cxn>
            <a:cxn ang="0">
              <a:pos x="connsiteX10273" y="connsiteY10273"/>
            </a:cxn>
            <a:cxn ang="0">
              <a:pos x="connsiteX10274" y="connsiteY10274"/>
            </a:cxn>
            <a:cxn ang="0">
              <a:pos x="connsiteX10275" y="connsiteY10275"/>
            </a:cxn>
            <a:cxn ang="0">
              <a:pos x="connsiteX10276" y="connsiteY10276"/>
            </a:cxn>
            <a:cxn ang="0">
              <a:pos x="connsiteX10277" y="connsiteY10277"/>
            </a:cxn>
            <a:cxn ang="0">
              <a:pos x="connsiteX10278" y="connsiteY10278"/>
            </a:cxn>
            <a:cxn ang="0">
              <a:pos x="connsiteX10279" y="connsiteY10279"/>
            </a:cxn>
            <a:cxn ang="0">
              <a:pos x="connsiteX10280" y="connsiteY10280"/>
            </a:cxn>
            <a:cxn ang="0">
              <a:pos x="connsiteX10281" y="connsiteY10281"/>
            </a:cxn>
            <a:cxn ang="0">
              <a:pos x="connsiteX10282" y="connsiteY10282"/>
            </a:cxn>
            <a:cxn ang="0">
              <a:pos x="connsiteX10283" y="connsiteY10283"/>
            </a:cxn>
            <a:cxn ang="0">
              <a:pos x="connsiteX10284" y="connsiteY10284"/>
            </a:cxn>
            <a:cxn ang="0">
              <a:pos x="connsiteX10285" y="connsiteY10285"/>
            </a:cxn>
            <a:cxn ang="0">
              <a:pos x="connsiteX10286" y="connsiteY10286"/>
            </a:cxn>
            <a:cxn ang="0">
              <a:pos x="connsiteX10287" y="connsiteY10287"/>
            </a:cxn>
            <a:cxn ang="0">
              <a:pos x="connsiteX10288" y="connsiteY10288"/>
            </a:cxn>
            <a:cxn ang="0">
              <a:pos x="connsiteX10289" y="connsiteY10289"/>
            </a:cxn>
            <a:cxn ang="0">
              <a:pos x="connsiteX10290" y="connsiteY10290"/>
            </a:cxn>
            <a:cxn ang="0">
              <a:pos x="connsiteX10291" y="connsiteY10291"/>
            </a:cxn>
            <a:cxn ang="0">
              <a:pos x="connsiteX10292" y="connsiteY10292"/>
            </a:cxn>
            <a:cxn ang="0">
              <a:pos x="connsiteX10293" y="connsiteY10293"/>
            </a:cxn>
            <a:cxn ang="0">
              <a:pos x="connsiteX10294" y="connsiteY10294"/>
            </a:cxn>
            <a:cxn ang="0">
              <a:pos x="connsiteX10295" y="connsiteY10295"/>
            </a:cxn>
            <a:cxn ang="0">
              <a:pos x="connsiteX10296" y="connsiteY10296"/>
            </a:cxn>
            <a:cxn ang="0">
              <a:pos x="connsiteX10297" y="connsiteY10297"/>
            </a:cxn>
            <a:cxn ang="0">
              <a:pos x="connsiteX10298" y="connsiteY10298"/>
            </a:cxn>
            <a:cxn ang="0">
              <a:pos x="connsiteX10299" y="connsiteY10299"/>
            </a:cxn>
            <a:cxn ang="0">
              <a:pos x="connsiteX10300" y="connsiteY10300"/>
            </a:cxn>
            <a:cxn ang="0">
              <a:pos x="connsiteX10301" y="connsiteY10301"/>
            </a:cxn>
            <a:cxn ang="0">
              <a:pos x="connsiteX10302" y="connsiteY10302"/>
            </a:cxn>
            <a:cxn ang="0">
              <a:pos x="connsiteX10303" y="connsiteY10303"/>
            </a:cxn>
            <a:cxn ang="0">
              <a:pos x="connsiteX10304" y="connsiteY10304"/>
            </a:cxn>
            <a:cxn ang="0">
              <a:pos x="connsiteX10305" y="connsiteY10305"/>
            </a:cxn>
            <a:cxn ang="0">
              <a:pos x="connsiteX10306" y="connsiteY10306"/>
            </a:cxn>
            <a:cxn ang="0">
              <a:pos x="connsiteX10307" y="connsiteY10307"/>
            </a:cxn>
            <a:cxn ang="0">
              <a:pos x="connsiteX10308" y="connsiteY10308"/>
            </a:cxn>
            <a:cxn ang="0">
              <a:pos x="connsiteX10309" y="connsiteY10309"/>
            </a:cxn>
            <a:cxn ang="0">
              <a:pos x="connsiteX10310" y="connsiteY10310"/>
            </a:cxn>
            <a:cxn ang="0">
              <a:pos x="connsiteX10311" y="connsiteY10311"/>
            </a:cxn>
            <a:cxn ang="0">
              <a:pos x="connsiteX10312" y="connsiteY10312"/>
            </a:cxn>
            <a:cxn ang="0">
              <a:pos x="connsiteX10313" y="connsiteY10313"/>
            </a:cxn>
            <a:cxn ang="0">
              <a:pos x="connsiteX10314" y="connsiteY10314"/>
            </a:cxn>
            <a:cxn ang="0">
              <a:pos x="connsiteX10315" y="connsiteY10315"/>
            </a:cxn>
            <a:cxn ang="0">
              <a:pos x="connsiteX10316" y="connsiteY10316"/>
            </a:cxn>
            <a:cxn ang="0">
              <a:pos x="connsiteX10317" y="connsiteY10317"/>
            </a:cxn>
            <a:cxn ang="0">
              <a:pos x="connsiteX10318" y="connsiteY10318"/>
            </a:cxn>
            <a:cxn ang="0">
              <a:pos x="connsiteX10319" y="connsiteY10319"/>
            </a:cxn>
            <a:cxn ang="0">
              <a:pos x="connsiteX10320" y="connsiteY10320"/>
            </a:cxn>
            <a:cxn ang="0">
              <a:pos x="connsiteX10321" y="connsiteY10321"/>
            </a:cxn>
            <a:cxn ang="0">
              <a:pos x="connsiteX10322" y="connsiteY10322"/>
            </a:cxn>
            <a:cxn ang="0">
              <a:pos x="connsiteX10323" y="connsiteY10323"/>
            </a:cxn>
            <a:cxn ang="0">
              <a:pos x="connsiteX10324" y="connsiteY10324"/>
            </a:cxn>
            <a:cxn ang="0">
              <a:pos x="connsiteX10325" y="connsiteY10325"/>
            </a:cxn>
            <a:cxn ang="0">
              <a:pos x="connsiteX10326" y="connsiteY10326"/>
            </a:cxn>
            <a:cxn ang="0">
              <a:pos x="connsiteX10327" y="connsiteY10327"/>
            </a:cxn>
            <a:cxn ang="0">
              <a:pos x="connsiteX10328" y="connsiteY10328"/>
            </a:cxn>
            <a:cxn ang="0">
              <a:pos x="connsiteX10329" y="connsiteY10329"/>
            </a:cxn>
            <a:cxn ang="0">
              <a:pos x="connsiteX10330" y="connsiteY10330"/>
            </a:cxn>
            <a:cxn ang="0">
              <a:pos x="connsiteX10331" y="connsiteY10331"/>
            </a:cxn>
            <a:cxn ang="0">
              <a:pos x="connsiteX10332" y="connsiteY10332"/>
            </a:cxn>
            <a:cxn ang="0">
              <a:pos x="connsiteX10333" y="connsiteY10333"/>
            </a:cxn>
            <a:cxn ang="0">
              <a:pos x="connsiteX10334" y="connsiteY10334"/>
            </a:cxn>
            <a:cxn ang="0">
              <a:pos x="connsiteX10335" y="connsiteY10335"/>
            </a:cxn>
            <a:cxn ang="0">
              <a:pos x="connsiteX10336" y="connsiteY10336"/>
            </a:cxn>
            <a:cxn ang="0">
              <a:pos x="connsiteX10337" y="connsiteY10337"/>
            </a:cxn>
            <a:cxn ang="0">
              <a:pos x="connsiteX10338" y="connsiteY10338"/>
            </a:cxn>
            <a:cxn ang="0">
              <a:pos x="connsiteX10339" y="connsiteY10339"/>
            </a:cxn>
            <a:cxn ang="0">
              <a:pos x="connsiteX10340" y="connsiteY10340"/>
            </a:cxn>
            <a:cxn ang="0">
              <a:pos x="connsiteX10341" y="connsiteY10341"/>
            </a:cxn>
            <a:cxn ang="0">
              <a:pos x="connsiteX10342" y="connsiteY10342"/>
            </a:cxn>
            <a:cxn ang="0">
              <a:pos x="connsiteX10343" y="connsiteY10343"/>
            </a:cxn>
            <a:cxn ang="0">
              <a:pos x="connsiteX10344" y="connsiteY10344"/>
            </a:cxn>
            <a:cxn ang="0">
              <a:pos x="connsiteX10345" y="connsiteY10345"/>
            </a:cxn>
            <a:cxn ang="0">
              <a:pos x="connsiteX10346" y="connsiteY10346"/>
            </a:cxn>
            <a:cxn ang="0">
              <a:pos x="connsiteX10347" y="connsiteY10347"/>
            </a:cxn>
            <a:cxn ang="0">
              <a:pos x="connsiteX10348" y="connsiteY10348"/>
            </a:cxn>
            <a:cxn ang="0">
              <a:pos x="connsiteX10349" y="connsiteY10349"/>
            </a:cxn>
            <a:cxn ang="0">
              <a:pos x="connsiteX10350" y="connsiteY10350"/>
            </a:cxn>
            <a:cxn ang="0">
              <a:pos x="connsiteX10351" y="connsiteY10351"/>
            </a:cxn>
            <a:cxn ang="0">
              <a:pos x="connsiteX10352" y="connsiteY10352"/>
            </a:cxn>
            <a:cxn ang="0">
              <a:pos x="connsiteX10353" y="connsiteY10353"/>
            </a:cxn>
            <a:cxn ang="0">
              <a:pos x="connsiteX10354" y="connsiteY10354"/>
            </a:cxn>
            <a:cxn ang="0">
              <a:pos x="connsiteX10355" y="connsiteY10355"/>
            </a:cxn>
            <a:cxn ang="0">
              <a:pos x="connsiteX10356" y="connsiteY10356"/>
            </a:cxn>
            <a:cxn ang="0">
              <a:pos x="connsiteX10357" y="connsiteY10357"/>
            </a:cxn>
            <a:cxn ang="0">
              <a:pos x="connsiteX10358" y="connsiteY10358"/>
            </a:cxn>
            <a:cxn ang="0">
              <a:pos x="connsiteX10359" y="connsiteY10359"/>
            </a:cxn>
            <a:cxn ang="0">
              <a:pos x="connsiteX10360" y="connsiteY10360"/>
            </a:cxn>
            <a:cxn ang="0">
              <a:pos x="connsiteX10361" y="connsiteY10361"/>
            </a:cxn>
            <a:cxn ang="0">
              <a:pos x="connsiteX10362" y="connsiteY10362"/>
            </a:cxn>
            <a:cxn ang="0">
              <a:pos x="connsiteX10363" y="connsiteY10363"/>
            </a:cxn>
            <a:cxn ang="0">
              <a:pos x="connsiteX10364" y="connsiteY10364"/>
            </a:cxn>
            <a:cxn ang="0">
              <a:pos x="connsiteX10365" y="connsiteY10365"/>
            </a:cxn>
            <a:cxn ang="0">
              <a:pos x="connsiteX10366" y="connsiteY10366"/>
            </a:cxn>
            <a:cxn ang="0">
              <a:pos x="connsiteX10367" y="connsiteY10367"/>
            </a:cxn>
            <a:cxn ang="0">
              <a:pos x="connsiteX10368" y="connsiteY10368"/>
            </a:cxn>
            <a:cxn ang="0">
              <a:pos x="connsiteX10369" y="connsiteY10369"/>
            </a:cxn>
            <a:cxn ang="0">
              <a:pos x="connsiteX10370" y="connsiteY10370"/>
            </a:cxn>
            <a:cxn ang="0">
              <a:pos x="connsiteX10371" y="connsiteY10371"/>
            </a:cxn>
            <a:cxn ang="0">
              <a:pos x="connsiteX10372" y="connsiteY10372"/>
            </a:cxn>
            <a:cxn ang="0">
              <a:pos x="connsiteX10373" y="connsiteY10373"/>
            </a:cxn>
            <a:cxn ang="0">
              <a:pos x="connsiteX10374" y="connsiteY10374"/>
            </a:cxn>
            <a:cxn ang="0">
              <a:pos x="connsiteX10375" y="connsiteY10375"/>
            </a:cxn>
            <a:cxn ang="0">
              <a:pos x="connsiteX10376" y="connsiteY10376"/>
            </a:cxn>
            <a:cxn ang="0">
              <a:pos x="connsiteX10377" y="connsiteY10377"/>
            </a:cxn>
            <a:cxn ang="0">
              <a:pos x="connsiteX10378" y="connsiteY10378"/>
            </a:cxn>
            <a:cxn ang="0">
              <a:pos x="connsiteX10379" y="connsiteY10379"/>
            </a:cxn>
            <a:cxn ang="0">
              <a:pos x="connsiteX10380" y="connsiteY10380"/>
            </a:cxn>
            <a:cxn ang="0">
              <a:pos x="connsiteX10381" y="connsiteY10381"/>
            </a:cxn>
            <a:cxn ang="0">
              <a:pos x="connsiteX10382" y="connsiteY10382"/>
            </a:cxn>
            <a:cxn ang="0">
              <a:pos x="connsiteX10383" y="connsiteY10383"/>
            </a:cxn>
            <a:cxn ang="0">
              <a:pos x="connsiteX10384" y="connsiteY10384"/>
            </a:cxn>
            <a:cxn ang="0">
              <a:pos x="connsiteX10385" y="connsiteY10385"/>
            </a:cxn>
            <a:cxn ang="0">
              <a:pos x="connsiteX10386" y="connsiteY10386"/>
            </a:cxn>
            <a:cxn ang="0">
              <a:pos x="connsiteX10387" y="connsiteY10387"/>
            </a:cxn>
            <a:cxn ang="0">
              <a:pos x="connsiteX10388" y="connsiteY10388"/>
            </a:cxn>
            <a:cxn ang="0">
              <a:pos x="connsiteX10389" y="connsiteY10389"/>
            </a:cxn>
            <a:cxn ang="0">
              <a:pos x="connsiteX10390" y="connsiteY10390"/>
            </a:cxn>
            <a:cxn ang="0">
              <a:pos x="connsiteX10391" y="connsiteY10391"/>
            </a:cxn>
            <a:cxn ang="0">
              <a:pos x="connsiteX10392" y="connsiteY10392"/>
            </a:cxn>
            <a:cxn ang="0">
              <a:pos x="connsiteX10393" y="connsiteY10393"/>
            </a:cxn>
            <a:cxn ang="0">
              <a:pos x="connsiteX10394" y="connsiteY10394"/>
            </a:cxn>
            <a:cxn ang="0">
              <a:pos x="connsiteX10395" y="connsiteY10395"/>
            </a:cxn>
            <a:cxn ang="0">
              <a:pos x="connsiteX10396" y="connsiteY10396"/>
            </a:cxn>
            <a:cxn ang="0">
              <a:pos x="connsiteX10397" y="connsiteY10397"/>
            </a:cxn>
            <a:cxn ang="0">
              <a:pos x="connsiteX10398" y="connsiteY10398"/>
            </a:cxn>
            <a:cxn ang="0">
              <a:pos x="connsiteX10399" y="connsiteY10399"/>
            </a:cxn>
            <a:cxn ang="0">
              <a:pos x="connsiteX10400" y="connsiteY10400"/>
            </a:cxn>
            <a:cxn ang="0">
              <a:pos x="connsiteX10401" y="connsiteY10401"/>
            </a:cxn>
            <a:cxn ang="0">
              <a:pos x="connsiteX10402" y="connsiteY10402"/>
            </a:cxn>
            <a:cxn ang="0">
              <a:pos x="connsiteX10403" y="connsiteY10403"/>
            </a:cxn>
            <a:cxn ang="0">
              <a:pos x="connsiteX10404" y="connsiteY10404"/>
            </a:cxn>
            <a:cxn ang="0">
              <a:pos x="connsiteX10405" y="connsiteY10405"/>
            </a:cxn>
            <a:cxn ang="0">
              <a:pos x="connsiteX10406" y="connsiteY10406"/>
            </a:cxn>
            <a:cxn ang="0">
              <a:pos x="connsiteX10407" y="connsiteY10407"/>
            </a:cxn>
            <a:cxn ang="0">
              <a:pos x="connsiteX10408" y="connsiteY10408"/>
            </a:cxn>
            <a:cxn ang="0">
              <a:pos x="connsiteX10409" y="connsiteY10409"/>
            </a:cxn>
            <a:cxn ang="0">
              <a:pos x="connsiteX10410" y="connsiteY10410"/>
            </a:cxn>
            <a:cxn ang="0">
              <a:pos x="connsiteX10411" y="connsiteY10411"/>
            </a:cxn>
            <a:cxn ang="0">
              <a:pos x="connsiteX10412" y="connsiteY10412"/>
            </a:cxn>
            <a:cxn ang="0">
              <a:pos x="connsiteX10413" y="connsiteY10413"/>
            </a:cxn>
            <a:cxn ang="0">
              <a:pos x="connsiteX10414" y="connsiteY10414"/>
            </a:cxn>
            <a:cxn ang="0">
              <a:pos x="connsiteX10415" y="connsiteY10415"/>
            </a:cxn>
            <a:cxn ang="0">
              <a:pos x="connsiteX10416" y="connsiteY10416"/>
            </a:cxn>
            <a:cxn ang="0">
              <a:pos x="connsiteX10417" y="connsiteY10417"/>
            </a:cxn>
            <a:cxn ang="0">
              <a:pos x="connsiteX10418" y="connsiteY10418"/>
            </a:cxn>
            <a:cxn ang="0">
              <a:pos x="connsiteX10419" y="connsiteY10419"/>
            </a:cxn>
            <a:cxn ang="0">
              <a:pos x="connsiteX10420" y="connsiteY10420"/>
            </a:cxn>
            <a:cxn ang="0">
              <a:pos x="connsiteX10421" y="connsiteY10421"/>
            </a:cxn>
            <a:cxn ang="0">
              <a:pos x="connsiteX10422" y="connsiteY10422"/>
            </a:cxn>
            <a:cxn ang="0">
              <a:pos x="connsiteX10423" y="connsiteY10423"/>
            </a:cxn>
            <a:cxn ang="0">
              <a:pos x="connsiteX10424" y="connsiteY10424"/>
            </a:cxn>
            <a:cxn ang="0">
              <a:pos x="connsiteX10425" y="connsiteY10425"/>
            </a:cxn>
            <a:cxn ang="0">
              <a:pos x="connsiteX10426" y="connsiteY10426"/>
            </a:cxn>
            <a:cxn ang="0">
              <a:pos x="connsiteX10427" y="connsiteY10427"/>
            </a:cxn>
            <a:cxn ang="0">
              <a:pos x="connsiteX10428" y="connsiteY10428"/>
            </a:cxn>
            <a:cxn ang="0">
              <a:pos x="connsiteX10429" y="connsiteY10429"/>
            </a:cxn>
            <a:cxn ang="0">
              <a:pos x="connsiteX10430" y="connsiteY10430"/>
            </a:cxn>
            <a:cxn ang="0">
              <a:pos x="connsiteX10431" y="connsiteY10431"/>
            </a:cxn>
            <a:cxn ang="0">
              <a:pos x="connsiteX10432" y="connsiteY10432"/>
            </a:cxn>
            <a:cxn ang="0">
              <a:pos x="connsiteX10433" y="connsiteY10433"/>
            </a:cxn>
            <a:cxn ang="0">
              <a:pos x="connsiteX10434" y="connsiteY10434"/>
            </a:cxn>
            <a:cxn ang="0">
              <a:pos x="connsiteX10435" y="connsiteY10435"/>
            </a:cxn>
            <a:cxn ang="0">
              <a:pos x="connsiteX10436" y="connsiteY10436"/>
            </a:cxn>
            <a:cxn ang="0">
              <a:pos x="connsiteX10437" y="connsiteY10437"/>
            </a:cxn>
            <a:cxn ang="0">
              <a:pos x="connsiteX10438" y="connsiteY10438"/>
            </a:cxn>
            <a:cxn ang="0">
              <a:pos x="connsiteX10439" y="connsiteY10439"/>
            </a:cxn>
            <a:cxn ang="0">
              <a:pos x="connsiteX10440" y="connsiteY10440"/>
            </a:cxn>
            <a:cxn ang="0">
              <a:pos x="connsiteX10441" y="connsiteY10441"/>
            </a:cxn>
            <a:cxn ang="0">
              <a:pos x="connsiteX10442" y="connsiteY10442"/>
            </a:cxn>
            <a:cxn ang="0">
              <a:pos x="connsiteX10443" y="connsiteY10443"/>
            </a:cxn>
            <a:cxn ang="0">
              <a:pos x="connsiteX10444" y="connsiteY10444"/>
            </a:cxn>
            <a:cxn ang="0">
              <a:pos x="connsiteX10445" y="connsiteY10445"/>
            </a:cxn>
            <a:cxn ang="0">
              <a:pos x="connsiteX10446" y="connsiteY10446"/>
            </a:cxn>
            <a:cxn ang="0">
              <a:pos x="connsiteX10447" y="connsiteY10447"/>
            </a:cxn>
            <a:cxn ang="0">
              <a:pos x="connsiteX10448" y="connsiteY10448"/>
            </a:cxn>
            <a:cxn ang="0">
              <a:pos x="connsiteX10449" y="connsiteY10449"/>
            </a:cxn>
            <a:cxn ang="0">
              <a:pos x="connsiteX10450" y="connsiteY10450"/>
            </a:cxn>
            <a:cxn ang="0">
              <a:pos x="connsiteX10451" y="connsiteY10451"/>
            </a:cxn>
            <a:cxn ang="0">
              <a:pos x="connsiteX10452" y="connsiteY10452"/>
            </a:cxn>
            <a:cxn ang="0">
              <a:pos x="connsiteX10453" y="connsiteY10453"/>
            </a:cxn>
            <a:cxn ang="0">
              <a:pos x="connsiteX10454" y="connsiteY10454"/>
            </a:cxn>
            <a:cxn ang="0">
              <a:pos x="connsiteX10455" y="connsiteY10455"/>
            </a:cxn>
            <a:cxn ang="0">
              <a:pos x="connsiteX10456" y="connsiteY10456"/>
            </a:cxn>
            <a:cxn ang="0">
              <a:pos x="connsiteX10457" y="connsiteY10457"/>
            </a:cxn>
            <a:cxn ang="0">
              <a:pos x="connsiteX10458" y="connsiteY10458"/>
            </a:cxn>
            <a:cxn ang="0">
              <a:pos x="connsiteX10459" y="connsiteY10459"/>
            </a:cxn>
            <a:cxn ang="0">
              <a:pos x="connsiteX10460" y="connsiteY10460"/>
            </a:cxn>
            <a:cxn ang="0">
              <a:pos x="connsiteX10461" y="connsiteY10461"/>
            </a:cxn>
            <a:cxn ang="0">
              <a:pos x="connsiteX10462" y="connsiteY10462"/>
            </a:cxn>
            <a:cxn ang="0">
              <a:pos x="connsiteX10463" y="connsiteY10463"/>
            </a:cxn>
            <a:cxn ang="0">
              <a:pos x="connsiteX10464" y="connsiteY10464"/>
            </a:cxn>
            <a:cxn ang="0">
              <a:pos x="connsiteX10465" y="connsiteY10465"/>
            </a:cxn>
            <a:cxn ang="0">
              <a:pos x="connsiteX10466" y="connsiteY10466"/>
            </a:cxn>
            <a:cxn ang="0">
              <a:pos x="connsiteX10467" y="connsiteY10467"/>
            </a:cxn>
            <a:cxn ang="0">
              <a:pos x="connsiteX10468" y="connsiteY10468"/>
            </a:cxn>
            <a:cxn ang="0">
              <a:pos x="connsiteX10469" y="connsiteY10469"/>
            </a:cxn>
            <a:cxn ang="0">
              <a:pos x="connsiteX10470" y="connsiteY10470"/>
            </a:cxn>
            <a:cxn ang="0">
              <a:pos x="connsiteX10471" y="connsiteY10471"/>
            </a:cxn>
            <a:cxn ang="0">
              <a:pos x="connsiteX10472" y="connsiteY10472"/>
            </a:cxn>
            <a:cxn ang="0">
              <a:pos x="connsiteX10473" y="connsiteY10473"/>
            </a:cxn>
            <a:cxn ang="0">
              <a:pos x="connsiteX10474" y="connsiteY10474"/>
            </a:cxn>
            <a:cxn ang="0">
              <a:pos x="connsiteX10475" y="connsiteY10475"/>
            </a:cxn>
            <a:cxn ang="0">
              <a:pos x="connsiteX10476" y="connsiteY10476"/>
            </a:cxn>
            <a:cxn ang="0">
              <a:pos x="connsiteX10477" y="connsiteY10477"/>
            </a:cxn>
            <a:cxn ang="0">
              <a:pos x="connsiteX10478" y="connsiteY10478"/>
            </a:cxn>
            <a:cxn ang="0">
              <a:pos x="connsiteX10479" y="connsiteY10479"/>
            </a:cxn>
            <a:cxn ang="0">
              <a:pos x="connsiteX10480" y="connsiteY10480"/>
            </a:cxn>
            <a:cxn ang="0">
              <a:pos x="connsiteX10481" y="connsiteY10481"/>
            </a:cxn>
            <a:cxn ang="0">
              <a:pos x="connsiteX10482" y="connsiteY10482"/>
            </a:cxn>
            <a:cxn ang="0">
              <a:pos x="connsiteX10483" y="connsiteY10483"/>
            </a:cxn>
            <a:cxn ang="0">
              <a:pos x="connsiteX10484" y="connsiteY10484"/>
            </a:cxn>
            <a:cxn ang="0">
              <a:pos x="connsiteX10485" y="connsiteY10485"/>
            </a:cxn>
            <a:cxn ang="0">
              <a:pos x="connsiteX10486" y="connsiteY10486"/>
            </a:cxn>
            <a:cxn ang="0">
              <a:pos x="connsiteX10487" y="connsiteY10487"/>
            </a:cxn>
            <a:cxn ang="0">
              <a:pos x="connsiteX10488" y="connsiteY10488"/>
            </a:cxn>
            <a:cxn ang="0">
              <a:pos x="connsiteX10489" y="connsiteY10489"/>
            </a:cxn>
            <a:cxn ang="0">
              <a:pos x="connsiteX10490" y="connsiteY10490"/>
            </a:cxn>
            <a:cxn ang="0">
              <a:pos x="connsiteX10491" y="connsiteY10491"/>
            </a:cxn>
            <a:cxn ang="0">
              <a:pos x="connsiteX10492" y="connsiteY10492"/>
            </a:cxn>
            <a:cxn ang="0">
              <a:pos x="connsiteX10493" y="connsiteY10493"/>
            </a:cxn>
            <a:cxn ang="0">
              <a:pos x="connsiteX10494" y="connsiteY10494"/>
            </a:cxn>
            <a:cxn ang="0">
              <a:pos x="connsiteX10495" y="connsiteY10495"/>
            </a:cxn>
            <a:cxn ang="0">
              <a:pos x="connsiteX10496" y="connsiteY10496"/>
            </a:cxn>
            <a:cxn ang="0">
              <a:pos x="connsiteX10497" y="connsiteY10497"/>
            </a:cxn>
            <a:cxn ang="0">
              <a:pos x="connsiteX10498" y="connsiteY10498"/>
            </a:cxn>
            <a:cxn ang="0">
              <a:pos x="connsiteX10499" y="connsiteY10499"/>
            </a:cxn>
            <a:cxn ang="0">
              <a:pos x="connsiteX10500" y="connsiteY10500"/>
            </a:cxn>
            <a:cxn ang="0">
              <a:pos x="connsiteX10501" y="connsiteY10501"/>
            </a:cxn>
            <a:cxn ang="0">
              <a:pos x="connsiteX10502" y="connsiteY10502"/>
            </a:cxn>
            <a:cxn ang="0">
              <a:pos x="connsiteX10503" y="connsiteY10503"/>
            </a:cxn>
            <a:cxn ang="0">
              <a:pos x="connsiteX10504" y="connsiteY10504"/>
            </a:cxn>
            <a:cxn ang="0">
              <a:pos x="connsiteX10505" y="connsiteY10505"/>
            </a:cxn>
            <a:cxn ang="0">
              <a:pos x="connsiteX10506" y="connsiteY10506"/>
            </a:cxn>
            <a:cxn ang="0">
              <a:pos x="connsiteX10507" y="connsiteY10507"/>
            </a:cxn>
            <a:cxn ang="0">
              <a:pos x="connsiteX10508" y="connsiteY10508"/>
            </a:cxn>
            <a:cxn ang="0">
              <a:pos x="connsiteX10509" y="connsiteY10509"/>
            </a:cxn>
            <a:cxn ang="0">
              <a:pos x="connsiteX10510" y="connsiteY10510"/>
            </a:cxn>
            <a:cxn ang="0">
              <a:pos x="connsiteX10511" y="connsiteY10511"/>
            </a:cxn>
            <a:cxn ang="0">
              <a:pos x="connsiteX10512" y="connsiteY10512"/>
            </a:cxn>
            <a:cxn ang="0">
              <a:pos x="connsiteX10513" y="connsiteY10513"/>
            </a:cxn>
            <a:cxn ang="0">
              <a:pos x="connsiteX10514" y="connsiteY10514"/>
            </a:cxn>
            <a:cxn ang="0">
              <a:pos x="connsiteX10515" y="connsiteY10515"/>
            </a:cxn>
            <a:cxn ang="0">
              <a:pos x="connsiteX10516" y="connsiteY10516"/>
            </a:cxn>
            <a:cxn ang="0">
              <a:pos x="connsiteX10517" y="connsiteY10517"/>
            </a:cxn>
            <a:cxn ang="0">
              <a:pos x="connsiteX10518" y="connsiteY10518"/>
            </a:cxn>
            <a:cxn ang="0">
              <a:pos x="connsiteX10519" y="connsiteY10519"/>
            </a:cxn>
            <a:cxn ang="0">
              <a:pos x="connsiteX10520" y="connsiteY10520"/>
            </a:cxn>
            <a:cxn ang="0">
              <a:pos x="connsiteX10521" y="connsiteY10521"/>
            </a:cxn>
            <a:cxn ang="0">
              <a:pos x="connsiteX10522" y="connsiteY10522"/>
            </a:cxn>
            <a:cxn ang="0">
              <a:pos x="connsiteX10523" y="connsiteY10523"/>
            </a:cxn>
            <a:cxn ang="0">
              <a:pos x="connsiteX10524" y="connsiteY10524"/>
            </a:cxn>
            <a:cxn ang="0">
              <a:pos x="connsiteX10525" y="connsiteY10525"/>
            </a:cxn>
            <a:cxn ang="0">
              <a:pos x="connsiteX10526" y="connsiteY10526"/>
            </a:cxn>
            <a:cxn ang="0">
              <a:pos x="connsiteX10527" y="connsiteY10527"/>
            </a:cxn>
            <a:cxn ang="0">
              <a:pos x="connsiteX10528" y="connsiteY10528"/>
            </a:cxn>
            <a:cxn ang="0">
              <a:pos x="connsiteX10529" y="connsiteY10529"/>
            </a:cxn>
            <a:cxn ang="0">
              <a:pos x="connsiteX10530" y="connsiteY10530"/>
            </a:cxn>
            <a:cxn ang="0">
              <a:pos x="connsiteX10531" y="connsiteY10531"/>
            </a:cxn>
            <a:cxn ang="0">
              <a:pos x="connsiteX10532" y="connsiteY10532"/>
            </a:cxn>
            <a:cxn ang="0">
              <a:pos x="connsiteX10533" y="connsiteY10533"/>
            </a:cxn>
            <a:cxn ang="0">
              <a:pos x="connsiteX10534" y="connsiteY10534"/>
            </a:cxn>
            <a:cxn ang="0">
              <a:pos x="connsiteX10535" y="connsiteY10535"/>
            </a:cxn>
            <a:cxn ang="0">
              <a:pos x="connsiteX10536" y="connsiteY10536"/>
            </a:cxn>
            <a:cxn ang="0">
              <a:pos x="connsiteX10537" y="connsiteY10537"/>
            </a:cxn>
            <a:cxn ang="0">
              <a:pos x="connsiteX10538" y="connsiteY10538"/>
            </a:cxn>
            <a:cxn ang="0">
              <a:pos x="connsiteX10539" y="connsiteY10539"/>
            </a:cxn>
            <a:cxn ang="0">
              <a:pos x="connsiteX10540" y="connsiteY10540"/>
            </a:cxn>
            <a:cxn ang="0">
              <a:pos x="connsiteX10541" y="connsiteY10541"/>
            </a:cxn>
            <a:cxn ang="0">
              <a:pos x="connsiteX10542" y="connsiteY10542"/>
            </a:cxn>
            <a:cxn ang="0">
              <a:pos x="connsiteX10543" y="connsiteY10543"/>
            </a:cxn>
            <a:cxn ang="0">
              <a:pos x="connsiteX10544" y="connsiteY10544"/>
            </a:cxn>
            <a:cxn ang="0">
              <a:pos x="connsiteX10545" y="connsiteY10545"/>
            </a:cxn>
            <a:cxn ang="0">
              <a:pos x="connsiteX10546" y="connsiteY10546"/>
            </a:cxn>
            <a:cxn ang="0">
              <a:pos x="connsiteX10547" y="connsiteY10547"/>
            </a:cxn>
            <a:cxn ang="0">
              <a:pos x="connsiteX10548" y="connsiteY10548"/>
            </a:cxn>
            <a:cxn ang="0">
              <a:pos x="connsiteX10549" y="connsiteY10549"/>
            </a:cxn>
            <a:cxn ang="0">
              <a:pos x="connsiteX10550" y="connsiteY10550"/>
            </a:cxn>
            <a:cxn ang="0">
              <a:pos x="connsiteX10551" y="connsiteY10551"/>
            </a:cxn>
            <a:cxn ang="0">
              <a:pos x="connsiteX10552" y="connsiteY10552"/>
            </a:cxn>
            <a:cxn ang="0">
              <a:pos x="connsiteX10553" y="connsiteY10553"/>
            </a:cxn>
            <a:cxn ang="0">
              <a:pos x="connsiteX10554" y="connsiteY10554"/>
            </a:cxn>
            <a:cxn ang="0">
              <a:pos x="connsiteX10555" y="connsiteY10555"/>
            </a:cxn>
            <a:cxn ang="0">
              <a:pos x="connsiteX10556" y="connsiteY10556"/>
            </a:cxn>
            <a:cxn ang="0">
              <a:pos x="connsiteX10557" y="connsiteY10557"/>
            </a:cxn>
            <a:cxn ang="0">
              <a:pos x="connsiteX10558" y="connsiteY10558"/>
            </a:cxn>
            <a:cxn ang="0">
              <a:pos x="connsiteX10559" y="connsiteY10559"/>
            </a:cxn>
            <a:cxn ang="0">
              <a:pos x="connsiteX10560" y="connsiteY10560"/>
            </a:cxn>
            <a:cxn ang="0">
              <a:pos x="connsiteX10561" y="connsiteY10561"/>
            </a:cxn>
            <a:cxn ang="0">
              <a:pos x="connsiteX10562" y="connsiteY10562"/>
            </a:cxn>
            <a:cxn ang="0">
              <a:pos x="connsiteX10563" y="connsiteY10563"/>
            </a:cxn>
            <a:cxn ang="0">
              <a:pos x="connsiteX10564" y="connsiteY10564"/>
            </a:cxn>
            <a:cxn ang="0">
              <a:pos x="connsiteX10565" y="connsiteY10565"/>
            </a:cxn>
            <a:cxn ang="0">
              <a:pos x="connsiteX10566" y="connsiteY10566"/>
            </a:cxn>
            <a:cxn ang="0">
              <a:pos x="connsiteX10567" y="connsiteY10567"/>
            </a:cxn>
            <a:cxn ang="0">
              <a:pos x="connsiteX10568" y="connsiteY10568"/>
            </a:cxn>
            <a:cxn ang="0">
              <a:pos x="connsiteX10569" y="connsiteY10569"/>
            </a:cxn>
            <a:cxn ang="0">
              <a:pos x="connsiteX10570" y="connsiteY10570"/>
            </a:cxn>
            <a:cxn ang="0">
              <a:pos x="connsiteX10571" y="connsiteY10571"/>
            </a:cxn>
            <a:cxn ang="0">
              <a:pos x="connsiteX10572" y="connsiteY10572"/>
            </a:cxn>
            <a:cxn ang="0">
              <a:pos x="connsiteX10573" y="connsiteY10573"/>
            </a:cxn>
            <a:cxn ang="0">
              <a:pos x="connsiteX10574" y="connsiteY10574"/>
            </a:cxn>
            <a:cxn ang="0">
              <a:pos x="connsiteX10575" y="connsiteY10575"/>
            </a:cxn>
            <a:cxn ang="0">
              <a:pos x="connsiteX10576" y="connsiteY10576"/>
            </a:cxn>
            <a:cxn ang="0">
              <a:pos x="connsiteX10577" y="connsiteY10577"/>
            </a:cxn>
            <a:cxn ang="0">
              <a:pos x="connsiteX10578" y="connsiteY10578"/>
            </a:cxn>
            <a:cxn ang="0">
              <a:pos x="connsiteX10579" y="connsiteY10579"/>
            </a:cxn>
            <a:cxn ang="0">
              <a:pos x="connsiteX10580" y="connsiteY10580"/>
            </a:cxn>
            <a:cxn ang="0">
              <a:pos x="connsiteX10581" y="connsiteY10581"/>
            </a:cxn>
            <a:cxn ang="0">
              <a:pos x="connsiteX10582" y="connsiteY10582"/>
            </a:cxn>
            <a:cxn ang="0">
              <a:pos x="connsiteX10583" y="connsiteY10583"/>
            </a:cxn>
            <a:cxn ang="0">
              <a:pos x="connsiteX10584" y="connsiteY10584"/>
            </a:cxn>
            <a:cxn ang="0">
              <a:pos x="connsiteX10585" y="connsiteY10585"/>
            </a:cxn>
            <a:cxn ang="0">
              <a:pos x="connsiteX10586" y="connsiteY10586"/>
            </a:cxn>
            <a:cxn ang="0">
              <a:pos x="connsiteX10587" y="connsiteY10587"/>
            </a:cxn>
            <a:cxn ang="0">
              <a:pos x="connsiteX10588" y="connsiteY10588"/>
            </a:cxn>
            <a:cxn ang="0">
              <a:pos x="connsiteX10589" y="connsiteY10589"/>
            </a:cxn>
            <a:cxn ang="0">
              <a:pos x="connsiteX10590" y="connsiteY10590"/>
            </a:cxn>
            <a:cxn ang="0">
              <a:pos x="connsiteX10591" y="connsiteY10591"/>
            </a:cxn>
            <a:cxn ang="0">
              <a:pos x="connsiteX10592" y="connsiteY10592"/>
            </a:cxn>
            <a:cxn ang="0">
              <a:pos x="connsiteX10593" y="connsiteY10593"/>
            </a:cxn>
            <a:cxn ang="0">
              <a:pos x="connsiteX10594" y="connsiteY10594"/>
            </a:cxn>
            <a:cxn ang="0">
              <a:pos x="connsiteX10595" y="connsiteY10595"/>
            </a:cxn>
            <a:cxn ang="0">
              <a:pos x="connsiteX10596" y="connsiteY10596"/>
            </a:cxn>
            <a:cxn ang="0">
              <a:pos x="connsiteX10597" y="connsiteY10597"/>
            </a:cxn>
            <a:cxn ang="0">
              <a:pos x="connsiteX10598" y="connsiteY10598"/>
            </a:cxn>
            <a:cxn ang="0">
              <a:pos x="connsiteX10599" y="connsiteY10599"/>
            </a:cxn>
            <a:cxn ang="0">
              <a:pos x="connsiteX10600" y="connsiteY10600"/>
            </a:cxn>
            <a:cxn ang="0">
              <a:pos x="connsiteX10601" y="connsiteY10601"/>
            </a:cxn>
            <a:cxn ang="0">
              <a:pos x="connsiteX10602" y="connsiteY10602"/>
            </a:cxn>
            <a:cxn ang="0">
              <a:pos x="connsiteX10603" y="connsiteY10603"/>
            </a:cxn>
            <a:cxn ang="0">
              <a:pos x="connsiteX10604" y="connsiteY10604"/>
            </a:cxn>
            <a:cxn ang="0">
              <a:pos x="connsiteX10605" y="connsiteY10605"/>
            </a:cxn>
            <a:cxn ang="0">
              <a:pos x="connsiteX10606" y="connsiteY10606"/>
            </a:cxn>
            <a:cxn ang="0">
              <a:pos x="connsiteX10607" y="connsiteY10607"/>
            </a:cxn>
            <a:cxn ang="0">
              <a:pos x="connsiteX10608" y="connsiteY10608"/>
            </a:cxn>
            <a:cxn ang="0">
              <a:pos x="connsiteX10609" y="connsiteY10609"/>
            </a:cxn>
            <a:cxn ang="0">
              <a:pos x="connsiteX10610" y="connsiteY10610"/>
            </a:cxn>
            <a:cxn ang="0">
              <a:pos x="connsiteX10611" y="connsiteY10611"/>
            </a:cxn>
            <a:cxn ang="0">
              <a:pos x="connsiteX10612" y="connsiteY10612"/>
            </a:cxn>
            <a:cxn ang="0">
              <a:pos x="connsiteX10613" y="connsiteY10613"/>
            </a:cxn>
            <a:cxn ang="0">
              <a:pos x="connsiteX10614" y="connsiteY10614"/>
            </a:cxn>
            <a:cxn ang="0">
              <a:pos x="connsiteX10615" y="connsiteY10615"/>
            </a:cxn>
            <a:cxn ang="0">
              <a:pos x="connsiteX10616" y="connsiteY10616"/>
            </a:cxn>
            <a:cxn ang="0">
              <a:pos x="connsiteX10617" y="connsiteY10617"/>
            </a:cxn>
            <a:cxn ang="0">
              <a:pos x="connsiteX10618" y="connsiteY10618"/>
            </a:cxn>
            <a:cxn ang="0">
              <a:pos x="connsiteX10619" y="connsiteY10619"/>
            </a:cxn>
            <a:cxn ang="0">
              <a:pos x="connsiteX10620" y="connsiteY10620"/>
            </a:cxn>
            <a:cxn ang="0">
              <a:pos x="connsiteX10621" y="connsiteY10621"/>
            </a:cxn>
            <a:cxn ang="0">
              <a:pos x="connsiteX10622" y="connsiteY10622"/>
            </a:cxn>
            <a:cxn ang="0">
              <a:pos x="connsiteX10623" y="connsiteY10623"/>
            </a:cxn>
            <a:cxn ang="0">
              <a:pos x="connsiteX10624" y="connsiteY10624"/>
            </a:cxn>
            <a:cxn ang="0">
              <a:pos x="connsiteX10625" y="connsiteY10625"/>
            </a:cxn>
            <a:cxn ang="0">
              <a:pos x="connsiteX10626" y="connsiteY10626"/>
            </a:cxn>
            <a:cxn ang="0">
              <a:pos x="connsiteX10627" y="connsiteY10627"/>
            </a:cxn>
            <a:cxn ang="0">
              <a:pos x="connsiteX10628" y="connsiteY10628"/>
            </a:cxn>
            <a:cxn ang="0">
              <a:pos x="connsiteX10629" y="connsiteY10629"/>
            </a:cxn>
            <a:cxn ang="0">
              <a:pos x="connsiteX10630" y="connsiteY10630"/>
            </a:cxn>
            <a:cxn ang="0">
              <a:pos x="connsiteX10631" y="connsiteY10631"/>
            </a:cxn>
            <a:cxn ang="0">
              <a:pos x="connsiteX10632" y="connsiteY10632"/>
            </a:cxn>
            <a:cxn ang="0">
              <a:pos x="connsiteX10633" y="connsiteY10633"/>
            </a:cxn>
            <a:cxn ang="0">
              <a:pos x="connsiteX10634" y="connsiteY10634"/>
            </a:cxn>
            <a:cxn ang="0">
              <a:pos x="connsiteX10635" y="connsiteY10635"/>
            </a:cxn>
            <a:cxn ang="0">
              <a:pos x="connsiteX10636" y="connsiteY10636"/>
            </a:cxn>
            <a:cxn ang="0">
              <a:pos x="connsiteX10637" y="connsiteY10637"/>
            </a:cxn>
            <a:cxn ang="0">
              <a:pos x="connsiteX10638" y="connsiteY10638"/>
            </a:cxn>
            <a:cxn ang="0">
              <a:pos x="connsiteX10639" y="connsiteY10639"/>
            </a:cxn>
            <a:cxn ang="0">
              <a:pos x="connsiteX10640" y="connsiteY10640"/>
            </a:cxn>
            <a:cxn ang="0">
              <a:pos x="connsiteX10641" y="connsiteY10641"/>
            </a:cxn>
            <a:cxn ang="0">
              <a:pos x="connsiteX10642" y="connsiteY10642"/>
            </a:cxn>
            <a:cxn ang="0">
              <a:pos x="connsiteX10643" y="connsiteY10643"/>
            </a:cxn>
            <a:cxn ang="0">
              <a:pos x="connsiteX10644" y="connsiteY10644"/>
            </a:cxn>
            <a:cxn ang="0">
              <a:pos x="connsiteX10645" y="connsiteY10645"/>
            </a:cxn>
            <a:cxn ang="0">
              <a:pos x="connsiteX10646" y="connsiteY10646"/>
            </a:cxn>
            <a:cxn ang="0">
              <a:pos x="connsiteX10647" y="connsiteY10647"/>
            </a:cxn>
            <a:cxn ang="0">
              <a:pos x="connsiteX10648" y="connsiteY10648"/>
            </a:cxn>
            <a:cxn ang="0">
              <a:pos x="connsiteX10649" y="connsiteY10649"/>
            </a:cxn>
            <a:cxn ang="0">
              <a:pos x="connsiteX10650" y="connsiteY10650"/>
            </a:cxn>
            <a:cxn ang="0">
              <a:pos x="connsiteX10651" y="connsiteY10651"/>
            </a:cxn>
            <a:cxn ang="0">
              <a:pos x="connsiteX10652" y="connsiteY10652"/>
            </a:cxn>
            <a:cxn ang="0">
              <a:pos x="connsiteX10653" y="connsiteY10653"/>
            </a:cxn>
            <a:cxn ang="0">
              <a:pos x="connsiteX10654" y="connsiteY10654"/>
            </a:cxn>
            <a:cxn ang="0">
              <a:pos x="connsiteX10655" y="connsiteY10655"/>
            </a:cxn>
            <a:cxn ang="0">
              <a:pos x="connsiteX10656" y="connsiteY10656"/>
            </a:cxn>
            <a:cxn ang="0">
              <a:pos x="connsiteX10657" y="connsiteY10657"/>
            </a:cxn>
            <a:cxn ang="0">
              <a:pos x="connsiteX10658" y="connsiteY10658"/>
            </a:cxn>
            <a:cxn ang="0">
              <a:pos x="connsiteX10659" y="connsiteY10659"/>
            </a:cxn>
            <a:cxn ang="0">
              <a:pos x="connsiteX10660" y="connsiteY10660"/>
            </a:cxn>
            <a:cxn ang="0">
              <a:pos x="connsiteX10661" y="connsiteY10661"/>
            </a:cxn>
            <a:cxn ang="0">
              <a:pos x="connsiteX10662" y="connsiteY10662"/>
            </a:cxn>
            <a:cxn ang="0">
              <a:pos x="connsiteX10663" y="connsiteY10663"/>
            </a:cxn>
            <a:cxn ang="0">
              <a:pos x="connsiteX10664" y="connsiteY10664"/>
            </a:cxn>
            <a:cxn ang="0">
              <a:pos x="connsiteX10665" y="connsiteY10665"/>
            </a:cxn>
            <a:cxn ang="0">
              <a:pos x="connsiteX10666" y="connsiteY10666"/>
            </a:cxn>
            <a:cxn ang="0">
              <a:pos x="connsiteX10667" y="connsiteY10667"/>
            </a:cxn>
            <a:cxn ang="0">
              <a:pos x="connsiteX10668" y="connsiteY10668"/>
            </a:cxn>
            <a:cxn ang="0">
              <a:pos x="connsiteX10669" y="connsiteY10669"/>
            </a:cxn>
            <a:cxn ang="0">
              <a:pos x="connsiteX10670" y="connsiteY10670"/>
            </a:cxn>
            <a:cxn ang="0">
              <a:pos x="connsiteX10671" y="connsiteY10671"/>
            </a:cxn>
            <a:cxn ang="0">
              <a:pos x="connsiteX10672" y="connsiteY10672"/>
            </a:cxn>
            <a:cxn ang="0">
              <a:pos x="connsiteX10673" y="connsiteY10673"/>
            </a:cxn>
            <a:cxn ang="0">
              <a:pos x="connsiteX10674" y="connsiteY10674"/>
            </a:cxn>
            <a:cxn ang="0">
              <a:pos x="connsiteX10675" y="connsiteY10675"/>
            </a:cxn>
            <a:cxn ang="0">
              <a:pos x="connsiteX10676" y="connsiteY10676"/>
            </a:cxn>
            <a:cxn ang="0">
              <a:pos x="connsiteX10677" y="connsiteY10677"/>
            </a:cxn>
            <a:cxn ang="0">
              <a:pos x="connsiteX10678" y="connsiteY10678"/>
            </a:cxn>
            <a:cxn ang="0">
              <a:pos x="connsiteX10679" y="connsiteY10679"/>
            </a:cxn>
            <a:cxn ang="0">
              <a:pos x="connsiteX10680" y="connsiteY10680"/>
            </a:cxn>
            <a:cxn ang="0">
              <a:pos x="connsiteX10681" y="connsiteY10681"/>
            </a:cxn>
            <a:cxn ang="0">
              <a:pos x="connsiteX10682" y="connsiteY10682"/>
            </a:cxn>
            <a:cxn ang="0">
              <a:pos x="connsiteX10683" y="connsiteY10683"/>
            </a:cxn>
            <a:cxn ang="0">
              <a:pos x="connsiteX10684" y="connsiteY10684"/>
            </a:cxn>
            <a:cxn ang="0">
              <a:pos x="connsiteX10685" y="connsiteY10685"/>
            </a:cxn>
            <a:cxn ang="0">
              <a:pos x="connsiteX10686" y="connsiteY10686"/>
            </a:cxn>
            <a:cxn ang="0">
              <a:pos x="connsiteX10687" y="connsiteY10687"/>
            </a:cxn>
            <a:cxn ang="0">
              <a:pos x="connsiteX10688" y="connsiteY10688"/>
            </a:cxn>
            <a:cxn ang="0">
              <a:pos x="connsiteX10689" y="connsiteY10689"/>
            </a:cxn>
            <a:cxn ang="0">
              <a:pos x="connsiteX10690" y="connsiteY10690"/>
            </a:cxn>
            <a:cxn ang="0">
              <a:pos x="connsiteX10691" y="connsiteY10691"/>
            </a:cxn>
            <a:cxn ang="0">
              <a:pos x="connsiteX10692" y="connsiteY10692"/>
            </a:cxn>
            <a:cxn ang="0">
              <a:pos x="connsiteX10693" y="connsiteY10693"/>
            </a:cxn>
            <a:cxn ang="0">
              <a:pos x="connsiteX10694" y="connsiteY10694"/>
            </a:cxn>
            <a:cxn ang="0">
              <a:pos x="connsiteX10695" y="connsiteY10695"/>
            </a:cxn>
            <a:cxn ang="0">
              <a:pos x="connsiteX10696" y="connsiteY10696"/>
            </a:cxn>
            <a:cxn ang="0">
              <a:pos x="connsiteX10697" y="connsiteY10697"/>
            </a:cxn>
            <a:cxn ang="0">
              <a:pos x="connsiteX10698" y="connsiteY10698"/>
            </a:cxn>
            <a:cxn ang="0">
              <a:pos x="connsiteX10699" y="connsiteY10699"/>
            </a:cxn>
            <a:cxn ang="0">
              <a:pos x="connsiteX10700" y="connsiteY10700"/>
            </a:cxn>
            <a:cxn ang="0">
              <a:pos x="connsiteX10701" y="connsiteY10701"/>
            </a:cxn>
            <a:cxn ang="0">
              <a:pos x="connsiteX10702" y="connsiteY10702"/>
            </a:cxn>
            <a:cxn ang="0">
              <a:pos x="connsiteX10703" y="connsiteY10703"/>
            </a:cxn>
            <a:cxn ang="0">
              <a:pos x="connsiteX10704" y="connsiteY10704"/>
            </a:cxn>
            <a:cxn ang="0">
              <a:pos x="connsiteX10705" y="connsiteY10705"/>
            </a:cxn>
            <a:cxn ang="0">
              <a:pos x="connsiteX10706" y="connsiteY10706"/>
            </a:cxn>
            <a:cxn ang="0">
              <a:pos x="connsiteX10707" y="connsiteY10707"/>
            </a:cxn>
            <a:cxn ang="0">
              <a:pos x="connsiteX10708" y="connsiteY10708"/>
            </a:cxn>
            <a:cxn ang="0">
              <a:pos x="connsiteX10709" y="connsiteY10709"/>
            </a:cxn>
            <a:cxn ang="0">
              <a:pos x="connsiteX10710" y="connsiteY10710"/>
            </a:cxn>
            <a:cxn ang="0">
              <a:pos x="connsiteX10711" y="connsiteY10711"/>
            </a:cxn>
            <a:cxn ang="0">
              <a:pos x="connsiteX10712" y="connsiteY10712"/>
            </a:cxn>
            <a:cxn ang="0">
              <a:pos x="connsiteX10713" y="connsiteY10713"/>
            </a:cxn>
            <a:cxn ang="0">
              <a:pos x="connsiteX10714" y="connsiteY10714"/>
            </a:cxn>
            <a:cxn ang="0">
              <a:pos x="connsiteX10715" y="connsiteY10715"/>
            </a:cxn>
            <a:cxn ang="0">
              <a:pos x="connsiteX10716" y="connsiteY10716"/>
            </a:cxn>
            <a:cxn ang="0">
              <a:pos x="connsiteX10717" y="connsiteY10717"/>
            </a:cxn>
            <a:cxn ang="0">
              <a:pos x="connsiteX10718" y="connsiteY10718"/>
            </a:cxn>
            <a:cxn ang="0">
              <a:pos x="connsiteX10719" y="connsiteY10719"/>
            </a:cxn>
            <a:cxn ang="0">
              <a:pos x="connsiteX10720" y="connsiteY10720"/>
            </a:cxn>
            <a:cxn ang="0">
              <a:pos x="connsiteX10721" y="connsiteY10721"/>
            </a:cxn>
            <a:cxn ang="0">
              <a:pos x="connsiteX10722" y="connsiteY10722"/>
            </a:cxn>
            <a:cxn ang="0">
              <a:pos x="connsiteX10723" y="connsiteY10723"/>
            </a:cxn>
            <a:cxn ang="0">
              <a:pos x="connsiteX10724" y="connsiteY10724"/>
            </a:cxn>
            <a:cxn ang="0">
              <a:pos x="connsiteX10725" y="connsiteY10725"/>
            </a:cxn>
            <a:cxn ang="0">
              <a:pos x="connsiteX10726" y="connsiteY10726"/>
            </a:cxn>
            <a:cxn ang="0">
              <a:pos x="connsiteX10727" y="connsiteY10727"/>
            </a:cxn>
            <a:cxn ang="0">
              <a:pos x="connsiteX10728" y="connsiteY10728"/>
            </a:cxn>
            <a:cxn ang="0">
              <a:pos x="connsiteX10729" y="connsiteY10729"/>
            </a:cxn>
            <a:cxn ang="0">
              <a:pos x="connsiteX10730" y="connsiteY10730"/>
            </a:cxn>
            <a:cxn ang="0">
              <a:pos x="connsiteX10731" y="connsiteY10731"/>
            </a:cxn>
            <a:cxn ang="0">
              <a:pos x="connsiteX10732" y="connsiteY10732"/>
            </a:cxn>
            <a:cxn ang="0">
              <a:pos x="connsiteX10733" y="connsiteY10733"/>
            </a:cxn>
            <a:cxn ang="0">
              <a:pos x="connsiteX10734" y="connsiteY10734"/>
            </a:cxn>
            <a:cxn ang="0">
              <a:pos x="connsiteX10735" y="connsiteY10735"/>
            </a:cxn>
            <a:cxn ang="0">
              <a:pos x="connsiteX10736" y="connsiteY10736"/>
            </a:cxn>
            <a:cxn ang="0">
              <a:pos x="connsiteX10737" y="connsiteY10737"/>
            </a:cxn>
            <a:cxn ang="0">
              <a:pos x="connsiteX10738" y="connsiteY10738"/>
            </a:cxn>
            <a:cxn ang="0">
              <a:pos x="connsiteX10739" y="connsiteY10739"/>
            </a:cxn>
            <a:cxn ang="0">
              <a:pos x="connsiteX10740" y="connsiteY10740"/>
            </a:cxn>
            <a:cxn ang="0">
              <a:pos x="connsiteX10741" y="connsiteY10741"/>
            </a:cxn>
            <a:cxn ang="0">
              <a:pos x="connsiteX10742" y="connsiteY10742"/>
            </a:cxn>
            <a:cxn ang="0">
              <a:pos x="connsiteX10743" y="connsiteY10743"/>
            </a:cxn>
            <a:cxn ang="0">
              <a:pos x="connsiteX10744" y="connsiteY10744"/>
            </a:cxn>
            <a:cxn ang="0">
              <a:pos x="connsiteX10745" y="connsiteY10745"/>
            </a:cxn>
            <a:cxn ang="0">
              <a:pos x="connsiteX10746" y="connsiteY10746"/>
            </a:cxn>
            <a:cxn ang="0">
              <a:pos x="connsiteX10747" y="connsiteY10747"/>
            </a:cxn>
            <a:cxn ang="0">
              <a:pos x="connsiteX10748" y="connsiteY10748"/>
            </a:cxn>
            <a:cxn ang="0">
              <a:pos x="connsiteX10749" y="connsiteY10749"/>
            </a:cxn>
            <a:cxn ang="0">
              <a:pos x="connsiteX10750" y="connsiteY10750"/>
            </a:cxn>
            <a:cxn ang="0">
              <a:pos x="connsiteX10751" y="connsiteY10751"/>
            </a:cxn>
            <a:cxn ang="0">
              <a:pos x="connsiteX10752" y="connsiteY10752"/>
            </a:cxn>
            <a:cxn ang="0">
              <a:pos x="connsiteX10753" y="connsiteY10753"/>
            </a:cxn>
            <a:cxn ang="0">
              <a:pos x="connsiteX10754" y="connsiteY10754"/>
            </a:cxn>
            <a:cxn ang="0">
              <a:pos x="connsiteX10755" y="connsiteY10755"/>
            </a:cxn>
            <a:cxn ang="0">
              <a:pos x="connsiteX10756" y="connsiteY10756"/>
            </a:cxn>
            <a:cxn ang="0">
              <a:pos x="connsiteX10757" y="connsiteY10757"/>
            </a:cxn>
            <a:cxn ang="0">
              <a:pos x="connsiteX10758" y="connsiteY10758"/>
            </a:cxn>
            <a:cxn ang="0">
              <a:pos x="connsiteX10759" y="connsiteY10759"/>
            </a:cxn>
            <a:cxn ang="0">
              <a:pos x="connsiteX10760" y="connsiteY10760"/>
            </a:cxn>
            <a:cxn ang="0">
              <a:pos x="connsiteX10761" y="connsiteY10761"/>
            </a:cxn>
            <a:cxn ang="0">
              <a:pos x="connsiteX10762" y="connsiteY10762"/>
            </a:cxn>
            <a:cxn ang="0">
              <a:pos x="connsiteX10763" y="connsiteY10763"/>
            </a:cxn>
            <a:cxn ang="0">
              <a:pos x="connsiteX10764" y="connsiteY10764"/>
            </a:cxn>
            <a:cxn ang="0">
              <a:pos x="connsiteX10765" y="connsiteY10765"/>
            </a:cxn>
            <a:cxn ang="0">
              <a:pos x="connsiteX10766" y="connsiteY10766"/>
            </a:cxn>
            <a:cxn ang="0">
              <a:pos x="connsiteX10767" y="connsiteY10767"/>
            </a:cxn>
            <a:cxn ang="0">
              <a:pos x="connsiteX10768" y="connsiteY10768"/>
            </a:cxn>
            <a:cxn ang="0">
              <a:pos x="connsiteX10769" y="connsiteY10769"/>
            </a:cxn>
            <a:cxn ang="0">
              <a:pos x="connsiteX10770" y="connsiteY10770"/>
            </a:cxn>
            <a:cxn ang="0">
              <a:pos x="connsiteX10771" y="connsiteY10771"/>
            </a:cxn>
            <a:cxn ang="0">
              <a:pos x="connsiteX10772" y="connsiteY10772"/>
            </a:cxn>
            <a:cxn ang="0">
              <a:pos x="connsiteX10773" y="connsiteY10773"/>
            </a:cxn>
            <a:cxn ang="0">
              <a:pos x="connsiteX10774" y="connsiteY10774"/>
            </a:cxn>
            <a:cxn ang="0">
              <a:pos x="connsiteX10775" y="connsiteY10775"/>
            </a:cxn>
            <a:cxn ang="0">
              <a:pos x="connsiteX10776" y="connsiteY10776"/>
            </a:cxn>
            <a:cxn ang="0">
              <a:pos x="connsiteX10777" y="connsiteY10777"/>
            </a:cxn>
            <a:cxn ang="0">
              <a:pos x="connsiteX10778" y="connsiteY10778"/>
            </a:cxn>
            <a:cxn ang="0">
              <a:pos x="connsiteX10779" y="connsiteY10779"/>
            </a:cxn>
            <a:cxn ang="0">
              <a:pos x="connsiteX10780" y="connsiteY10780"/>
            </a:cxn>
            <a:cxn ang="0">
              <a:pos x="connsiteX10781" y="connsiteY10781"/>
            </a:cxn>
            <a:cxn ang="0">
              <a:pos x="connsiteX10782" y="connsiteY10782"/>
            </a:cxn>
            <a:cxn ang="0">
              <a:pos x="connsiteX10783" y="connsiteY10783"/>
            </a:cxn>
            <a:cxn ang="0">
              <a:pos x="connsiteX10784" y="connsiteY10784"/>
            </a:cxn>
            <a:cxn ang="0">
              <a:pos x="connsiteX10785" y="connsiteY10785"/>
            </a:cxn>
            <a:cxn ang="0">
              <a:pos x="connsiteX10786" y="connsiteY10786"/>
            </a:cxn>
            <a:cxn ang="0">
              <a:pos x="connsiteX10787" y="connsiteY10787"/>
            </a:cxn>
            <a:cxn ang="0">
              <a:pos x="connsiteX10788" y="connsiteY10788"/>
            </a:cxn>
            <a:cxn ang="0">
              <a:pos x="connsiteX10789" y="connsiteY10789"/>
            </a:cxn>
            <a:cxn ang="0">
              <a:pos x="connsiteX10790" y="connsiteY10790"/>
            </a:cxn>
            <a:cxn ang="0">
              <a:pos x="connsiteX10791" y="connsiteY10791"/>
            </a:cxn>
            <a:cxn ang="0">
              <a:pos x="connsiteX10792" y="connsiteY10792"/>
            </a:cxn>
            <a:cxn ang="0">
              <a:pos x="connsiteX10793" y="connsiteY10793"/>
            </a:cxn>
            <a:cxn ang="0">
              <a:pos x="connsiteX10794" y="connsiteY10794"/>
            </a:cxn>
            <a:cxn ang="0">
              <a:pos x="connsiteX10795" y="connsiteY10795"/>
            </a:cxn>
            <a:cxn ang="0">
              <a:pos x="connsiteX10796" y="connsiteY10796"/>
            </a:cxn>
            <a:cxn ang="0">
              <a:pos x="connsiteX10797" y="connsiteY10797"/>
            </a:cxn>
            <a:cxn ang="0">
              <a:pos x="connsiteX10798" y="connsiteY10798"/>
            </a:cxn>
            <a:cxn ang="0">
              <a:pos x="connsiteX10799" y="connsiteY10799"/>
            </a:cxn>
            <a:cxn ang="0">
              <a:pos x="connsiteX10800" y="connsiteY10800"/>
            </a:cxn>
            <a:cxn ang="0">
              <a:pos x="connsiteX10801" y="connsiteY10801"/>
            </a:cxn>
            <a:cxn ang="0">
              <a:pos x="connsiteX10802" y="connsiteY10802"/>
            </a:cxn>
            <a:cxn ang="0">
              <a:pos x="connsiteX10803" y="connsiteY10803"/>
            </a:cxn>
            <a:cxn ang="0">
              <a:pos x="connsiteX10804" y="connsiteY10804"/>
            </a:cxn>
            <a:cxn ang="0">
              <a:pos x="connsiteX10805" y="connsiteY10805"/>
            </a:cxn>
            <a:cxn ang="0">
              <a:pos x="connsiteX10806" y="connsiteY10806"/>
            </a:cxn>
            <a:cxn ang="0">
              <a:pos x="connsiteX10807" y="connsiteY10807"/>
            </a:cxn>
            <a:cxn ang="0">
              <a:pos x="connsiteX10808" y="connsiteY10808"/>
            </a:cxn>
            <a:cxn ang="0">
              <a:pos x="connsiteX10809" y="connsiteY10809"/>
            </a:cxn>
            <a:cxn ang="0">
              <a:pos x="connsiteX10810" y="connsiteY10810"/>
            </a:cxn>
            <a:cxn ang="0">
              <a:pos x="connsiteX10811" y="connsiteY10811"/>
            </a:cxn>
            <a:cxn ang="0">
              <a:pos x="connsiteX10812" y="connsiteY10812"/>
            </a:cxn>
            <a:cxn ang="0">
              <a:pos x="connsiteX10813" y="connsiteY10813"/>
            </a:cxn>
            <a:cxn ang="0">
              <a:pos x="connsiteX10814" y="connsiteY10814"/>
            </a:cxn>
            <a:cxn ang="0">
              <a:pos x="connsiteX10815" y="connsiteY10815"/>
            </a:cxn>
            <a:cxn ang="0">
              <a:pos x="connsiteX10816" y="connsiteY10816"/>
            </a:cxn>
            <a:cxn ang="0">
              <a:pos x="connsiteX10817" y="connsiteY10817"/>
            </a:cxn>
            <a:cxn ang="0">
              <a:pos x="connsiteX10818" y="connsiteY10818"/>
            </a:cxn>
            <a:cxn ang="0">
              <a:pos x="connsiteX10819" y="connsiteY10819"/>
            </a:cxn>
            <a:cxn ang="0">
              <a:pos x="connsiteX10820" y="connsiteY10820"/>
            </a:cxn>
            <a:cxn ang="0">
              <a:pos x="connsiteX10821" y="connsiteY10821"/>
            </a:cxn>
            <a:cxn ang="0">
              <a:pos x="connsiteX10822" y="connsiteY10822"/>
            </a:cxn>
            <a:cxn ang="0">
              <a:pos x="connsiteX10823" y="connsiteY10823"/>
            </a:cxn>
            <a:cxn ang="0">
              <a:pos x="connsiteX10824" y="connsiteY10824"/>
            </a:cxn>
            <a:cxn ang="0">
              <a:pos x="connsiteX10825" y="connsiteY10825"/>
            </a:cxn>
            <a:cxn ang="0">
              <a:pos x="connsiteX10826" y="connsiteY10826"/>
            </a:cxn>
            <a:cxn ang="0">
              <a:pos x="connsiteX10827" y="connsiteY10827"/>
            </a:cxn>
            <a:cxn ang="0">
              <a:pos x="connsiteX10828" y="connsiteY10828"/>
            </a:cxn>
            <a:cxn ang="0">
              <a:pos x="connsiteX10829" y="connsiteY10829"/>
            </a:cxn>
            <a:cxn ang="0">
              <a:pos x="connsiteX10830" y="connsiteY10830"/>
            </a:cxn>
            <a:cxn ang="0">
              <a:pos x="connsiteX10831" y="connsiteY10831"/>
            </a:cxn>
            <a:cxn ang="0">
              <a:pos x="connsiteX10832" y="connsiteY10832"/>
            </a:cxn>
            <a:cxn ang="0">
              <a:pos x="connsiteX10833" y="connsiteY10833"/>
            </a:cxn>
            <a:cxn ang="0">
              <a:pos x="connsiteX10834" y="connsiteY10834"/>
            </a:cxn>
            <a:cxn ang="0">
              <a:pos x="connsiteX10835" y="connsiteY10835"/>
            </a:cxn>
            <a:cxn ang="0">
              <a:pos x="connsiteX10836" y="connsiteY10836"/>
            </a:cxn>
            <a:cxn ang="0">
              <a:pos x="connsiteX10837" y="connsiteY10837"/>
            </a:cxn>
            <a:cxn ang="0">
              <a:pos x="connsiteX10838" y="connsiteY10838"/>
            </a:cxn>
            <a:cxn ang="0">
              <a:pos x="connsiteX10839" y="connsiteY10839"/>
            </a:cxn>
            <a:cxn ang="0">
              <a:pos x="connsiteX10840" y="connsiteY10840"/>
            </a:cxn>
            <a:cxn ang="0">
              <a:pos x="connsiteX10841" y="connsiteY10841"/>
            </a:cxn>
            <a:cxn ang="0">
              <a:pos x="connsiteX10842" y="connsiteY10842"/>
            </a:cxn>
            <a:cxn ang="0">
              <a:pos x="connsiteX10843" y="connsiteY10843"/>
            </a:cxn>
            <a:cxn ang="0">
              <a:pos x="connsiteX10844" y="connsiteY10844"/>
            </a:cxn>
            <a:cxn ang="0">
              <a:pos x="connsiteX10845" y="connsiteY10845"/>
            </a:cxn>
            <a:cxn ang="0">
              <a:pos x="connsiteX10846" y="connsiteY10846"/>
            </a:cxn>
            <a:cxn ang="0">
              <a:pos x="connsiteX10847" y="connsiteY10847"/>
            </a:cxn>
            <a:cxn ang="0">
              <a:pos x="connsiteX10848" y="connsiteY10848"/>
            </a:cxn>
            <a:cxn ang="0">
              <a:pos x="connsiteX10849" y="connsiteY10849"/>
            </a:cxn>
            <a:cxn ang="0">
              <a:pos x="connsiteX10850" y="connsiteY10850"/>
            </a:cxn>
            <a:cxn ang="0">
              <a:pos x="connsiteX10851" y="connsiteY10851"/>
            </a:cxn>
            <a:cxn ang="0">
              <a:pos x="connsiteX10852" y="connsiteY10852"/>
            </a:cxn>
            <a:cxn ang="0">
              <a:pos x="connsiteX10853" y="connsiteY10853"/>
            </a:cxn>
            <a:cxn ang="0">
              <a:pos x="connsiteX10854" y="connsiteY10854"/>
            </a:cxn>
            <a:cxn ang="0">
              <a:pos x="connsiteX10855" y="connsiteY10855"/>
            </a:cxn>
            <a:cxn ang="0">
              <a:pos x="connsiteX10856" y="connsiteY10856"/>
            </a:cxn>
            <a:cxn ang="0">
              <a:pos x="connsiteX10857" y="connsiteY10857"/>
            </a:cxn>
            <a:cxn ang="0">
              <a:pos x="connsiteX10858" y="connsiteY10858"/>
            </a:cxn>
            <a:cxn ang="0">
              <a:pos x="connsiteX10859" y="connsiteY10859"/>
            </a:cxn>
            <a:cxn ang="0">
              <a:pos x="connsiteX10860" y="connsiteY10860"/>
            </a:cxn>
            <a:cxn ang="0">
              <a:pos x="connsiteX10861" y="connsiteY10861"/>
            </a:cxn>
            <a:cxn ang="0">
              <a:pos x="connsiteX10862" y="connsiteY10862"/>
            </a:cxn>
            <a:cxn ang="0">
              <a:pos x="connsiteX10863" y="connsiteY10863"/>
            </a:cxn>
            <a:cxn ang="0">
              <a:pos x="connsiteX10864" y="connsiteY10864"/>
            </a:cxn>
            <a:cxn ang="0">
              <a:pos x="connsiteX10865" y="connsiteY10865"/>
            </a:cxn>
            <a:cxn ang="0">
              <a:pos x="connsiteX10866" y="connsiteY10866"/>
            </a:cxn>
            <a:cxn ang="0">
              <a:pos x="connsiteX10867" y="connsiteY10867"/>
            </a:cxn>
            <a:cxn ang="0">
              <a:pos x="connsiteX10868" y="connsiteY10868"/>
            </a:cxn>
            <a:cxn ang="0">
              <a:pos x="connsiteX10869" y="connsiteY10869"/>
            </a:cxn>
            <a:cxn ang="0">
              <a:pos x="connsiteX10870" y="connsiteY10870"/>
            </a:cxn>
            <a:cxn ang="0">
              <a:pos x="connsiteX10871" y="connsiteY10871"/>
            </a:cxn>
            <a:cxn ang="0">
              <a:pos x="connsiteX10872" y="connsiteY10872"/>
            </a:cxn>
            <a:cxn ang="0">
              <a:pos x="connsiteX10873" y="connsiteY10873"/>
            </a:cxn>
            <a:cxn ang="0">
              <a:pos x="connsiteX10874" y="connsiteY10874"/>
            </a:cxn>
            <a:cxn ang="0">
              <a:pos x="connsiteX10875" y="connsiteY10875"/>
            </a:cxn>
            <a:cxn ang="0">
              <a:pos x="connsiteX10876" y="connsiteY10876"/>
            </a:cxn>
            <a:cxn ang="0">
              <a:pos x="connsiteX10877" y="connsiteY10877"/>
            </a:cxn>
            <a:cxn ang="0">
              <a:pos x="connsiteX10878" y="connsiteY10878"/>
            </a:cxn>
            <a:cxn ang="0">
              <a:pos x="connsiteX10879" y="connsiteY10879"/>
            </a:cxn>
            <a:cxn ang="0">
              <a:pos x="connsiteX10880" y="connsiteY10880"/>
            </a:cxn>
            <a:cxn ang="0">
              <a:pos x="connsiteX10881" y="connsiteY10881"/>
            </a:cxn>
            <a:cxn ang="0">
              <a:pos x="connsiteX10882" y="connsiteY10882"/>
            </a:cxn>
            <a:cxn ang="0">
              <a:pos x="connsiteX10883" y="connsiteY10883"/>
            </a:cxn>
            <a:cxn ang="0">
              <a:pos x="connsiteX10884" y="connsiteY10884"/>
            </a:cxn>
            <a:cxn ang="0">
              <a:pos x="connsiteX10885" y="connsiteY10885"/>
            </a:cxn>
            <a:cxn ang="0">
              <a:pos x="connsiteX10886" y="connsiteY10886"/>
            </a:cxn>
            <a:cxn ang="0">
              <a:pos x="connsiteX10887" y="connsiteY10887"/>
            </a:cxn>
            <a:cxn ang="0">
              <a:pos x="connsiteX10888" y="connsiteY10888"/>
            </a:cxn>
            <a:cxn ang="0">
              <a:pos x="connsiteX10889" y="connsiteY10889"/>
            </a:cxn>
            <a:cxn ang="0">
              <a:pos x="connsiteX10890" y="connsiteY10890"/>
            </a:cxn>
            <a:cxn ang="0">
              <a:pos x="connsiteX10891" y="connsiteY10891"/>
            </a:cxn>
            <a:cxn ang="0">
              <a:pos x="connsiteX10892" y="connsiteY10892"/>
            </a:cxn>
            <a:cxn ang="0">
              <a:pos x="connsiteX10893" y="connsiteY10893"/>
            </a:cxn>
            <a:cxn ang="0">
              <a:pos x="connsiteX10894" y="connsiteY10894"/>
            </a:cxn>
            <a:cxn ang="0">
              <a:pos x="connsiteX10895" y="connsiteY10895"/>
            </a:cxn>
            <a:cxn ang="0">
              <a:pos x="connsiteX10896" y="connsiteY10896"/>
            </a:cxn>
            <a:cxn ang="0">
              <a:pos x="connsiteX10897" y="connsiteY10897"/>
            </a:cxn>
            <a:cxn ang="0">
              <a:pos x="connsiteX10898" y="connsiteY10898"/>
            </a:cxn>
            <a:cxn ang="0">
              <a:pos x="connsiteX10899" y="connsiteY10899"/>
            </a:cxn>
            <a:cxn ang="0">
              <a:pos x="connsiteX10900" y="connsiteY10900"/>
            </a:cxn>
            <a:cxn ang="0">
              <a:pos x="connsiteX10901" y="connsiteY10901"/>
            </a:cxn>
            <a:cxn ang="0">
              <a:pos x="connsiteX10902" y="connsiteY10902"/>
            </a:cxn>
            <a:cxn ang="0">
              <a:pos x="connsiteX10903" y="connsiteY10903"/>
            </a:cxn>
            <a:cxn ang="0">
              <a:pos x="connsiteX10904" y="connsiteY10904"/>
            </a:cxn>
            <a:cxn ang="0">
              <a:pos x="connsiteX10905" y="connsiteY10905"/>
            </a:cxn>
            <a:cxn ang="0">
              <a:pos x="connsiteX10906" y="connsiteY10906"/>
            </a:cxn>
            <a:cxn ang="0">
              <a:pos x="connsiteX10907" y="connsiteY10907"/>
            </a:cxn>
            <a:cxn ang="0">
              <a:pos x="connsiteX10908" y="connsiteY10908"/>
            </a:cxn>
            <a:cxn ang="0">
              <a:pos x="connsiteX10909" y="connsiteY10909"/>
            </a:cxn>
            <a:cxn ang="0">
              <a:pos x="connsiteX10910" y="connsiteY10910"/>
            </a:cxn>
            <a:cxn ang="0">
              <a:pos x="connsiteX10911" y="connsiteY10911"/>
            </a:cxn>
            <a:cxn ang="0">
              <a:pos x="connsiteX10912" y="connsiteY10912"/>
            </a:cxn>
            <a:cxn ang="0">
              <a:pos x="connsiteX10913" y="connsiteY10913"/>
            </a:cxn>
            <a:cxn ang="0">
              <a:pos x="connsiteX10914" y="connsiteY10914"/>
            </a:cxn>
            <a:cxn ang="0">
              <a:pos x="connsiteX10915" y="connsiteY10915"/>
            </a:cxn>
            <a:cxn ang="0">
              <a:pos x="connsiteX10916" y="connsiteY10916"/>
            </a:cxn>
            <a:cxn ang="0">
              <a:pos x="connsiteX10917" y="connsiteY10917"/>
            </a:cxn>
            <a:cxn ang="0">
              <a:pos x="connsiteX10918" y="connsiteY10918"/>
            </a:cxn>
            <a:cxn ang="0">
              <a:pos x="connsiteX10919" y="connsiteY10919"/>
            </a:cxn>
            <a:cxn ang="0">
              <a:pos x="connsiteX10920" y="connsiteY10920"/>
            </a:cxn>
            <a:cxn ang="0">
              <a:pos x="connsiteX10921" y="connsiteY10921"/>
            </a:cxn>
            <a:cxn ang="0">
              <a:pos x="connsiteX10922" y="connsiteY10922"/>
            </a:cxn>
            <a:cxn ang="0">
              <a:pos x="connsiteX10923" y="connsiteY10923"/>
            </a:cxn>
            <a:cxn ang="0">
              <a:pos x="connsiteX10924" y="connsiteY10924"/>
            </a:cxn>
            <a:cxn ang="0">
              <a:pos x="connsiteX10925" y="connsiteY10925"/>
            </a:cxn>
            <a:cxn ang="0">
              <a:pos x="connsiteX10926" y="connsiteY10926"/>
            </a:cxn>
            <a:cxn ang="0">
              <a:pos x="connsiteX10927" y="connsiteY10927"/>
            </a:cxn>
            <a:cxn ang="0">
              <a:pos x="connsiteX10928" y="connsiteY10928"/>
            </a:cxn>
            <a:cxn ang="0">
              <a:pos x="connsiteX10929" y="connsiteY10929"/>
            </a:cxn>
            <a:cxn ang="0">
              <a:pos x="connsiteX10930" y="connsiteY10930"/>
            </a:cxn>
            <a:cxn ang="0">
              <a:pos x="connsiteX10931" y="connsiteY10931"/>
            </a:cxn>
            <a:cxn ang="0">
              <a:pos x="connsiteX10932" y="connsiteY10932"/>
            </a:cxn>
            <a:cxn ang="0">
              <a:pos x="connsiteX10933" y="connsiteY10933"/>
            </a:cxn>
            <a:cxn ang="0">
              <a:pos x="connsiteX10934" y="connsiteY10934"/>
            </a:cxn>
            <a:cxn ang="0">
              <a:pos x="connsiteX10935" y="connsiteY10935"/>
            </a:cxn>
            <a:cxn ang="0">
              <a:pos x="connsiteX10936" y="connsiteY10936"/>
            </a:cxn>
            <a:cxn ang="0">
              <a:pos x="connsiteX10937" y="connsiteY10937"/>
            </a:cxn>
            <a:cxn ang="0">
              <a:pos x="connsiteX10938" y="connsiteY10938"/>
            </a:cxn>
            <a:cxn ang="0">
              <a:pos x="connsiteX10939" y="connsiteY10939"/>
            </a:cxn>
            <a:cxn ang="0">
              <a:pos x="connsiteX10940" y="connsiteY10940"/>
            </a:cxn>
            <a:cxn ang="0">
              <a:pos x="connsiteX10941" y="connsiteY10941"/>
            </a:cxn>
            <a:cxn ang="0">
              <a:pos x="connsiteX10942" y="connsiteY10942"/>
            </a:cxn>
            <a:cxn ang="0">
              <a:pos x="connsiteX10943" y="connsiteY10943"/>
            </a:cxn>
            <a:cxn ang="0">
              <a:pos x="connsiteX10944" y="connsiteY10944"/>
            </a:cxn>
            <a:cxn ang="0">
              <a:pos x="connsiteX10945" y="connsiteY10945"/>
            </a:cxn>
            <a:cxn ang="0">
              <a:pos x="connsiteX10946" y="connsiteY10946"/>
            </a:cxn>
            <a:cxn ang="0">
              <a:pos x="connsiteX10947" y="connsiteY10947"/>
            </a:cxn>
            <a:cxn ang="0">
              <a:pos x="connsiteX10948" y="connsiteY10948"/>
            </a:cxn>
            <a:cxn ang="0">
              <a:pos x="connsiteX10949" y="connsiteY10949"/>
            </a:cxn>
            <a:cxn ang="0">
              <a:pos x="connsiteX10950" y="connsiteY10950"/>
            </a:cxn>
            <a:cxn ang="0">
              <a:pos x="connsiteX10951" y="connsiteY10951"/>
            </a:cxn>
            <a:cxn ang="0">
              <a:pos x="connsiteX10952" y="connsiteY10952"/>
            </a:cxn>
            <a:cxn ang="0">
              <a:pos x="connsiteX10953" y="connsiteY10953"/>
            </a:cxn>
            <a:cxn ang="0">
              <a:pos x="connsiteX10954" y="connsiteY10954"/>
            </a:cxn>
            <a:cxn ang="0">
              <a:pos x="connsiteX10955" y="connsiteY10955"/>
            </a:cxn>
            <a:cxn ang="0">
              <a:pos x="connsiteX10956" y="connsiteY10956"/>
            </a:cxn>
            <a:cxn ang="0">
              <a:pos x="connsiteX10957" y="connsiteY10957"/>
            </a:cxn>
            <a:cxn ang="0">
              <a:pos x="connsiteX10958" y="connsiteY10958"/>
            </a:cxn>
            <a:cxn ang="0">
              <a:pos x="connsiteX10959" y="connsiteY10959"/>
            </a:cxn>
            <a:cxn ang="0">
              <a:pos x="connsiteX10960" y="connsiteY10960"/>
            </a:cxn>
            <a:cxn ang="0">
              <a:pos x="connsiteX10961" y="connsiteY10961"/>
            </a:cxn>
            <a:cxn ang="0">
              <a:pos x="connsiteX10962" y="connsiteY10962"/>
            </a:cxn>
            <a:cxn ang="0">
              <a:pos x="connsiteX10963" y="connsiteY10963"/>
            </a:cxn>
            <a:cxn ang="0">
              <a:pos x="connsiteX10964" y="connsiteY10964"/>
            </a:cxn>
            <a:cxn ang="0">
              <a:pos x="connsiteX10965" y="connsiteY10965"/>
            </a:cxn>
            <a:cxn ang="0">
              <a:pos x="connsiteX10966" y="connsiteY10966"/>
            </a:cxn>
            <a:cxn ang="0">
              <a:pos x="connsiteX10967" y="connsiteY10967"/>
            </a:cxn>
            <a:cxn ang="0">
              <a:pos x="connsiteX10968" y="connsiteY10968"/>
            </a:cxn>
            <a:cxn ang="0">
              <a:pos x="connsiteX10969" y="connsiteY10969"/>
            </a:cxn>
            <a:cxn ang="0">
              <a:pos x="connsiteX10970" y="connsiteY10970"/>
            </a:cxn>
            <a:cxn ang="0">
              <a:pos x="connsiteX10971" y="connsiteY10971"/>
            </a:cxn>
            <a:cxn ang="0">
              <a:pos x="connsiteX10972" y="connsiteY10972"/>
            </a:cxn>
            <a:cxn ang="0">
              <a:pos x="connsiteX10973" y="connsiteY10973"/>
            </a:cxn>
            <a:cxn ang="0">
              <a:pos x="connsiteX10974" y="connsiteY10974"/>
            </a:cxn>
            <a:cxn ang="0">
              <a:pos x="connsiteX10975" y="connsiteY10975"/>
            </a:cxn>
            <a:cxn ang="0">
              <a:pos x="connsiteX10976" y="connsiteY10976"/>
            </a:cxn>
            <a:cxn ang="0">
              <a:pos x="connsiteX10977" y="connsiteY10977"/>
            </a:cxn>
            <a:cxn ang="0">
              <a:pos x="connsiteX10978" y="connsiteY10978"/>
            </a:cxn>
            <a:cxn ang="0">
              <a:pos x="connsiteX10979" y="connsiteY10979"/>
            </a:cxn>
            <a:cxn ang="0">
              <a:pos x="connsiteX10980" y="connsiteY10980"/>
            </a:cxn>
            <a:cxn ang="0">
              <a:pos x="connsiteX10981" y="connsiteY10981"/>
            </a:cxn>
            <a:cxn ang="0">
              <a:pos x="connsiteX10982" y="connsiteY10982"/>
            </a:cxn>
            <a:cxn ang="0">
              <a:pos x="connsiteX10983" y="connsiteY10983"/>
            </a:cxn>
            <a:cxn ang="0">
              <a:pos x="connsiteX10984" y="connsiteY10984"/>
            </a:cxn>
            <a:cxn ang="0">
              <a:pos x="connsiteX10985" y="connsiteY10985"/>
            </a:cxn>
            <a:cxn ang="0">
              <a:pos x="connsiteX10986" y="connsiteY10986"/>
            </a:cxn>
            <a:cxn ang="0">
              <a:pos x="connsiteX10987" y="connsiteY10987"/>
            </a:cxn>
            <a:cxn ang="0">
              <a:pos x="connsiteX10988" y="connsiteY10988"/>
            </a:cxn>
            <a:cxn ang="0">
              <a:pos x="connsiteX10989" y="connsiteY10989"/>
            </a:cxn>
            <a:cxn ang="0">
              <a:pos x="connsiteX10990" y="connsiteY10990"/>
            </a:cxn>
            <a:cxn ang="0">
              <a:pos x="connsiteX10991" y="connsiteY10991"/>
            </a:cxn>
            <a:cxn ang="0">
              <a:pos x="connsiteX10992" y="connsiteY10992"/>
            </a:cxn>
            <a:cxn ang="0">
              <a:pos x="connsiteX10993" y="connsiteY10993"/>
            </a:cxn>
            <a:cxn ang="0">
              <a:pos x="connsiteX10994" y="connsiteY10994"/>
            </a:cxn>
            <a:cxn ang="0">
              <a:pos x="connsiteX10995" y="connsiteY10995"/>
            </a:cxn>
            <a:cxn ang="0">
              <a:pos x="connsiteX10996" y="connsiteY10996"/>
            </a:cxn>
            <a:cxn ang="0">
              <a:pos x="connsiteX10997" y="connsiteY10997"/>
            </a:cxn>
            <a:cxn ang="0">
              <a:pos x="connsiteX10998" y="connsiteY10998"/>
            </a:cxn>
            <a:cxn ang="0">
              <a:pos x="connsiteX10999" y="connsiteY10999"/>
            </a:cxn>
            <a:cxn ang="0">
              <a:pos x="connsiteX11000" y="connsiteY11000"/>
            </a:cxn>
            <a:cxn ang="0">
              <a:pos x="connsiteX11001" y="connsiteY11001"/>
            </a:cxn>
            <a:cxn ang="0">
              <a:pos x="connsiteX11002" y="connsiteY11002"/>
            </a:cxn>
            <a:cxn ang="0">
              <a:pos x="connsiteX11003" y="connsiteY11003"/>
            </a:cxn>
            <a:cxn ang="0">
              <a:pos x="connsiteX11004" y="connsiteY11004"/>
            </a:cxn>
            <a:cxn ang="0">
              <a:pos x="connsiteX11005" y="connsiteY11005"/>
            </a:cxn>
            <a:cxn ang="0">
              <a:pos x="connsiteX11006" y="connsiteY11006"/>
            </a:cxn>
            <a:cxn ang="0">
              <a:pos x="connsiteX11007" y="connsiteY11007"/>
            </a:cxn>
            <a:cxn ang="0">
              <a:pos x="connsiteX11008" y="connsiteY11008"/>
            </a:cxn>
            <a:cxn ang="0">
              <a:pos x="connsiteX11009" y="connsiteY11009"/>
            </a:cxn>
            <a:cxn ang="0">
              <a:pos x="connsiteX11010" y="connsiteY11010"/>
            </a:cxn>
            <a:cxn ang="0">
              <a:pos x="connsiteX11011" y="connsiteY11011"/>
            </a:cxn>
            <a:cxn ang="0">
              <a:pos x="connsiteX11012" y="connsiteY11012"/>
            </a:cxn>
            <a:cxn ang="0">
              <a:pos x="connsiteX11013" y="connsiteY11013"/>
            </a:cxn>
            <a:cxn ang="0">
              <a:pos x="connsiteX11014" y="connsiteY11014"/>
            </a:cxn>
            <a:cxn ang="0">
              <a:pos x="connsiteX11015" y="connsiteY11015"/>
            </a:cxn>
            <a:cxn ang="0">
              <a:pos x="connsiteX11016" y="connsiteY11016"/>
            </a:cxn>
            <a:cxn ang="0">
              <a:pos x="connsiteX11017" y="connsiteY11017"/>
            </a:cxn>
            <a:cxn ang="0">
              <a:pos x="connsiteX11018" y="connsiteY11018"/>
            </a:cxn>
            <a:cxn ang="0">
              <a:pos x="connsiteX11019" y="connsiteY11019"/>
            </a:cxn>
            <a:cxn ang="0">
              <a:pos x="connsiteX11020" y="connsiteY11020"/>
            </a:cxn>
            <a:cxn ang="0">
              <a:pos x="connsiteX11021" y="connsiteY11021"/>
            </a:cxn>
            <a:cxn ang="0">
              <a:pos x="connsiteX11022" y="connsiteY11022"/>
            </a:cxn>
            <a:cxn ang="0">
              <a:pos x="connsiteX11023" y="connsiteY11023"/>
            </a:cxn>
            <a:cxn ang="0">
              <a:pos x="connsiteX11024" y="connsiteY11024"/>
            </a:cxn>
            <a:cxn ang="0">
              <a:pos x="connsiteX11025" y="connsiteY11025"/>
            </a:cxn>
            <a:cxn ang="0">
              <a:pos x="connsiteX11026" y="connsiteY11026"/>
            </a:cxn>
            <a:cxn ang="0">
              <a:pos x="connsiteX11027" y="connsiteY11027"/>
            </a:cxn>
            <a:cxn ang="0">
              <a:pos x="connsiteX11028" y="connsiteY11028"/>
            </a:cxn>
            <a:cxn ang="0">
              <a:pos x="connsiteX11029" y="connsiteY11029"/>
            </a:cxn>
            <a:cxn ang="0">
              <a:pos x="connsiteX11030" y="connsiteY11030"/>
            </a:cxn>
            <a:cxn ang="0">
              <a:pos x="connsiteX11031" y="connsiteY11031"/>
            </a:cxn>
            <a:cxn ang="0">
              <a:pos x="connsiteX11032" y="connsiteY11032"/>
            </a:cxn>
            <a:cxn ang="0">
              <a:pos x="connsiteX11033" y="connsiteY11033"/>
            </a:cxn>
            <a:cxn ang="0">
              <a:pos x="connsiteX11034" y="connsiteY11034"/>
            </a:cxn>
            <a:cxn ang="0">
              <a:pos x="connsiteX11035" y="connsiteY11035"/>
            </a:cxn>
            <a:cxn ang="0">
              <a:pos x="connsiteX11036" y="connsiteY11036"/>
            </a:cxn>
            <a:cxn ang="0">
              <a:pos x="connsiteX11037" y="connsiteY11037"/>
            </a:cxn>
            <a:cxn ang="0">
              <a:pos x="connsiteX11038" y="connsiteY11038"/>
            </a:cxn>
            <a:cxn ang="0">
              <a:pos x="connsiteX11039" y="connsiteY11039"/>
            </a:cxn>
            <a:cxn ang="0">
              <a:pos x="connsiteX11040" y="connsiteY11040"/>
            </a:cxn>
            <a:cxn ang="0">
              <a:pos x="connsiteX11041" y="connsiteY11041"/>
            </a:cxn>
            <a:cxn ang="0">
              <a:pos x="connsiteX11042" y="connsiteY11042"/>
            </a:cxn>
            <a:cxn ang="0">
              <a:pos x="connsiteX11043" y="connsiteY11043"/>
            </a:cxn>
            <a:cxn ang="0">
              <a:pos x="connsiteX11044" y="connsiteY11044"/>
            </a:cxn>
            <a:cxn ang="0">
              <a:pos x="connsiteX11045" y="connsiteY11045"/>
            </a:cxn>
            <a:cxn ang="0">
              <a:pos x="connsiteX11046" y="connsiteY11046"/>
            </a:cxn>
            <a:cxn ang="0">
              <a:pos x="connsiteX11047" y="connsiteY11047"/>
            </a:cxn>
            <a:cxn ang="0">
              <a:pos x="connsiteX11048" y="connsiteY11048"/>
            </a:cxn>
            <a:cxn ang="0">
              <a:pos x="connsiteX11049" y="connsiteY11049"/>
            </a:cxn>
            <a:cxn ang="0">
              <a:pos x="connsiteX11050" y="connsiteY11050"/>
            </a:cxn>
            <a:cxn ang="0">
              <a:pos x="connsiteX11051" y="connsiteY11051"/>
            </a:cxn>
            <a:cxn ang="0">
              <a:pos x="connsiteX11052" y="connsiteY11052"/>
            </a:cxn>
            <a:cxn ang="0">
              <a:pos x="connsiteX11053" y="connsiteY11053"/>
            </a:cxn>
            <a:cxn ang="0">
              <a:pos x="connsiteX11054" y="connsiteY11054"/>
            </a:cxn>
            <a:cxn ang="0">
              <a:pos x="connsiteX11055" y="connsiteY11055"/>
            </a:cxn>
            <a:cxn ang="0">
              <a:pos x="connsiteX11056" y="connsiteY11056"/>
            </a:cxn>
            <a:cxn ang="0">
              <a:pos x="connsiteX11057" y="connsiteY11057"/>
            </a:cxn>
            <a:cxn ang="0">
              <a:pos x="connsiteX11058" y="connsiteY11058"/>
            </a:cxn>
            <a:cxn ang="0">
              <a:pos x="connsiteX11059" y="connsiteY11059"/>
            </a:cxn>
            <a:cxn ang="0">
              <a:pos x="connsiteX11060" y="connsiteY11060"/>
            </a:cxn>
            <a:cxn ang="0">
              <a:pos x="connsiteX11061" y="connsiteY11061"/>
            </a:cxn>
            <a:cxn ang="0">
              <a:pos x="connsiteX11062" y="connsiteY11062"/>
            </a:cxn>
            <a:cxn ang="0">
              <a:pos x="connsiteX11063" y="connsiteY11063"/>
            </a:cxn>
            <a:cxn ang="0">
              <a:pos x="connsiteX11064" y="connsiteY11064"/>
            </a:cxn>
            <a:cxn ang="0">
              <a:pos x="connsiteX11065" y="connsiteY11065"/>
            </a:cxn>
            <a:cxn ang="0">
              <a:pos x="connsiteX11066" y="connsiteY11066"/>
            </a:cxn>
            <a:cxn ang="0">
              <a:pos x="connsiteX11067" y="connsiteY11067"/>
            </a:cxn>
            <a:cxn ang="0">
              <a:pos x="connsiteX11068" y="connsiteY11068"/>
            </a:cxn>
            <a:cxn ang="0">
              <a:pos x="connsiteX11069" y="connsiteY11069"/>
            </a:cxn>
            <a:cxn ang="0">
              <a:pos x="connsiteX11070" y="connsiteY11070"/>
            </a:cxn>
            <a:cxn ang="0">
              <a:pos x="connsiteX11071" y="connsiteY11071"/>
            </a:cxn>
            <a:cxn ang="0">
              <a:pos x="connsiteX11072" y="connsiteY11072"/>
            </a:cxn>
            <a:cxn ang="0">
              <a:pos x="connsiteX11073" y="connsiteY11073"/>
            </a:cxn>
            <a:cxn ang="0">
              <a:pos x="connsiteX11074" y="connsiteY11074"/>
            </a:cxn>
            <a:cxn ang="0">
              <a:pos x="connsiteX11075" y="connsiteY11075"/>
            </a:cxn>
            <a:cxn ang="0">
              <a:pos x="connsiteX11076" y="connsiteY11076"/>
            </a:cxn>
            <a:cxn ang="0">
              <a:pos x="connsiteX11077" y="connsiteY11077"/>
            </a:cxn>
            <a:cxn ang="0">
              <a:pos x="connsiteX11078" y="connsiteY11078"/>
            </a:cxn>
            <a:cxn ang="0">
              <a:pos x="connsiteX11079" y="connsiteY11079"/>
            </a:cxn>
            <a:cxn ang="0">
              <a:pos x="connsiteX11080" y="connsiteY11080"/>
            </a:cxn>
            <a:cxn ang="0">
              <a:pos x="connsiteX11081" y="connsiteY11081"/>
            </a:cxn>
            <a:cxn ang="0">
              <a:pos x="connsiteX11082" y="connsiteY11082"/>
            </a:cxn>
            <a:cxn ang="0">
              <a:pos x="connsiteX11083" y="connsiteY11083"/>
            </a:cxn>
            <a:cxn ang="0">
              <a:pos x="connsiteX11084" y="connsiteY11084"/>
            </a:cxn>
            <a:cxn ang="0">
              <a:pos x="connsiteX11085" y="connsiteY11085"/>
            </a:cxn>
            <a:cxn ang="0">
              <a:pos x="connsiteX11086" y="connsiteY11086"/>
            </a:cxn>
            <a:cxn ang="0">
              <a:pos x="connsiteX11087" y="connsiteY11087"/>
            </a:cxn>
            <a:cxn ang="0">
              <a:pos x="connsiteX11088" y="connsiteY11088"/>
            </a:cxn>
            <a:cxn ang="0">
              <a:pos x="connsiteX11089" y="connsiteY11089"/>
            </a:cxn>
            <a:cxn ang="0">
              <a:pos x="connsiteX11090" y="connsiteY11090"/>
            </a:cxn>
            <a:cxn ang="0">
              <a:pos x="connsiteX11091" y="connsiteY11091"/>
            </a:cxn>
            <a:cxn ang="0">
              <a:pos x="connsiteX11092" y="connsiteY11092"/>
            </a:cxn>
            <a:cxn ang="0">
              <a:pos x="connsiteX11093" y="connsiteY11093"/>
            </a:cxn>
            <a:cxn ang="0">
              <a:pos x="connsiteX11094" y="connsiteY11094"/>
            </a:cxn>
            <a:cxn ang="0">
              <a:pos x="connsiteX11095" y="connsiteY11095"/>
            </a:cxn>
            <a:cxn ang="0">
              <a:pos x="connsiteX11096" y="connsiteY11096"/>
            </a:cxn>
            <a:cxn ang="0">
              <a:pos x="connsiteX11097" y="connsiteY11097"/>
            </a:cxn>
            <a:cxn ang="0">
              <a:pos x="connsiteX11098" y="connsiteY11098"/>
            </a:cxn>
            <a:cxn ang="0">
              <a:pos x="connsiteX11099" y="connsiteY11099"/>
            </a:cxn>
            <a:cxn ang="0">
              <a:pos x="connsiteX11100" y="connsiteY11100"/>
            </a:cxn>
            <a:cxn ang="0">
              <a:pos x="connsiteX11101" y="connsiteY11101"/>
            </a:cxn>
            <a:cxn ang="0">
              <a:pos x="connsiteX11102" y="connsiteY11102"/>
            </a:cxn>
            <a:cxn ang="0">
              <a:pos x="connsiteX11103" y="connsiteY11103"/>
            </a:cxn>
            <a:cxn ang="0">
              <a:pos x="connsiteX11104" y="connsiteY11104"/>
            </a:cxn>
            <a:cxn ang="0">
              <a:pos x="connsiteX11105" y="connsiteY11105"/>
            </a:cxn>
            <a:cxn ang="0">
              <a:pos x="connsiteX11106" y="connsiteY11106"/>
            </a:cxn>
            <a:cxn ang="0">
              <a:pos x="connsiteX11107" y="connsiteY11107"/>
            </a:cxn>
            <a:cxn ang="0">
              <a:pos x="connsiteX11108" y="connsiteY11108"/>
            </a:cxn>
            <a:cxn ang="0">
              <a:pos x="connsiteX11109" y="connsiteY11109"/>
            </a:cxn>
            <a:cxn ang="0">
              <a:pos x="connsiteX11110" y="connsiteY11110"/>
            </a:cxn>
            <a:cxn ang="0">
              <a:pos x="connsiteX11111" y="connsiteY11111"/>
            </a:cxn>
            <a:cxn ang="0">
              <a:pos x="connsiteX11112" y="connsiteY11112"/>
            </a:cxn>
            <a:cxn ang="0">
              <a:pos x="connsiteX11113" y="connsiteY11113"/>
            </a:cxn>
            <a:cxn ang="0">
              <a:pos x="connsiteX11114" y="connsiteY11114"/>
            </a:cxn>
            <a:cxn ang="0">
              <a:pos x="connsiteX11115" y="connsiteY11115"/>
            </a:cxn>
            <a:cxn ang="0">
              <a:pos x="connsiteX11116" y="connsiteY11116"/>
            </a:cxn>
            <a:cxn ang="0">
              <a:pos x="connsiteX11117" y="connsiteY11117"/>
            </a:cxn>
            <a:cxn ang="0">
              <a:pos x="connsiteX11118" y="connsiteY11118"/>
            </a:cxn>
            <a:cxn ang="0">
              <a:pos x="connsiteX11119" y="connsiteY11119"/>
            </a:cxn>
            <a:cxn ang="0">
              <a:pos x="connsiteX11120" y="connsiteY11120"/>
            </a:cxn>
            <a:cxn ang="0">
              <a:pos x="connsiteX11121" y="connsiteY11121"/>
            </a:cxn>
            <a:cxn ang="0">
              <a:pos x="connsiteX11122" y="connsiteY11122"/>
            </a:cxn>
            <a:cxn ang="0">
              <a:pos x="connsiteX11123" y="connsiteY11123"/>
            </a:cxn>
            <a:cxn ang="0">
              <a:pos x="connsiteX11124" y="connsiteY11124"/>
            </a:cxn>
            <a:cxn ang="0">
              <a:pos x="connsiteX11125" y="connsiteY11125"/>
            </a:cxn>
            <a:cxn ang="0">
              <a:pos x="connsiteX11126" y="connsiteY11126"/>
            </a:cxn>
            <a:cxn ang="0">
              <a:pos x="connsiteX11127" y="connsiteY11127"/>
            </a:cxn>
            <a:cxn ang="0">
              <a:pos x="connsiteX11128" y="connsiteY11128"/>
            </a:cxn>
            <a:cxn ang="0">
              <a:pos x="connsiteX11129" y="connsiteY11129"/>
            </a:cxn>
            <a:cxn ang="0">
              <a:pos x="connsiteX11130" y="connsiteY11130"/>
            </a:cxn>
            <a:cxn ang="0">
              <a:pos x="connsiteX11131" y="connsiteY11131"/>
            </a:cxn>
            <a:cxn ang="0">
              <a:pos x="connsiteX11132" y="connsiteY11132"/>
            </a:cxn>
            <a:cxn ang="0">
              <a:pos x="connsiteX11133" y="connsiteY11133"/>
            </a:cxn>
            <a:cxn ang="0">
              <a:pos x="connsiteX11134" y="connsiteY11134"/>
            </a:cxn>
            <a:cxn ang="0">
              <a:pos x="connsiteX11135" y="connsiteY11135"/>
            </a:cxn>
            <a:cxn ang="0">
              <a:pos x="connsiteX11136" y="connsiteY11136"/>
            </a:cxn>
            <a:cxn ang="0">
              <a:pos x="connsiteX11137" y="connsiteY11137"/>
            </a:cxn>
            <a:cxn ang="0">
              <a:pos x="connsiteX11138" y="connsiteY11138"/>
            </a:cxn>
            <a:cxn ang="0">
              <a:pos x="connsiteX11139" y="connsiteY11139"/>
            </a:cxn>
            <a:cxn ang="0">
              <a:pos x="connsiteX11140" y="connsiteY11140"/>
            </a:cxn>
            <a:cxn ang="0">
              <a:pos x="connsiteX11141" y="connsiteY11141"/>
            </a:cxn>
            <a:cxn ang="0">
              <a:pos x="connsiteX11142" y="connsiteY11142"/>
            </a:cxn>
            <a:cxn ang="0">
              <a:pos x="connsiteX11143" y="connsiteY11143"/>
            </a:cxn>
            <a:cxn ang="0">
              <a:pos x="connsiteX11144" y="connsiteY11144"/>
            </a:cxn>
            <a:cxn ang="0">
              <a:pos x="connsiteX11145" y="connsiteY11145"/>
            </a:cxn>
            <a:cxn ang="0">
              <a:pos x="connsiteX11146" y="connsiteY11146"/>
            </a:cxn>
            <a:cxn ang="0">
              <a:pos x="connsiteX11147" y="connsiteY11147"/>
            </a:cxn>
            <a:cxn ang="0">
              <a:pos x="connsiteX11148" y="connsiteY11148"/>
            </a:cxn>
            <a:cxn ang="0">
              <a:pos x="connsiteX11149" y="connsiteY11149"/>
            </a:cxn>
            <a:cxn ang="0">
              <a:pos x="connsiteX11150" y="connsiteY11150"/>
            </a:cxn>
            <a:cxn ang="0">
              <a:pos x="connsiteX11151" y="connsiteY11151"/>
            </a:cxn>
            <a:cxn ang="0">
              <a:pos x="connsiteX11152" y="connsiteY11152"/>
            </a:cxn>
            <a:cxn ang="0">
              <a:pos x="connsiteX11153" y="connsiteY11153"/>
            </a:cxn>
            <a:cxn ang="0">
              <a:pos x="connsiteX11154" y="connsiteY11154"/>
            </a:cxn>
            <a:cxn ang="0">
              <a:pos x="connsiteX11155" y="connsiteY11155"/>
            </a:cxn>
            <a:cxn ang="0">
              <a:pos x="connsiteX11156" y="connsiteY11156"/>
            </a:cxn>
            <a:cxn ang="0">
              <a:pos x="connsiteX11157" y="connsiteY11157"/>
            </a:cxn>
            <a:cxn ang="0">
              <a:pos x="connsiteX11158" y="connsiteY11158"/>
            </a:cxn>
            <a:cxn ang="0">
              <a:pos x="connsiteX11159" y="connsiteY11159"/>
            </a:cxn>
            <a:cxn ang="0">
              <a:pos x="connsiteX11160" y="connsiteY11160"/>
            </a:cxn>
            <a:cxn ang="0">
              <a:pos x="connsiteX11161" y="connsiteY11161"/>
            </a:cxn>
            <a:cxn ang="0">
              <a:pos x="connsiteX11162" y="connsiteY11162"/>
            </a:cxn>
            <a:cxn ang="0">
              <a:pos x="connsiteX11163" y="connsiteY11163"/>
            </a:cxn>
            <a:cxn ang="0">
              <a:pos x="connsiteX11164" y="connsiteY11164"/>
            </a:cxn>
            <a:cxn ang="0">
              <a:pos x="connsiteX11165" y="connsiteY11165"/>
            </a:cxn>
            <a:cxn ang="0">
              <a:pos x="connsiteX11166" y="connsiteY11166"/>
            </a:cxn>
            <a:cxn ang="0">
              <a:pos x="connsiteX11167" y="connsiteY11167"/>
            </a:cxn>
            <a:cxn ang="0">
              <a:pos x="connsiteX11168" y="connsiteY11168"/>
            </a:cxn>
            <a:cxn ang="0">
              <a:pos x="connsiteX11169" y="connsiteY11169"/>
            </a:cxn>
            <a:cxn ang="0">
              <a:pos x="connsiteX11170" y="connsiteY11170"/>
            </a:cxn>
            <a:cxn ang="0">
              <a:pos x="connsiteX11171" y="connsiteY11171"/>
            </a:cxn>
            <a:cxn ang="0">
              <a:pos x="connsiteX11172" y="connsiteY11172"/>
            </a:cxn>
            <a:cxn ang="0">
              <a:pos x="connsiteX11173" y="connsiteY11173"/>
            </a:cxn>
            <a:cxn ang="0">
              <a:pos x="connsiteX11174" y="connsiteY11174"/>
            </a:cxn>
            <a:cxn ang="0">
              <a:pos x="connsiteX11175" y="connsiteY11175"/>
            </a:cxn>
            <a:cxn ang="0">
              <a:pos x="connsiteX11176" y="connsiteY11176"/>
            </a:cxn>
            <a:cxn ang="0">
              <a:pos x="connsiteX11177" y="connsiteY11177"/>
            </a:cxn>
            <a:cxn ang="0">
              <a:pos x="connsiteX11178" y="connsiteY11178"/>
            </a:cxn>
            <a:cxn ang="0">
              <a:pos x="connsiteX11179" y="connsiteY11179"/>
            </a:cxn>
            <a:cxn ang="0">
              <a:pos x="connsiteX11180" y="connsiteY11180"/>
            </a:cxn>
            <a:cxn ang="0">
              <a:pos x="connsiteX11181" y="connsiteY11181"/>
            </a:cxn>
            <a:cxn ang="0">
              <a:pos x="connsiteX11182" y="connsiteY11182"/>
            </a:cxn>
            <a:cxn ang="0">
              <a:pos x="connsiteX11183" y="connsiteY11183"/>
            </a:cxn>
            <a:cxn ang="0">
              <a:pos x="connsiteX11184" y="connsiteY11184"/>
            </a:cxn>
            <a:cxn ang="0">
              <a:pos x="connsiteX11185" y="connsiteY11185"/>
            </a:cxn>
            <a:cxn ang="0">
              <a:pos x="connsiteX11186" y="connsiteY11186"/>
            </a:cxn>
            <a:cxn ang="0">
              <a:pos x="connsiteX11187" y="connsiteY11187"/>
            </a:cxn>
            <a:cxn ang="0">
              <a:pos x="connsiteX11188" y="connsiteY11188"/>
            </a:cxn>
            <a:cxn ang="0">
              <a:pos x="connsiteX11189" y="connsiteY11189"/>
            </a:cxn>
            <a:cxn ang="0">
              <a:pos x="connsiteX11190" y="connsiteY11190"/>
            </a:cxn>
            <a:cxn ang="0">
              <a:pos x="connsiteX11191" y="connsiteY11191"/>
            </a:cxn>
            <a:cxn ang="0">
              <a:pos x="connsiteX11192" y="connsiteY11192"/>
            </a:cxn>
            <a:cxn ang="0">
              <a:pos x="connsiteX11193" y="connsiteY11193"/>
            </a:cxn>
            <a:cxn ang="0">
              <a:pos x="connsiteX11194" y="connsiteY11194"/>
            </a:cxn>
            <a:cxn ang="0">
              <a:pos x="connsiteX11195" y="connsiteY11195"/>
            </a:cxn>
            <a:cxn ang="0">
              <a:pos x="connsiteX11196" y="connsiteY11196"/>
            </a:cxn>
            <a:cxn ang="0">
              <a:pos x="connsiteX11197" y="connsiteY11197"/>
            </a:cxn>
            <a:cxn ang="0">
              <a:pos x="connsiteX11198" y="connsiteY11198"/>
            </a:cxn>
            <a:cxn ang="0">
              <a:pos x="connsiteX11199" y="connsiteY11199"/>
            </a:cxn>
            <a:cxn ang="0">
              <a:pos x="connsiteX11200" y="connsiteY11200"/>
            </a:cxn>
            <a:cxn ang="0">
              <a:pos x="connsiteX11201" y="connsiteY11201"/>
            </a:cxn>
            <a:cxn ang="0">
              <a:pos x="connsiteX11202" y="connsiteY11202"/>
            </a:cxn>
            <a:cxn ang="0">
              <a:pos x="connsiteX11203" y="connsiteY11203"/>
            </a:cxn>
            <a:cxn ang="0">
              <a:pos x="connsiteX11204" y="connsiteY11204"/>
            </a:cxn>
            <a:cxn ang="0">
              <a:pos x="connsiteX11205" y="connsiteY11205"/>
            </a:cxn>
            <a:cxn ang="0">
              <a:pos x="connsiteX11206" y="connsiteY11206"/>
            </a:cxn>
            <a:cxn ang="0">
              <a:pos x="connsiteX11207" y="connsiteY11207"/>
            </a:cxn>
            <a:cxn ang="0">
              <a:pos x="connsiteX11208" y="connsiteY11208"/>
            </a:cxn>
            <a:cxn ang="0">
              <a:pos x="connsiteX11209" y="connsiteY11209"/>
            </a:cxn>
            <a:cxn ang="0">
              <a:pos x="connsiteX11210" y="connsiteY11210"/>
            </a:cxn>
            <a:cxn ang="0">
              <a:pos x="connsiteX11211" y="connsiteY11211"/>
            </a:cxn>
            <a:cxn ang="0">
              <a:pos x="connsiteX11212" y="connsiteY11212"/>
            </a:cxn>
            <a:cxn ang="0">
              <a:pos x="connsiteX11213" y="connsiteY11213"/>
            </a:cxn>
            <a:cxn ang="0">
              <a:pos x="connsiteX11214" y="connsiteY11214"/>
            </a:cxn>
            <a:cxn ang="0">
              <a:pos x="connsiteX11215" y="connsiteY11215"/>
            </a:cxn>
            <a:cxn ang="0">
              <a:pos x="connsiteX11216" y="connsiteY11216"/>
            </a:cxn>
            <a:cxn ang="0">
              <a:pos x="connsiteX11217" y="connsiteY11217"/>
            </a:cxn>
            <a:cxn ang="0">
              <a:pos x="connsiteX11218" y="connsiteY11218"/>
            </a:cxn>
            <a:cxn ang="0">
              <a:pos x="connsiteX11219" y="connsiteY11219"/>
            </a:cxn>
            <a:cxn ang="0">
              <a:pos x="connsiteX11220" y="connsiteY11220"/>
            </a:cxn>
            <a:cxn ang="0">
              <a:pos x="connsiteX11221" y="connsiteY11221"/>
            </a:cxn>
            <a:cxn ang="0">
              <a:pos x="connsiteX11222" y="connsiteY11222"/>
            </a:cxn>
            <a:cxn ang="0">
              <a:pos x="connsiteX11223" y="connsiteY11223"/>
            </a:cxn>
            <a:cxn ang="0">
              <a:pos x="connsiteX11224" y="connsiteY11224"/>
            </a:cxn>
            <a:cxn ang="0">
              <a:pos x="connsiteX11225" y="connsiteY11225"/>
            </a:cxn>
            <a:cxn ang="0">
              <a:pos x="connsiteX11226" y="connsiteY11226"/>
            </a:cxn>
            <a:cxn ang="0">
              <a:pos x="connsiteX11227" y="connsiteY11227"/>
            </a:cxn>
            <a:cxn ang="0">
              <a:pos x="connsiteX11228" y="connsiteY11228"/>
            </a:cxn>
            <a:cxn ang="0">
              <a:pos x="connsiteX11229" y="connsiteY11229"/>
            </a:cxn>
            <a:cxn ang="0">
              <a:pos x="connsiteX11230" y="connsiteY11230"/>
            </a:cxn>
            <a:cxn ang="0">
              <a:pos x="connsiteX11231" y="connsiteY11231"/>
            </a:cxn>
            <a:cxn ang="0">
              <a:pos x="connsiteX11232" y="connsiteY11232"/>
            </a:cxn>
            <a:cxn ang="0">
              <a:pos x="connsiteX11233" y="connsiteY11233"/>
            </a:cxn>
            <a:cxn ang="0">
              <a:pos x="connsiteX11234" y="connsiteY11234"/>
            </a:cxn>
            <a:cxn ang="0">
              <a:pos x="connsiteX11235" y="connsiteY11235"/>
            </a:cxn>
            <a:cxn ang="0">
              <a:pos x="connsiteX11236" y="connsiteY11236"/>
            </a:cxn>
            <a:cxn ang="0">
              <a:pos x="connsiteX11237" y="connsiteY11237"/>
            </a:cxn>
            <a:cxn ang="0">
              <a:pos x="connsiteX11238" y="connsiteY11238"/>
            </a:cxn>
            <a:cxn ang="0">
              <a:pos x="connsiteX11239" y="connsiteY11239"/>
            </a:cxn>
            <a:cxn ang="0">
              <a:pos x="connsiteX11240" y="connsiteY11240"/>
            </a:cxn>
            <a:cxn ang="0">
              <a:pos x="connsiteX11241" y="connsiteY11241"/>
            </a:cxn>
            <a:cxn ang="0">
              <a:pos x="connsiteX11242" y="connsiteY11242"/>
            </a:cxn>
            <a:cxn ang="0">
              <a:pos x="connsiteX11243" y="connsiteY11243"/>
            </a:cxn>
            <a:cxn ang="0">
              <a:pos x="connsiteX11244" y="connsiteY11244"/>
            </a:cxn>
            <a:cxn ang="0">
              <a:pos x="connsiteX11245" y="connsiteY11245"/>
            </a:cxn>
            <a:cxn ang="0">
              <a:pos x="connsiteX11246" y="connsiteY11246"/>
            </a:cxn>
            <a:cxn ang="0">
              <a:pos x="connsiteX11247" y="connsiteY11247"/>
            </a:cxn>
            <a:cxn ang="0">
              <a:pos x="connsiteX11248" y="connsiteY11248"/>
            </a:cxn>
            <a:cxn ang="0">
              <a:pos x="connsiteX11249" y="connsiteY11249"/>
            </a:cxn>
            <a:cxn ang="0">
              <a:pos x="connsiteX11250" y="connsiteY11250"/>
            </a:cxn>
            <a:cxn ang="0">
              <a:pos x="connsiteX11251" y="connsiteY11251"/>
            </a:cxn>
            <a:cxn ang="0">
              <a:pos x="connsiteX11252" y="connsiteY11252"/>
            </a:cxn>
            <a:cxn ang="0">
              <a:pos x="connsiteX11253" y="connsiteY11253"/>
            </a:cxn>
            <a:cxn ang="0">
              <a:pos x="connsiteX11254" y="connsiteY11254"/>
            </a:cxn>
            <a:cxn ang="0">
              <a:pos x="connsiteX11255" y="connsiteY11255"/>
            </a:cxn>
            <a:cxn ang="0">
              <a:pos x="connsiteX11256" y="connsiteY11256"/>
            </a:cxn>
            <a:cxn ang="0">
              <a:pos x="connsiteX11257" y="connsiteY11257"/>
            </a:cxn>
            <a:cxn ang="0">
              <a:pos x="connsiteX11258" y="connsiteY11258"/>
            </a:cxn>
            <a:cxn ang="0">
              <a:pos x="connsiteX11259" y="connsiteY11259"/>
            </a:cxn>
            <a:cxn ang="0">
              <a:pos x="connsiteX11260" y="connsiteY11260"/>
            </a:cxn>
            <a:cxn ang="0">
              <a:pos x="connsiteX11261" y="connsiteY11261"/>
            </a:cxn>
            <a:cxn ang="0">
              <a:pos x="connsiteX11262" y="connsiteY11262"/>
            </a:cxn>
            <a:cxn ang="0">
              <a:pos x="connsiteX11263" y="connsiteY11263"/>
            </a:cxn>
            <a:cxn ang="0">
              <a:pos x="connsiteX11264" y="connsiteY11264"/>
            </a:cxn>
            <a:cxn ang="0">
              <a:pos x="connsiteX11265" y="connsiteY11265"/>
            </a:cxn>
            <a:cxn ang="0">
              <a:pos x="connsiteX11266" y="connsiteY11266"/>
            </a:cxn>
            <a:cxn ang="0">
              <a:pos x="connsiteX11267" y="connsiteY11267"/>
            </a:cxn>
            <a:cxn ang="0">
              <a:pos x="connsiteX11268" y="connsiteY11268"/>
            </a:cxn>
            <a:cxn ang="0">
              <a:pos x="connsiteX11269" y="connsiteY11269"/>
            </a:cxn>
            <a:cxn ang="0">
              <a:pos x="connsiteX11270" y="connsiteY11270"/>
            </a:cxn>
            <a:cxn ang="0">
              <a:pos x="connsiteX11271" y="connsiteY11271"/>
            </a:cxn>
            <a:cxn ang="0">
              <a:pos x="connsiteX11272" y="connsiteY11272"/>
            </a:cxn>
            <a:cxn ang="0">
              <a:pos x="connsiteX11273" y="connsiteY11273"/>
            </a:cxn>
            <a:cxn ang="0">
              <a:pos x="connsiteX11274" y="connsiteY11274"/>
            </a:cxn>
            <a:cxn ang="0">
              <a:pos x="connsiteX11275" y="connsiteY11275"/>
            </a:cxn>
            <a:cxn ang="0">
              <a:pos x="connsiteX11276" y="connsiteY11276"/>
            </a:cxn>
            <a:cxn ang="0">
              <a:pos x="connsiteX11277" y="connsiteY11277"/>
            </a:cxn>
            <a:cxn ang="0">
              <a:pos x="connsiteX11278" y="connsiteY11278"/>
            </a:cxn>
            <a:cxn ang="0">
              <a:pos x="connsiteX11279" y="connsiteY11279"/>
            </a:cxn>
            <a:cxn ang="0">
              <a:pos x="connsiteX11280" y="connsiteY11280"/>
            </a:cxn>
            <a:cxn ang="0">
              <a:pos x="connsiteX11281" y="connsiteY11281"/>
            </a:cxn>
            <a:cxn ang="0">
              <a:pos x="connsiteX11282" y="connsiteY11282"/>
            </a:cxn>
            <a:cxn ang="0">
              <a:pos x="connsiteX11283" y="connsiteY11283"/>
            </a:cxn>
            <a:cxn ang="0">
              <a:pos x="connsiteX11284" y="connsiteY11284"/>
            </a:cxn>
            <a:cxn ang="0">
              <a:pos x="connsiteX11285" y="connsiteY11285"/>
            </a:cxn>
            <a:cxn ang="0">
              <a:pos x="connsiteX11286" y="connsiteY11286"/>
            </a:cxn>
            <a:cxn ang="0">
              <a:pos x="connsiteX11287" y="connsiteY11287"/>
            </a:cxn>
            <a:cxn ang="0">
              <a:pos x="connsiteX11288" y="connsiteY11288"/>
            </a:cxn>
            <a:cxn ang="0">
              <a:pos x="connsiteX11289" y="connsiteY11289"/>
            </a:cxn>
            <a:cxn ang="0">
              <a:pos x="connsiteX11290" y="connsiteY11290"/>
            </a:cxn>
            <a:cxn ang="0">
              <a:pos x="connsiteX11291" y="connsiteY11291"/>
            </a:cxn>
            <a:cxn ang="0">
              <a:pos x="connsiteX11292" y="connsiteY11292"/>
            </a:cxn>
            <a:cxn ang="0">
              <a:pos x="connsiteX11293" y="connsiteY11293"/>
            </a:cxn>
            <a:cxn ang="0">
              <a:pos x="connsiteX11294" y="connsiteY11294"/>
            </a:cxn>
            <a:cxn ang="0">
              <a:pos x="connsiteX11295" y="connsiteY11295"/>
            </a:cxn>
            <a:cxn ang="0">
              <a:pos x="connsiteX11296" y="connsiteY11296"/>
            </a:cxn>
            <a:cxn ang="0">
              <a:pos x="connsiteX11297" y="connsiteY11297"/>
            </a:cxn>
            <a:cxn ang="0">
              <a:pos x="connsiteX11298" y="connsiteY11298"/>
            </a:cxn>
            <a:cxn ang="0">
              <a:pos x="connsiteX11299" y="connsiteY11299"/>
            </a:cxn>
            <a:cxn ang="0">
              <a:pos x="connsiteX11300" y="connsiteY11300"/>
            </a:cxn>
            <a:cxn ang="0">
              <a:pos x="connsiteX11301" y="connsiteY11301"/>
            </a:cxn>
            <a:cxn ang="0">
              <a:pos x="connsiteX11302" y="connsiteY11302"/>
            </a:cxn>
            <a:cxn ang="0">
              <a:pos x="connsiteX11303" y="connsiteY11303"/>
            </a:cxn>
            <a:cxn ang="0">
              <a:pos x="connsiteX11304" y="connsiteY11304"/>
            </a:cxn>
            <a:cxn ang="0">
              <a:pos x="connsiteX11305" y="connsiteY11305"/>
            </a:cxn>
            <a:cxn ang="0">
              <a:pos x="connsiteX11306" y="connsiteY11306"/>
            </a:cxn>
            <a:cxn ang="0">
              <a:pos x="connsiteX11307" y="connsiteY11307"/>
            </a:cxn>
            <a:cxn ang="0">
              <a:pos x="connsiteX11308" y="connsiteY11308"/>
            </a:cxn>
            <a:cxn ang="0">
              <a:pos x="connsiteX11309" y="connsiteY11309"/>
            </a:cxn>
            <a:cxn ang="0">
              <a:pos x="connsiteX11310" y="connsiteY11310"/>
            </a:cxn>
            <a:cxn ang="0">
              <a:pos x="connsiteX11311" y="connsiteY11311"/>
            </a:cxn>
            <a:cxn ang="0">
              <a:pos x="connsiteX11312" y="connsiteY11312"/>
            </a:cxn>
            <a:cxn ang="0">
              <a:pos x="connsiteX11313" y="connsiteY11313"/>
            </a:cxn>
            <a:cxn ang="0">
              <a:pos x="connsiteX11314" y="connsiteY11314"/>
            </a:cxn>
            <a:cxn ang="0">
              <a:pos x="connsiteX11315" y="connsiteY11315"/>
            </a:cxn>
            <a:cxn ang="0">
              <a:pos x="connsiteX11316" y="connsiteY11316"/>
            </a:cxn>
            <a:cxn ang="0">
              <a:pos x="connsiteX11317" y="connsiteY11317"/>
            </a:cxn>
            <a:cxn ang="0">
              <a:pos x="connsiteX11318" y="connsiteY11318"/>
            </a:cxn>
            <a:cxn ang="0">
              <a:pos x="connsiteX11319" y="connsiteY11319"/>
            </a:cxn>
            <a:cxn ang="0">
              <a:pos x="connsiteX11320" y="connsiteY11320"/>
            </a:cxn>
            <a:cxn ang="0">
              <a:pos x="connsiteX11321" y="connsiteY11321"/>
            </a:cxn>
            <a:cxn ang="0">
              <a:pos x="connsiteX11322" y="connsiteY11322"/>
            </a:cxn>
            <a:cxn ang="0">
              <a:pos x="connsiteX11323" y="connsiteY11323"/>
            </a:cxn>
            <a:cxn ang="0">
              <a:pos x="connsiteX11324" y="connsiteY11324"/>
            </a:cxn>
            <a:cxn ang="0">
              <a:pos x="connsiteX11325" y="connsiteY11325"/>
            </a:cxn>
            <a:cxn ang="0">
              <a:pos x="connsiteX11326" y="connsiteY11326"/>
            </a:cxn>
            <a:cxn ang="0">
              <a:pos x="connsiteX11327" y="connsiteY11327"/>
            </a:cxn>
            <a:cxn ang="0">
              <a:pos x="connsiteX11328" y="connsiteY11328"/>
            </a:cxn>
            <a:cxn ang="0">
              <a:pos x="connsiteX11329" y="connsiteY11329"/>
            </a:cxn>
            <a:cxn ang="0">
              <a:pos x="connsiteX11330" y="connsiteY11330"/>
            </a:cxn>
            <a:cxn ang="0">
              <a:pos x="connsiteX11331" y="connsiteY11331"/>
            </a:cxn>
            <a:cxn ang="0">
              <a:pos x="connsiteX11332" y="connsiteY11332"/>
            </a:cxn>
            <a:cxn ang="0">
              <a:pos x="connsiteX11333" y="connsiteY11333"/>
            </a:cxn>
            <a:cxn ang="0">
              <a:pos x="connsiteX11334" y="connsiteY11334"/>
            </a:cxn>
            <a:cxn ang="0">
              <a:pos x="connsiteX11335" y="connsiteY11335"/>
            </a:cxn>
            <a:cxn ang="0">
              <a:pos x="connsiteX11336" y="connsiteY11336"/>
            </a:cxn>
            <a:cxn ang="0">
              <a:pos x="connsiteX11337" y="connsiteY11337"/>
            </a:cxn>
            <a:cxn ang="0">
              <a:pos x="connsiteX11338" y="connsiteY11338"/>
            </a:cxn>
            <a:cxn ang="0">
              <a:pos x="connsiteX11339" y="connsiteY11339"/>
            </a:cxn>
            <a:cxn ang="0">
              <a:pos x="connsiteX11340" y="connsiteY11340"/>
            </a:cxn>
            <a:cxn ang="0">
              <a:pos x="connsiteX11341" y="connsiteY11341"/>
            </a:cxn>
            <a:cxn ang="0">
              <a:pos x="connsiteX11342" y="connsiteY11342"/>
            </a:cxn>
            <a:cxn ang="0">
              <a:pos x="connsiteX11343" y="connsiteY11343"/>
            </a:cxn>
            <a:cxn ang="0">
              <a:pos x="connsiteX11344" y="connsiteY11344"/>
            </a:cxn>
            <a:cxn ang="0">
              <a:pos x="connsiteX11345" y="connsiteY11345"/>
            </a:cxn>
            <a:cxn ang="0">
              <a:pos x="connsiteX11346" y="connsiteY11346"/>
            </a:cxn>
            <a:cxn ang="0">
              <a:pos x="connsiteX11347" y="connsiteY11347"/>
            </a:cxn>
            <a:cxn ang="0">
              <a:pos x="connsiteX11348" y="connsiteY11348"/>
            </a:cxn>
            <a:cxn ang="0">
              <a:pos x="connsiteX11349" y="connsiteY11349"/>
            </a:cxn>
            <a:cxn ang="0">
              <a:pos x="connsiteX11350" y="connsiteY11350"/>
            </a:cxn>
            <a:cxn ang="0">
              <a:pos x="connsiteX11351" y="connsiteY11351"/>
            </a:cxn>
            <a:cxn ang="0">
              <a:pos x="connsiteX11352" y="connsiteY11352"/>
            </a:cxn>
            <a:cxn ang="0">
              <a:pos x="connsiteX11353" y="connsiteY11353"/>
            </a:cxn>
            <a:cxn ang="0">
              <a:pos x="connsiteX11354" y="connsiteY11354"/>
            </a:cxn>
            <a:cxn ang="0">
              <a:pos x="connsiteX11355" y="connsiteY11355"/>
            </a:cxn>
            <a:cxn ang="0">
              <a:pos x="connsiteX11356" y="connsiteY11356"/>
            </a:cxn>
            <a:cxn ang="0">
              <a:pos x="connsiteX11357" y="connsiteY11357"/>
            </a:cxn>
            <a:cxn ang="0">
              <a:pos x="connsiteX11358" y="connsiteY11358"/>
            </a:cxn>
            <a:cxn ang="0">
              <a:pos x="connsiteX11359" y="connsiteY11359"/>
            </a:cxn>
            <a:cxn ang="0">
              <a:pos x="connsiteX11360" y="connsiteY11360"/>
            </a:cxn>
            <a:cxn ang="0">
              <a:pos x="connsiteX11361" y="connsiteY11361"/>
            </a:cxn>
            <a:cxn ang="0">
              <a:pos x="connsiteX11362" y="connsiteY11362"/>
            </a:cxn>
            <a:cxn ang="0">
              <a:pos x="connsiteX11363" y="connsiteY11363"/>
            </a:cxn>
            <a:cxn ang="0">
              <a:pos x="connsiteX11364" y="connsiteY11364"/>
            </a:cxn>
            <a:cxn ang="0">
              <a:pos x="connsiteX11365" y="connsiteY11365"/>
            </a:cxn>
            <a:cxn ang="0">
              <a:pos x="connsiteX11366" y="connsiteY11366"/>
            </a:cxn>
            <a:cxn ang="0">
              <a:pos x="connsiteX11367" y="connsiteY11367"/>
            </a:cxn>
            <a:cxn ang="0">
              <a:pos x="connsiteX11368" y="connsiteY11368"/>
            </a:cxn>
            <a:cxn ang="0">
              <a:pos x="connsiteX11369" y="connsiteY11369"/>
            </a:cxn>
            <a:cxn ang="0">
              <a:pos x="connsiteX11370" y="connsiteY11370"/>
            </a:cxn>
            <a:cxn ang="0">
              <a:pos x="connsiteX11371" y="connsiteY11371"/>
            </a:cxn>
            <a:cxn ang="0">
              <a:pos x="connsiteX11372" y="connsiteY11372"/>
            </a:cxn>
            <a:cxn ang="0">
              <a:pos x="connsiteX11373" y="connsiteY11373"/>
            </a:cxn>
            <a:cxn ang="0">
              <a:pos x="connsiteX11374" y="connsiteY11374"/>
            </a:cxn>
            <a:cxn ang="0">
              <a:pos x="connsiteX11375" y="connsiteY11375"/>
            </a:cxn>
            <a:cxn ang="0">
              <a:pos x="connsiteX11376" y="connsiteY11376"/>
            </a:cxn>
            <a:cxn ang="0">
              <a:pos x="connsiteX11377" y="connsiteY11377"/>
            </a:cxn>
            <a:cxn ang="0">
              <a:pos x="connsiteX11378" y="connsiteY11378"/>
            </a:cxn>
            <a:cxn ang="0">
              <a:pos x="connsiteX11379" y="connsiteY11379"/>
            </a:cxn>
            <a:cxn ang="0">
              <a:pos x="connsiteX11380" y="connsiteY11380"/>
            </a:cxn>
            <a:cxn ang="0">
              <a:pos x="connsiteX11381" y="connsiteY11381"/>
            </a:cxn>
            <a:cxn ang="0">
              <a:pos x="connsiteX11382" y="connsiteY11382"/>
            </a:cxn>
            <a:cxn ang="0">
              <a:pos x="connsiteX11383" y="connsiteY11383"/>
            </a:cxn>
            <a:cxn ang="0">
              <a:pos x="connsiteX11384" y="connsiteY11384"/>
            </a:cxn>
            <a:cxn ang="0">
              <a:pos x="connsiteX11385" y="connsiteY11385"/>
            </a:cxn>
            <a:cxn ang="0">
              <a:pos x="connsiteX11386" y="connsiteY11386"/>
            </a:cxn>
            <a:cxn ang="0">
              <a:pos x="connsiteX11387" y="connsiteY11387"/>
            </a:cxn>
            <a:cxn ang="0">
              <a:pos x="connsiteX11388" y="connsiteY11388"/>
            </a:cxn>
            <a:cxn ang="0">
              <a:pos x="connsiteX11389" y="connsiteY11389"/>
            </a:cxn>
            <a:cxn ang="0">
              <a:pos x="connsiteX11390" y="connsiteY11390"/>
            </a:cxn>
            <a:cxn ang="0">
              <a:pos x="connsiteX11391" y="connsiteY11391"/>
            </a:cxn>
            <a:cxn ang="0">
              <a:pos x="connsiteX11392" y="connsiteY11392"/>
            </a:cxn>
            <a:cxn ang="0">
              <a:pos x="connsiteX11393" y="connsiteY11393"/>
            </a:cxn>
            <a:cxn ang="0">
              <a:pos x="connsiteX11394" y="connsiteY11394"/>
            </a:cxn>
            <a:cxn ang="0">
              <a:pos x="connsiteX11395" y="connsiteY11395"/>
            </a:cxn>
            <a:cxn ang="0">
              <a:pos x="connsiteX11396" y="connsiteY11396"/>
            </a:cxn>
            <a:cxn ang="0">
              <a:pos x="connsiteX11397" y="connsiteY11397"/>
            </a:cxn>
            <a:cxn ang="0">
              <a:pos x="connsiteX11398" y="connsiteY11398"/>
            </a:cxn>
            <a:cxn ang="0">
              <a:pos x="connsiteX11399" y="connsiteY11399"/>
            </a:cxn>
            <a:cxn ang="0">
              <a:pos x="connsiteX11400" y="connsiteY11400"/>
            </a:cxn>
            <a:cxn ang="0">
              <a:pos x="connsiteX11401" y="connsiteY11401"/>
            </a:cxn>
            <a:cxn ang="0">
              <a:pos x="connsiteX11402" y="connsiteY11402"/>
            </a:cxn>
            <a:cxn ang="0">
              <a:pos x="connsiteX11403" y="connsiteY11403"/>
            </a:cxn>
            <a:cxn ang="0">
              <a:pos x="connsiteX11404" y="connsiteY11404"/>
            </a:cxn>
            <a:cxn ang="0">
              <a:pos x="connsiteX11405" y="connsiteY11405"/>
            </a:cxn>
            <a:cxn ang="0">
              <a:pos x="connsiteX11406" y="connsiteY11406"/>
            </a:cxn>
            <a:cxn ang="0">
              <a:pos x="connsiteX11407" y="connsiteY11407"/>
            </a:cxn>
            <a:cxn ang="0">
              <a:pos x="connsiteX11408" y="connsiteY11408"/>
            </a:cxn>
            <a:cxn ang="0">
              <a:pos x="connsiteX11409" y="connsiteY11409"/>
            </a:cxn>
            <a:cxn ang="0">
              <a:pos x="connsiteX11410" y="connsiteY11410"/>
            </a:cxn>
            <a:cxn ang="0">
              <a:pos x="connsiteX11411" y="connsiteY11411"/>
            </a:cxn>
            <a:cxn ang="0">
              <a:pos x="connsiteX11412" y="connsiteY11412"/>
            </a:cxn>
            <a:cxn ang="0">
              <a:pos x="connsiteX11413" y="connsiteY11413"/>
            </a:cxn>
            <a:cxn ang="0">
              <a:pos x="connsiteX11414" y="connsiteY11414"/>
            </a:cxn>
            <a:cxn ang="0">
              <a:pos x="connsiteX11415" y="connsiteY11415"/>
            </a:cxn>
            <a:cxn ang="0">
              <a:pos x="connsiteX11416" y="connsiteY11416"/>
            </a:cxn>
            <a:cxn ang="0">
              <a:pos x="connsiteX11417" y="connsiteY11417"/>
            </a:cxn>
            <a:cxn ang="0">
              <a:pos x="connsiteX11418" y="connsiteY11418"/>
            </a:cxn>
            <a:cxn ang="0">
              <a:pos x="connsiteX11419" y="connsiteY11419"/>
            </a:cxn>
            <a:cxn ang="0">
              <a:pos x="connsiteX11420" y="connsiteY11420"/>
            </a:cxn>
            <a:cxn ang="0">
              <a:pos x="connsiteX11421" y="connsiteY11421"/>
            </a:cxn>
            <a:cxn ang="0">
              <a:pos x="connsiteX11422" y="connsiteY11422"/>
            </a:cxn>
            <a:cxn ang="0">
              <a:pos x="connsiteX11423" y="connsiteY11423"/>
            </a:cxn>
            <a:cxn ang="0">
              <a:pos x="connsiteX11424" y="connsiteY11424"/>
            </a:cxn>
            <a:cxn ang="0">
              <a:pos x="connsiteX11425" y="connsiteY11425"/>
            </a:cxn>
            <a:cxn ang="0">
              <a:pos x="connsiteX11426" y="connsiteY11426"/>
            </a:cxn>
            <a:cxn ang="0">
              <a:pos x="connsiteX11427" y="connsiteY11427"/>
            </a:cxn>
            <a:cxn ang="0">
              <a:pos x="connsiteX11428" y="connsiteY11428"/>
            </a:cxn>
            <a:cxn ang="0">
              <a:pos x="connsiteX11429" y="connsiteY11429"/>
            </a:cxn>
            <a:cxn ang="0">
              <a:pos x="connsiteX11430" y="connsiteY11430"/>
            </a:cxn>
            <a:cxn ang="0">
              <a:pos x="connsiteX11431" y="connsiteY11431"/>
            </a:cxn>
            <a:cxn ang="0">
              <a:pos x="connsiteX11432" y="connsiteY11432"/>
            </a:cxn>
            <a:cxn ang="0">
              <a:pos x="connsiteX11433" y="connsiteY11433"/>
            </a:cxn>
            <a:cxn ang="0">
              <a:pos x="connsiteX11434" y="connsiteY11434"/>
            </a:cxn>
            <a:cxn ang="0">
              <a:pos x="connsiteX11435" y="connsiteY11435"/>
            </a:cxn>
            <a:cxn ang="0">
              <a:pos x="connsiteX11436" y="connsiteY11436"/>
            </a:cxn>
            <a:cxn ang="0">
              <a:pos x="connsiteX11437" y="connsiteY11437"/>
            </a:cxn>
            <a:cxn ang="0">
              <a:pos x="connsiteX11438" y="connsiteY11438"/>
            </a:cxn>
            <a:cxn ang="0">
              <a:pos x="connsiteX11439" y="connsiteY11439"/>
            </a:cxn>
            <a:cxn ang="0">
              <a:pos x="connsiteX11440" y="connsiteY11440"/>
            </a:cxn>
            <a:cxn ang="0">
              <a:pos x="connsiteX11441" y="connsiteY11441"/>
            </a:cxn>
            <a:cxn ang="0">
              <a:pos x="connsiteX11442" y="connsiteY11442"/>
            </a:cxn>
            <a:cxn ang="0">
              <a:pos x="connsiteX11443" y="connsiteY11443"/>
            </a:cxn>
            <a:cxn ang="0">
              <a:pos x="connsiteX11444" y="connsiteY11444"/>
            </a:cxn>
            <a:cxn ang="0">
              <a:pos x="connsiteX11445" y="connsiteY11445"/>
            </a:cxn>
            <a:cxn ang="0">
              <a:pos x="connsiteX11446" y="connsiteY11446"/>
            </a:cxn>
            <a:cxn ang="0">
              <a:pos x="connsiteX11447" y="connsiteY11447"/>
            </a:cxn>
            <a:cxn ang="0">
              <a:pos x="connsiteX11448" y="connsiteY11448"/>
            </a:cxn>
            <a:cxn ang="0">
              <a:pos x="connsiteX11449" y="connsiteY11449"/>
            </a:cxn>
            <a:cxn ang="0">
              <a:pos x="connsiteX11450" y="connsiteY11450"/>
            </a:cxn>
            <a:cxn ang="0">
              <a:pos x="connsiteX11451" y="connsiteY11451"/>
            </a:cxn>
            <a:cxn ang="0">
              <a:pos x="connsiteX11452" y="connsiteY11452"/>
            </a:cxn>
            <a:cxn ang="0">
              <a:pos x="connsiteX11453" y="connsiteY11453"/>
            </a:cxn>
            <a:cxn ang="0">
              <a:pos x="connsiteX11454" y="connsiteY11454"/>
            </a:cxn>
            <a:cxn ang="0">
              <a:pos x="connsiteX11455" y="connsiteY11455"/>
            </a:cxn>
            <a:cxn ang="0">
              <a:pos x="connsiteX11456" y="connsiteY11456"/>
            </a:cxn>
            <a:cxn ang="0">
              <a:pos x="connsiteX11457" y="connsiteY11457"/>
            </a:cxn>
            <a:cxn ang="0">
              <a:pos x="connsiteX11458" y="connsiteY11458"/>
            </a:cxn>
            <a:cxn ang="0">
              <a:pos x="connsiteX11459" y="connsiteY11459"/>
            </a:cxn>
            <a:cxn ang="0">
              <a:pos x="connsiteX11460" y="connsiteY11460"/>
            </a:cxn>
            <a:cxn ang="0">
              <a:pos x="connsiteX11461" y="connsiteY11461"/>
            </a:cxn>
            <a:cxn ang="0">
              <a:pos x="connsiteX11462" y="connsiteY11462"/>
            </a:cxn>
            <a:cxn ang="0">
              <a:pos x="connsiteX11463" y="connsiteY11463"/>
            </a:cxn>
            <a:cxn ang="0">
              <a:pos x="connsiteX11464" y="connsiteY11464"/>
            </a:cxn>
            <a:cxn ang="0">
              <a:pos x="connsiteX11465" y="connsiteY11465"/>
            </a:cxn>
            <a:cxn ang="0">
              <a:pos x="connsiteX11466" y="connsiteY11466"/>
            </a:cxn>
            <a:cxn ang="0">
              <a:pos x="connsiteX11467" y="connsiteY11467"/>
            </a:cxn>
            <a:cxn ang="0">
              <a:pos x="connsiteX11468" y="connsiteY11468"/>
            </a:cxn>
            <a:cxn ang="0">
              <a:pos x="connsiteX11469" y="connsiteY11469"/>
            </a:cxn>
            <a:cxn ang="0">
              <a:pos x="connsiteX11470" y="connsiteY11470"/>
            </a:cxn>
            <a:cxn ang="0">
              <a:pos x="connsiteX11471" y="connsiteY11471"/>
            </a:cxn>
            <a:cxn ang="0">
              <a:pos x="connsiteX11472" y="connsiteY11472"/>
            </a:cxn>
            <a:cxn ang="0">
              <a:pos x="connsiteX11473" y="connsiteY11473"/>
            </a:cxn>
            <a:cxn ang="0">
              <a:pos x="connsiteX11474" y="connsiteY11474"/>
            </a:cxn>
            <a:cxn ang="0">
              <a:pos x="connsiteX11475" y="connsiteY11475"/>
            </a:cxn>
            <a:cxn ang="0">
              <a:pos x="connsiteX11476" y="connsiteY11476"/>
            </a:cxn>
            <a:cxn ang="0">
              <a:pos x="connsiteX11477" y="connsiteY11477"/>
            </a:cxn>
            <a:cxn ang="0">
              <a:pos x="connsiteX11478" y="connsiteY11478"/>
            </a:cxn>
            <a:cxn ang="0">
              <a:pos x="connsiteX11479" y="connsiteY11479"/>
            </a:cxn>
            <a:cxn ang="0">
              <a:pos x="connsiteX11480" y="connsiteY11480"/>
            </a:cxn>
            <a:cxn ang="0">
              <a:pos x="connsiteX11481" y="connsiteY11481"/>
            </a:cxn>
            <a:cxn ang="0">
              <a:pos x="connsiteX11482" y="connsiteY11482"/>
            </a:cxn>
            <a:cxn ang="0">
              <a:pos x="connsiteX11483" y="connsiteY11483"/>
            </a:cxn>
            <a:cxn ang="0">
              <a:pos x="connsiteX11484" y="connsiteY11484"/>
            </a:cxn>
            <a:cxn ang="0">
              <a:pos x="connsiteX11485" y="connsiteY11485"/>
            </a:cxn>
            <a:cxn ang="0">
              <a:pos x="connsiteX11486" y="connsiteY11486"/>
            </a:cxn>
            <a:cxn ang="0">
              <a:pos x="connsiteX11487" y="connsiteY11487"/>
            </a:cxn>
            <a:cxn ang="0">
              <a:pos x="connsiteX11488" y="connsiteY11488"/>
            </a:cxn>
            <a:cxn ang="0">
              <a:pos x="connsiteX11489" y="connsiteY11489"/>
            </a:cxn>
            <a:cxn ang="0">
              <a:pos x="connsiteX11490" y="connsiteY11490"/>
            </a:cxn>
            <a:cxn ang="0">
              <a:pos x="connsiteX11491" y="connsiteY11491"/>
            </a:cxn>
            <a:cxn ang="0">
              <a:pos x="connsiteX11492" y="connsiteY11492"/>
            </a:cxn>
            <a:cxn ang="0">
              <a:pos x="connsiteX11493" y="connsiteY11493"/>
            </a:cxn>
            <a:cxn ang="0">
              <a:pos x="connsiteX11494" y="connsiteY11494"/>
            </a:cxn>
            <a:cxn ang="0">
              <a:pos x="connsiteX11495" y="connsiteY11495"/>
            </a:cxn>
            <a:cxn ang="0">
              <a:pos x="connsiteX11496" y="connsiteY11496"/>
            </a:cxn>
            <a:cxn ang="0">
              <a:pos x="connsiteX11497" y="connsiteY11497"/>
            </a:cxn>
            <a:cxn ang="0">
              <a:pos x="connsiteX11498" y="connsiteY11498"/>
            </a:cxn>
            <a:cxn ang="0">
              <a:pos x="connsiteX11499" y="connsiteY11499"/>
            </a:cxn>
            <a:cxn ang="0">
              <a:pos x="connsiteX11500" y="connsiteY11500"/>
            </a:cxn>
            <a:cxn ang="0">
              <a:pos x="connsiteX11501" y="connsiteY11501"/>
            </a:cxn>
            <a:cxn ang="0">
              <a:pos x="connsiteX11502" y="connsiteY11502"/>
            </a:cxn>
            <a:cxn ang="0">
              <a:pos x="connsiteX11503" y="connsiteY11503"/>
            </a:cxn>
            <a:cxn ang="0">
              <a:pos x="connsiteX11504" y="connsiteY11504"/>
            </a:cxn>
            <a:cxn ang="0">
              <a:pos x="connsiteX11505" y="connsiteY11505"/>
            </a:cxn>
            <a:cxn ang="0">
              <a:pos x="connsiteX11506" y="connsiteY11506"/>
            </a:cxn>
            <a:cxn ang="0">
              <a:pos x="connsiteX11507" y="connsiteY11507"/>
            </a:cxn>
            <a:cxn ang="0">
              <a:pos x="connsiteX11508" y="connsiteY11508"/>
            </a:cxn>
            <a:cxn ang="0">
              <a:pos x="connsiteX11509" y="connsiteY11509"/>
            </a:cxn>
            <a:cxn ang="0">
              <a:pos x="connsiteX11510" y="connsiteY11510"/>
            </a:cxn>
            <a:cxn ang="0">
              <a:pos x="connsiteX11511" y="connsiteY11511"/>
            </a:cxn>
            <a:cxn ang="0">
              <a:pos x="connsiteX11512" y="connsiteY11512"/>
            </a:cxn>
            <a:cxn ang="0">
              <a:pos x="connsiteX11513" y="connsiteY11513"/>
            </a:cxn>
            <a:cxn ang="0">
              <a:pos x="connsiteX11514" y="connsiteY11514"/>
            </a:cxn>
            <a:cxn ang="0">
              <a:pos x="connsiteX11515" y="connsiteY11515"/>
            </a:cxn>
            <a:cxn ang="0">
              <a:pos x="connsiteX11516" y="connsiteY11516"/>
            </a:cxn>
            <a:cxn ang="0">
              <a:pos x="connsiteX11517" y="connsiteY11517"/>
            </a:cxn>
            <a:cxn ang="0">
              <a:pos x="connsiteX11518" y="connsiteY11518"/>
            </a:cxn>
            <a:cxn ang="0">
              <a:pos x="connsiteX11519" y="connsiteY11519"/>
            </a:cxn>
            <a:cxn ang="0">
              <a:pos x="connsiteX11520" y="connsiteY11520"/>
            </a:cxn>
            <a:cxn ang="0">
              <a:pos x="connsiteX11521" y="connsiteY11521"/>
            </a:cxn>
            <a:cxn ang="0">
              <a:pos x="connsiteX11522" y="connsiteY11522"/>
            </a:cxn>
            <a:cxn ang="0">
              <a:pos x="connsiteX11523" y="connsiteY11523"/>
            </a:cxn>
            <a:cxn ang="0">
              <a:pos x="connsiteX11524" y="connsiteY11524"/>
            </a:cxn>
            <a:cxn ang="0">
              <a:pos x="connsiteX11525" y="connsiteY11525"/>
            </a:cxn>
            <a:cxn ang="0">
              <a:pos x="connsiteX11526" y="connsiteY11526"/>
            </a:cxn>
            <a:cxn ang="0">
              <a:pos x="connsiteX11527" y="connsiteY11527"/>
            </a:cxn>
            <a:cxn ang="0">
              <a:pos x="connsiteX11528" y="connsiteY11528"/>
            </a:cxn>
            <a:cxn ang="0">
              <a:pos x="connsiteX11529" y="connsiteY11529"/>
            </a:cxn>
            <a:cxn ang="0">
              <a:pos x="connsiteX11530" y="connsiteY11530"/>
            </a:cxn>
            <a:cxn ang="0">
              <a:pos x="connsiteX11531" y="connsiteY11531"/>
            </a:cxn>
            <a:cxn ang="0">
              <a:pos x="connsiteX11532" y="connsiteY11532"/>
            </a:cxn>
            <a:cxn ang="0">
              <a:pos x="connsiteX11533" y="connsiteY11533"/>
            </a:cxn>
            <a:cxn ang="0">
              <a:pos x="connsiteX11534" y="connsiteY11534"/>
            </a:cxn>
            <a:cxn ang="0">
              <a:pos x="connsiteX11535" y="connsiteY11535"/>
            </a:cxn>
            <a:cxn ang="0">
              <a:pos x="connsiteX11536" y="connsiteY11536"/>
            </a:cxn>
            <a:cxn ang="0">
              <a:pos x="connsiteX11537" y="connsiteY11537"/>
            </a:cxn>
            <a:cxn ang="0">
              <a:pos x="connsiteX11538" y="connsiteY11538"/>
            </a:cxn>
            <a:cxn ang="0">
              <a:pos x="connsiteX11539" y="connsiteY11539"/>
            </a:cxn>
            <a:cxn ang="0">
              <a:pos x="connsiteX11540" y="connsiteY11540"/>
            </a:cxn>
            <a:cxn ang="0">
              <a:pos x="connsiteX11541" y="connsiteY11541"/>
            </a:cxn>
            <a:cxn ang="0">
              <a:pos x="connsiteX11542" y="connsiteY11542"/>
            </a:cxn>
            <a:cxn ang="0">
              <a:pos x="connsiteX11543" y="connsiteY11543"/>
            </a:cxn>
            <a:cxn ang="0">
              <a:pos x="connsiteX11544" y="connsiteY11544"/>
            </a:cxn>
            <a:cxn ang="0">
              <a:pos x="connsiteX11545" y="connsiteY11545"/>
            </a:cxn>
            <a:cxn ang="0">
              <a:pos x="connsiteX11546" y="connsiteY11546"/>
            </a:cxn>
            <a:cxn ang="0">
              <a:pos x="connsiteX11547" y="connsiteY11547"/>
            </a:cxn>
            <a:cxn ang="0">
              <a:pos x="connsiteX11548" y="connsiteY11548"/>
            </a:cxn>
            <a:cxn ang="0">
              <a:pos x="connsiteX11549" y="connsiteY11549"/>
            </a:cxn>
            <a:cxn ang="0">
              <a:pos x="connsiteX11550" y="connsiteY11550"/>
            </a:cxn>
            <a:cxn ang="0">
              <a:pos x="connsiteX11551" y="connsiteY11551"/>
            </a:cxn>
            <a:cxn ang="0">
              <a:pos x="connsiteX11552" y="connsiteY11552"/>
            </a:cxn>
            <a:cxn ang="0">
              <a:pos x="connsiteX11553" y="connsiteY11553"/>
            </a:cxn>
            <a:cxn ang="0">
              <a:pos x="connsiteX11554" y="connsiteY11554"/>
            </a:cxn>
            <a:cxn ang="0">
              <a:pos x="connsiteX11555" y="connsiteY11555"/>
            </a:cxn>
            <a:cxn ang="0">
              <a:pos x="connsiteX11556" y="connsiteY11556"/>
            </a:cxn>
            <a:cxn ang="0">
              <a:pos x="connsiteX11557" y="connsiteY11557"/>
            </a:cxn>
            <a:cxn ang="0">
              <a:pos x="connsiteX11558" y="connsiteY11558"/>
            </a:cxn>
            <a:cxn ang="0">
              <a:pos x="connsiteX11559" y="connsiteY11559"/>
            </a:cxn>
            <a:cxn ang="0">
              <a:pos x="connsiteX11560" y="connsiteY11560"/>
            </a:cxn>
            <a:cxn ang="0">
              <a:pos x="connsiteX11561" y="connsiteY11561"/>
            </a:cxn>
            <a:cxn ang="0">
              <a:pos x="connsiteX11562" y="connsiteY11562"/>
            </a:cxn>
            <a:cxn ang="0">
              <a:pos x="connsiteX11563" y="connsiteY11563"/>
            </a:cxn>
            <a:cxn ang="0">
              <a:pos x="connsiteX11564" y="connsiteY11564"/>
            </a:cxn>
            <a:cxn ang="0">
              <a:pos x="connsiteX11565" y="connsiteY11565"/>
            </a:cxn>
            <a:cxn ang="0">
              <a:pos x="connsiteX11566" y="connsiteY11566"/>
            </a:cxn>
            <a:cxn ang="0">
              <a:pos x="connsiteX11567" y="connsiteY11567"/>
            </a:cxn>
            <a:cxn ang="0">
              <a:pos x="connsiteX11568" y="connsiteY11568"/>
            </a:cxn>
            <a:cxn ang="0">
              <a:pos x="connsiteX11569" y="connsiteY11569"/>
            </a:cxn>
            <a:cxn ang="0">
              <a:pos x="connsiteX11570" y="connsiteY11570"/>
            </a:cxn>
            <a:cxn ang="0">
              <a:pos x="connsiteX11571" y="connsiteY11571"/>
            </a:cxn>
            <a:cxn ang="0">
              <a:pos x="connsiteX11572" y="connsiteY11572"/>
            </a:cxn>
            <a:cxn ang="0">
              <a:pos x="connsiteX11573" y="connsiteY11573"/>
            </a:cxn>
            <a:cxn ang="0">
              <a:pos x="connsiteX11574" y="connsiteY11574"/>
            </a:cxn>
            <a:cxn ang="0">
              <a:pos x="connsiteX11575" y="connsiteY11575"/>
            </a:cxn>
            <a:cxn ang="0">
              <a:pos x="connsiteX11576" y="connsiteY11576"/>
            </a:cxn>
            <a:cxn ang="0">
              <a:pos x="connsiteX11577" y="connsiteY11577"/>
            </a:cxn>
            <a:cxn ang="0">
              <a:pos x="connsiteX11578" y="connsiteY11578"/>
            </a:cxn>
            <a:cxn ang="0">
              <a:pos x="connsiteX11579" y="connsiteY11579"/>
            </a:cxn>
            <a:cxn ang="0">
              <a:pos x="connsiteX11580" y="connsiteY11580"/>
            </a:cxn>
            <a:cxn ang="0">
              <a:pos x="connsiteX11581" y="connsiteY11581"/>
            </a:cxn>
            <a:cxn ang="0">
              <a:pos x="connsiteX11582" y="connsiteY11582"/>
            </a:cxn>
            <a:cxn ang="0">
              <a:pos x="connsiteX11583" y="connsiteY11583"/>
            </a:cxn>
            <a:cxn ang="0">
              <a:pos x="connsiteX11584" y="connsiteY11584"/>
            </a:cxn>
            <a:cxn ang="0">
              <a:pos x="connsiteX11585" y="connsiteY11585"/>
            </a:cxn>
            <a:cxn ang="0">
              <a:pos x="connsiteX11586" y="connsiteY11586"/>
            </a:cxn>
            <a:cxn ang="0">
              <a:pos x="connsiteX11587" y="connsiteY11587"/>
            </a:cxn>
            <a:cxn ang="0">
              <a:pos x="connsiteX11588" y="connsiteY11588"/>
            </a:cxn>
            <a:cxn ang="0">
              <a:pos x="connsiteX11589" y="connsiteY11589"/>
            </a:cxn>
            <a:cxn ang="0">
              <a:pos x="connsiteX11590" y="connsiteY11590"/>
            </a:cxn>
            <a:cxn ang="0">
              <a:pos x="connsiteX11591" y="connsiteY11591"/>
            </a:cxn>
            <a:cxn ang="0">
              <a:pos x="connsiteX11592" y="connsiteY11592"/>
            </a:cxn>
            <a:cxn ang="0">
              <a:pos x="connsiteX11593" y="connsiteY11593"/>
            </a:cxn>
            <a:cxn ang="0">
              <a:pos x="connsiteX11594" y="connsiteY11594"/>
            </a:cxn>
            <a:cxn ang="0">
              <a:pos x="connsiteX11595" y="connsiteY11595"/>
            </a:cxn>
            <a:cxn ang="0">
              <a:pos x="connsiteX11596" y="connsiteY11596"/>
            </a:cxn>
            <a:cxn ang="0">
              <a:pos x="connsiteX11597" y="connsiteY11597"/>
            </a:cxn>
            <a:cxn ang="0">
              <a:pos x="connsiteX11598" y="connsiteY11598"/>
            </a:cxn>
            <a:cxn ang="0">
              <a:pos x="connsiteX11599" y="connsiteY11599"/>
            </a:cxn>
            <a:cxn ang="0">
              <a:pos x="connsiteX11600" y="connsiteY11600"/>
            </a:cxn>
            <a:cxn ang="0">
              <a:pos x="connsiteX11601" y="connsiteY11601"/>
            </a:cxn>
            <a:cxn ang="0">
              <a:pos x="connsiteX11602" y="connsiteY11602"/>
            </a:cxn>
            <a:cxn ang="0">
              <a:pos x="connsiteX11603" y="connsiteY11603"/>
            </a:cxn>
            <a:cxn ang="0">
              <a:pos x="connsiteX11604" y="connsiteY11604"/>
            </a:cxn>
            <a:cxn ang="0">
              <a:pos x="connsiteX11605" y="connsiteY11605"/>
            </a:cxn>
            <a:cxn ang="0">
              <a:pos x="connsiteX11606" y="connsiteY11606"/>
            </a:cxn>
            <a:cxn ang="0">
              <a:pos x="connsiteX11607" y="connsiteY11607"/>
            </a:cxn>
            <a:cxn ang="0">
              <a:pos x="connsiteX11608" y="connsiteY11608"/>
            </a:cxn>
            <a:cxn ang="0">
              <a:pos x="connsiteX11609" y="connsiteY11609"/>
            </a:cxn>
            <a:cxn ang="0">
              <a:pos x="connsiteX11610" y="connsiteY11610"/>
            </a:cxn>
            <a:cxn ang="0">
              <a:pos x="connsiteX11611" y="connsiteY11611"/>
            </a:cxn>
            <a:cxn ang="0">
              <a:pos x="connsiteX11612" y="connsiteY11612"/>
            </a:cxn>
            <a:cxn ang="0">
              <a:pos x="connsiteX11613" y="connsiteY11613"/>
            </a:cxn>
            <a:cxn ang="0">
              <a:pos x="connsiteX11614" y="connsiteY11614"/>
            </a:cxn>
            <a:cxn ang="0">
              <a:pos x="connsiteX11615" y="connsiteY11615"/>
            </a:cxn>
            <a:cxn ang="0">
              <a:pos x="connsiteX11616" y="connsiteY11616"/>
            </a:cxn>
            <a:cxn ang="0">
              <a:pos x="connsiteX11617" y="connsiteY11617"/>
            </a:cxn>
            <a:cxn ang="0">
              <a:pos x="connsiteX11618" y="connsiteY11618"/>
            </a:cxn>
            <a:cxn ang="0">
              <a:pos x="connsiteX11619" y="connsiteY11619"/>
            </a:cxn>
            <a:cxn ang="0">
              <a:pos x="connsiteX11620" y="connsiteY11620"/>
            </a:cxn>
            <a:cxn ang="0">
              <a:pos x="connsiteX11621" y="connsiteY11621"/>
            </a:cxn>
            <a:cxn ang="0">
              <a:pos x="connsiteX11622" y="connsiteY11622"/>
            </a:cxn>
            <a:cxn ang="0">
              <a:pos x="connsiteX11623" y="connsiteY11623"/>
            </a:cxn>
            <a:cxn ang="0">
              <a:pos x="connsiteX11624" y="connsiteY11624"/>
            </a:cxn>
            <a:cxn ang="0">
              <a:pos x="connsiteX11625" y="connsiteY11625"/>
            </a:cxn>
            <a:cxn ang="0">
              <a:pos x="connsiteX11626" y="connsiteY11626"/>
            </a:cxn>
            <a:cxn ang="0">
              <a:pos x="connsiteX11627" y="connsiteY11627"/>
            </a:cxn>
            <a:cxn ang="0">
              <a:pos x="connsiteX11628" y="connsiteY11628"/>
            </a:cxn>
            <a:cxn ang="0">
              <a:pos x="connsiteX11629" y="connsiteY11629"/>
            </a:cxn>
            <a:cxn ang="0">
              <a:pos x="connsiteX11630" y="connsiteY11630"/>
            </a:cxn>
            <a:cxn ang="0">
              <a:pos x="connsiteX11631" y="connsiteY11631"/>
            </a:cxn>
            <a:cxn ang="0">
              <a:pos x="connsiteX11632" y="connsiteY11632"/>
            </a:cxn>
            <a:cxn ang="0">
              <a:pos x="connsiteX11633" y="connsiteY11633"/>
            </a:cxn>
            <a:cxn ang="0">
              <a:pos x="connsiteX11634" y="connsiteY11634"/>
            </a:cxn>
            <a:cxn ang="0">
              <a:pos x="connsiteX11635" y="connsiteY11635"/>
            </a:cxn>
            <a:cxn ang="0">
              <a:pos x="connsiteX11636" y="connsiteY11636"/>
            </a:cxn>
            <a:cxn ang="0">
              <a:pos x="connsiteX11637" y="connsiteY11637"/>
            </a:cxn>
            <a:cxn ang="0">
              <a:pos x="connsiteX11638" y="connsiteY11638"/>
            </a:cxn>
            <a:cxn ang="0">
              <a:pos x="connsiteX11639" y="connsiteY11639"/>
            </a:cxn>
            <a:cxn ang="0">
              <a:pos x="connsiteX11640" y="connsiteY11640"/>
            </a:cxn>
            <a:cxn ang="0">
              <a:pos x="connsiteX11641" y="connsiteY11641"/>
            </a:cxn>
            <a:cxn ang="0">
              <a:pos x="connsiteX11642" y="connsiteY11642"/>
            </a:cxn>
            <a:cxn ang="0">
              <a:pos x="connsiteX11643" y="connsiteY11643"/>
            </a:cxn>
            <a:cxn ang="0">
              <a:pos x="connsiteX11644" y="connsiteY11644"/>
            </a:cxn>
            <a:cxn ang="0">
              <a:pos x="connsiteX11645" y="connsiteY11645"/>
            </a:cxn>
            <a:cxn ang="0">
              <a:pos x="connsiteX11646" y="connsiteY11646"/>
            </a:cxn>
            <a:cxn ang="0">
              <a:pos x="connsiteX11647" y="connsiteY11647"/>
            </a:cxn>
            <a:cxn ang="0">
              <a:pos x="connsiteX11648" y="connsiteY11648"/>
            </a:cxn>
            <a:cxn ang="0">
              <a:pos x="connsiteX11649" y="connsiteY11649"/>
            </a:cxn>
            <a:cxn ang="0">
              <a:pos x="connsiteX11650" y="connsiteY11650"/>
            </a:cxn>
            <a:cxn ang="0">
              <a:pos x="connsiteX11651" y="connsiteY11651"/>
            </a:cxn>
            <a:cxn ang="0">
              <a:pos x="connsiteX11652" y="connsiteY11652"/>
            </a:cxn>
            <a:cxn ang="0">
              <a:pos x="connsiteX11653" y="connsiteY11653"/>
            </a:cxn>
            <a:cxn ang="0">
              <a:pos x="connsiteX11654" y="connsiteY11654"/>
            </a:cxn>
            <a:cxn ang="0">
              <a:pos x="connsiteX11655" y="connsiteY11655"/>
            </a:cxn>
            <a:cxn ang="0">
              <a:pos x="connsiteX11656" y="connsiteY11656"/>
            </a:cxn>
            <a:cxn ang="0">
              <a:pos x="connsiteX11657" y="connsiteY11657"/>
            </a:cxn>
            <a:cxn ang="0">
              <a:pos x="connsiteX11658" y="connsiteY11658"/>
            </a:cxn>
            <a:cxn ang="0">
              <a:pos x="connsiteX11659" y="connsiteY11659"/>
            </a:cxn>
            <a:cxn ang="0">
              <a:pos x="connsiteX11660" y="connsiteY11660"/>
            </a:cxn>
            <a:cxn ang="0">
              <a:pos x="connsiteX11661" y="connsiteY11661"/>
            </a:cxn>
            <a:cxn ang="0">
              <a:pos x="connsiteX11662" y="connsiteY11662"/>
            </a:cxn>
            <a:cxn ang="0">
              <a:pos x="connsiteX11663" y="connsiteY11663"/>
            </a:cxn>
            <a:cxn ang="0">
              <a:pos x="connsiteX11664" y="connsiteY11664"/>
            </a:cxn>
            <a:cxn ang="0">
              <a:pos x="connsiteX11665" y="connsiteY11665"/>
            </a:cxn>
            <a:cxn ang="0">
              <a:pos x="connsiteX11666" y="connsiteY11666"/>
            </a:cxn>
            <a:cxn ang="0">
              <a:pos x="connsiteX11667" y="connsiteY11667"/>
            </a:cxn>
            <a:cxn ang="0">
              <a:pos x="connsiteX11668" y="connsiteY11668"/>
            </a:cxn>
            <a:cxn ang="0">
              <a:pos x="connsiteX11669" y="connsiteY11669"/>
            </a:cxn>
            <a:cxn ang="0">
              <a:pos x="connsiteX11670" y="connsiteY11670"/>
            </a:cxn>
            <a:cxn ang="0">
              <a:pos x="connsiteX11671" y="connsiteY11671"/>
            </a:cxn>
            <a:cxn ang="0">
              <a:pos x="connsiteX11672" y="connsiteY11672"/>
            </a:cxn>
            <a:cxn ang="0">
              <a:pos x="connsiteX11673" y="connsiteY11673"/>
            </a:cxn>
            <a:cxn ang="0">
              <a:pos x="connsiteX11674" y="connsiteY11674"/>
            </a:cxn>
            <a:cxn ang="0">
              <a:pos x="connsiteX11675" y="connsiteY11675"/>
            </a:cxn>
            <a:cxn ang="0">
              <a:pos x="connsiteX11676" y="connsiteY11676"/>
            </a:cxn>
            <a:cxn ang="0">
              <a:pos x="connsiteX11677" y="connsiteY11677"/>
            </a:cxn>
            <a:cxn ang="0">
              <a:pos x="connsiteX11678" y="connsiteY11678"/>
            </a:cxn>
            <a:cxn ang="0">
              <a:pos x="connsiteX11679" y="connsiteY11679"/>
            </a:cxn>
            <a:cxn ang="0">
              <a:pos x="connsiteX11680" y="connsiteY11680"/>
            </a:cxn>
            <a:cxn ang="0">
              <a:pos x="connsiteX11681" y="connsiteY11681"/>
            </a:cxn>
            <a:cxn ang="0">
              <a:pos x="connsiteX11682" y="connsiteY11682"/>
            </a:cxn>
            <a:cxn ang="0">
              <a:pos x="connsiteX11683" y="connsiteY11683"/>
            </a:cxn>
            <a:cxn ang="0">
              <a:pos x="connsiteX11684" y="connsiteY11684"/>
            </a:cxn>
            <a:cxn ang="0">
              <a:pos x="connsiteX11685" y="connsiteY11685"/>
            </a:cxn>
            <a:cxn ang="0">
              <a:pos x="connsiteX11686" y="connsiteY11686"/>
            </a:cxn>
            <a:cxn ang="0">
              <a:pos x="connsiteX11687" y="connsiteY11687"/>
            </a:cxn>
            <a:cxn ang="0">
              <a:pos x="connsiteX11688" y="connsiteY11688"/>
            </a:cxn>
            <a:cxn ang="0">
              <a:pos x="connsiteX11689" y="connsiteY11689"/>
            </a:cxn>
            <a:cxn ang="0">
              <a:pos x="connsiteX11690" y="connsiteY11690"/>
            </a:cxn>
            <a:cxn ang="0">
              <a:pos x="connsiteX11691" y="connsiteY11691"/>
            </a:cxn>
            <a:cxn ang="0">
              <a:pos x="connsiteX11692" y="connsiteY11692"/>
            </a:cxn>
            <a:cxn ang="0">
              <a:pos x="connsiteX11693" y="connsiteY11693"/>
            </a:cxn>
            <a:cxn ang="0">
              <a:pos x="connsiteX11694" y="connsiteY11694"/>
            </a:cxn>
            <a:cxn ang="0">
              <a:pos x="connsiteX11695" y="connsiteY11695"/>
            </a:cxn>
            <a:cxn ang="0">
              <a:pos x="connsiteX11696" y="connsiteY11696"/>
            </a:cxn>
            <a:cxn ang="0">
              <a:pos x="connsiteX11697" y="connsiteY11697"/>
            </a:cxn>
            <a:cxn ang="0">
              <a:pos x="connsiteX11698" y="connsiteY11698"/>
            </a:cxn>
            <a:cxn ang="0">
              <a:pos x="connsiteX11699" y="connsiteY11699"/>
            </a:cxn>
            <a:cxn ang="0">
              <a:pos x="connsiteX11700" y="connsiteY11700"/>
            </a:cxn>
            <a:cxn ang="0">
              <a:pos x="connsiteX11701" y="connsiteY11701"/>
            </a:cxn>
            <a:cxn ang="0">
              <a:pos x="connsiteX11702" y="connsiteY11702"/>
            </a:cxn>
            <a:cxn ang="0">
              <a:pos x="connsiteX11703" y="connsiteY11703"/>
            </a:cxn>
            <a:cxn ang="0">
              <a:pos x="connsiteX11704" y="connsiteY11704"/>
            </a:cxn>
            <a:cxn ang="0">
              <a:pos x="connsiteX11705" y="connsiteY11705"/>
            </a:cxn>
            <a:cxn ang="0">
              <a:pos x="connsiteX11706" y="connsiteY11706"/>
            </a:cxn>
            <a:cxn ang="0">
              <a:pos x="connsiteX11707" y="connsiteY11707"/>
            </a:cxn>
            <a:cxn ang="0">
              <a:pos x="connsiteX11708" y="connsiteY11708"/>
            </a:cxn>
            <a:cxn ang="0">
              <a:pos x="connsiteX11709" y="connsiteY11709"/>
            </a:cxn>
            <a:cxn ang="0">
              <a:pos x="connsiteX11710" y="connsiteY11710"/>
            </a:cxn>
            <a:cxn ang="0">
              <a:pos x="connsiteX11711" y="connsiteY11711"/>
            </a:cxn>
            <a:cxn ang="0">
              <a:pos x="connsiteX11712" y="connsiteY11712"/>
            </a:cxn>
            <a:cxn ang="0">
              <a:pos x="connsiteX11713" y="connsiteY11713"/>
            </a:cxn>
            <a:cxn ang="0">
              <a:pos x="connsiteX11714" y="connsiteY11714"/>
            </a:cxn>
            <a:cxn ang="0">
              <a:pos x="connsiteX11715" y="connsiteY11715"/>
            </a:cxn>
            <a:cxn ang="0">
              <a:pos x="connsiteX11716" y="connsiteY11716"/>
            </a:cxn>
            <a:cxn ang="0">
              <a:pos x="connsiteX11717" y="connsiteY11717"/>
            </a:cxn>
            <a:cxn ang="0">
              <a:pos x="connsiteX11718" y="connsiteY11718"/>
            </a:cxn>
            <a:cxn ang="0">
              <a:pos x="connsiteX11719" y="connsiteY11719"/>
            </a:cxn>
            <a:cxn ang="0">
              <a:pos x="connsiteX11720" y="connsiteY11720"/>
            </a:cxn>
            <a:cxn ang="0">
              <a:pos x="connsiteX11721" y="connsiteY11721"/>
            </a:cxn>
            <a:cxn ang="0">
              <a:pos x="connsiteX11722" y="connsiteY11722"/>
            </a:cxn>
            <a:cxn ang="0">
              <a:pos x="connsiteX11723" y="connsiteY11723"/>
            </a:cxn>
            <a:cxn ang="0">
              <a:pos x="connsiteX11724" y="connsiteY11724"/>
            </a:cxn>
            <a:cxn ang="0">
              <a:pos x="connsiteX11725" y="connsiteY11725"/>
            </a:cxn>
            <a:cxn ang="0">
              <a:pos x="connsiteX11726" y="connsiteY11726"/>
            </a:cxn>
            <a:cxn ang="0">
              <a:pos x="connsiteX11727" y="connsiteY11727"/>
            </a:cxn>
            <a:cxn ang="0">
              <a:pos x="connsiteX11728" y="connsiteY11728"/>
            </a:cxn>
            <a:cxn ang="0">
              <a:pos x="connsiteX11729" y="connsiteY11729"/>
            </a:cxn>
            <a:cxn ang="0">
              <a:pos x="connsiteX11730" y="connsiteY11730"/>
            </a:cxn>
            <a:cxn ang="0">
              <a:pos x="connsiteX11731" y="connsiteY11731"/>
            </a:cxn>
            <a:cxn ang="0">
              <a:pos x="connsiteX11732" y="connsiteY11732"/>
            </a:cxn>
            <a:cxn ang="0">
              <a:pos x="connsiteX11733" y="connsiteY11733"/>
            </a:cxn>
            <a:cxn ang="0">
              <a:pos x="connsiteX11734" y="connsiteY11734"/>
            </a:cxn>
            <a:cxn ang="0">
              <a:pos x="connsiteX11735" y="connsiteY11735"/>
            </a:cxn>
            <a:cxn ang="0">
              <a:pos x="connsiteX11736" y="connsiteY11736"/>
            </a:cxn>
            <a:cxn ang="0">
              <a:pos x="connsiteX11737" y="connsiteY11737"/>
            </a:cxn>
            <a:cxn ang="0">
              <a:pos x="connsiteX11738" y="connsiteY11738"/>
            </a:cxn>
            <a:cxn ang="0">
              <a:pos x="connsiteX11739" y="connsiteY11739"/>
            </a:cxn>
            <a:cxn ang="0">
              <a:pos x="connsiteX11740" y="connsiteY11740"/>
            </a:cxn>
            <a:cxn ang="0">
              <a:pos x="connsiteX11741" y="connsiteY11741"/>
            </a:cxn>
            <a:cxn ang="0">
              <a:pos x="connsiteX11742" y="connsiteY11742"/>
            </a:cxn>
            <a:cxn ang="0">
              <a:pos x="connsiteX11743" y="connsiteY11743"/>
            </a:cxn>
            <a:cxn ang="0">
              <a:pos x="connsiteX11744" y="connsiteY11744"/>
            </a:cxn>
            <a:cxn ang="0">
              <a:pos x="connsiteX11745" y="connsiteY11745"/>
            </a:cxn>
            <a:cxn ang="0">
              <a:pos x="connsiteX11746" y="connsiteY11746"/>
            </a:cxn>
            <a:cxn ang="0">
              <a:pos x="connsiteX11747" y="connsiteY11747"/>
            </a:cxn>
            <a:cxn ang="0">
              <a:pos x="connsiteX11748" y="connsiteY11748"/>
            </a:cxn>
            <a:cxn ang="0">
              <a:pos x="connsiteX11749" y="connsiteY11749"/>
            </a:cxn>
            <a:cxn ang="0">
              <a:pos x="connsiteX11750" y="connsiteY11750"/>
            </a:cxn>
            <a:cxn ang="0">
              <a:pos x="connsiteX11751" y="connsiteY11751"/>
            </a:cxn>
            <a:cxn ang="0">
              <a:pos x="connsiteX11752" y="connsiteY11752"/>
            </a:cxn>
            <a:cxn ang="0">
              <a:pos x="connsiteX11753" y="connsiteY11753"/>
            </a:cxn>
            <a:cxn ang="0">
              <a:pos x="connsiteX11754" y="connsiteY11754"/>
            </a:cxn>
            <a:cxn ang="0">
              <a:pos x="connsiteX11755" y="connsiteY11755"/>
            </a:cxn>
            <a:cxn ang="0">
              <a:pos x="connsiteX11756" y="connsiteY11756"/>
            </a:cxn>
            <a:cxn ang="0">
              <a:pos x="connsiteX11757" y="connsiteY11757"/>
            </a:cxn>
            <a:cxn ang="0">
              <a:pos x="connsiteX11758" y="connsiteY11758"/>
            </a:cxn>
            <a:cxn ang="0">
              <a:pos x="connsiteX11759" y="connsiteY11759"/>
            </a:cxn>
            <a:cxn ang="0">
              <a:pos x="connsiteX11760" y="connsiteY11760"/>
            </a:cxn>
            <a:cxn ang="0">
              <a:pos x="connsiteX11761" y="connsiteY11761"/>
            </a:cxn>
            <a:cxn ang="0">
              <a:pos x="connsiteX11762" y="connsiteY11762"/>
            </a:cxn>
            <a:cxn ang="0">
              <a:pos x="connsiteX11763" y="connsiteY11763"/>
            </a:cxn>
            <a:cxn ang="0">
              <a:pos x="connsiteX11764" y="connsiteY11764"/>
            </a:cxn>
            <a:cxn ang="0">
              <a:pos x="connsiteX11765" y="connsiteY11765"/>
            </a:cxn>
            <a:cxn ang="0">
              <a:pos x="connsiteX11766" y="connsiteY11766"/>
            </a:cxn>
            <a:cxn ang="0">
              <a:pos x="connsiteX11767" y="connsiteY11767"/>
            </a:cxn>
            <a:cxn ang="0">
              <a:pos x="connsiteX11768" y="connsiteY11768"/>
            </a:cxn>
            <a:cxn ang="0">
              <a:pos x="connsiteX11769" y="connsiteY11769"/>
            </a:cxn>
            <a:cxn ang="0">
              <a:pos x="connsiteX11770" y="connsiteY11770"/>
            </a:cxn>
            <a:cxn ang="0">
              <a:pos x="connsiteX11771" y="connsiteY11771"/>
            </a:cxn>
            <a:cxn ang="0">
              <a:pos x="connsiteX11772" y="connsiteY11772"/>
            </a:cxn>
            <a:cxn ang="0">
              <a:pos x="connsiteX11773" y="connsiteY11773"/>
            </a:cxn>
            <a:cxn ang="0">
              <a:pos x="connsiteX11774" y="connsiteY11774"/>
            </a:cxn>
            <a:cxn ang="0">
              <a:pos x="connsiteX11775" y="connsiteY11775"/>
            </a:cxn>
            <a:cxn ang="0">
              <a:pos x="connsiteX11776" y="connsiteY11776"/>
            </a:cxn>
            <a:cxn ang="0">
              <a:pos x="connsiteX11777" y="connsiteY11777"/>
            </a:cxn>
            <a:cxn ang="0">
              <a:pos x="connsiteX11778" y="connsiteY11778"/>
            </a:cxn>
            <a:cxn ang="0">
              <a:pos x="connsiteX11779" y="connsiteY11779"/>
            </a:cxn>
            <a:cxn ang="0">
              <a:pos x="connsiteX11780" y="connsiteY11780"/>
            </a:cxn>
            <a:cxn ang="0">
              <a:pos x="connsiteX11781" y="connsiteY11781"/>
            </a:cxn>
            <a:cxn ang="0">
              <a:pos x="connsiteX11782" y="connsiteY11782"/>
            </a:cxn>
            <a:cxn ang="0">
              <a:pos x="connsiteX11783" y="connsiteY11783"/>
            </a:cxn>
            <a:cxn ang="0">
              <a:pos x="connsiteX11784" y="connsiteY11784"/>
            </a:cxn>
            <a:cxn ang="0">
              <a:pos x="connsiteX11785" y="connsiteY11785"/>
            </a:cxn>
            <a:cxn ang="0">
              <a:pos x="connsiteX11786" y="connsiteY11786"/>
            </a:cxn>
            <a:cxn ang="0">
              <a:pos x="connsiteX11787" y="connsiteY11787"/>
            </a:cxn>
            <a:cxn ang="0">
              <a:pos x="connsiteX11788" y="connsiteY11788"/>
            </a:cxn>
            <a:cxn ang="0">
              <a:pos x="connsiteX11789" y="connsiteY11789"/>
            </a:cxn>
            <a:cxn ang="0">
              <a:pos x="connsiteX11790" y="connsiteY11790"/>
            </a:cxn>
            <a:cxn ang="0">
              <a:pos x="connsiteX11791" y="connsiteY11791"/>
            </a:cxn>
            <a:cxn ang="0">
              <a:pos x="connsiteX11792" y="connsiteY11792"/>
            </a:cxn>
            <a:cxn ang="0">
              <a:pos x="connsiteX11793" y="connsiteY11793"/>
            </a:cxn>
            <a:cxn ang="0">
              <a:pos x="connsiteX11794" y="connsiteY11794"/>
            </a:cxn>
            <a:cxn ang="0">
              <a:pos x="connsiteX11795" y="connsiteY11795"/>
            </a:cxn>
            <a:cxn ang="0">
              <a:pos x="connsiteX11796" y="connsiteY11796"/>
            </a:cxn>
            <a:cxn ang="0">
              <a:pos x="connsiteX11797" y="connsiteY11797"/>
            </a:cxn>
            <a:cxn ang="0">
              <a:pos x="connsiteX11798" y="connsiteY11798"/>
            </a:cxn>
            <a:cxn ang="0">
              <a:pos x="connsiteX11799" y="connsiteY11799"/>
            </a:cxn>
            <a:cxn ang="0">
              <a:pos x="connsiteX11800" y="connsiteY11800"/>
            </a:cxn>
            <a:cxn ang="0">
              <a:pos x="connsiteX11801" y="connsiteY11801"/>
            </a:cxn>
            <a:cxn ang="0">
              <a:pos x="connsiteX11802" y="connsiteY11802"/>
            </a:cxn>
            <a:cxn ang="0">
              <a:pos x="connsiteX11803" y="connsiteY11803"/>
            </a:cxn>
            <a:cxn ang="0">
              <a:pos x="connsiteX11804" y="connsiteY11804"/>
            </a:cxn>
            <a:cxn ang="0">
              <a:pos x="connsiteX11805" y="connsiteY11805"/>
            </a:cxn>
            <a:cxn ang="0">
              <a:pos x="connsiteX11806" y="connsiteY11806"/>
            </a:cxn>
            <a:cxn ang="0">
              <a:pos x="connsiteX11807" y="connsiteY11807"/>
            </a:cxn>
            <a:cxn ang="0">
              <a:pos x="connsiteX11808" y="connsiteY11808"/>
            </a:cxn>
            <a:cxn ang="0">
              <a:pos x="connsiteX11809" y="connsiteY11809"/>
            </a:cxn>
            <a:cxn ang="0">
              <a:pos x="connsiteX11810" y="connsiteY11810"/>
            </a:cxn>
            <a:cxn ang="0">
              <a:pos x="connsiteX11811" y="connsiteY11811"/>
            </a:cxn>
            <a:cxn ang="0">
              <a:pos x="connsiteX11812" y="connsiteY11812"/>
            </a:cxn>
            <a:cxn ang="0">
              <a:pos x="connsiteX11813" y="connsiteY11813"/>
            </a:cxn>
            <a:cxn ang="0">
              <a:pos x="connsiteX11814" y="connsiteY11814"/>
            </a:cxn>
            <a:cxn ang="0">
              <a:pos x="connsiteX11815" y="connsiteY11815"/>
            </a:cxn>
            <a:cxn ang="0">
              <a:pos x="connsiteX11816" y="connsiteY11816"/>
            </a:cxn>
            <a:cxn ang="0">
              <a:pos x="connsiteX11817" y="connsiteY11817"/>
            </a:cxn>
            <a:cxn ang="0">
              <a:pos x="connsiteX11818" y="connsiteY11818"/>
            </a:cxn>
            <a:cxn ang="0">
              <a:pos x="connsiteX11819" y="connsiteY11819"/>
            </a:cxn>
            <a:cxn ang="0">
              <a:pos x="connsiteX11820" y="connsiteY11820"/>
            </a:cxn>
            <a:cxn ang="0">
              <a:pos x="connsiteX11821" y="connsiteY11821"/>
            </a:cxn>
            <a:cxn ang="0">
              <a:pos x="connsiteX11822" y="connsiteY11822"/>
            </a:cxn>
            <a:cxn ang="0">
              <a:pos x="connsiteX11823" y="connsiteY11823"/>
            </a:cxn>
            <a:cxn ang="0">
              <a:pos x="connsiteX11824" y="connsiteY11824"/>
            </a:cxn>
            <a:cxn ang="0">
              <a:pos x="connsiteX11825" y="connsiteY11825"/>
            </a:cxn>
            <a:cxn ang="0">
              <a:pos x="connsiteX11826" y="connsiteY11826"/>
            </a:cxn>
            <a:cxn ang="0">
              <a:pos x="connsiteX11827" y="connsiteY11827"/>
            </a:cxn>
            <a:cxn ang="0">
              <a:pos x="connsiteX11828" y="connsiteY11828"/>
            </a:cxn>
            <a:cxn ang="0">
              <a:pos x="connsiteX11829" y="connsiteY11829"/>
            </a:cxn>
            <a:cxn ang="0">
              <a:pos x="connsiteX11830" y="connsiteY11830"/>
            </a:cxn>
            <a:cxn ang="0">
              <a:pos x="connsiteX11831" y="connsiteY11831"/>
            </a:cxn>
            <a:cxn ang="0">
              <a:pos x="connsiteX11832" y="connsiteY11832"/>
            </a:cxn>
            <a:cxn ang="0">
              <a:pos x="connsiteX11833" y="connsiteY11833"/>
            </a:cxn>
            <a:cxn ang="0">
              <a:pos x="connsiteX11834" y="connsiteY11834"/>
            </a:cxn>
            <a:cxn ang="0">
              <a:pos x="connsiteX11835" y="connsiteY11835"/>
            </a:cxn>
            <a:cxn ang="0">
              <a:pos x="connsiteX11836" y="connsiteY11836"/>
            </a:cxn>
            <a:cxn ang="0">
              <a:pos x="connsiteX11837" y="connsiteY11837"/>
            </a:cxn>
            <a:cxn ang="0">
              <a:pos x="connsiteX11838" y="connsiteY11838"/>
            </a:cxn>
            <a:cxn ang="0">
              <a:pos x="connsiteX11839" y="connsiteY11839"/>
            </a:cxn>
            <a:cxn ang="0">
              <a:pos x="connsiteX11840" y="connsiteY11840"/>
            </a:cxn>
            <a:cxn ang="0">
              <a:pos x="connsiteX11841" y="connsiteY11841"/>
            </a:cxn>
            <a:cxn ang="0">
              <a:pos x="connsiteX11842" y="connsiteY11842"/>
            </a:cxn>
            <a:cxn ang="0">
              <a:pos x="connsiteX11843" y="connsiteY11843"/>
            </a:cxn>
            <a:cxn ang="0">
              <a:pos x="connsiteX11844" y="connsiteY11844"/>
            </a:cxn>
            <a:cxn ang="0">
              <a:pos x="connsiteX11845" y="connsiteY11845"/>
            </a:cxn>
            <a:cxn ang="0">
              <a:pos x="connsiteX11846" y="connsiteY11846"/>
            </a:cxn>
            <a:cxn ang="0">
              <a:pos x="connsiteX11847" y="connsiteY11847"/>
            </a:cxn>
            <a:cxn ang="0">
              <a:pos x="connsiteX11848" y="connsiteY11848"/>
            </a:cxn>
            <a:cxn ang="0">
              <a:pos x="connsiteX11849" y="connsiteY11849"/>
            </a:cxn>
            <a:cxn ang="0">
              <a:pos x="connsiteX11850" y="connsiteY11850"/>
            </a:cxn>
            <a:cxn ang="0">
              <a:pos x="connsiteX11851" y="connsiteY11851"/>
            </a:cxn>
            <a:cxn ang="0">
              <a:pos x="connsiteX11852" y="connsiteY11852"/>
            </a:cxn>
            <a:cxn ang="0">
              <a:pos x="connsiteX11853" y="connsiteY11853"/>
            </a:cxn>
            <a:cxn ang="0">
              <a:pos x="connsiteX11854" y="connsiteY11854"/>
            </a:cxn>
            <a:cxn ang="0">
              <a:pos x="connsiteX11855" y="connsiteY11855"/>
            </a:cxn>
            <a:cxn ang="0">
              <a:pos x="connsiteX11856" y="connsiteY11856"/>
            </a:cxn>
            <a:cxn ang="0">
              <a:pos x="connsiteX11857" y="connsiteY11857"/>
            </a:cxn>
            <a:cxn ang="0">
              <a:pos x="connsiteX11858" y="connsiteY11858"/>
            </a:cxn>
            <a:cxn ang="0">
              <a:pos x="connsiteX11859" y="connsiteY11859"/>
            </a:cxn>
            <a:cxn ang="0">
              <a:pos x="connsiteX11860" y="connsiteY11860"/>
            </a:cxn>
            <a:cxn ang="0">
              <a:pos x="connsiteX11861" y="connsiteY11861"/>
            </a:cxn>
            <a:cxn ang="0">
              <a:pos x="connsiteX11862" y="connsiteY11862"/>
            </a:cxn>
            <a:cxn ang="0">
              <a:pos x="connsiteX11863" y="connsiteY11863"/>
            </a:cxn>
            <a:cxn ang="0">
              <a:pos x="connsiteX11864" y="connsiteY11864"/>
            </a:cxn>
            <a:cxn ang="0">
              <a:pos x="connsiteX11865" y="connsiteY11865"/>
            </a:cxn>
            <a:cxn ang="0">
              <a:pos x="connsiteX11866" y="connsiteY11866"/>
            </a:cxn>
            <a:cxn ang="0">
              <a:pos x="connsiteX11867" y="connsiteY11867"/>
            </a:cxn>
            <a:cxn ang="0">
              <a:pos x="connsiteX11868" y="connsiteY11868"/>
            </a:cxn>
            <a:cxn ang="0">
              <a:pos x="connsiteX11869" y="connsiteY11869"/>
            </a:cxn>
            <a:cxn ang="0">
              <a:pos x="connsiteX11870" y="connsiteY11870"/>
            </a:cxn>
            <a:cxn ang="0">
              <a:pos x="connsiteX11871" y="connsiteY11871"/>
            </a:cxn>
            <a:cxn ang="0">
              <a:pos x="connsiteX11872" y="connsiteY11872"/>
            </a:cxn>
            <a:cxn ang="0">
              <a:pos x="connsiteX11873" y="connsiteY11873"/>
            </a:cxn>
            <a:cxn ang="0">
              <a:pos x="connsiteX11874" y="connsiteY11874"/>
            </a:cxn>
            <a:cxn ang="0">
              <a:pos x="connsiteX11875" y="connsiteY11875"/>
            </a:cxn>
            <a:cxn ang="0">
              <a:pos x="connsiteX11876" y="connsiteY11876"/>
            </a:cxn>
            <a:cxn ang="0">
              <a:pos x="connsiteX11877" y="connsiteY11877"/>
            </a:cxn>
            <a:cxn ang="0">
              <a:pos x="connsiteX11878" y="connsiteY11878"/>
            </a:cxn>
            <a:cxn ang="0">
              <a:pos x="connsiteX11879" y="connsiteY11879"/>
            </a:cxn>
            <a:cxn ang="0">
              <a:pos x="connsiteX11880" y="connsiteY11880"/>
            </a:cxn>
            <a:cxn ang="0">
              <a:pos x="connsiteX11881" y="connsiteY11881"/>
            </a:cxn>
            <a:cxn ang="0">
              <a:pos x="connsiteX11882" y="connsiteY11882"/>
            </a:cxn>
            <a:cxn ang="0">
              <a:pos x="connsiteX11883" y="connsiteY11883"/>
            </a:cxn>
            <a:cxn ang="0">
              <a:pos x="connsiteX11884" y="connsiteY11884"/>
            </a:cxn>
            <a:cxn ang="0">
              <a:pos x="connsiteX11885" y="connsiteY11885"/>
            </a:cxn>
            <a:cxn ang="0">
              <a:pos x="connsiteX11886" y="connsiteY11886"/>
            </a:cxn>
            <a:cxn ang="0">
              <a:pos x="connsiteX11887" y="connsiteY11887"/>
            </a:cxn>
            <a:cxn ang="0">
              <a:pos x="connsiteX11888" y="connsiteY11888"/>
            </a:cxn>
            <a:cxn ang="0">
              <a:pos x="connsiteX11889" y="connsiteY11889"/>
            </a:cxn>
            <a:cxn ang="0">
              <a:pos x="connsiteX11890" y="connsiteY11890"/>
            </a:cxn>
            <a:cxn ang="0">
              <a:pos x="connsiteX11891" y="connsiteY11891"/>
            </a:cxn>
            <a:cxn ang="0">
              <a:pos x="connsiteX11892" y="connsiteY11892"/>
            </a:cxn>
            <a:cxn ang="0">
              <a:pos x="connsiteX11893" y="connsiteY11893"/>
            </a:cxn>
            <a:cxn ang="0">
              <a:pos x="connsiteX11894" y="connsiteY11894"/>
            </a:cxn>
            <a:cxn ang="0">
              <a:pos x="connsiteX11895" y="connsiteY11895"/>
            </a:cxn>
            <a:cxn ang="0">
              <a:pos x="connsiteX11896" y="connsiteY11896"/>
            </a:cxn>
            <a:cxn ang="0">
              <a:pos x="connsiteX11897" y="connsiteY11897"/>
            </a:cxn>
            <a:cxn ang="0">
              <a:pos x="connsiteX11898" y="connsiteY11898"/>
            </a:cxn>
            <a:cxn ang="0">
              <a:pos x="connsiteX11899" y="connsiteY11899"/>
            </a:cxn>
            <a:cxn ang="0">
              <a:pos x="connsiteX11900" y="connsiteY11900"/>
            </a:cxn>
            <a:cxn ang="0">
              <a:pos x="connsiteX11901" y="connsiteY11901"/>
            </a:cxn>
            <a:cxn ang="0">
              <a:pos x="connsiteX11902" y="connsiteY11902"/>
            </a:cxn>
            <a:cxn ang="0">
              <a:pos x="connsiteX11903" y="connsiteY11903"/>
            </a:cxn>
            <a:cxn ang="0">
              <a:pos x="connsiteX11904" y="connsiteY11904"/>
            </a:cxn>
            <a:cxn ang="0">
              <a:pos x="connsiteX11905" y="connsiteY11905"/>
            </a:cxn>
            <a:cxn ang="0">
              <a:pos x="connsiteX11906" y="connsiteY11906"/>
            </a:cxn>
            <a:cxn ang="0">
              <a:pos x="connsiteX11907" y="connsiteY11907"/>
            </a:cxn>
            <a:cxn ang="0">
              <a:pos x="connsiteX11908" y="connsiteY11908"/>
            </a:cxn>
            <a:cxn ang="0">
              <a:pos x="connsiteX11909" y="connsiteY11909"/>
            </a:cxn>
            <a:cxn ang="0">
              <a:pos x="connsiteX11910" y="connsiteY11910"/>
            </a:cxn>
            <a:cxn ang="0">
              <a:pos x="connsiteX11911" y="connsiteY11911"/>
            </a:cxn>
            <a:cxn ang="0">
              <a:pos x="connsiteX11912" y="connsiteY11912"/>
            </a:cxn>
            <a:cxn ang="0">
              <a:pos x="connsiteX11913" y="connsiteY11913"/>
            </a:cxn>
            <a:cxn ang="0">
              <a:pos x="connsiteX11914" y="connsiteY11914"/>
            </a:cxn>
            <a:cxn ang="0">
              <a:pos x="connsiteX11915" y="connsiteY11915"/>
            </a:cxn>
            <a:cxn ang="0">
              <a:pos x="connsiteX11916" y="connsiteY11916"/>
            </a:cxn>
            <a:cxn ang="0">
              <a:pos x="connsiteX11917" y="connsiteY11917"/>
            </a:cxn>
            <a:cxn ang="0">
              <a:pos x="connsiteX11918" y="connsiteY11918"/>
            </a:cxn>
            <a:cxn ang="0">
              <a:pos x="connsiteX11919" y="connsiteY11919"/>
            </a:cxn>
            <a:cxn ang="0">
              <a:pos x="connsiteX11920" y="connsiteY11920"/>
            </a:cxn>
            <a:cxn ang="0">
              <a:pos x="connsiteX11921" y="connsiteY11921"/>
            </a:cxn>
            <a:cxn ang="0">
              <a:pos x="connsiteX11922" y="connsiteY11922"/>
            </a:cxn>
            <a:cxn ang="0">
              <a:pos x="connsiteX11923" y="connsiteY11923"/>
            </a:cxn>
            <a:cxn ang="0">
              <a:pos x="connsiteX11924" y="connsiteY11924"/>
            </a:cxn>
            <a:cxn ang="0">
              <a:pos x="connsiteX11925" y="connsiteY11925"/>
            </a:cxn>
            <a:cxn ang="0">
              <a:pos x="connsiteX11926" y="connsiteY11926"/>
            </a:cxn>
            <a:cxn ang="0">
              <a:pos x="connsiteX11927" y="connsiteY11927"/>
            </a:cxn>
            <a:cxn ang="0">
              <a:pos x="connsiteX11928" y="connsiteY11928"/>
            </a:cxn>
            <a:cxn ang="0">
              <a:pos x="connsiteX11929" y="connsiteY11929"/>
            </a:cxn>
            <a:cxn ang="0">
              <a:pos x="connsiteX11930" y="connsiteY11930"/>
            </a:cxn>
            <a:cxn ang="0">
              <a:pos x="connsiteX11931" y="connsiteY11931"/>
            </a:cxn>
            <a:cxn ang="0">
              <a:pos x="connsiteX11932" y="connsiteY11932"/>
            </a:cxn>
            <a:cxn ang="0">
              <a:pos x="connsiteX11933" y="connsiteY11933"/>
            </a:cxn>
            <a:cxn ang="0">
              <a:pos x="connsiteX11934" y="connsiteY11934"/>
            </a:cxn>
            <a:cxn ang="0">
              <a:pos x="connsiteX11935" y="connsiteY11935"/>
            </a:cxn>
            <a:cxn ang="0">
              <a:pos x="connsiteX11936" y="connsiteY11936"/>
            </a:cxn>
            <a:cxn ang="0">
              <a:pos x="connsiteX11937" y="connsiteY11937"/>
            </a:cxn>
            <a:cxn ang="0">
              <a:pos x="connsiteX11938" y="connsiteY11938"/>
            </a:cxn>
            <a:cxn ang="0">
              <a:pos x="connsiteX11939" y="connsiteY11939"/>
            </a:cxn>
            <a:cxn ang="0">
              <a:pos x="connsiteX11940" y="connsiteY11940"/>
            </a:cxn>
            <a:cxn ang="0">
              <a:pos x="connsiteX11941" y="connsiteY11941"/>
            </a:cxn>
            <a:cxn ang="0">
              <a:pos x="connsiteX11942" y="connsiteY11942"/>
            </a:cxn>
            <a:cxn ang="0">
              <a:pos x="connsiteX11943" y="connsiteY11943"/>
            </a:cxn>
            <a:cxn ang="0">
              <a:pos x="connsiteX11944" y="connsiteY11944"/>
            </a:cxn>
            <a:cxn ang="0">
              <a:pos x="connsiteX11945" y="connsiteY11945"/>
            </a:cxn>
            <a:cxn ang="0">
              <a:pos x="connsiteX11946" y="connsiteY11946"/>
            </a:cxn>
            <a:cxn ang="0">
              <a:pos x="connsiteX11947" y="connsiteY11947"/>
            </a:cxn>
            <a:cxn ang="0">
              <a:pos x="connsiteX11948" y="connsiteY11948"/>
            </a:cxn>
            <a:cxn ang="0">
              <a:pos x="connsiteX11949" y="connsiteY11949"/>
            </a:cxn>
            <a:cxn ang="0">
              <a:pos x="connsiteX11950" y="connsiteY11950"/>
            </a:cxn>
            <a:cxn ang="0">
              <a:pos x="connsiteX11951" y="connsiteY11951"/>
            </a:cxn>
            <a:cxn ang="0">
              <a:pos x="connsiteX11952" y="connsiteY11952"/>
            </a:cxn>
            <a:cxn ang="0">
              <a:pos x="connsiteX11953" y="connsiteY11953"/>
            </a:cxn>
            <a:cxn ang="0">
              <a:pos x="connsiteX11954" y="connsiteY11954"/>
            </a:cxn>
            <a:cxn ang="0">
              <a:pos x="connsiteX11955" y="connsiteY11955"/>
            </a:cxn>
            <a:cxn ang="0">
              <a:pos x="connsiteX11956" y="connsiteY11956"/>
            </a:cxn>
            <a:cxn ang="0">
              <a:pos x="connsiteX11957" y="connsiteY11957"/>
            </a:cxn>
            <a:cxn ang="0">
              <a:pos x="connsiteX11958" y="connsiteY11958"/>
            </a:cxn>
            <a:cxn ang="0">
              <a:pos x="connsiteX11959" y="connsiteY11959"/>
            </a:cxn>
            <a:cxn ang="0">
              <a:pos x="connsiteX11960" y="connsiteY11960"/>
            </a:cxn>
            <a:cxn ang="0">
              <a:pos x="connsiteX11961" y="connsiteY11961"/>
            </a:cxn>
            <a:cxn ang="0">
              <a:pos x="connsiteX11962" y="connsiteY11962"/>
            </a:cxn>
            <a:cxn ang="0">
              <a:pos x="connsiteX11963" y="connsiteY11963"/>
            </a:cxn>
            <a:cxn ang="0">
              <a:pos x="connsiteX11964" y="connsiteY11964"/>
            </a:cxn>
            <a:cxn ang="0">
              <a:pos x="connsiteX11965" y="connsiteY11965"/>
            </a:cxn>
            <a:cxn ang="0">
              <a:pos x="connsiteX11966" y="connsiteY11966"/>
            </a:cxn>
            <a:cxn ang="0">
              <a:pos x="connsiteX11967" y="connsiteY11967"/>
            </a:cxn>
            <a:cxn ang="0">
              <a:pos x="connsiteX11968" y="connsiteY11968"/>
            </a:cxn>
            <a:cxn ang="0">
              <a:pos x="connsiteX11969" y="connsiteY11969"/>
            </a:cxn>
            <a:cxn ang="0">
              <a:pos x="connsiteX11970" y="connsiteY11970"/>
            </a:cxn>
            <a:cxn ang="0">
              <a:pos x="connsiteX11971" y="connsiteY11971"/>
            </a:cxn>
            <a:cxn ang="0">
              <a:pos x="connsiteX11972" y="connsiteY11972"/>
            </a:cxn>
            <a:cxn ang="0">
              <a:pos x="connsiteX11973" y="connsiteY11973"/>
            </a:cxn>
            <a:cxn ang="0">
              <a:pos x="connsiteX11974" y="connsiteY11974"/>
            </a:cxn>
            <a:cxn ang="0">
              <a:pos x="connsiteX11975" y="connsiteY11975"/>
            </a:cxn>
            <a:cxn ang="0">
              <a:pos x="connsiteX11976" y="connsiteY11976"/>
            </a:cxn>
            <a:cxn ang="0">
              <a:pos x="connsiteX11977" y="connsiteY11977"/>
            </a:cxn>
            <a:cxn ang="0">
              <a:pos x="connsiteX11978" y="connsiteY11978"/>
            </a:cxn>
            <a:cxn ang="0">
              <a:pos x="connsiteX11979" y="connsiteY11979"/>
            </a:cxn>
            <a:cxn ang="0">
              <a:pos x="connsiteX11980" y="connsiteY11980"/>
            </a:cxn>
            <a:cxn ang="0">
              <a:pos x="connsiteX11981" y="connsiteY11981"/>
            </a:cxn>
            <a:cxn ang="0">
              <a:pos x="connsiteX11982" y="connsiteY11982"/>
            </a:cxn>
            <a:cxn ang="0">
              <a:pos x="connsiteX11983" y="connsiteY11983"/>
            </a:cxn>
            <a:cxn ang="0">
              <a:pos x="connsiteX11984" y="connsiteY11984"/>
            </a:cxn>
            <a:cxn ang="0">
              <a:pos x="connsiteX11985" y="connsiteY11985"/>
            </a:cxn>
            <a:cxn ang="0">
              <a:pos x="connsiteX11986" y="connsiteY11986"/>
            </a:cxn>
            <a:cxn ang="0">
              <a:pos x="connsiteX11987" y="connsiteY11987"/>
            </a:cxn>
            <a:cxn ang="0">
              <a:pos x="connsiteX11988" y="connsiteY11988"/>
            </a:cxn>
            <a:cxn ang="0">
              <a:pos x="connsiteX11989" y="connsiteY11989"/>
            </a:cxn>
            <a:cxn ang="0">
              <a:pos x="connsiteX11990" y="connsiteY11990"/>
            </a:cxn>
            <a:cxn ang="0">
              <a:pos x="connsiteX11991" y="connsiteY11991"/>
            </a:cxn>
            <a:cxn ang="0">
              <a:pos x="connsiteX11992" y="connsiteY11992"/>
            </a:cxn>
            <a:cxn ang="0">
              <a:pos x="connsiteX11993" y="connsiteY11993"/>
            </a:cxn>
            <a:cxn ang="0">
              <a:pos x="connsiteX11994" y="connsiteY11994"/>
            </a:cxn>
            <a:cxn ang="0">
              <a:pos x="connsiteX11995" y="connsiteY11995"/>
            </a:cxn>
            <a:cxn ang="0">
              <a:pos x="connsiteX11996" y="connsiteY11996"/>
            </a:cxn>
            <a:cxn ang="0">
              <a:pos x="connsiteX11997" y="connsiteY11997"/>
            </a:cxn>
            <a:cxn ang="0">
              <a:pos x="connsiteX11998" y="connsiteY11998"/>
            </a:cxn>
            <a:cxn ang="0">
              <a:pos x="connsiteX11999" y="connsiteY11999"/>
            </a:cxn>
            <a:cxn ang="0">
              <a:pos x="connsiteX12000" y="connsiteY12000"/>
            </a:cxn>
            <a:cxn ang="0">
              <a:pos x="connsiteX12001" y="connsiteY12001"/>
            </a:cxn>
            <a:cxn ang="0">
              <a:pos x="connsiteX12002" y="connsiteY12002"/>
            </a:cxn>
            <a:cxn ang="0">
              <a:pos x="connsiteX12003" y="connsiteY12003"/>
            </a:cxn>
            <a:cxn ang="0">
              <a:pos x="connsiteX12004" y="connsiteY12004"/>
            </a:cxn>
            <a:cxn ang="0">
              <a:pos x="connsiteX12005" y="connsiteY12005"/>
            </a:cxn>
            <a:cxn ang="0">
              <a:pos x="connsiteX12006" y="connsiteY12006"/>
            </a:cxn>
            <a:cxn ang="0">
              <a:pos x="connsiteX12007" y="connsiteY12007"/>
            </a:cxn>
            <a:cxn ang="0">
              <a:pos x="connsiteX12008" y="connsiteY12008"/>
            </a:cxn>
            <a:cxn ang="0">
              <a:pos x="connsiteX12009" y="connsiteY12009"/>
            </a:cxn>
            <a:cxn ang="0">
              <a:pos x="connsiteX12010" y="connsiteY12010"/>
            </a:cxn>
            <a:cxn ang="0">
              <a:pos x="connsiteX12011" y="connsiteY12011"/>
            </a:cxn>
            <a:cxn ang="0">
              <a:pos x="connsiteX12012" y="connsiteY12012"/>
            </a:cxn>
            <a:cxn ang="0">
              <a:pos x="connsiteX12013" y="connsiteY12013"/>
            </a:cxn>
            <a:cxn ang="0">
              <a:pos x="connsiteX12014" y="connsiteY12014"/>
            </a:cxn>
            <a:cxn ang="0">
              <a:pos x="connsiteX12015" y="connsiteY12015"/>
            </a:cxn>
            <a:cxn ang="0">
              <a:pos x="connsiteX12016" y="connsiteY12016"/>
            </a:cxn>
            <a:cxn ang="0">
              <a:pos x="connsiteX12017" y="connsiteY12017"/>
            </a:cxn>
            <a:cxn ang="0">
              <a:pos x="connsiteX12018" y="connsiteY12018"/>
            </a:cxn>
            <a:cxn ang="0">
              <a:pos x="connsiteX12019" y="connsiteY12019"/>
            </a:cxn>
            <a:cxn ang="0">
              <a:pos x="connsiteX12020" y="connsiteY12020"/>
            </a:cxn>
            <a:cxn ang="0">
              <a:pos x="connsiteX12021" y="connsiteY12021"/>
            </a:cxn>
            <a:cxn ang="0">
              <a:pos x="connsiteX12022" y="connsiteY12022"/>
            </a:cxn>
            <a:cxn ang="0">
              <a:pos x="connsiteX12023" y="connsiteY12023"/>
            </a:cxn>
            <a:cxn ang="0">
              <a:pos x="connsiteX12024" y="connsiteY12024"/>
            </a:cxn>
            <a:cxn ang="0">
              <a:pos x="connsiteX12025" y="connsiteY12025"/>
            </a:cxn>
            <a:cxn ang="0">
              <a:pos x="connsiteX12026" y="connsiteY12026"/>
            </a:cxn>
            <a:cxn ang="0">
              <a:pos x="connsiteX12027" y="connsiteY12027"/>
            </a:cxn>
            <a:cxn ang="0">
              <a:pos x="connsiteX12028" y="connsiteY12028"/>
            </a:cxn>
            <a:cxn ang="0">
              <a:pos x="connsiteX12029" y="connsiteY12029"/>
            </a:cxn>
            <a:cxn ang="0">
              <a:pos x="connsiteX12030" y="connsiteY12030"/>
            </a:cxn>
            <a:cxn ang="0">
              <a:pos x="connsiteX12031" y="connsiteY12031"/>
            </a:cxn>
            <a:cxn ang="0">
              <a:pos x="connsiteX12032" y="connsiteY12032"/>
            </a:cxn>
            <a:cxn ang="0">
              <a:pos x="connsiteX12033" y="connsiteY12033"/>
            </a:cxn>
            <a:cxn ang="0">
              <a:pos x="connsiteX12034" y="connsiteY12034"/>
            </a:cxn>
            <a:cxn ang="0">
              <a:pos x="connsiteX12035" y="connsiteY12035"/>
            </a:cxn>
            <a:cxn ang="0">
              <a:pos x="connsiteX12036" y="connsiteY12036"/>
            </a:cxn>
            <a:cxn ang="0">
              <a:pos x="connsiteX12037" y="connsiteY12037"/>
            </a:cxn>
            <a:cxn ang="0">
              <a:pos x="connsiteX12038" y="connsiteY12038"/>
            </a:cxn>
            <a:cxn ang="0">
              <a:pos x="connsiteX12039" y="connsiteY12039"/>
            </a:cxn>
            <a:cxn ang="0">
              <a:pos x="connsiteX12040" y="connsiteY12040"/>
            </a:cxn>
            <a:cxn ang="0">
              <a:pos x="connsiteX12041" y="connsiteY12041"/>
            </a:cxn>
            <a:cxn ang="0">
              <a:pos x="connsiteX12042" y="connsiteY12042"/>
            </a:cxn>
            <a:cxn ang="0">
              <a:pos x="connsiteX12043" y="connsiteY12043"/>
            </a:cxn>
            <a:cxn ang="0">
              <a:pos x="connsiteX12044" y="connsiteY12044"/>
            </a:cxn>
            <a:cxn ang="0">
              <a:pos x="connsiteX12045" y="connsiteY12045"/>
            </a:cxn>
            <a:cxn ang="0">
              <a:pos x="connsiteX12046" y="connsiteY12046"/>
            </a:cxn>
            <a:cxn ang="0">
              <a:pos x="connsiteX12047" y="connsiteY12047"/>
            </a:cxn>
            <a:cxn ang="0">
              <a:pos x="connsiteX12048" y="connsiteY12048"/>
            </a:cxn>
            <a:cxn ang="0">
              <a:pos x="connsiteX12049" y="connsiteY12049"/>
            </a:cxn>
            <a:cxn ang="0">
              <a:pos x="connsiteX12050" y="connsiteY12050"/>
            </a:cxn>
            <a:cxn ang="0">
              <a:pos x="connsiteX12051" y="connsiteY12051"/>
            </a:cxn>
            <a:cxn ang="0">
              <a:pos x="connsiteX12052" y="connsiteY12052"/>
            </a:cxn>
            <a:cxn ang="0">
              <a:pos x="connsiteX12053" y="connsiteY12053"/>
            </a:cxn>
            <a:cxn ang="0">
              <a:pos x="connsiteX12054" y="connsiteY12054"/>
            </a:cxn>
            <a:cxn ang="0">
              <a:pos x="connsiteX12055" y="connsiteY12055"/>
            </a:cxn>
            <a:cxn ang="0">
              <a:pos x="connsiteX12056" y="connsiteY12056"/>
            </a:cxn>
            <a:cxn ang="0">
              <a:pos x="connsiteX12057" y="connsiteY12057"/>
            </a:cxn>
            <a:cxn ang="0">
              <a:pos x="connsiteX12058" y="connsiteY12058"/>
            </a:cxn>
            <a:cxn ang="0">
              <a:pos x="connsiteX12059" y="connsiteY12059"/>
            </a:cxn>
            <a:cxn ang="0">
              <a:pos x="connsiteX12060" y="connsiteY12060"/>
            </a:cxn>
            <a:cxn ang="0">
              <a:pos x="connsiteX12061" y="connsiteY12061"/>
            </a:cxn>
            <a:cxn ang="0">
              <a:pos x="connsiteX12062" y="connsiteY12062"/>
            </a:cxn>
            <a:cxn ang="0">
              <a:pos x="connsiteX12063" y="connsiteY12063"/>
            </a:cxn>
            <a:cxn ang="0">
              <a:pos x="connsiteX12064" y="connsiteY12064"/>
            </a:cxn>
            <a:cxn ang="0">
              <a:pos x="connsiteX12065" y="connsiteY12065"/>
            </a:cxn>
            <a:cxn ang="0">
              <a:pos x="connsiteX12066" y="connsiteY12066"/>
            </a:cxn>
            <a:cxn ang="0">
              <a:pos x="connsiteX12067" y="connsiteY12067"/>
            </a:cxn>
            <a:cxn ang="0">
              <a:pos x="connsiteX12068" y="connsiteY12068"/>
            </a:cxn>
            <a:cxn ang="0">
              <a:pos x="connsiteX12069" y="connsiteY12069"/>
            </a:cxn>
            <a:cxn ang="0">
              <a:pos x="connsiteX12070" y="connsiteY12070"/>
            </a:cxn>
            <a:cxn ang="0">
              <a:pos x="connsiteX12071" y="connsiteY12071"/>
            </a:cxn>
            <a:cxn ang="0">
              <a:pos x="connsiteX12072" y="connsiteY12072"/>
            </a:cxn>
            <a:cxn ang="0">
              <a:pos x="connsiteX12073" y="connsiteY12073"/>
            </a:cxn>
            <a:cxn ang="0">
              <a:pos x="connsiteX12074" y="connsiteY12074"/>
            </a:cxn>
            <a:cxn ang="0">
              <a:pos x="connsiteX12075" y="connsiteY12075"/>
            </a:cxn>
            <a:cxn ang="0">
              <a:pos x="connsiteX12076" y="connsiteY12076"/>
            </a:cxn>
            <a:cxn ang="0">
              <a:pos x="connsiteX12077" y="connsiteY12077"/>
            </a:cxn>
            <a:cxn ang="0">
              <a:pos x="connsiteX12078" y="connsiteY12078"/>
            </a:cxn>
            <a:cxn ang="0">
              <a:pos x="connsiteX12079" y="connsiteY12079"/>
            </a:cxn>
            <a:cxn ang="0">
              <a:pos x="connsiteX12080" y="connsiteY12080"/>
            </a:cxn>
            <a:cxn ang="0">
              <a:pos x="connsiteX12081" y="connsiteY12081"/>
            </a:cxn>
            <a:cxn ang="0">
              <a:pos x="connsiteX12082" y="connsiteY12082"/>
            </a:cxn>
            <a:cxn ang="0">
              <a:pos x="connsiteX12083" y="connsiteY12083"/>
            </a:cxn>
            <a:cxn ang="0">
              <a:pos x="connsiteX12084" y="connsiteY12084"/>
            </a:cxn>
            <a:cxn ang="0">
              <a:pos x="connsiteX12085" y="connsiteY12085"/>
            </a:cxn>
            <a:cxn ang="0">
              <a:pos x="connsiteX12086" y="connsiteY12086"/>
            </a:cxn>
            <a:cxn ang="0">
              <a:pos x="connsiteX12087" y="connsiteY12087"/>
            </a:cxn>
            <a:cxn ang="0">
              <a:pos x="connsiteX12088" y="connsiteY12088"/>
            </a:cxn>
            <a:cxn ang="0">
              <a:pos x="connsiteX12089" y="connsiteY12089"/>
            </a:cxn>
            <a:cxn ang="0">
              <a:pos x="connsiteX12090" y="connsiteY12090"/>
            </a:cxn>
            <a:cxn ang="0">
              <a:pos x="connsiteX12091" y="connsiteY12091"/>
            </a:cxn>
            <a:cxn ang="0">
              <a:pos x="connsiteX12092" y="connsiteY12092"/>
            </a:cxn>
            <a:cxn ang="0">
              <a:pos x="connsiteX12093" y="connsiteY12093"/>
            </a:cxn>
            <a:cxn ang="0">
              <a:pos x="connsiteX12094" y="connsiteY12094"/>
            </a:cxn>
            <a:cxn ang="0">
              <a:pos x="connsiteX12095" y="connsiteY12095"/>
            </a:cxn>
            <a:cxn ang="0">
              <a:pos x="connsiteX12096" y="connsiteY12096"/>
            </a:cxn>
            <a:cxn ang="0">
              <a:pos x="connsiteX12097" y="connsiteY12097"/>
            </a:cxn>
            <a:cxn ang="0">
              <a:pos x="connsiteX12098" y="connsiteY12098"/>
            </a:cxn>
            <a:cxn ang="0">
              <a:pos x="connsiteX12099" y="connsiteY12099"/>
            </a:cxn>
            <a:cxn ang="0">
              <a:pos x="connsiteX12100" y="connsiteY12100"/>
            </a:cxn>
            <a:cxn ang="0">
              <a:pos x="connsiteX12101" y="connsiteY12101"/>
            </a:cxn>
            <a:cxn ang="0">
              <a:pos x="connsiteX12102" y="connsiteY12102"/>
            </a:cxn>
            <a:cxn ang="0">
              <a:pos x="connsiteX12103" y="connsiteY12103"/>
            </a:cxn>
            <a:cxn ang="0">
              <a:pos x="connsiteX12104" y="connsiteY12104"/>
            </a:cxn>
            <a:cxn ang="0">
              <a:pos x="connsiteX12105" y="connsiteY12105"/>
            </a:cxn>
            <a:cxn ang="0">
              <a:pos x="connsiteX12106" y="connsiteY12106"/>
            </a:cxn>
            <a:cxn ang="0">
              <a:pos x="connsiteX12107" y="connsiteY12107"/>
            </a:cxn>
            <a:cxn ang="0">
              <a:pos x="connsiteX12108" y="connsiteY12108"/>
            </a:cxn>
            <a:cxn ang="0">
              <a:pos x="connsiteX12109" y="connsiteY12109"/>
            </a:cxn>
            <a:cxn ang="0">
              <a:pos x="connsiteX12110" y="connsiteY12110"/>
            </a:cxn>
            <a:cxn ang="0">
              <a:pos x="connsiteX12111" y="connsiteY12111"/>
            </a:cxn>
            <a:cxn ang="0">
              <a:pos x="connsiteX12112" y="connsiteY12112"/>
            </a:cxn>
            <a:cxn ang="0">
              <a:pos x="connsiteX12113" y="connsiteY12113"/>
            </a:cxn>
            <a:cxn ang="0">
              <a:pos x="connsiteX12114" y="connsiteY12114"/>
            </a:cxn>
            <a:cxn ang="0">
              <a:pos x="connsiteX12115" y="connsiteY12115"/>
            </a:cxn>
            <a:cxn ang="0">
              <a:pos x="connsiteX12116" y="connsiteY12116"/>
            </a:cxn>
            <a:cxn ang="0">
              <a:pos x="connsiteX12117" y="connsiteY12117"/>
            </a:cxn>
            <a:cxn ang="0">
              <a:pos x="connsiteX12118" y="connsiteY12118"/>
            </a:cxn>
            <a:cxn ang="0">
              <a:pos x="connsiteX12119" y="connsiteY12119"/>
            </a:cxn>
            <a:cxn ang="0">
              <a:pos x="connsiteX12120" y="connsiteY12120"/>
            </a:cxn>
            <a:cxn ang="0">
              <a:pos x="connsiteX12121" y="connsiteY12121"/>
            </a:cxn>
            <a:cxn ang="0">
              <a:pos x="connsiteX12122" y="connsiteY12122"/>
            </a:cxn>
            <a:cxn ang="0">
              <a:pos x="connsiteX12123" y="connsiteY12123"/>
            </a:cxn>
            <a:cxn ang="0">
              <a:pos x="connsiteX12124" y="connsiteY12124"/>
            </a:cxn>
            <a:cxn ang="0">
              <a:pos x="connsiteX12125" y="connsiteY12125"/>
            </a:cxn>
            <a:cxn ang="0">
              <a:pos x="connsiteX12126" y="connsiteY12126"/>
            </a:cxn>
            <a:cxn ang="0">
              <a:pos x="connsiteX12127" y="connsiteY12127"/>
            </a:cxn>
            <a:cxn ang="0">
              <a:pos x="connsiteX12128" y="connsiteY12128"/>
            </a:cxn>
            <a:cxn ang="0">
              <a:pos x="connsiteX12129" y="connsiteY12129"/>
            </a:cxn>
            <a:cxn ang="0">
              <a:pos x="connsiteX12130" y="connsiteY12130"/>
            </a:cxn>
            <a:cxn ang="0">
              <a:pos x="connsiteX12131" y="connsiteY12131"/>
            </a:cxn>
            <a:cxn ang="0">
              <a:pos x="connsiteX12132" y="connsiteY12132"/>
            </a:cxn>
            <a:cxn ang="0">
              <a:pos x="connsiteX12133" y="connsiteY12133"/>
            </a:cxn>
            <a:cxn ang="0">
              <a:pos x="connsiteX12134" y="connsiteY12134"/>
            </a:cxn>
            <a:cxn ang="0">
              <a:pos x="connsiteX12135" y="connsiteY12135"/>
            </a:cxn>
            <a:cxn ang="0">
              <a:pos x="connsiteX12136" y="connsiteY12136"/>
            </a:cxn>
            <a:cxn ang="0">
              <a:pos x="connsiteX12137" y="connsiteY12137"/>
            </a:cxn>
            <a:cxn ang="0">
              <a:pos x="connsiteX12138" y="connsiteY12138"/>
            </a:cxn>
            <a:cxn ang="0">
              <a:pos x="connsiteX12139" y="connsiteY12139"/>
            </a:cxn>
            <a:cxn ang="0">
              <a:pos x="connsiteX12140" y="connsiteY12140"/>
            </a:cxn>
            <a:cxn ang="0">
              <a:pos x="connsiteX12141" y="connsiteY12141"/>
            </a:cxn>
            <a:cxn ang="0">
              <a:pos x="connsiteX12142" y="connsiteY12142"/>
            </a:cxn>
            <a:cxn ang="0">
              <a:pos x="connsiteX12143" y="connsiteY12143"/>
            </a:cxn>
            <a:cxn ang="0">
              <a:pos x="connsiteX12144" y="connsiteY12144"/>
            </a:cxn>
            <a:cxn ang="0">
              <a:pos x="connsiteX12145" y="connsiteY12145"/>
            </a:cxn>
            <a:cxn ang="0">
              <a:pos x="connsiteX12146" y="connsiteY12146"/>
            </a:cxn>
            <a:cxn ang="0">
              <a:pos x="connsiteX12147" y="connsiteY12147"/>
            </a:cxn>
            <a:cxn ang="0">
              <a:pos x="connsiteX12148" y="connsiteY12148"/>
            </a:cxn>
            <a:cxn ang="0">
              <a:pos x="connsiteX12149" y="connsiteY12149"/>
            </a:cxn>
            <a:cxn ang="0">
              <a:pos x="connsiteX12150" y="connsiteY12150"/>
            </a:cxn>
            <a:cxn ang="0">
              <a:pos x="connsiteX12151" y="connsiteY12151"/>
            </a:cxn>
            <a:cxn ang="0">
              <a:pos x="connsiteX12152" y="connsiteY12152"/>
            </a:cxn>
            <a:cxn ang="0">
              <a:pos x="connsiteX12153" y="connsiteY12153"/>
            </a:cxn>
            <a:cxn ang="0">
              <a:pos x="connsiteX12154" y="connsiteY12154"/>
            </a:cxn>
            <a:cxn ang="0">
              <a:pos x="connsiteX12155" y="connsiteY12155"/>
            </a:cxn>
            <a:cxn ang="0">
              <a:pos x="connsiteX12156" y="connsiteY12156"/>
            </a:cxn>
            <a:cxn ang="0">
              <a:pos x="connsiteX12157" y="connsiteY12157"/>
            </a:cxn>
            <a:cxn ang="0">
              <a:pos x="connsiteX12158" y="connsiteY12158"/>
            </a:cxn>
            <a:cxn ang="0">
              <a:pos x="connsiteX12159" y="connsiteY12159"/>
            </a:cxn>
            <a:cxn ang="0">
              <a:pos x="connsiteX12160" y="connsiteY12160"/>
            </a:cxn>
            <a:cxn ang="0">
              <a:pos x="connsiteX12161" y="connsiteY12161"/>
            </a:cxn>
            <a:cxn ang="0">
              <a:pos x="connsiteX12162" y="connsiteY12162"/>
            </a:cxn>
            <a:cxn ang="0">
              <a:pos x="connsiteX12163" y="connsiteY12163"/>
            </a:cxn>
            <a:cxn ang="0">
              <a:pos x="connsiteX12164" y="connsiteY12164"/>
            </a:cxn>
            <a:cxn ang="0">
              <a:pos x="connsiteX12165" y="connsiteY12165"/>
            </a:cxn>
            <a:cxn ang="0">
              <a:pos x="connsiteX12166" y="connsiteY12166"/>
            </a:cxn>
            <a:cxn ang="0">
              <a:pos x="connsiteX12167" y="connsiteY12167"/>
            </a:cxn>
            <a:cxn ang="0">
              <a:pos x="connsiteX12168" y="connsiteY12168"/>
            </a:cxn>
            <a:cxn ang="0">
              <a:pos x="connsiteX12169" y="connsiteY12169"/>
            </a:cxn>
            <a:cxn ang="0">
              <a:pos x="connsiteX12170" y="connsiteY12170"/>
            </a:cxn>
            <a:cxn ang="0">
              <a:pos x="connsiteX12171" y="connsiteY12171"/>
            </a:cxn>
            <a:cxn ang="0">
              <a:pos x="connsiteX12172" y="connsiteY12172"/>
            </a:cxn>
            <a:cxn ang="0">
              <a:pos x="connsiteX12173" y="connsiteY12173"/>
            </a:cxn>
            <a:cxn ang="0">
              <a:pos x="connsiteX12174" y="connsiteY12174"/>
            </a:cxn>
            <a:cxn ang="0">
              <a:pos x="connsiteX12175" y="connsiteY12175"/>
            </a:cxn>
            <a:cxn ang="0">
              <a:pos x="connsiteX12176" y="connsiteY12176"/>
            </a:cxn>
            <a:cxn ang="0">
              <a:pos x="connsiteX12177" y="connsiteY12177"/>
            </a:cxn>
            <a:cxn ang="0">
              <a:pos x="connsiteX12178" y="connsiteY12178"/>
            </a:cxn>
            <a:cxn ang="0">
              <a:pos x="connsiteX12179" y="connsiteY12179"/>
            </a:cxn>
            <a:cxn ang="0">
              <a:pos x="connsiteX12180" y="connsiteY12180"/>
            </a:cxn>
            <a:cxn ang="0">
              <a:pos x="connsiteX12181" y="connsiteY12181"/>
            </a:cxn>
            <a:cxn ang="0">
              <a:pos x="connsiteX12182" y="connsiteY12182"/>
            </a:cxn>
            <a:cxn ang="0">
              <a:pos x="connsiteX12183" y="connsiteY12183"/>
            </a:cxn>
            <a:cxn ang="0">
              <a:pos x="connsiteX12184" y="connsiteY12184"/>
            </a:cxn>
            <a:cxn ang="0">
              <a:pos x="connsiteX12185" y="connsiteY12185"/>
            </a:cxn>
            <a:cxn ang="0">
              <a:pos x="connsiteX12186" y="connsiteY12186"/>
            </a:cxn>
            <a:cxn ang="0">
              <a:pos x="connsiteX12187" y="connsiteY12187"/>
            </a:cxn>
            <a:cxn ang="0">
              <a:pos x="connsiteX12188" y="connsiteY12188"/>
            </a:cxn>
            <a:cxn ang="0">
              <a:pos x="connsiteX12189" y="connsiteY12189"/>
            </a:cxn>
            <a:cxn ang="0">
              <a:pos x="connsiteX12190" y="connsiteY12190"/>
            </a:cxn>
            <a:cxn ang="0">
              <a:pos x="connsiteX12191" y="connsiteY12191"/>
            </a:cxn>
            <a:cxn ang="0">
              <a:pos x="connsiteX12192" y="connsiteY12192"/>
            </a:cxn>
            <a:cxn ang="0">
              <a:pos x="connsiteX12193" y="connsiteY12193"/>
            </a:cxn>
            <a:cxn ang="0">
              <a:pos x="connsiteX12194" y="connsiteY12194"/>
            </a:cxn>
            <a:cxn ang="0">
              <a:pos x="connsiteX12195" y="connsiteY12195"/>
            </a:cxn>
            <a:cxn ang="0">
              <a:pos x="connsiteX12196" y="connsiteY12196"/>
            </a:cxn>
            <a:cxn ang="0">
              <a:pos x="connsiteX12197" y="connsiteY12197"/>
            </a:cxn>
            <a:cxn ang="0">
              <a:pos x="connsiteX12198" y="connsiteY12198"/>
            </a:cxn>
            <a:cxn ang="0">
              <a:pos x="connsiteX12199" y="connsiteY12199"/>
            </a:cxn>
            <a:cxn ang="0">
              <a:pos x="connsiteX12200" y="connsiteY12200"/>
            </a:cxn>
            <a:cxn ang="0">
              <a:pos x="connsiteX12201" y="connsiteY12201"/>
            </a:cxn>
            <a:cxn ang="0">
              <a:pos x="connsiteX12202" y="connsiteY12202"/>
            </a:cxn>
            <a:cxn ang="0">
              <a:pos x="connsiteX12203" y="connsiteY12203"/>
            </a:cxn>
            <a:cxn ang="0">
              <a:pos x="connsiteX12204" y="connsiteY12204"/>
            </a:cxn>
            <a:cxn ang="0">
              <a:pos x="connsiteX12205" y="connsiteY12205"/>
            </a:cxn>
            <a:cxn ang="0">
              <a:pos x="connsiteX12206" y="connsiteY12206"/>
            </a:cxn>
            <a:cxn ang="0">
              <a:pos x="connsiteX12207" y="connsiteY12207"/>
            </a:cxn>
            <a:cxn ang="0">
              <a:pos x="connsiteX12208" y="connsiteY12208"/>
            </a:cxn>
            <a:cxn ang="0">
              <a:pos x="connsiteX12209" y="connsiteY12209"/>
            </a:cxn>
            <a:cxn ang="0">
              <a:pos x="connsiteX12210" y="connsiteY12210"/>
            </a:cxn>
            <a:cxn ang="0">
              <a:pos x="connsiteX12211" y="connsiteY12211"/>
            </a:cxn>
            <a:cxn ang="0">
              <a:pos x="connsiteX12212" y="connsiteY12212"/>
            </a:cxn>
            <a:cxn ang="0">
              <a:pos x="connsiteX12213" y="connsiteY12213"/>
            </a:cxn>
            <a:cxn ang="0">
              <a:pos x="connsiteX12214" y="connsiteY12214"/>
            </a:cxn>
            <a:cxn ang="0">
              <a:pos x="connsiteX12215" y="connsiteY12215"/>
            </a:cxn>
            <a:cxn ang="0">
              <a:pos x="connsiteX12216" y="connsiteY12216"/>
            </a:cxn>
            <a:cxn ang="0">
              <a:pos x="connsiteX12217" y="connsiteY12217"/>
            </a:cxn>
            <a:cxn ang="0">
              <a:pos x="connsiteX12218" y="connsiteY12218"/>
            </a:cxn>
            <a:cxn ang="0">
              <a:pos x="connsiteX12219" y="connsiteY12219"/>
            </a:cxn>
            <a:cxn ang="0">
              <a:pos x="connsiteX12220" y="connsiteY12220"/>
            </a:cxn>
            <a:cxn ang="0">
              <a:pos x="connsiteX12221" y="connsiteY12221"/>
            </a:cxn>
            <a:cxn ang="0">
              <a:pos x="connsiteX12222" y="connsiteY12222"/>
            </a:cxn>
            <a:cxn ang="0">
              <a:pos x="connsiteX12223" y="connsiteY12223"/>
            </a:cxn>
            <a:cxn ang="0">
              <a:pos x="connsiteX12224" y="connsiteY12224"/>
            </a:cxn>
            <a:cxn ang="0">
              <a:pos x="connsiteX12225" y="connsiteY12225"/>
            </a:cxn>
            <a:cxn ang="0">
              <a:pos x="connsiteX12226" y="connsiteY12226"/>
            </a:cxn>
            <a:cxn ang="0">
              <a:pos x="connsiteX12227" y="connsiteY12227"/>
            </a:cxn>
            <a:cxn ang="0">
              <a:pos x="connsiteX12228" y="connsiteY12228"/>
            </a:cxn>
            <a:cxn ang="0">
              <a:pos x="connsiteX12229" y="connsiteY12229"/>
            </a:cxn>
            <a:cxn ang="0">
              <a:pos x="connsiteX12230" y="connsiteY12230"/>
            </a:cxn>
            <a:cxn ang="0">
              <a:pos x="connsiteX12231" y="connsiteY12231"/>
            </a:cxn>
            <a:cxn ang="0">
              <a:pos x="connsiteX12232" y="connsiteY12232"/>
            </a:cxn>
            <a:cxn ang="0">
              <a:pos x="connsiteX12233" y="connsiteY12233"/>
            </a:cxn>
            <a:cxn ang="0">
              <a:pos x="connsiteX12234" y="connsiteY12234"/>
            </a:cxn>
            <a:cxn ang="0">
              <a:pos x="connsiteX12235" y="connsiteY12235"/>
            </a:cxn>
            <a:cxn ang="0">
              <a:pos x="connsiteX12236" y="connsiteY12236"/>
            </a:cxn>
            <a:cxn ang="0">
              <a:pos x="connsiteX12237" y="connsiteY12237"/>
            </a:cxn>
            <a:cxn ang="0">
              <a:pos x="connsiteX12238" y="connsiteY12238"/>
            </a:cxn>
            <a:cxn ang="0">
              <a:pos x="connsiteX12239" y="connsiteY12239"/>
            </a:cxn>
            <a:cxn ang="0">
              <a:pos x="connsiteX12240" y="connsiteY12240"/>
            </a:cxn>
            <a:cxn ang="0">
              <a:pos x="connsiteX12241" y="connsiteY12241"/>
            </a:cxn>
            <a:cxn ang="0">
              <a:pos x="connsiteX12242" y="connsiteY12242"/>
            </a:cxn>
            <a:cxn ang="0">
              <a:pos x="connsiteX12243" y="connsiteY12243"/>
            </a:cxn>
            <a:cxn ang="0">
              <a:pos x="connsiteX12244" y="connsiteY12244"/>
            </a:cxn>
            <a:cxn ang="0">
              <a:pos x="connsiteX12245" y="connsiteY12245"/>
            </a:cxn>
            <a:cxn ang="0">
              <a:pos x="connsiteX12246" y="connsiteY12246"/>
            </a:cxn>
            <a:cxn ang="0">
              <a:pos x="connsiteX12247" y="connsiteY12247"/>
            </a:cxn>
            <a:cxn ang="0">
              <a:pos x="connsiteX12248" y="connsiteY12248"/>
            </a:cxn>
            <a:cxn ang="0">
              <a:pos x="connsiteX12249" y="connsiteY12249"/>
            </a:cxn>
            <a:cxn ang="0">
              <a:pos x="connsiteX12250" y="connsiteY12250"/>
            </a:cxn>
            <a:cxn ang="0">
              <a:pos x="connsiteX12251" y="connsiteY12251"/>
            </a:cxn>
            <a:cxn ang="0">
              <a:pos x="connsiteX12252" y="connsiteY12252"/>
            </a:cxn>
            <a:cxn ang="0">
              <a:pos x="connsiteX12253" y="connsiteY12253"/>
            </a:cxn>
            <a:cxn ang="0">
              <a:pos x="connsiteX12254" y="connsiteY12254"/>
            </a:cxn>
            <a:cxn ang="0">
              <a:pos x="connsiteX12255" y="connsiteY12255"/>
            </a:cxn>
            <a:cxn ang="0">
              <a:pos x="connsiteX12256" y="connsiteY12256"/>
            </a:cxn>
            <a:cxn ang="0">
              <a:pos x="connsiteX12257" y="connsiteY12257"/>
            </a:cxn>
            <a:cxn ang="0">
              <a:pos x="connsiteX12258" y="connsiteY12258"/>
            </a:cxn>
            <a:cxn ang="0">
              <a:pos x="connsiteX12259" y="connsiteY12259"/>
            </a:cxn>
            <a:cxn ang="0">
              <a:pos x="connsiteX12260" y="connsiteY12260"/>
            </a:cxn>
            <a:cxn ang="0">
              <a:pos x="connsiteX12261" y="connsiteY12261"/>
            </a:cxn>
            <a:cxn ang="0">
              <a:pos x="connsiteX12262" y="connsiteY12262"/>
            </a:cxn>
            <a:cxn ang="0">
              <a:pos x="connsiteX12263" y="connsiteY12263"/>
            </a:cxn>
            <a:cxn ang="0">
              <a:pos x="connsiteX12264" y="connsiteY12264"/>
            </a:cxn>
            <a:cxn ang="0">
              <a:pos x="connsiteX12265" y="connsiteY12265"/>
            </a:cxn>
            <a:cxn ang="0">
              <a:pos x="connsiteX12266" y="connsiteY12266"/>
            </a:cxn>
            <a:cxn ang="0">
              <a:pos x="connsiteX12267" y="connsiteY12267"/>
            </a:cxn>
            <a:cxn ang="0">
              <a:pos x="connsiteX12268" y="connsiteY12268"/>
            </a:cxn>
            <a:cxn ang="0">
              <a:pos x="connsiteX12269" y="connsiteY12269"/>
            </a:cxn>
            <a:cxn ang="0">
              <a:pos x="connsiteX12270" y="connsiteY12270"/>
            </a:cxn>
            <a:cxn ang="0">
              <a:pos x="connsiteX12271" y="connsiteY12271"/>
            </a:cxn>
            <a:cxn ang="0">
              <a:pos x="connsiteX12272" y="connsiteY12272"/>
            </a:cxn>
            <a:cxn ang="0">
              <a:pos x="connsiteX12273" y="connsiteY12273"/>
            </a:cxn>
            <a:cxn ang="0">
              <a:pos x="connsiteX12274" y="connsiteY12274"/>
            </a:cxn>
            <a:cxn ang="0">
              <a:pos x="connsiteX12275" y="connsiteY12275"/>
            </a:cxn>
            <a:cxn ang="0">
              <a:pos x="connsiteX12276" y="connsiteY12276"/>
            </a:cxn>
            <a:cxn ang="0">
              <a:pos x="connsiteX12277" y="connsiteY12277"/>
            </a:cxn>
            <a:cxn ang="0">
              <a:pos x="connsiteX12278" y="connsiteY12278"/>
            </a:cxn>
            <a:cxn ang="0">
              <a:pos x="connsiteX12279" y="connsiteY12279"/>
            </a:cxn>
            <a:cxn ang="0">
              <a:pos x="connsiteX12280" y="connsiteY12280"/>
            </a:cxn>
            <a:cxn ang="0">
              <a:pos x="connsiteX12281" y="connsiteY12281"/>
            </a:cxn>
            <a:cxn ang="0">
              <a:pos x="connsiteX12282" y="connsiteY12282"/>
            </a:cxn>
            <a:cxn ang="0">
              <a:pos x="connsiteX12283" y="connsiteY12283"/>
            </a:cxn>
            <a:cxn ang="0">
              <a:pos x="connsiteX12284" y="connsiteY12284"/>
            </a:cxn>
            <a:cxn ang="0">
              <a:pos x="connsiteX12285" y="connsiteY12285"/>
            </a:cxn>
            <a:cxn ang="0">
              <a:pos x="connsiteX12286" y="connsiteY12286"/>
            </a:cxn>
            <a:cxn ang="0">
              <a:pos x="connsiteX12287" y="connsiteY12287"/>
            </a:cxn>
            <a:cxn ang="0">
              <a:pos x="connsiteX12288" y="connsiteY12288"/>
            </a:cxn>
            <a:cxn ang="0">
              <a:pos x="connsiteX12289" y="connsiteY12289"/>
            </a:cxn>
            <a:cxn ang="0">
              <a:pos x="connsiteX12290" y="connsiteY12290"/>
            </a:cxn>
            <a:cxn ang="0">
              <a:pos x="connsiteX12291" y="connsiteY12291"/>
            </a:cxn>
            <a:cxn ang="0">
              <a:pos x="connsiteX12292" y="connsiteY12292"/>
            </a:cxn>
            <a:cxn ang="0">
              <a:pos x="connsiteX12293" y="connsiteY12293"/>
            </a:cxn>
            <a:cxn ang="0">
              <a:pos x="connsiteX12294" y="connsiteY12294"/>
            </a:cxn>
            <a:cxn ang="0">
              <a:pos x="connsiteX12295" y="connsiteY12295"/>
            </a:cxn>
            <a:cxn ang="0">
              <a:pos x="connsiteX12296" y="connsiteY12296"/>
            </a:cxn>
            <a:cxn ang="0">
              <a:pos x="connsiteX12297" y="connsiteY12297"/>
            </a:cxn>
            <a:cxn ang="0">
              <a:pos x="connsiteX12298" y="connsiteY12298"/>
            </a:cxn>
            <a:cxn ang="0">
              <a:pos x="connsiteX12299" y="connsiteY12299"/>
            </a:cxn>
            <a:cxn ang="0">
              <a:pos x="connsiteX12300" y="connsiteY12300"/>
            </a:cxn>
            <a:cxn ang="0">
              <a:pos x="connsiteX12301" y="connsiteY12301"/>
            </a:cxn>
            <a:cxn ang="0">
              <a:pos x="connsiteX12302" y="connsiteY12302"/>
            </a:cxn>
            <a:cxn ang="0">
              <a:pos x="connsiteX12303" y="connsiteY12303"/>
            </a:cxn>
            <a:cxn ang="0">
              <a:pos x="connsiteX12304" y="connsiteY12304"/>
            </a:cxn>
            <a:cxn ang="0">
              <a:pos x="connsiteX12305" y="connsiteY12305"/>
            </a:cxn>
            <a:cxn ang="0">
              <a:pos x="connsiteX12306" y="connsiteY12306"/>
            </a:cxn>
            <a:cxn ang="0">
              <a:pos x="connsiteX12307" y="connsiteY12307"/>
            </a:cxn>
            <a:cxn ang="0">
              <a:pos x="connsiteX12308" y="connsiteY12308"/>
            </a:cxn>
            <a:cxn ang="0">
              <a:pos x="connsiteX12309" y="connsiteY12309"/>
            </a:cxn>
            <a:cxn ang="0">
              <a:pos x="connsiteX12310" y="connsiteY12310"/>
            </a:cxn>
            <a:cxn ang="0">
              <a:pos x="connsiteX12311" y="connsiteY12311"/>
            </a:cxn>
            <a:cxn ang="0">
              <a:pos x="connsiteX12312" y="connsiteY12312"/>
            </a:cxn>
            <a:cxn ang="0">
              <a:pos x="connsiteX12313" y="connsiteY12313"/>
            </a:cxn>
            <a:cxn ang="0">
              <a:pos x="connsiteX12314" y="connsiteY12314"/>
            </a:cxn>
            <a:cxn ang="0">
              <a:pos x="connsiteX12315" y="connsiteY12315"/>
            </a:cxn>
            <a:cxn ang="0">
              <a:pos x="connsiteX12316" y="connsiteY12316"/>
            </a:cxn>
            <a:cxn ang="0">
              <a:pos x="connsiteX12317" y="connsiteY12317"/>
            </a:cxn>
            <a:cxn ang="0">
              <a:pos x="connsiteX12318" y="connsiteY12318"/>
            </a:cxn>
            <a:cxn ang="0">
              <a:pos x="connsiteX12319" y="connsiteY12319"/>
            </a:cxn>
            <a:cxn ang="0">
              <a:pos x="connsiteX12320" y="connsiteY12320"/>
            </a:cxn>
            <a:cxn ang="0">
              <a:pos x="connsiteX12321" y="connsiteY12321"/>
            </a:cxn>
            <a:cxn ang="0">
              <a:pos x="connsiteX12322" y="connsiteY12322"/>
            </a:cxn>
            <a:cxn ang="0">
              <a:pos x="connsiteX12323" y="connsiteY12323"/>
            </a:cxn>
            <a:cxn ang="0">
              <a:pos x="connsiteX12324" y="connsiteY12324"/>
            </a:cxn>
            <a:cxn ang="0">
              <a:pos x="connsiteX12325" y="connsiteY12325"/>
            </a:cxn>
            <a:cxn ang="0">
              <a:pos x="connsiteX12326" y="connsiteY12326"/>
            </a:cxn>
            <a:cxn ang="0">
              <a:pos x="connsiteX12327" y="connsiteY12327"/>
            </a:cxn>
            <a:cxn ang="0">
              <a:pos x="connsiteX12328" y="connsiteY12328"/>
            </a:cxn>
            <a:cxn ang="0">
              <a:pos x="connsiteX12329" y="connsiteY12329"/>
            </a:cxn>
            <a:cxn ang="0">
              <a:pos x="connsiteX12330" y="connsiteY12330"/>
            </a:cxn>
            <a:cxn ang="0">
              <a:pos x="connsiteX12331" y="connsiteY12331"/>
            </a:cxn>
            <a:cxn ang="0">
              <a:pos x="connsiteX12332" y="connsiteY12332"/>
            </a:cxn>
            <a:cxn ang="0">
              <a:pos x="connsiteX12333" y="connsiteY12333"/>
            </a:cxn>
            <a:cxn ang="0">
              <a:pos x="connsiteX12334" y="connsiteY12334"/>
            </a:cxn>
            <a:cxn ang="0">
              <a:pos x="connsiteX12335" y="connsiteY12335"/>
            </a:cxn>
            <a:cxn ang="0">
              <a:pos x="connsiteX12336" y="connsiteY12336"/>
            </a:cxn>
            <a:cxn ang="0">
              <a:pos x="connsiteX12337" y="connsiteY12337"/>
            </a:cxn>
            <a:cxn ang="0">
              <a:pos x="connsiteX12338" y="connsiteY12338"/>
            </a:cxn>
            <a:cxn ang="0">
              <a:pos x="connsiteX12339" y="connsiteY12339"/>
            </a:cxn>
            <a:cxn ang="0">
              <a:pos x="connsiteX12340" y="connsiteY12340"/>
            </a:cxn>
            <a:cxn ang="0">
              <a:pos x="connsiteX12341" y="connsiteY12341"/>
            </a:cxn>
            <a:cxn ang="0">
              <a:pos x="connsiteX12342" y="connsiteY12342"/>
            </a:cxn>
            <a:cxn ang="0">
              <a:pos x="connsiteX12343" y="connsiteY12343"/>
            </a:cxn>
            <a:cxn ang="0">
              <a:pos x="connsiteX12344" y="connsiteY12344"/>
            </a:cxn>
            <a:cxn ang="0">
              <a:pos x="connsiteX12345" y="connsiteY12345"/>
            </a:cxn>
            <a:cxn ang="0">
              <a:pos x="connsiteX12346" y="connsiteY12346"/>
            </a:cxn>
            <a:cxn ang="0">
              <a:pos x="connsiteX12347" y="connsiteY12347"/>
            </a:cxn>
            <a:cxn ang="0">
              <a:pos x="connsiteX12348" y="connsiteY12348"/>
            </a:cxn>
            <a:cxn ang="0">
              <a:pos x="connsiteX12349" y="connsiteY12349"/>
            </a:cxn>
            <a:cxn ang="0">
              <a:pos x="connsiteX12350" y="connsiteY12350"/>
            </a:cxn>
            <a:cxn ang="0">
              <a:pos x="connsiteX12351" y="connsiteY12351"/>
            </a:cxn>
            <a:cxn ang="0">
              <a:pos x="connsiteX12352" y="connsiteY12352"/>
            </a:cxn>
            <a:cxn ang="0">
              <a:pos x="connsiteX12353" y="connsiteY12353"/>
            </a:cxn>
            <a:cxn ang="0">
              <a:pos x="connsiteX12354" y="connsiteY12354"/>
            </a:cxn>
            <a:cxn ang="0">
              <a:pos x="connsiteX12355" y="connsiteY12355"/>
            </a:cxn>
            <a:cxn ang="0">
              <a:pos x="connsiteX12356" y="connsiteY12356"/>
            </a:cxn>
            <a:cxn ang="0">
              <a:pos x="connsiteX12357" y="connsiteY12357"/>
            </a:cxn>
            <a:cxn ang="0">
              <a:pos x="connsiteX12358" y="connsiteY12358"/>
            </a:cxn>
            <a:cxn ang="0">
              <a:pos x="connsiteX12359" y="connsiteY12359"/>
            </a:cxn>
            <a:cxn ang="0">
              <a:pos x="connsiteX12360" y="connsiteY12360"/>
            </a:cxn>
            <a:cxn ang="0">
              <a:pos x="connsiteX12361" y="connsiteY12361"/>
            </a:cxn>
            <a:cxn ang="0">
              <a:pos x="connsiteX12362" y="connsiteY12362"/>
            </a:cxn>
            <a:cxn ang="0">
              <a:pos x="connsiteX12363" y="connsiteY12363"/>
            </a:cxn>
            <a:cxn ang="0">
              <a:pos x="connsiteX12364" y="connsiteY12364"/>
            </a:cxn>
            <a:cxn ang="0">
              <a:pos x="connsiteX12365" y="connsiteY12365"/>
            </a:cxn>
            <a:cxn ang="0">
              <a:pos x="connsiteX12366" y="connsiteY12366"/>
            </a:cxn>
            <a:cxn ang="0">
              <a:pos x="connsiteX12367" y="connsiteY12367"/>
            </a:cxn>
            <a:cxn ang="0">
              <a:pos x="connsiteX12368" y="connsiteY12368"/>
            </a:cxn>
            <a:cxn ang="0">
              <a:pos x="connsiteX12369" y="connsiteY12369"/>
            </a:cxn>
            <a:cxn ang="0">
              <a:pos x="connsiteX12370" y="connsiteY12370"/>
            </a:cxn>
            <a:cxn ang="0">
              <a:pos x="connsiteX12371" y="connsiteY12371"/>
            </a:cxn>
            <a:cxn ang="0">
              <a:pos x="connsiteX12372" y="connsiteY12372"/>
            </a:cxn>
            <a:cxn ang="0">
              <a:pos x="connsiteX12373" y="connsiteY12373"/>
            </a:cxn>
            <a:cxn ang="0">
              <a:pos x="connsiteX12374" y="connsiteY12374"/>
            </a:cxn>
            <a:cxn ang="0">
              <a:pos x="connsiteX12375" y="connsiteY12375"/>
            </a:cxn>
            <a:cxn ang="0">
              <a:pos x="connsiteX12376" y="connsiteY12376"/>
            </a:cxn>
            <a:cxn ang="0">
              <a:pos x="connsiteX12377" y="connsiteY12377"/>
            </a:cxn>
            <a:cxn ang="0">
              <a:pos x="connsiteX12378" y="connsiteY12378"/>
            </a:cxn>
            <a:cxn ang="0">
              <a:pos x="connsiteX12379" y="connsiteY12379"/>
            </a:cxn>
            <a:cxn ang="0">
              <a:pos x="connsiteX12380" y="connsiteY12380"/>
            </a:cxn>
            <a:cxn ang="0">
              <a:pos x="connsiteX12381" y="connsiteY12381"/>
            </a:cxn>
            <a:cxn ang="0">
              <a:pos x="connsiteX12382" y="connsiteY12382"/>
            </a:cxn>
            <a:cxn ang="0">
              <a:pos x="connsiteX12383" y="connsiteY12383"/>
            </a:cxn>
            <a:cxn ang="0">
              <a:pos x="connsiteX12384" y="connsiteY12384"/>
            </a:cxn>
            <a:cxn ang="0">
              <a:pos x="connsiteX12385" y="connsiteY12385"/>
            </a:cxn>
            <a:cxn ang="0">
              <a:pos x="connsiteX12386" y="connsiteY12386"/>
            </a:cxn>
            <a:cxn ang="0">
              <a:pos x="connsiteX12387" y="connsiteY12387"/>
            </a:cxn>
            <a:cxn ang="0">
              <a:pos x="connsiteX12388" y="connsiteY12388"/>
            </a:cxn>
            <a:cxn ang="0">
              <a:pos x="connsiteX12389" y="connsiteY12389"/>
            </a:cxn>
            <a:cxn ang="0">
              <a:pos x="connsiteX12390" y="connsiteY12390"/>
            </a:cxn>
            <a:cxn ang="0">
              <a:pos x="connsiteX12391" y="connsiteY12391"/>
            </a:cxn>
            <a:cxn ang="0">
              <a:pos x="connsiteX12392" y="connsiteY12392"/>
            </a:cxn>
            <a:cxn ang="0">
              <a:pos x="connsiteX12393" y="connsiteY12393"/>
            </a:cxn>
            <a:cxn ang="0">
              <a:pos x="connsiteX12394" y="connsiteY12394"/>
            </a:cxn>
            <a:cxn ang="0">
              <a:pos x="connsiteX12395" y="connsiteY12395"/>
            </a:cxn>
            <a:cxn ang="0">
              <a:pos x="connsiteX12396" y="connsiteY12396"/>
            </a:cxn>
            <a:cxn ang="0">
              <a:pos x="connsiteX12397" y="connsiteY12397"/>
            </a:cxn>
            <a:cxn ang="0">
              <a:pos x="connsiteX12398" y="connsiteY12398"/>
            </a:cxn>
            <a:cxn ang="0">
              <a:pos x="connsiteX12399" y="connsiteY12399"/>
            </a:cxn>
            <a:cxn ang="0">
              <a:pos x="connsiteX12400" y="connsiteY12400"/>
            </a:cxn>
            <a:cxn ang="0">
              <a:pos x="connsiteX12401" y="connsiteY12401"/>
            </a:cxn>
            <a:cxn ang="0">
              <a:pos x="connsiteX12402" y="connsiteY12402"/>
            </a:cxn>
            <a:cxn ang="0">
              <a:pos x="connsiteX12403" y="connsiteY12403"/>
            </a:cxn>
            <a:cxn ang="0">
              <a:pos x="connsiteX12404" y="connsiteY12404"/>
            </a:cxn>
            <a:cxn ang="0">
              <a:pos x="connsiteX12405" y="connsiteY12405"/>
            </a:cxn>
            <a:cxn ang="0">
              <a:pos x="connsiteX12406" y="connsiteY12406"/>
            </a:cxn>
            <a:cxn ang="0">
              <a:pos x="connsiteX12407" y="connsiteY12407"/>
            </a:cxn>
            <a:cxn ang="0">
              <a:pos x="connsiteX12408" y="connsiteY12408"/>
            </a:cxn>
            <a:cxn ang="0">
              <a:pos x="connsiteX12409" y="connsiteY12409"/>
            </a:cxn>
            <a:cxn ang="0">
              <a:pos x="connsiteX12410" y="connsiteY12410"/>
            </a:cxn>
            <a:cxn ang="0">
              <a:pos x="connsiteX12411" y="connsiteY12411"/>
            </a:cxn>
            <a:cxn ang="0">
              <a:pos x="connsiteX12412" y="connsiteY12412"/>
            </a:cxn>
            <a:cxn ang="0">
              <a:pos x="connsiteX12413" y="connsiteY12413"/>
            </a:cxn>
            <a:cxn ang="0">
              <a:pos x="connsiteX12414" y="connsiteY12414"/>
            </a:cxn>
            <a:cxn ang="0">
              <a:pos x="connsiteX12415" y="connsiteY12415"/>
            </a:cxn>
            <a:cxn ang="0">
              <a:pos x="connsiteX12416" y="connsiteY12416"/>
            </a:cxn>
            <a:cxn ang="0">
              <a:pos x="connsiteX12417" y="connsiteY12417"/>
            </a:cxn>
            <a:cxn ang="0">
              <a:pos x="connsiteX12418" y="connsiteY12418"/>
            </a:cxn>
            <a:cxn ang="0">
              <a:pos x="connsiteX12419" y="connsiteY12419"/>
            </a:cxn>
            <a:cxn ang="0">
              <a:pos x="connsiteX12420" y="connsiteY12420"/>
            </a:cxn>
            <a:cxn ang="0">
              <a:pos x="connsiteX12421" y="connsiteY12421"/>
            </a:cxn>
            <a:cxn ang="0">
              <a:pos x="connsiteX12422" y="connsiteY12422"/>
            </a:cxn>
            <a:cxn ang="0">
              <a:pos x="connsiteX12423" y="connsiteY12423"/>
            </a:cxn>
            <a:cxn ang="0">
              <a:pos x="connsiteX12424" y="connsiteY12424"/>
            </a:cxn>
            <a:cxn ang="0">
              <a:pos x="connsiteX12425" y="connsiteY12425"/>
            </a:cxn>
            <a:cxn ang="0">
              <a:pos x="connsiteX12426" y="connsiteY12426"/>
            </a:cxn>
            <a:cxn ang="0">
              <a:pos x="connsiteX12427" y="connsiteY12427"/>
            </a:cxn>
            <a:cxn ang="0">
              <a:pos x="connsiteX12428" y="connsiteY12428"/>
            </a:cxn>
            <a:cxn ang="0">
              <a:pos x="connsiteX12429" y="connsiteY12429"/>
            </a:cxn>
            <a:cxn ang="0">
              <a:pos x="connsiteX12430" y="connsiteY12430"/>
            </a:cxn>
            <a:cxn ang="0">
              <a:pos x="connsiteX12431" y="connsiteY12431"/>
            </a:cxn>
            <a:cxn ang="0">
              <a:pos x="connsiteX12432" y="connsiteY12432"/>
            </a:cxn>
            <a:cxn ang="0">
              <a:pos x="connsiteX12433" y="connsiteY12433"/>
            </a:cxn>
            <a:cxn ang="0">
              <a:pos x="connsiteX12434" y="connsiteY12434"/>
            </a:cxn>
            <a:cxn ang="0">
              <a:pos x="connsiteX12435" y="connsiteY12435"/>
            </a:cxn>
            <a:cxn ang="0">
              <a:pos x="connsiteX12436" y="connsiteY12436"/>
            </a:cxn>
            <a:cxn ang="0">
              <a:pos x="connsiteX12437" y="connsiteY12437"/>
            </a:cxn>
            <a:cxn ang="0">
              <a:pos x="connsiteX12438" y="connsiteY12438"/>
            </a:cxn>
            <a:cxn ang="0">
              <a:pos x="connsiteX12439" y="connsiteY12439"/>
            </a:cxn>
            <a:cxn ang="0">
              <a:pos x="connsiteX12440" y="connsiteY12440"/>
            </a:cxn>
            <a:cxn ang="0">
              <a:pos x="connsiteX12441" y="connsiteY12441"/>
            </a:cxn>
            <a:cxn ang="0">
              <a:pos x="connsiteX12442" y="connsiteY12442"/>
            </a:cxn>
            <a:cxn ang="0">
              <a:pos x="connsiteX12443" y="connsiteY12443"/>
            </a:cxn>
            <a:cxn ang="0">
              <a:pos x="connsiteX12444" y="connsiteY12444"/>
            </a:cxn>
            <a:cxn ang="0">
              <a:pos x="connsiteX12445" y="connsiteY12445"/>
            </a:cxn>
            <a:cxn ang="0">
              <a:pos x="connsiteX12446" y="connsiteY12446"/>
            </a:cxn>
            <a:cxn ang="0">
              <a:pos x="connsiteX12447" y="connsiteY12447"/>
            </a:cxn>
            <a:cxn ang="0">
              <a:pos x="connsiteX12448" y="connsiteY12448"/>
            </a:cxn>
            <a:cxn ang="0">
              <a:pos x="connsiteX12449" y="connsiteY12449"/>
            </a:cxn>
            <a:cxn ang="0">
              <a:pos x="connsiteX12450" y="connsiteY12450"/>
            </a:cxn>
            <a:cxn ang="0">
              <a:pos x="connsiteX12451" y="connsiteY12451"/>
            </a:cxn>
            <a:cxn ang="0">
              <a:pos x="connsiteX12452" y="connsiteY12452"/>
            </a:cxn>
            <a:cxn ang="0">
              <a:pos x="connsiteX12453" y="connsiteY12453"/>
            </a:cxn>
            <a:cxn ang="0">
              <a:pos x="connsiteX12454" y="connsiteY12454"/>
            </a:cxn>
            <a:cxn ang="0">
              <a:pos x="connsiteX12455" y="connsiteY12455"/>
            </a:cxn>
            <a:cxn ang="0">
              <a:pos x="connsiteX12456" y="connsiteY12456"/>
            </a:cxn>
            <a:cxn ang="0">
              <a:pos x="connsiteX12457" y="connsiteY12457"/>
            </a:cxn>
            <a:cxn ang="0">
              <a:pos x="connsiteX12458" y="connsiteY12458"/>
            </a:cxn>
            <a:cxn ang="0">
              <a:pos x="connsiteX12459" y="connsiteY12459"/>
            </a:cxn>
            <a:cxn ang="0">
              <a:pos x="connsiteX12460" y="connsiteY12460"/>
            </a:cxn>
            <a:cxn ang="0">
              <a:pos x="connsiteX12461" y="connsiteY12461"/>
            </a:cxn>
            <a:cxn ang="0">
              <a:pos x="connsiteX12462" y="connsiteY12462"/>
            </a:cxn>
            <a:cxn ang="0">
              <a:pos x="connsiteX12463" y="connsiteY12463"/>
            </a:cxn>
            <a:cxn ang="0">
              <a:pos x="connsiteX12464" y="connsiteY12464"/>
            </a:cxn>
            <a:cxn ang="0">
              <a:pos x="connsiteX12465" y="connsiteY12465"/>
            </a:cxn>
            <a:cxn ang="0">
              <a:pos x="connsiteX12466" y="connsiteY12466"/>
            </a:cxn>
            <a:cxn ang="0">
              <a:pos x="connsiteX12467" y="connsiteY12467"/>
            </a:cxn>
            <a:cxn ang="0">
              <a:pos x="connsiteX12468" y="connsiteY12468"/>
            </a:cxn>
            <a:cxn ang="0">
              <a:pos x="connsiteX12469" y="connsiteY12469"/>
            </a:cxn>
            <a:cxn ang="0">
              <a:pos x="connsiteX12470" y="connsiteY12470"/>
            </a:cxn>
            <a:cxn ang="0">
              <a:pos x="connsiteX12471" y="connsiteY12471"/>
            </a:cxn>
            <a:cxn ang="0">
              <a:pos x="connsiteX12472" y="connsiteY12472"/>
            </a:cxn>
            <a:cxn ang="0">
              <a:pos x="connsiteX12473" y="connsiteY12473"/>
            </a:cxn>
            <a:cxn ang="0">
              <a:pos x="connsiteX12474" y="connsiteY12474"/>
            </a:cxn>
            <a:cxn ang="0">
              <a:pos x="connsiteX12475" y="connsiteY12475"/>
            </a:cxn>
            <a:cxn ang="0">
              <a:pos x="connsiteX12476" y="connsiteY12476"/>
            </a:cxn>
            <a:cxn ang="0">
              <a:pos x="connsiteX12477" y="connsiteY12477"/>
            </a:cxn>
            <a:cxn ang="0">
              <a:pos x="connsiteX12478" y="connsiteY12478"/>
            </a:cxn>
            <a:cxn ang="0">
              <a:pos x="connsiteX12479" y="connsiteY12479"/>
            </a:cxn>
            <a:cxn ang="0">
              <a:pos x="connsiteX12480" y="connsiteY12480"/>
            </a:cxn>
            <a:cxn ang="0">
              <a:pos x="connsiteX12481" y="connsiteY12481"/>
            </a:cxn>
            <a:cxn ang="0">
              <a:pos x="connsiteX12482" y="connsiteY12482"/>
            </a:cxn>
            <a:cxn ang="0">
              <a:pos x="connsiteX12483" y="connsiteY12483"/>
            </a:cxn>
            <a:cxn ang="0">
              <a:pos x="connsiteX12484" y="connsiteY12484"/>
            </a:cxn>
            <a:cxn ang="0">
              <a:pos x="connsiteX12485" y="connsiteY12485"/>
            </a:cxn>
            <a:cxn ang="0">
              <a:pos x="connsiteX12486" y="connsiteY12486"/>
            </a:cxn>
            <a:cxn ang="0">
              <a:pos x="connsiteX12487" y="connsiteY12487"/>
            </a:cxn>
            <a:cxn ang="0">
              <a:pos x="connsiteX12488" y="connsiteY12488"/>
            </a:cxn>
            <a:cxn ang="0">
              <a:pos x="connsiteX12489" y="connsiteY12489"/>
            </a:cxn>
            <a:cxn ang="0">
              <a:pos x="connsiteX12490" y="connsiteY12490"/>
            </a:cxn>
            <a:cxn ang="0">
              <a:pos x="connsiteX12491" y="connsiteY12491"/>
            </a:cxn>
            <a:cxn ang="0">
              <a:pos x="connsiteX12492" y="connsiteY12492"/>
            </a:cxn>
            <a:cxn ang="0">
              <a:pos x="connsiteX12493" y="connsiteY12493"/>
            </a:cxn>
            <a:cxn ang="0">
              <a:pos x="connsiteX12494" y="connsiteY12494"/>
            </a:cxn>
            <a:cxn ang="0">
              <a:pos x="connsiteX12495" y="connsiteY12495"/>
            </a:cxn>
            <a:cxn ang="0">
              <a:pos x="connsiteX12496" y="connsiteY12496"/>
            </a:cxn>
            <a:cxn ang="0">
              <a:pos x="connsiteX12497" y="connsiteY12497"/>
            </a:cxn>
            <a:cxn ang="0">
              <a:pos x="connsiteX12498" y="connsiteY12498"/>
            </a:cxn>
            <a:cxn ang="0">
              <a:pos x="connsiteX12499" y="connsiteY12499"/>
            </a:cxn>
            <a:cxn ang="0">
              <a:pos x="connsiteX12500" y="connsiteY12500"/>
            </a:cxn>
            <a:cxn ang="0">
              <a:pos x="connsiteX12501" y="connsiteY12501"/>
            </a:cxn>
            <a:cxn ang="0">
              <a:pos x="connsiteX12502" y="connsiteY12502"/>
            </a:cxn>
            <a:cxn ang="0">
              <a:pos x="connsiteX12503" y="connsiteY12503"/>
            </a:cxn>
            <a:cxn ang="0">
              <a:pos x="connsiteX12504" y="connsiteY12504"/>
            </a:cxn>
            <a:cxn ang="0">
              <a:pos x="connsiteX12505" y="connsiteY12505"/>
            </a:cxn>
            <a:cxn ang="0">
              <a:pos x="connsiteX12506" y="connsiteY12506"/>
            </a:cxn>
            <a:cxn ang="0">
              <a:pos x="connsiteX12507" y="connsiteY12507"/>
            </a:cxn>
            <a:cxn ang="0">
              <a:pos x="connsiteX12508" y="connsiteY12508"/>
            </a:cxn>
            <a:cxn ang="0">
              <a:pos x="connsiteX12509" y="connsiteY12509"/>
            </a:cxn>
            <a:cxn ang="0">
              <a:pos x="connsiteX12510" y="connsiteY12510"/>
            </a:cxn>
            <a:cxn ang="0">
              <a:pos x="connsiteX12511" y="connsiteY12511"/>
            </a:cxn>
            <a:cxn ang="0">
              <a:pos x="connsiteX12512" y="connsiteY12512"/>
            </a:cxn>
            <a:cxn ang="0">
              <a:pos x="connsiteX12513" y="connsiteY12513"/>
            </a:cxn>
            <a:cxn ang="0">
              <a:pos x="connsiteX12514" y="connsiteY12514"/>
            </a:cxn>
            <a:cxn ang="0">
              <a:pos x="connsiteX12515" y="connsiteY12515"/>
            </a:cxn>
            <a:cxn ang="0">
              <a:pos x="connsiteX12516" y="connsiteY12516"/>
            </a:cxn>
            <a:cxn ang="0">
              <a:pos x="connsiteX12517" y="connsiteY12517"/>
            </a:cxn>
            <a:cxn ang="0">
              <a:pos x="connsiteX12518" y="connsiteY12518"/>
            </a:cxn>
            <a:cxn ang="0">
              <a:pos x="connsiteX12519" y="connsiteY12519"/>
            </a:cxn>
            <a:cxn ang="0">
              <a:pos x="connsiteX12520" y="connsiteY12520"/>
            </a:cxn>
            <a:cxn ang="0">
              <a:pos x="connsiteX12521" y="connsiteY12521"/>
            </a:cxn>
            <a:cxn ang="0">
              <a:pos x="connsiteX12522" y="connsiteY12522"/>
            </a:cxn>
            <a:cxn ang="0">
              <a:pos x="connsiteX12523" y="connsiteY12523"/>
            </a:cxn>
            <a:cxn ang="0">
              <a:pos x="connsiteX12524" y="connsiteY12524"/>
            </a:cxn>
            <a:cxn ang="0">
              <a:pos x="connsiteX12525" y="connsiteY12525"/>
            </a:cxn>
            <a:cxn ang="0">
              <a:pos x="connsiteX12526" y="connsiteY12526"/>
            </a:cxn>
            <a:cxn ang="0">
              <a:pos x="connsiteX12527" y="connsiteY12527"/>
            </a:cxn>
            <a:cxn ang="0">
              <a:pos x="connsiteX12528" y="connsiteY12528"/>
            </a:cxn>
            <a:cxn ang="0">
              <a:pos x="connsiteX12529" y="connsiteY12529"/>
            </a:cxn>
            <a:cxn ang="0">
              <a:pos x="connsiteX12530" y="connsiteY12530"/>
            </a:cxn>
            <a:cxn ang="0">
              <a:pos x="connsiteX12531" y="connsiteY12531"/>
            </a:cxn>
            <a:cxn ang="0">
              <a:pos x="connsiteX12532" y="connsiteY12532"/>
            </a:cxn>
            <a:cxn ang="0">
              <a:pos x="connsiteX12533" y="connsiteY12533"/>
            </a:cxn>
            <a:cxn ang="0">
              <a:pos x="connsiteX12534" y="connsiteY12534"/>
            </a:cxn>
            <a:cxn ang="0">
              <a:pos x="connsiteX12535" y="connsiteY12535"/>
            </a:cxn>
            <a:cxn ang="0">
              <a:pos x="connsiteX12536" y="connsiteY12536"/>
            </a:cxn>
            <a:cxn ang="0">
              <a:pos x="connsiteX12537" y="connsiteY12537"/>
            </a:cxn>
            <a:cxn ang="0">
              <a:pos x="connsiteX12538" y="connsiteY12538"/>
            </a:cxn>
            <a:cxn ang="0">
              <a:pos x="connsiteX12539" y="connsiteY12539"/>
            </a:cxn>
            <a:cxn ang="0">
              <a:pos x="connsiteX12540" y="connsiteY12540"/>
            </a:cxn>
            <a:cxn ang="0">
              <a:pos x="connsiteX12541" y="connsiteY12541"/>
            </a:cxn>
            <a:cxn ang="0">
              <a:pos x="connsiteX12542" y="connsiteY12542"/>
            </a:cxn>
            <a:cxn ang="0">
              <a:pos x="connsiteX12543" y="connsiteY12543"/>
            </a:cxn>
            <a:cxn ang="0">
              <a:pos x="connsiteX12544" y="connsiteY12544"/>
            </a:cxn>
            <a:cxn ang="0">
              <a:pos x="connsiteX12545" y="connsiteY12545"/>
            </a:cxn>
            <a:cxn ang="0">
              <a:pos x="connsiteX12546" y="connsiteY12546"/>
            </a:cxn>
            <a:cxn ang="0">
              <a:pos x="connsiteX12547" y="connsiteY12547"/>
            </a:cxn>
            <a:cxn ang="0">
              <a:pos x="connsiteX12548" y="connsiteY12548"/>
            </a:cxn>
            <a:cxn ang="0">
              <a:pos x="connsiteX12549" y="connsiteY12549"/>
            </a:cxn>
            <a:cxn ang="0">
              <a:pos x="connsiteX12550" y="connsiteY12550"/>
            </a:cxn>
            <a:cxn ang="0">
              <a:pos x="connsiteX12551" y="connsiteY12551"/>
            </a:cxn>
            <a:cxn ang="0">
              <a:pos x="connsiteX12552" y="connsiteY12552"/>
            </a:cxn>
            <a:cxn ang="0">
              <a:pos x="connsiteX12553" y="connsiteY12553"/>
            </a:cxn>
            <a:cxn ang="0">
              <a:pos x="connsiteX12554" y="connsiteY12554"/>
            </a:cxn>
            <a:cxn ang="0">
              <a:pos x="connsiteX12555" y="connsiteY12555"/>
            </a:cxn>
            <a:cxn ang="0">
              <a:pos x="connsiteX12556" y="connsiteY12556"/>
            </a:cxn>
            <a:cxn ang="0">
              <a:pos x="connsiteX12557" y="connsiteY12557"/>
            </a:cxn>
            <a:cxn ang="0">
              <a:pos x="connsiteX12558" y="connsiteY12558"/>
            </a:cxn>
            <a:cxn ang="0">
              <a:pos x="connsiteX12559" y="connsiteY12559"/>
            </a:cxn>
            <a:cxn ang="0">
              <a:pos x="connsiteX12560" y="connsiteY12560"/>
            </a:cxn>
            <a:cxn ang="0">
              <a:pos x="connsiteX12561" y="connsiteY12561"/>
            </a:cxn>
            <a:cxn ang="0">
              <a:pos x="connsiteX12562" y="connsiteY12562"/>
            </a:cxn>
            <a:cxn ang="0">
              <a:pos x="connsiteX12563" y="connsiteY12563"/>
            </a:cxn>
            <a:cxn ang="0">
              <a:pos x="connsiteX12564" y="connsiteY12564"/>
            </a:cxn>
            <a:cxn ang="0">
              <a:pos x="connsiteX12565" y="connsiteY12565"/>
            </a:cxn>
            <a:cxn ang="0">
              <a:pos x="connsiteX12566" y="connsiteY12566"/>
            </a:cxn>
            <a:cxn ang="0">
              <a:pos x="connsiteX12567" y="connsiteY12567"/>
            </a:cxn>
            <a:cxn ang="0">
              <a:pos x="connsiteX12568" y="connsiteY12568"/>
            </a:cxn>
            <a:cxn ang="0">
              <a:pos x="connsiteX12569" y="connsiteY12569"/>
            </a:cxn>
            <a:cxn ang="0">
              <a:pos x="connsiteX12570" y="connsiteY12570"/>
            </a:cxn>
            <a:cxn ang="0">
              <a:pos x="connsiteX12571" y="connsiteY12571"/>
            </a:cxn>
            <a:cxn ang="0">
              <a:pos x="connsiteX12572" y="connsiteY12572"/>
            </a:cxn>
            <a:cxn ang="0">
              <a:pos x="connsiteX12573" y="connsiteY12573"/>
            </a:cxn>
            <a:cxn ang="0">
              <a:pos x="connsiteX12574" y="connsiteY12574"/>
            </a:cxn>
            <a:cxn ang="0">
              <a:pos x="connsiteX12575" y="connsiteY12575"/>
            </a:cxn>
            <a:cxn ang="0">
              <a:pos x="connsiteX12576" y="connsiteY12576"/>
            </a:cxn>
            <a:cxn ang="0">
              <a:pos x="connsiteX12577" y="connsiteY12577"/>
            </a:cxn>
            <a:cxn ang="0">
              <a:pos x="connsiteX12578" y="connsiteY12578"/>
            </a:cxn>
            <a:cxn ang="0">
              <a:pos x="connsiteX12579" y="connsiteY12579"/>
            </a:cxn>
            <a:cxn ang="0">
              <a:pos x="connsiteX12580" y="connsiteY12580"/>
            </a:cxn>
            <a:cxn ang="0">
              <a:pos x="connsiteX12581" y="connsiteY12581"/>
            </a:cxn>
            <a:cxn ang="0">
              <a:pos x="connsiteX12582" y="connsiteY12582"/>
            </a:cxn>
            <a:cxn ang="0">
              <a:pos x="connsiteX12583" y="connsiteY12583"/>
            </a:cxn>
            <a:cxn ang="0">
              <a:pos x="connsiteX12584" y="connsiteY12584"/>
            </a:cxn>
            <a:cxn ang="0">
              <a:pos x="connsiteX12585" y="connsiteY12585"/>
            </a:cxn>
            <a:cxn ang="0">
              <a:pos x="connsiteX12586" y="connsiteY12586"/>
            </a:cxn>
            <a:cxn ang="0">
              <a:pos x="connsiteX12587" y="connsiteY12587"/>
            </a:cxn>
            <a:cxn ang="0">
              <a:pos x="connsiteX12588" y="connsiteY12588"/>
            </a:cxn>
            <a:cxn ang="0">
              <a:pos x="connsiteX12589" y="connsiteY12589"/>
            </a:cxn>
            <a:cxn ang="0">
              <a:pos x="connsiteX12590" y="connsiteY12590"/>
            </a:cxn>
            <a:cxn ang="0">
              <a:pos x="connsiteX12591" y="connsiteY12591"/>
            </a:cxn>
            <a:cxn ang="0">
              <a:pos x="connsiteX12592" y="connsiteY12592"/>
            </a:cxn>
            <a:cxn ang="0">
              <a:pos x="connsiteX12593" y="connsiteY12593"/>
            </a:cxn>
            <a:cxn ang="0">
              <a:pos x="connsiteX12594" y="connsiteY12594"/>
            </a:cxn>
            <a:cxn ang="0">
              <a:pos x="connsiteX12595" y="connsiteY12595"/>
            </a:cxn>
            <a:cxn ang="0">
              <a:pos x="connsiteX12596" y="connsiteY12596"/>
            </a:cxn>
            <a:cxn ang="0">
              <a:pos x="connsiteX12597" y="connsiteY12597"/>
            </a:cxn>
            <a:cxn ang="0">
              <a:pos x="connsiteX12598" y="connsiteY12598"/>
            </a:cxn>
            <a:cxn ang="0">
              <a:pos x="connsiteX12599" y="connsiteY12599"/>
            </a:cxn>
            <a:cxn ang="0">
              <a:pos x="connsiteX12600" y="connsiteY12600"/>
            </a:cxn>
            <a:cxn ang="0">
              <a:pos x="connsiteX12601" y="connsiteY12601"/>
            </a:cxn>
            <a:cxn ang="0">
              <a:pos x="connsiteX12602" y="connsiteY12602"/>
            </a:cxn>
            <a:cxn ang="0">
              <a:pos x="connsiteX12603" y="connsiteY12603"/>
            </a:cxn>
            <a:cxn ang="0">
              <a:pos x="connsiteX12604" y="connsiteY12604"/>
            </a:cxn>
            <a:cxn ang="0">
              <a:pos x="connsiteX12605" y="connsiteY12605"/>
            </a:cxn>
            <a:cxn ang="0">
              <a:pos x="connsiteX12606" y="connsiteY12606"/>
            </a:cxn>
            <a:cxn ang="0">
              <a:pos x="connsiteX12607" y="connsiteY12607"/>
            </a:cxn>
            <a:cxn ang="0">
              <a:pos x="connsiteX12608" y="connsiteY12608"/>
            </a:cxn>
            <a:cxn ang="0">
              <a:pos x="connsiteX12609" y="connsiteY12609"/>
            </a:cxn>
            <a:cxn ang="0">
              <a:pos x="connsiteX12610" y="connsiteY12610"/>
            </a:cxn>
            <a:cxn ang="0">
              <a:pos x="connsiteX12611" y="connsiteY12611"/>
            </a:cxn>
            <a:cxn ang="0">
              <a:pos x="connsiteX12612" y="connsiteY12612"/>
            </a:cxn>
            <a:cxn ang="0">
              <a:pos x="connsiteX12613" y="connsiteY12613"/>
            </a:cxn>
            <a:cxn ang="0">
              <a:pos x="connsiteX12614" y="connsiteY12614"/>
            </a:cxn>
            <a:cxn ang="0">
              <a:pos x="connsiteX12615" y="connsiteY12615"/>
            </a:cxn>
            <a:cxn ang="0">
              <a:pos x="connsiteX12616" y="connsiteY12616"/>
            </a:cxn>
            <a:cxn ang="0">
              <a:pos x="connsiteX12617" y="connsiteY12617"/>
            </a:cxn>
            <a:cxn ang="0">
              <a:pos x="connsiteX12618" y="connsiteY12618"/>
            </a:cxn>
            <a:cxn ang="0">
              <a:pos x="connsiteX12619" y="connsiteY12619"/>
            </a:cxn>
            <a:cxn ang="0">
              <a:pos x="connsiteX12620" y="connsiteY12620"/>
            </a:cxn>
            <a:cxn ang="0">
              <a:pos x="connsiteX12621" y="connsiteY12621"/>
            </a:cxn>
            <a:cxn ang="0">
              <a:pos x="connsiteX12622" y="connsiteY12622"/>
            </a:cxn>
            <a:cxn ang="0">
              <a:pos x="connsiteX12623" y="connsiteY12623"/>
            </a:cxn>
            <a:cxn ang="0">
              <a:pos x="connsiteX12624" y="connsiteY12624"/>
            </a:cxn>
            <a:cxn ang="0">
              <a:pos x="connsiteX12625" y="connsiteY12625"/>
            </a:cxn>
            <a:cxn ang="0">
              <a:pos x="connsiteX12626" y="connsiteY12626"/>
            </a:cxn>
            <a:cxn ang="0">
              <a:pos x="connsiteX12627" y="connsiteY12627"/>
            </a:cxn>
            <a:cxn ang="0">
              <a:pos x="connsiteX12628" y="connsiteY12628"/>
            </a:cxn>
            <a:cxn ang="0">
              <a:pos x="connsiteX12629" y="connsiteY12629"/>
            </a:cxn>
            <a:cxn ang="0">
              <a:pos x="connsiteX12630" y="connsiteY12630"/>
            </a:cxn>
            <a:cxn ang="0">
              <a:pos x="connsiteX12631" y="connsiteY12631"/>
            </a:cxn>
            <a:cxn ang="0">
              <a:pos x="connsiteX12632" y="connsiteY12632"/>
            </a:cxn>
            <a:cxn ang="0">
              <a:pos x="connsiteX12633" y="connsiteY12633"/>
            </a:cxn>
            <a:cxn ang="0">
              <a:pos x="connsiteX12634" y="connsiteY12634"/>
            </a:cxn>
            <a:cxn ang="0">
              <a:pos x="connsiteX12635" y="connsiteY12635"/>
            </a:cxn>
            <a:cxn ang="0">
              <a:pos x="connsiteX12636" y="connsiteY12636"/>
            </a:cxn>
            <a:cxn ang="0">
              <a:pos x="connsiteX12637" y="connsiteY12637"/>
            </a:cxn>
            <a:cxn ang="0">
              <a:pos x="connsiteX12638" y="connsiteY12638"/>
            </a:cxn>
            <a:cxn ang="0">
              <a:pos x="connsiteX12639" y="connsiteY12639"/>
            </a:cxn>
            <a:cxn ang="0">
              <a:pos x="connsiteX12640" y="connsiteY12640"/>
            </a:cxn>
            <a:cxn ang="0">
              <a:pos x="connsiteX12641" y="connsiteY12641"/>
            </a:cxn>
            <a:cxn ang="0">
              <a:pos x="connsiteX12642" y="connsiteY12642"/>
            </a:cxn>
            <a:cxn ang="0">
              <a:pos x="connsiteX12643" y="connsiteY12643"/>
            </a:cxn>
            <a:cxn ang="0">
              <a:pos x="connsiteX12644" y="connsiteY12644"/>
            </a:cxn>
            <a:cxn ang="0">
              <a:pos x="connsiteX12645" y="connsiteY12645"/>
            </a:cxn>
            <a:cxn ang="0">
              <a:pos x="connsiteX12646" y="connsiteY12646"/>
            </a:cxn>
            <a:cxn ang="0">
              <a:pos x="connsiteX12647" y="connsiteY12647"/>
            </a:cxn>
            <a:cxn ang="0">
              <a:pos x="connsiteX12648" y="connsiteY12648"/>
            </a:cxn>
            <a:cxn ang="0">
              <a:pos x="connsiteX12649" y="connsiteY12649"/>
            </a:cxn>
            <a:cxn ang="0">
              <a:pos x="connsiteX12650" y="connsiteY12650"/>
            </a:cxn>
            <a:cxn ang="0">
              <a:pos x="connsiteX12651" y="connsiteY12651"/>
            </a:cxn>
            <a:cxn ang="0">
              <a:pos x="connsiteX12652" y="connsiteY12652"/>
            </a:cxn>
            <a:cxn ang="0">
              <a:pos x="connsiteX12653" y="connsiteY12653"/>
            </a:cxn>
            <a:cxn ang="0">
              <a:pos x="connsiteX12654" y="connsiteY12654"/>
            </a:cxn>
            <a:cxn ang="0">
              <a:pos x="connsiteX12655" y="connsiteY12655"/>
            </a:cxn>
            <a:cxn ang="0">
              <a:pos x="connsiteX12656" y="connsiteY12656"/>
            </a:cxn>
            <a:cxn ang="0">
              <a:pos x="connsiteX12657" y="connsiteY12657"/>
            </a:cxn>
            <a:cxn ang="0">
              <a:pos x="connsiteX12658" y="connsiteY12658"/>
            </a:cxn>
            <a:cxn ang="0">
              <a:pos x="connsiteX12659" y="connsiteY12659"/>
            </a:cxn>
            <a:cxn ang="0">
              <a:pos x="connsiteX12660" y="connsiteY12660"/>
            </a:cxn>
            <a:cxn ang="0">
              <a:pos x="connsiteX12661" y="connsiteY12661"/>
            </a:cxn>
            <a:cxn ang="0">
              <a:pos x="connsiteX12662" y="connsiteY12662"/>
            </a:cxn>
            <a:cxn ang="0">
              <a:pos x="connsiteX12663" y="connsiteY12663"/>
            </a:cxn>
            <a:cxn ang="0">
              <a:pos x="connsiteX12664" y="connsiteY12664"/>
            </a:cxn>
            <a:cxn ang="0">
              <a:pos x="connsiteX12665" y="connsiteY12665"/>
            </a:cxn>
            <a:cxn ang="0">
              <a:pos x="connsiteX12666" y="connsiteY12666"/>
            </a:cxn>
            <a:cxn ang="0">
              <a:pos x="connsiteX12667" y="connsiteY12667"/>
            </a:cxn>
            <a:cxn ang="0">
              <a:pos x="connsiteX12668" y="connsiteY12668"/>
            </a:cxn>
            <a:cxn ang="0">
              <a:pos x="connsiteX12669" y="connsiteY12669"/>
            </a:cxn>
            <a:cxn ang="0">
              <a:pos x="connsiteX12670" y="connsiteY12670"/>
            </a:cxn>
            <a:cxn ang="0">
              <a:pos x="connsiteX12671" y="connsiteY12671"/>
            </a:cxn>
            <a:cxn ang="0">
              <a:pos x="connsiteX12672" y="connsiteY12672"/>
            </a:cxn>
            <a:cxn ang="0">
              <a:pos x="connsiteX12673" y="connsiteY12673"/>
            </a:cxn>
            <a:cxn ang="0">
              <a:pos x="connsiteX12674" y="connsiteY12674"/>
            </a:cxn>
            <a:cxn ang="0">
              <a:pos x="connsiteX12675" y="connsiteY12675"/>
            </a:cxn>
            <a:cxn ang="0">
              <a:pos x="connsiteX12676" y="connsiteY12676"/>
            </a:cxn>
            <a:cxn ang="0">
              <a:pos x="connsiteX12677" y="connsiteY12677"/>
            </a:cxn>
            <a:cxn ang="0">
              <a:pos x="connsiteX12678" y="connsiteY12678"/>
            </a:cxn>
            <a:cxn ang="0">
              <a:pos x="connsiteX12679" y="connsiteY12679"/>
            </a:cxn>
            <a:cxn ang="0">
              <a:pos x="connsiteX12680" y="connsiteY12680"/>
            </a:cxn>
            <a:cxn ang="0">
              <a:pos x="connsiteX12681" y="connsiteY12681"/>
            </a:cxn>
            <a:cxn ang="0">
              <a:pos x="connsiteX12682" y="connsiteY12682"/>
            </a:cxn>
            <a:cxn ang="0">
              <a:pos x="connsiteX12683" y="connsiteY12683"/>
            </a:cxn>
            <a:cxn ang="0">
              <a:pos x="connsiteX12684" y="connsiteY12684"/>
            </a:cxn>
            <a:cxn ang="0">
              <a:pos x="connsiteX12685" y="connsiteY12685"/>
            </a:cxn>
            <a:cxn ang="0">
              <a:pos x="connsiteX12686" y="connsiteY12686"/>
            </a:cxn>
            <a:cxn ang="0">
              <a:pos x="connsiteX12687" y="connsiteY12687"/>
            </a:cxn>
            <a:cxn ang="0">
              <a:pos x="connsiteX12688" y="connsiteY12688"/>
            </a:cxn>
            <a:cxn ang="0">
              <a:pos x="connsiteX12689" y="connsiteY12689"/>
            </a:cxn>
            <a:cxn ang="0">
              <a:pos x="connsiteX12690" y="connsiteY12690"/>
            </a:cxn>
            <a:cxn ang="0">
              <a:pos x="connsiteX12691" y="connsiteY12691"/>
            </a:cxn>
            <a:cxn ang="0">
              <a:pos x="connsiteX12692" y="connsiteY12692"/>
            </a:cxn>
            <a:cxn ang="0">
              <a:pos x="connsiteX12693" y="connsiteY12693"/>
            </a:cxn>
            <a:cxn ang="0">
              <a:pos x="connsiteX12694" y="connsiteY12694"/>
            </a:cxn>
            <a:cxn ang="0">
              <a:pos x="connsiteX12695" y="connsiteY12695"/>
            </a:cxn>
            <a:cxn ang="0">
              <a:pos x="connsiteX12696" y="connsiteY12696"/>
            </a:cxn>
            <a:cxn ang="0">
              <a:pos x="connsiteX12697" y="connsiteY12697"/>
            </a:cxn>
            <a:cxn ang="0">
              <a:pos x="connsiteX12698" y="connsiteY12698"/>
            </a:cxn>
            <a:cxn ang="0">
              <a:pos x="connsiteX12699" y="connsiteY12699"/>
            </a:cxn>
            <a:cxn ang="0">
              <a:pos x="connsiteX12700" y="connsiteY12700"/>
            </a:cxn>
            <a:cxn ang="0">
              <a:pos x="connsiteX12701" y="connsiteY12701"/>
            </a:cxn>
            <a:cxn ang="0">
              <a:pos x="connsiteX12702" y="connsiteY12702"/>
            </a:cxn>
            <a:cxn ang="0">
              <a:pos x="connsiteX12703" y="connsiteY12703"/>
            </a:cxn>
            <a:cxn ang="0">
              <a:pos x="connsiteX12704" y="connsiteY12704"/>
            </a:cxn>
            <a:cxn ang="0">
              <a:pos x="connsiteX12705" y="connsiteY12705"/>
            </a:cxn>
            <a:cxn ang="0">
              <a:pos x="connsiteX12706" y="connsiteY12706"/>
            </a:cxn>
            <a:cxn ang="0">
              <a:pos x="connsiteX12707" y="connsiteY12707"/>
            </a:cxn>
            <a:cxn ang="0">
              <a:pos x="connsiteX12708" y="connsiteY12708"/>
            </a:cxn>
            <a:cxn ang="0">
              <a:pos x="connsiteX12709" y="connsiteY12709"/>
            </a:cxn>
            <a:cxn ang="0">
              <a:pos x="connsiteX12710" y="connsiteY12710"/>
            </a:cxn>
            <a:cxn ang="0">
              <a:pos x="connsiteX12711" y="connsiteY12711"/>
            </a:cxn>
            <a:cxn ang="0">
              <a:pos x="connsiteX12712" y="connsiteY12712"/>
            </a:cxn>
            <a:cxn ang="0">
              <a:pos x="connsiteX12713" y="connsiteY12713"/>
            </a:cxn>
            <a:cxn ang="0">
              <a:pos x="connsiteX12714" y="connsiteY12714"/>
            </a:cxn>
            <a:cxn ang="0">
              <a:pos x="connsiteX12715" y="connsiteY12715"/>
            </a:cxn>
            <a:cxn ang="0">
              <a:pos x="connsiteX12716" y="connsiteY12716"/>
            </a:cxn>
            <a:cxn ang="0">
              <a:pos x="connsiteX12717" y="connsiteY12717"/>
            </a:cxn>
            <a:cxn ang="0">
              <a:pos x="connsiteX12718" y="connsiteY12718"/>
            </a:cxn>
            <a:cxn ang="0">
              <a:pos x="connsiteX12719" y="connsiteY12719"/>
            </a:cxn>
            <a:cxn ang="0">
              <a:pos x="connsiteX12720" y="connsiteY12720"/>
            </a:cxn>
            <a:cxn ang="0">
              <a:pos x="connsiteX12721" y="connsiteY12721"/>
            </a:cxn>
            <a:cxn ang="0">
              <a:pos x="connsiteX12722" y="connsiteY12722"/>
            </a:cxn>
            <a:cxn ang="0">
              <a:pos x="connsiteX12723" y="connsiteY12723"/>
            </a:cxn>
            <a:cxn ang="0">
              <a:pos x="connsiteX12724" y="connsiteY12724"/>
            </a:cxn>
            <a:cxn ang="0">
              <a:pos x="connsiteX12725" y="connsiteY12725"/>
            </a:cxn>
            <a:cxn ang="0">
              <a:pos x="connsiteX12726" y="connsiteY12726"/>
            </a:cxn>
            <a:cxn ang="0">
              <a:pos x="connsiteX12727" y="connsiteY12727"/>
            </a:cxn>
            <a:cxn ang="0">
              <a:pos x="connsiteX12728" y="connsiteY12728"/>
            </a:cxn>
            <a:cxn ang="0">
              <a:pos x="connsiteX12729" y="connsiteY12729"/>
            </a:cxn>
            <a:cxn ang="0">
              <a:pos x="connsiteX12730" y="connsiteY12730"/>
            </a:cxn>
            <a:cxn ang="0">
              <a:pos x="connsiteX12731" y="connsiteY12731"/>
            </a:cxn>
            <a:cxn ang="0">
              <a:pos x="connsiteX12732" y="connsiteY12732"/>
            </a:cxn>
            <a:cxn ang="0">
              <a:pos x="connsiteX12733" y="connsiteY12733"/>
            </a:cxn>
            <a:cxn ang="0">
              <a:pos x="connsiteX12734" y="connsiteY12734"/>
            </a:cxn>
            <a:cxn ang="0">
              <a:pos x="connsiteX12735" y="connsiteY12735"/>
            </a:cxn>
            <a:cxn ang="0">
              <a:pos x="connsiteX12736" y="connsiteY12736"/>
            </a:cxn>
            <a:cxn ang="0">
              <a:pos x="connsiteX12737" y="connsiteY12737"/>
            </a:cxn>
            <a:cxn ang="0">
              <a:pos x="connsiteX12738" y="connsiteY12738"/>
            </a:cxn>
            <a:cxn ang="0">
              <a:pos x="connsiteX12739" y="connsiteY12739"/>
            </a:cxn>
            <a:cxn ang="0">
              <a:pos x="connsiteX12740" y="connsiteY12740"/>
            </a:cxn>
            <a:cxn ang="0">
              <a:pos x="connsiteX12741" y="connsiteY12741"/>
            </a:cxn>
            <a:cxn ang="0">
              <a:pos x="connsiteX12742" y="connsiteY12742"/>
            </a:cxn>
            <a:cxn ang="0">
              <a:pos x="connsiteX12743" y="connsiteY12743"/>
            </a:cxn>
            <a:cxn ang="0">
              <a:pos x="connsiteX12744" y="connsiteY12744"/>
            </a:cxn>
            <a:cxn ang="0">
              <a:pos x="connsiteX12745" y="connsiteY12745"/>
            </a:cxn>
            <a:cxn ang="0">
              <a:pos x="connsiteX12746" y="connsiteY12746"/>
            </a:cxn>
            <a:cxn ang="0">
              <a:pos x="connsiteX12747" y="connsiteY12747"/>
            </a:cxn>
            <a:cxn ang="0">
              <a:pos x="connsiteX12748" y="connsiteY12748"/>
            </a:cxn>
            <a:cxn ang="0">
              <a:pos x="connsiteX12749" y="connsiteY12749"/>
            </a:cxn>
            <a:cxn ang="0">
              <a:pos x="connsiteX12750" y="connsiteY12750"/>
            </a:cxn>
            <a:cxn ang="0">
              <a:pos x="connsiteX12751" y="connsiteY12751"/>
            </a:cxn>
            <a:cxn ang="0">
              <a:pos x="connsiteX12752" y="connsiteY12752"/>
            </a:cxn>
            <a:cxn ang="0">
              <a:pos x="connsiteX12753" y="connsiteY12753"/>
            </a:cxn>
            <a:cxn ang="0">
              <a:pos x="connsiteX12754" y="connsiteY12754"/>
            </a:cxn>
            <a:cxn ang="0">
              <a:pos x="connsiteX12755" y="connsiteY12755"/>
            </a:cxn>
            <a:cxn ang="0">
              <a:pos x="connsiteX12756" y="connsiteY12756"/>
            </a:cxn>
            <a:cxn ang="0">
              <a:pos x="connsiteX12757" y="connsiteY12757"/>
            </a:cxn>
            <a:cxn ang="0">
              <a:pos x="connsiteX12758" y="connsiteY12758"/>
            </a:cxn>
            <a:cxn ang="0">
              <a:pos x="connsiteX12759" y="connsiteY12759"/>
            </a:cxn>
            <a:cxn ang="0">
              <a:pos x="connsiteX12760" y="connsiteY12760"/>
            </a:cxn>
            <a:cxn ang="0">
              <a:pos x="connsiteX12761" y="connsiteY12761"/>
            </a:cxn>
            <a:cxn ang="0">
              <a:pos x="connsiteX12762" y="connsiteY12762"/>
            </a:cxn>
            <a:cxn ang="0">
              <a:pos x="connsiteX12763" y="connsiteY12763"/>
            </a:cxn>
            <a:cxn ang="0">
              <a:pos x="connsiteX12764" y="connsiteY12764"/>
            </a:cxn>
            <a:cxn ang="0">
              <a:pos x="connsiteX12765" y="connsiteY12765"/>
            </a:cxn>
            <a:cxn ang="0">
              <a:pos x="connsiteX12766" y="connsiteY12766"/>
            </a:cxn>
            <a:cxn ang="0">
              <a:pos x="connsiteX12767" y="connsiteY12767"/>
            </a:cxn>
            <a:cxn ang="0">
              <a:pos x="connsiteX12768" y="connsiteY12768"/>
            </a:cxn>
            <a:cxn ang="0">
              <a:pos x="connsiteX12769" y="connsiteY12769"/>
            </a:cxn>
            <a:cxn ang="0">
              <a:pos x="connsiteX12770" y="connsiteY12770"/>
            </a:cxn>
            <a:cxn ang="0">
              <a:pos x="connsiteX12771" y="connsiteY12771"/>
            </a:cxn>
            <a:cxn ang="0">
              <a:pos x="connsiteX12772" y="connsiteY12772"/>
            </a:cxn>
            <a:cxn ang="0">
              <a:pos x="connsiteX12773" y="connsiteY12773"/>
            </a:cxn>
            <a:cxn ang="0">
              <a:pos x="connsiteX12774" y="connsiteY12774"/>
            </a:cxn>
            <a:cxn ang="0">
              <a:pos x="connsiteX12775" y="connsiteY12775"/>
            </a:cxn>
            <a:cxn ang="0">
              <a:pos x="connsiteX12776" y="connsiteY12776"/>
            </a:cxn>
            <a:cxn ang="0">
              <a:pos x="connsiteX12777" y="connsiteY12777"/>
            </a:cxn>
            <a:cxn ang="0">
              <a:pos x="connsiteX12778" y="connsiteY12778"/>
            </a:cxn>
            <a:cxn ang="0">
              <a:pos x="connsiteX12779" y="connsiteY12779"/>
            </a:cxn>
            <a:cxn ang="0">
              <a:pos x="connsiteX12780" y="connsiteY12780"/>
            </a:cxn>
            <a:cxn ang="0">
              <a:pos x="connsiteX12781" y="connsiteY12781"/>
            </a:cxn>
            <a:cxn ang="0">
              <a:pos x="connsiteX12782" y="connsiteY12782"/>
            </a:cxn>
            <a:cxn ang="0">
              <a:pos x="connsiteX12783" y="connsiteY12783"/>
            </a:cxn>
            <a:cxn ang="0">
              <a:pos x="connsiteX12784" y="connsiteY12784"/>
            </a:cxn>
            <a:cxn ang="0">
              <a:pos x="connsiteX12785" y="connsiteY12785"/>
            </a:cxn>
            <a:cxn ang="0">
              <a:pos x="connsiteX12786" y="connsiteY12786"/>
            </a:cxn>
            <a:cxn ang="0">
              <a:pos x="connsiteX12787" y="connsiteY12787"/>
            </a:cxn>
            <a:cxn ang="0">
              <a:pos x="connsiteX12788" y="connsiteY12788"/>
            </a:cxn>
            <a:cxn ang="0">
              <a:pos x="connsiteX12789" y="connsiteY12789"/>
            </a:cxn>
            <a:cxn ang="0">
              <a:pos x="connsiteX12790" y="connsiteY12790"/>
            </a:cxn>
            <a:cxn ang="0">
              <a:pos x="connsiteX12791" y="connsiteY12791"/>
            </a:cxn>
            <a:cxn ang="0">
              <a:pos x="connsiteX12792" y="connsiteY12792"/>
            </a:cxn>
            <a:cxn ang="0">
              <a:pos x="connsiteX12793" y="connsiteY12793"/>
            </a:cxn>
            <a:cxn ang="0">
              <a:pos x="connsiteX12794" y="connsiteY12794"/>
            </a:cxn>
            <a:cxn ang="0">
              <a:pos x="connsiteX12795" y="connsiteY12795"/>
            </a:cxn>
            <a:cxn ang="0">
              <a:pos x="connsiteX12796" y="connsiteY12796"/>
            </a:cxn>
            <a:cxn ang="0">
              <a:pos x="connsiteX12797" y="connsiteY12797"/>
            </a:cxn>
            <a:cxn ang="0">
              <a:pos x="connsiteX12798" y="connsiteY12798"/>
            </a:cxn>
            <a:cxn ang="0">
              <a:pos x="connsiteX12799" y="connsiteY12799"/>
            </a:cxn>
            <a:cxn ang="0">
              <a:pos x="connsiteX12800" y="connsiteY12800"/>
            </a:cxn>
            <a:cxn ang="0">
              <a:pos x="connsiteX12801" y="connsiteY12801"/>
            </a:cxn>
            <a:cxn ang="0">
              <a:pos x="connsiteX12802" y="connsiteY12802"/>
            </a:cxn>
            <a:cxn ang="0">
              <a:pos x="connsiteX12803" y="connsiteY12803"/>
            </a:cxn>
            <a:cxn ang="0">
              <a:pos x="connsiteX12804" y="connsiteY12804"/>
            </a:cxn>
            <a:cxn ang="0">
              <a:pos x="connsiteX12805" y="connsiteY12805"/>
            </a:cxn>
            <a:cxn ang="0">
              <a:pos x="connsiteX12806" y="connsiteY12806"/>
            </a:cxn>
            <a:cxn ang="0">
              <a:pos x="connsiteX12807" y="connsiteY12807"/>
            </a:cxn>
            <a:cxn ang="0">
              <a:pos x="connsiteX12808" y="connsiteY12808"/>
            </a:cxn>
            <a:cxn ang="0">
              <a:pos x="connsiteX12809" y="connsiteY12809"/>
            </a:cxn>
            <a:cxn ang="0">
              <a:pos x="connsiteX12810" y="connsiteY12810"/>
            </a:cxn>
            <a:cxn ang="0">
              <a:pos x="connsiteX12811" y="connsiteY12811"/>
            </a:cxn>
            <a:cxn ang="0">
              <a:pos x="connsiteX12812" y="connsiteY12812"/>
            </a:cxn>
            <a:cxn ang="0">
              <a:pos x="connsiteX12813" y="connsiteY12813"/>
            </a:cxn>
            <a:cxn ang="0">
              <a:pos x="connsiteX12814" y="connsiteY12814"/>
            </a:cxn>
            <a:cxn ang="0">
              <a:pos x="connsiteX12815" y="connsiteY12815"/>
            </a:cxn>
            <a:cxn ang="0">
              <a:pos x="connsiteX12816" y="connsiteY12816"/>
            </a:cxn>
            <a:cxn ang="0">
              <a:pos x="connsiteX12817" y="connsiteY12817"/>
            </a:cxn>
            <a:cxn ang="0">
              <a:pos x="connsiteX12818" y="connsiteY12818"/>
            </a:cxn>
            <a:cxn ang="0">
              <a:pos x="connsiteX12819" y="connsiteY12819"/>
            </a:cxn>
            <a:cxn ang="0">
              <a:pos x="connsiteX12820" y="connsiteY12820"/>
            </a:cxn>
            <a:cxn ang="0">
              <a:pos x="connsiteX12821" y="connsiteY12821"/>
            </a:cxn>
            <a:cxn ang="0">
              <a:pos x="connsiteX12822" y="connsiteY12822"/>
            </a:cxn>
            <a:cxn ang="0">
              <a:pos x="connsiteX12823" y="connsiteY12823"/>
            </a:cxn>
            <a:cxn ang="0">
              <a:pos x="connsiteX12824" y="connsiteY12824"/>
            </a:cxn>
            <a:cxn ang="0">
              <a:pos x="connsiteX12825" y="connsiteY12825"/>
            </a:cxn>
            <a:cxn ang="0">
              <a:pos x="connsiteX12826" y="connsiteY12826"/>
            </a:cxn>
            <a:cxn ang="0">
              <a:pos x="connsiteX12827" y="connsiteY12827"/>
            </a:cxn>
            <a:cxn ang="0">
              <a:pos x="connsiteX12828" y="connsiteY12828"/>
            </a:cxn>
            <a:cxn ang="0">
              <a:pos x="connsiteX12829" y="connsiteY12829"/>
            </a:cxn>
            <a:cxn ang="0">
              <a:pos x="connsiteX12830" y="connsiteY12830"/>
            </a:cxn>
            <a:cxn ang="0">
              <a:pos x="connsiteX12831" y="connsiteY12831"/>
            </a:cxn>
            <a:cxn ang="0">
              <a:pos x="connsiteX12832" y="connsiteY12832"/>
            </a:cxn>
            <a:cxn ang="0">
              <a:pos x="connsiteX12833" y="connsiteY12833"/>
            </a:cxn>
            <a:cxn ang="0">
              <a:pos x="connsiteX12834" y="connsiteY12834"/>
            </a:cxn>
            <a:cxn ang="0">
              <a:pos x="connsiteX12835" y="connsiteY12835"/>
            </a:cxn>
            <a:cxn ang="0">
              <a:pos x="connsiteX12836" y="connsiteY12836"/>
            </a:cxn>
            <a:cxn ang="0">
              <a:pos x="connsiteX12837" y="connsiteY12837"/>
            </a:cxn>
            <a:cxn ang="0">
              <a:pos x="connsiteX12838" y="connsiteY12838"/>
            </a:cxn>
            <a:cxn ang="0">
              <a:pos x="connsiteX12839" y="connsiteY12839"/>
            </a:cxn>
            <a:cxn ang="0">
              <a:pos x="connsiteX12840" y="connsiteY12840"/>
            </a:cxn>
            <a:cxn ang="0">
              <a:pos x="connsiteX12841" y="connsiteY12841"/>
            </a:cxn>
            <a:cxn ang="0">
              <a:pos x="connsiteX12842" y="connsiteY12842"/>
            </a:cxn>
            <a:cxn ang="0">
              <a:pos x="connsiteX12843" y="connsiteY12843"/>
            </a:cxn>
            <a:cxn ang="0">
              <a:pos x="connsiteX12844" y="connsiteY12844"/>
            </a:cxn>
            <a:cxn ang="0">
              <a:pos x="connsiteX12845" y="connsiteY12845"/>
            </a:cxn>
            <a:cxn ang="0">
              <a:pos x="connsiteX12846" y="connsiteY12846"/>
            </a:cxn>
            <a:cxn ang="0">
              <a:pos x="connsiteX12847" y="connsiteY12847"/>
            </a:cxn>
            <a:cxn ang="0">
              <a:pos x="connsiteX12848" y="connsiteY12848"/>
            </a:cxn>
            <a:cxn ang="0">
              <a:pos x="connsiteX12849" y="connsiteY12849"/>
            </a:cxn>
            <a:cxn ang="0">
              <a:pos x="connsiteX12850" y="connsiteY12850"/>
            </a:cxn>
            <a:cxn ang="0">
              <a:pos x="connsiteX12851" y="connsiteY12851"/>
            </a:cxn>
            <a:cxn ang="0">
              <a:pos x="connsiteX12852" y="connsiteY12852"/>
            </a:cxn>
            <a:cxn ang="0">
              <a:pos x="connsiteX12853" y="connsiteY12853"/>
            </a:cxn>
            <a:cxn ang="0">
              <a:pos x="connsiteX12854" y="connsiteY12854"/>
            </a:cxn>
            <a:cxn ang="0">
              <a:pos x="connsiteX12855" y="connsiteY12855"/>
            </a:cxn>
            <a:cxn ang="0">
              <a:pos x="connsiteX12856" y="connsiteY12856"/>
            </a:cxn>
            <a:cxn ang="0">
              <a:pos x="connsiteX12857" y="connsiteY12857"/>
            </a:cxn>
            <a:cxn ang="0">
              <a:pos x="connsiteX12858" y="connsiteY12858"/>
            </a:cxn>
            <a:cxn ang="0">
              <a:pos x="connsiteX12859" y="connsiteY12859"/>
            </a:cxn>
            <a:cxn ang="0">
              <a:pos x="connsiteX12860" y="connsiteY12860"/>
            </a:cxn>
            <a:cxn ang="0">
              <a:pos x="connsiteX12861" y="connsiteY12861"/>
            </a:cxn>
            <a:cxn ang="0">
              <a:pos x="connsiteX12862" y="connsiteY12862"/>
            </a:cxn>
            <a:cxn ang="0">
              <a:pos x="connsiteX12863" y="connsiteY12863"/>
            </a:cxn>
            <a:cxn ang="0">
              <a:pos x="connsiteX12864" y="connsiteY12864"/>
            </a:cxn>
            <a:cxn ang="0">
              <a:pos x="connsiteX12865" y="connsiteY12865"/>
            </a:cxn>
            <a:cxn ang="0">
              <a:pos x="connsiteX12866" y="connsiteY12866"/>
            </a:cxn>
            <a:cxn ang="0">
              <a:pos x="connsiteX12867" y="connsiteY12867"/>
            </a:cxn>
            <a:cxn ang="0">
              <a:pos x="connsiteX12868" y="connsiteY12868"/>
            </a:cxn>
            <a:cxn ang="0">
              <a:pos x="connsiteX12869" y="connsiteY12869"/>
            </a:cxn>
            <a:cxn ang="0">
              <a:pos x="connsiteX12870" y="connsiteY12870"/>
            </a:cxn>
            <a:cxn ang="0">
              <a:pos x="connsiteX12871" y="connsiteY12871"/>
            </a:cxn>
            <a:cxn ang="0">
              <a:pos x="connsiteX12872" y="connsiteY12872"/>
            </a:cxn>
            <a:cxn ang="0">
              <a:pos x="connsiteX12873" y="connsiteY12873"/>
            </a:cxn>
            <a:cxn ang="0">
              <a:pos x="connsiteX12874" y="connsiteY12874"/>
            </a:cxn>
            <a:cxn ang="0">
              <a:pos x="connsiteX12875" y="connsiteY12875"/>
            </a:cxn>
            <a:cxn ang="0">
              <a:pos x="connsiteX12876" y="connsiteY12876"/>
            </a:cxn>
            <a:cxn ang="0">
              <a:pos x="connsiteX12877" y="connsiteY12877"/>
            </a:cxn>
            <a:cxn ang="0">
              <a:pos x="connsiteX12878" y="connsiteY12878"/>
            </a:cxn>
            <a:cxn ang="0">
              <a:pos x="connsiteX12879" y="connsiteY12879"/>
            </a:cxn>
            <a:cxn ang="0">
              <a:pos x="connsiteX12880" y="connsiteY12880"/>
            </a:cxn>
            <a:cxn ang="0">
              <a:pos x="connsiteX12881" y="connsiteY12881"/>
            </a:cxn>
            <a:cxn ang="0">
              <a:pos x="connsiteX12882" y="connsiteY12882"/>
            </a:cxn>
            <a:cxn ang="0">
              <a:pos x="connsiteX12883" y="connsiteY12883"/>
            </a:cxn>
            <a:cxn ang="0">
              <a:pos x="connsiteX12884" y="connsiteY12884"/>
            </a:cxn>
            <a:cxn ang="0">
              <a:pos x="connsiteX12885" y="connsiteY12885"/>
            </a:cxn>
            <a:cxn ang="0">
              <a:pos x="connsiteX12886" y="connsiteY12886"/>
            </a:cxn>
            <a:cxn ang="0">
              <a:pos x="connsiteX12887" y="connsiteY12887"/>
            </a:cxn>
            <a:cxn ang="0">
              <a:pos x="connsiteX12888" y="connsiteY12888"/>
            </a:cxn>
            <a:cxn ang="0">
              <a:pos x="connsiteX12889" y="connsiteY12889"/>
            </a:cxn>
            <a:cxn ang="0">
              <a:pos x="connsiteX12890" y="connsiteY12890"/>
            </a:cxn>
            <a:cxn ang="0">
              <a:pos x="connsiteX12891" y="connsiteY12891"/>
            </a:cxn>
            <a:cxn ang="0">
              <a:pos x="connsiteX12892" y="connsiteY12892"/>
            </a:cxn>
            <a:cxn ang="0">
              <a:pos x="connsiteX12893" y="connsiteY12893"/>
            </a:cxn>
            <a:cxn ang="0">
              <a:pos x="connsiteX12894" y="connsiteY12894"/>
            </a:cxn>
            <a:cxn ang="0">
              <a:pos x="connsiteX12895" y="connsiteY12895"/>
            </a:cxn>
            <a:cxn ang="0">
              <a:pos x="connsiteX12896" y="connsiteY12896"/>
            </a:cxn>
            <a:cxn ang="0">
              <a:pos x="connsiteX12897" y="connsiteY12897"/>
            </a:cxn>
            <a:cxn ang="0">
              <a:pos x="connsiteX12898" y="connsiteY12898"/>
            </a:cxn>
            <a:cxn ang="0">
              <a:pos x="connsiteX12899" y="connsiteY12899"/>
            </a:cxn>
            <a:cxn ang="0">
              <a:pos x="connsiteX12900" y="connsiteY12900"/>
            </a:cxn>
            <a:cxn ang="0">
              <a:pos x="connsiteX12901" y="connsiteY12901"/>
            </a:cxn>
            <a:cxn ang="0">
              <a:pos x="connsiteX12902" y="connsiteY12902"/>
            </a:cxn>
            <a:cxn ang="0">
              <a:pos x="connsiteX12903" y="connsiteY12903"/>
            </a:cxn>
            <a:cxn ang="0">
              <a:pos x="connsiteX12904" y="connsiteY12904"/>
            </a:cxn>
            <a:cxn ang="0">
              <a:pos x="connsiteX12905" y="connsiteY12905"/>
            </a:cxn>
            <a:cxn ang="0">
              <a:pos x="connsiteX12906" y="connsiteY12906"/>
            </a:cxn>
            <a:cxn ang="0">
              <a:pos x="connsiteX12907" y="connsiteY12907"/>
            </a:cxn>
            <a:cxn ang="0">
              <a:pos x="connsiteX12908" y="connsiteY12908"/>
            </a:cxn>
            <a:cxn ang="0">
              <a:pos x="connsiteX12909" y="connsiteY12909"/>
            </a:cxn>
            <a:cxn ang="0">
              <a:pos x="connsiteX12910" y="connsiteY12910"/>
            </a:cxn>
            <a:cxn ang="0">
              <a:pos x="connsiteX12911" y="connsiteY12911"/>
            </a:cxn>
            <a:cxn ang="0">
              <a:pos x="connsiteX12912" y="connsiteY12912"/>
            </a:cxn>
            <a:cxn ang="0">
              <a:pos x="connsiteX12913" y="connsiteY12913"/>
            </a:cxn>
            <a:cxn ang="0">
              <a:pos x="connsiteX12914" y="connsiteY12914"/>
            </a:cxn>
            <a:cxn ang="0">
              <a:pos x="connsiteX12915" y="connsiteY12915"/>
            </a:cxn>
            <a:cxn ang="0">
              <a:pos x="connsiteX12916" y="connsiteY12916"/>
            </a:cxn>
            <a:cxn ang="0">
              <a:pos x="connsiteX12917" y="connsiteY12917"/>
            </a:cxn>
            <a:cxn ang="0">
              <a:pos x="connsiteX12918" y="connsiteY12918"/>
            </a:cxn>
            <a:cxn ang="0">
              <a:pos x="connsiteX12919" y="connsiteY12919"/>
            </a:cxn>
            <a:cxn ang="0">
              <a:pos x="connsiteX12920" y="connsiteY12920"/>
            </a:cxn>
            <a:cxn ang="0">
              <a:pos x="connsiteX12921" y="connsiteY12921"/>
            </a:cxn>
            <a:cxn ang="0">
              <a:pos x="connsiteX12922" y="connsiteY12922"/>
            </a:cxn>
            <a:cxn ang="0">
              <a:pos x="connsiteX12923" y="connsiteY12923"/>
            </a:cxn>
            <a:cxn ang="0">
              <a:pos x="connsiteX12924" y="connsiteY12924"/>
            </a:cxn>
            <a:cxn ang="0">
              <a:pos x="connsiteX12925" y="connsiteY12925"/>
            </a:cxn>
            <a:cxn ang="0">
              <a:pos x="connsiteX12926" y="connsiteY12926"/>
            </a:cxn>
            <a:cxn ang="0">
              <a:pos x="connsiteX12927" y="connsiteY12927"/>
            </a:cxn>
            <a:cxn ang="0">
              <a:pos x="connsiteX12928" y="connsiteY12928"/>
            </a:cxn>
            <a:cxn ang="0">
              <a:pos x="connsiteX12929" y="connsiteY12929"/>
            </a:cxn>
            <a:cxn ang="0">
              <a:pos x="connsiteX12930" y="connsiteY12930"/>
            </a:cxn>
            <a:cxn ang="0">
              <a:pos x="connsiteX12931" y="connsiteY12931"/>
            </a:cxn>
            <a:cxn ang="0">
              <a:pos x="connsiteX12932" y="connsiteY12932"/>
            </a:cxn>
            <a:cxn ang="0">
              <a:pos x="connsiteX12933" y="connsiteY12933"/>
            </a:cxn>
            <a:cxn ang="0">
              <a:pos x="connsiteX12934" y="connsiteY12934"/>
            </a:cxn>
            <a:cxn ang="0">
              <a:pos x="connsiteX12935" y="connsiteY12935"/>
            </a:cxn>
            <a:cxn ang="0">
              <a:pos x="connsiteX12936" y="connsiteY12936"/>
            </a:cxn>
            <a:cxn ang="0">
              <a:pos x="connsiteX12937" y="connsiteY12937"/>
            </a:cxn>
            <a:cxn ang="0">
              <a:pos x="connsiteX12938" y="connsiteY12938"/>
            </a:cxn>
            <a:cxn ang="0">
              <a:pos x="connsiteX12939" y="connsiteY12939"/>
            </a:cxn>
            <a:cxn ang="0">
              <a:pos x="connsiteX12940" y="connsiteY12940"/>
            </a:cxn>
            <a:cxn ang="0">
              <a:pos x="connsiteX12941" y="connsiteY12941"/>
            </a:cxn>
            <a:cxn ang="0">
              <a:pos x="connsiteX12942" y="connsiteY12942"/>
            </a:cxn>
            <a:cxn ang="0">
              <a:pos x="connsiteX12943" y="connsiteY12943"/>
            </a:cxn>
            <a:cxn ang="0">
              <a:pos x="connsiteX12944" y="connsiteY12944"/>
            </a:cxn>
            <a:cxn ang="0">
              <a:pos x="connsiteX12945" y="connsiteY12945"/>
            </a:cxn>
            <a:cxn ang="0">
              <a:pos x="connsiteX12946" y="connsiteY12946"/>
            </a:cxn>
            <a:cxn ang="0">
              <a:pos x="connsiteX12947" y="connsiteY12947"/>
            </a:cxn>
            <a:cxn ang="0">
              <a:pos x="connsiteX12948" y="connsiteY12948"/>
            </a:cxn>
            <a:cxn ang="0">
              <a:pos x="connsiteX12949" y="connsiteY12949"/>
            </a:cxn>
            <a:cxn ang="0">
              <a:pos x="connsiteX12950" y="connsiteY12950"/>
            </a:cxn>
            <a:cxn ang="0">
              <a:pos x="connsiteX12951" y="connsiteY12951"/>
            </a:cxn>
            <a:cxn ang="0">
              <a:pos x="connsiteX12952" y="connsiteY12952"/>
            </a:cxn>
            <a:cxn ang="0">
              <a:pos x="connsiteX12953" y="connsiteY12953"/>
            </a:cxn>
            <a:cxn ang="0">
              <a:pos x="connsiteX12954" y="connsiteY12954"/>
            </a:cxn>
            <a:cxn ang="0">
              <a:pos x="connsiteX12955" y="connsiteY12955"/>
            </a:cxn>
            <a:cxn ang="0">
              <a:pos x="connsiteX12956" y="connsiteY12956"/>
            </a:cxn>
            <a:cxn ang="0">
              <a:pos x="connsiteX12957" y="connsiteY12957"/>
            </a:cxn>
            <a:cxn ang="0">
              <a:pos x="connsiteX12958" y="connsiteY12958"/>
            </a:cxn>
            <a:cxn ang="0">
              <a:pos x="connsiteX12959" y="connsiteY12959"/>
            </a:cxn>
            <a:cxn ang="0">
              <a:pos x="connsiteX12960" y="connsiteY12960"/>
            </a:cxn>
            <a:cxn ang="0">
              <a:pos x="connsiteX12961" y="connsiteY12961"/>
            </a:cxn>
            <a:cxn ang="0">
              <a:pos x="connsiteX12962" y="connsiteY12962"/>
            </a:cxn>
            <a:cxn ang="0">
              <a:pos x="connsiteX12963" y="connsiteY12963"/>
            </a:cxn>
            <a:cxn ang="0">
              <a:pos x="connsiteX12964" y="connsiteY12964"/>
            </a:cxn>
            <a:cxn ang="0">
              <a:pos x="connsiteX12965" y="connsiteY12965"/>
            </a:cxn>
            <a:cxn ang="0">
              <a:pos x="connsiteX12966" y="connsiteY12966"/>
            </a:cxn>
            <a:cxn ang="0">
              <a:pos x="connsiteX12967" y="connsiteY12967"/>
            </a:cxn>
            <a:cxn ang="0">
              <a:pos x="connsiteX12968" y="connsiteY12968"/>
            </a:cxn>
            <a:cxn ang="0">
              <a:pos x="connsiteX12969" y="connsiteY12969"/>
            </a:cxn>
            <a:cxn ang="0">
              <a:pos x="connsiteX12970" y="connsiteY12970"/>
            </a:cxn>
            <a:cxn ang="0">
              <a:pos x="connsiteX12971" y="connsiteY12971"/>
            </a:cxn>
            <a:cxn ang="0">
              <a:pos x="connsiteX12972" y="connsiteY12972"/>
            </a:cxn>
            <a:cxn ang="0">
              <a:pos x="connsiteX12973" y="connsiteY12973"/>
            </a:cxn>
            <a:cxn ang="0">
              <a:pos x="connsiteX12974" y="connsiteY12974"/>
            </a:cxn>
            <a:cxn ang="0">
              <a:pos x="connsiteX12975" y="connsiteY12975"/>
            </a:cxn>
            <a:cxn ang="0">
              <a:pos x="connsiteX12976" y="connsiteY12976"/>
            </a:cxn>
            <a:cxn ang="0">
              <a:pos x="connsiteX12977" y="connsiteY12977"/>
            </a:cxn>
            <a:cxn ang="0">
              <a:pos x="connsiteX12978" y="connsiteY12978"/>
            </a:cxn>
            <a:cxn ang="0">
              <a:pos x="connsiteX12979" y="connsiteY12979"/>
            </a:cxn>
            <a:cxn ang="0">
              <a:pos x="connsiteX12980" y="connsiteY12980"/>
            </a:cxn>
            <a:cxn ang="0">
              <a:pos x="connsiteX12981" y="connsiteY12981"/>
            </a:cxn>
            <a:cxn ang="0">
              <a:pos x="connsiteX12982" y="connsiteY12982"/>
            </a:cxn>
            <a:cxn ang="0">
              <a:pos x="connsiteX12983" y="connsiteY12983"/>
            </a:cxn>
            <a:cxn ang="0">
              <a:pos x="connsiteX12984" y="connsiteY12984"/>
            </a:cxn>
            <a:cxn ang="0">
              <a:pos x="connsiteX12985" y="connsiteY12985"/>
            </a:cxn>
            <a:cxn ang="0">
              <a:pos x="connsiteX12986" y="connsiteY12986"/>
            </a:cxn>
            <a:cxn ang="0">
              <a:pos x="connsiteX12987" y="connsiteY12987"/>
            </a:cxn>
            <a:cxn ang="0">
              <a:pos x="connsiteX12988" y="connsiteY12988"/>
            </a:cxn>
            <a:cxn ang="0">
              <a:pos x="connsiteX12989" y="connsiteY12989"/>
            </a:cxn>
            <a:cxn ang="0">
              <a:pos x="connsiteX12990" y="connsiteY12990"/>
            </a:cxn>
            <a:cxn ang="0">
              <a:pos x="connsiteX12991" y="connsiteY12991"/>
            </a:cxn>
            <a:cxn ang="0">
              <a:pos x="connsiteX12992" y="connsiteY12992"/>
            </a:cxn>
            <a:cxn ang="0">
              <a:pos x="connsiteX12993" y="connsiteY12993"/>
            </a:cxn>
            <a:cxn ang="0">
              <a:pos x="connsiteX12994" y="connsiteY12994"/>
            </a:cxn>
            <a:cxn ang="0">
              <a:pos x="connsiteX12995" y="connsiteY12995"/>
            </a:cxn>
            <a:cxn ang="0">
              <a:pos x="connsiteX12996" y="connsiteY12996"/>
            </a:cxn>
            <a:cxn ang="0">
              <a:pos x="connsiteX12997" y="connsiteY12997"/>
            </a:cxn>
            <a:cxn ang="0">
              <a:pos x="connsiteX12998" y="connsiteY12998"/>
            </a:cxn>
            <a:cxn ang="0">
              <a:pos x="connsiteX12999" y="connsiteY12999"/>
            </a:cxn>
            <a:cxn ang="0">
              <a:pos x="connsiteX13000" y="connsiteY13000"/>
            </a:cxn>
            <a:cxn ang="0">
              <a:pos x="connsiteX13001" y="connsiteY13001"/>
            </a:cxn>
            <a:cxn ang="0">
              <a:pos x="connsiteX13002" y="connsiteY13002"/>
            </a:cxn>
            <a:cxn ang="0">
              <a:pos x="connsiteX13003" y="connsiteY13003"/>
            </a:cxn>
            <a:cxn ang="0">
              <a:pos x="connsiteX13004" y="connsiteY13004"/>
            </a:cxn>
            <a:cxn ang="0">
              <a:pos x="connsiteX13005" y="connsiteY13005"/>
            </a:cxn>
            <a:cxn ang="0">
              <a:pos x="connsiteX13006" y="connsiteY13006"/>
            </a:cxn>
            <a:cxn ang="0">
              <a:pos x="connsiteX13007" y="connsiteY13007"/>
            </a:cxn>
            <a:cxn ang="0">
              <a:pos x="connsiteX13008" y="connsiteY13008"/>
            </a:cxn>
            <a:cxn ang="0">
              <a:pos x="connsiteX13009" y="connsiteY13009"/>
            </a:cxn>
            <a:cxn ang="0">
              <a:pos x="connsiteX13010" y="connsiteY13010"/>
            </a:cxn>
            <a:cxn ang="0">
              <a:pos x="connsiteX13011" y="connsiteY13011"/>
            </a:cxn>
            <a:cxn ang="0">
              <a:pos x="connsiteX13012" y="connsiteY13012"/>
            </a:cxn>
            <a:cxn ang="0">
              <a:pos x="connsiteX13013" y="connsiteY13013"/>
            </a:cxn>
            <a:cxn ang="0">
              <a:pos x="connsiteX13014" y="connsiteY13014"/>
            </a:cxn>
            <a:cxn ang="0">
              <a:pos x="connsiteX13015" y="connsiteY13015"/>
            </a:cxn>
            <a:cxn ang="0">
              <a:pos x="connsiteX13016" y="connsiteY13016"/>
            </a:cxn>
            <a:cxn ang="0">
              <a:pos x="connsiteX13017" y="connsiteY13017"/>
            </a:cxn>
            <a:cxn ang="0">
              <a:pos x="connsiteX13018" y="connsiteY13018"/>
            </a:cxn>
            <a:cxn ang="0">
              <a:pos x="connsiteX13019" y="connsiteY13019"/>
            </a:cxn>
            <a:cxn ang="0">
              <a:pos x="connsiteX13020" y="connsiteY13020"/>
            </a:cxn>
            <a:cxn ang="0">
              <a:pos x="connsiteX13021" y="connsiteY13021"/>
            </a:cxn>
            <a:cxn ang="0">
              <a:pos x="connsiteX13022" y="connsiteY13022"/>
            </a:cxn>
            <a:cxn ang="0">
              <a:pos x="connsiteX13023" y="connsiteY13023"/>
            </a:cxn>
            <a:cxn ang="0">
              <a:pos x="connsiteX13024" y="connsiteY13024"/>
            </a:cxn>
            <a:cxn ang="0">
              <a:pos x="connsiteX13025" y="connsiteY13025"/>
            </a:cxn>
            <a:cxn ang="0">
              <a:pos x="connsiteX13026" y="connsiteY13026"/>
            </a:cxn>
            <a:cxn ang="0">
              <a:pos x="connsiteX13027" y="connsiteY13027"/>
            </a:cxn>
            <a:cxn ang="0">
              <a:pos x="connsiteX13028" y="connsiteY13028"/>
            </a:cxn>
            <a:cxn ang="0">
              <a:pos x="connsiteX13029" y="connsiteY13029"/>
            </a:cxn>
            <a:cxn ang="0">
              <a:pos x="connsiteX13030" y="connsiteY13030"/>
            </a:cxn>
            <a:cxn ang="0">
              <a:pos x="connsiteX13031" y="connsiteY13031"/>
            </a:cxn>
            <a:cxn ang="0">
              <a:pos x="connsiteX13032" y="connsiteY13032"/>
            </a:cxn>
            <a:cxn ang="0">
              <a:pos x="connsiteX13033" y="connsiteY13033"/>
            </a:cxn>
            <a:cxn ang="0">
              <a:pos x="connsiteX13034" y="connsiteY13034"/>
            </a:cxn>
            <a:cxn ang="0">
              <a:pos x="connsiteX13035" y="connsiteY13035"/>
            </a:cxn>
            <a:cxn ang="0">
              <a:pos x="connsiteX13036" y="connsiteY13036"/>
            </a:cxn>
            <a:cxn ang="0">
              <a:pos x="connsiteX13037" y="connsiteY13037"/>
            </a:cxn>
            <a:cxn ang="0">
              <a:pos x="connsiteX13038" y="connsiteY13038"/>
            </a:cxn>
            <a:cxn ang="0">
              <a:pos x="connsiteX13039" y="connsiteY13039"/>
            </a:cxn>
            <a:cxn ang="0">
              <a:pos x="connsiteX13040" y="connsiteY13040"/>
            </a:cxn>
            <a:cxn ang="0">
              <a:pos x="connsiteX13041" y="connsiteY13041"/>
            </a:cxn>
            <a:cxn ang="0">
              <a:pos x="connsiteX13042" y="connsiteY13042"/>
            </a:cxn>
            <a:cxn ang="0">
              <a:pos x="connsiteX13043" y="connsiteY13043"/>
            </a:cxn>
            <a:cxn ang="0">
              <a:pos x="connsiteX13044" y="connsiteY13044"/>
            </a:cxn>
            <a:cxn ang="0">
              <a:pos x="connsiteX13045" y="connsiteY13045"/>
            </a:cxn>
            <a:cxn ang="0">
              <a:pos x="connsiteX13046" y="connsiteY13046"/>
            </a:cxn>
            <a:cxn ang="0">
              <a:pos x="connsiteX13047" y="connsiteY13047"/>
            </a:cxn>
            <a:cxn ang="0">
              <a:pos x="connsiteX13048" y="connsiteY13048"/>
            </a:cxn>
            <a:cxn ang="0">
              <a:pos x="connsiteX13049" y="connsiteY13049"/>
            </a:cxn>
            <a:cxn ang="0">
              <a:pos x="connsiteX13050" y="connsiteY13050"/>
            </a:cxn>
            <a:cxn ang="0">
              <a:pos x="connsiteX13051" y="connsiteY13051"/>
            </a:cxn>
            <a:cxn ang="0">
              <a:pos x="connsiteX13052" y="connsiteY13052"/>
            </a:cxn>
            <a:cxn ang="0">
              <a:pos x="connsiteX13053" y="connsiteY13053"/>
            </a:cxn>
            <a:cxn ang="0">
              <a:pos x="connsiteX13054" y="connsiteY13054"/>
            </a:cxn>
            <a:cxn ang="0">
              <a:pos x="connsiteX13055" y="connsiteY13055"/>
            </a:cxn>
            <a:cxn ang="0">
              <a:pos x="connsiteX13056" y="connsiteY13056"/>
            </a:cxn>
            <a:cxn ang="0">
              <a:pos x="connsiteX13057" y="connsiteY13057"/>
            </a:cxn>
            <a:cxn ang="0">
              <a:pos x="connsiteX13058" y="connsiteY13058"/>
            </a:cxn>
            <a:cxn ang="0">
              <a:pos x="connsiteX13059" y="connsiteY13059"/>
            </a:cxn>
            <a:cxn ang="0">
              <a:pos x="connsiteX13060" y="connsiteY13060"/>
            </a:cxn>
            <a:cxn ang="0">
              <a:pos x="connsiteX13061" y="connsiteY13061"/>
            </a:cxn>
            <a:cxn ang="0">
              <a:pos x="connsiteX13062" y="connsiteY13062"/>
            </a:cxn>
            <a:cxn ang="0">
              <a:pos x="connsiteX13063" y="connsiteY13063"/>
            </a:cxn>
            <a:cxn ang="0">
              <a:pos x="connsiteX13064" y="connsiteY13064"/>
            </a:cxn>
            <a:cxn ang="0">
              <a:pos x="connsiteX13065" y="connsiteY13065"/>
            </a:cxn>
            <a:cxn ang="0">
              <a:pos x="connsiteX13066" y="connsiteY13066"/>
            </a:cxn>
            <a:cxn ang="0">
              <a:pos x="connsiteX13067" y="connsiteY13067"/>
            </a:cxn>
            <a:cxn ang="0">
              <a:pos x="connsiteX13068" y="connsiteY13068"/>
            </a:cxn>
            <a:cxn ang="0">
              <a:pos x="connsiteX13069" y="connsiteY13069"/>
            </a:cxn>
            <a:cxn ang="0">
              <a:pos x="connsiteX13070" y="connsiteY13070"/>
            </a:cxn>
            <a:cxn ang="0">
              <a:pos x="connsiteX13071" y="connsiteY13071"/>
            </a:cxn>
            <a:cxn ang="0">
              <a:pos x="connsiteX13072" y="connsiteY13072"/>
            </a:cxn>
            <a:cxn ang="0">
              <a:pos x="connsiteX13073" y="connsiteY13073"/>
            </a:cxn>
            <a:cxn ang="0">
              <a:pos x="connsiteX13074" y="connsiteY13074"/>
            </a:cxn>
            <a:cxn ang="0">
              <a:pos x="connsiteX13075" y="connsiteY13075"/>
            </a:cxn>
            <a:cxn ang="0">
              <a:pos x="connsiteX13076" y="connsiteY13076"/>
            </a:cxn>
            <a:cxn ang="0">
              <a:pos x="connsiteX13077" y="connsiteY13077"/>
            </a:cxn>
            <a:cxn ang="0">
              <a:pos x="connsiteX13078" y="connsiteY13078"/>
            </a:cxn>
            <a:cxn ang="0">
              <a:pos x="connsiteX13079" y="connsiteY13079"/>
            </a:cxn>
            <a:cxn ang="0">
              <a:pos x="connsiteX13080" y="connsiteY13080"/>
            </a:cxn>
            <a:cxn ang="0">
              <a:pos x="connsiteX13081" y="connsiteY13081"/>
            </a:cxn>
            <a:cxn ang="0">
              <a:pos x="connsiteX13082" y="connsiteY13082"/>
            </a:cxn>
            <a:cxn ang="0">
              <a:pos x="connsiteX13083" y="connsiteY13083"/>
            </a:cxn>
            <a:cxn ang="0">
              <a:pos x="connsiteX13084" y="connsiteY13084"/>
            </a:cxn>
            <a:cxn ang="0">
              <a:pos x="connsiteX13085" y="connsiteY13085"/>
            </a:cxn>
            <a:cxn ang="0">
              <a:pos x="connsiteX13086" y="connsiteY13086"/>
            </a:cxn>
            <a:cxn ang="0">
              <a:pos x="connsiteX13087" y="connsiteY13087"/>
            </a:cxn>
            <a:cxn ang="0">
              <a:pos x="connsiteX13088" y="connsiteY13088"/>
            </a:cxn>
            <a:cxn ang="0">
              <a:pos x="connsiteX13089" y="connsiteY13089"/>
            </a:cxn>
            <a:cxn ang="0">
              <a:pos x="connsiteX13090" y="connsiteY13090"/>
            </a:cxn>
            <a:cxn ang="0">
              <a:pos x="connsiteX13091" y="connsiteY13091"/>
            </a:cxn>
            <a:cxn ang="0">
              <a:pos x="connsiteX13092" y="connsiteY13092"/>
            </a:cxn>
            <a:cxn ang="0">
              <a:pos x="connsiteX13093" y="connsiteY13093"/>
            </a:cxn>
            <a:cxn ang="0">
              <a:pos x="connsiteX13094" y="connsiteY13094"/>
            </a:cxn>
            <a:cxn ang="0">
              <a:pos x="connsiteX13095" y="connsiteY13095"/>
            </a:cxn>
            <a:cxn ang="0">
              <a:pos x="connsiteX13096" y="connsiteY13096"/>
            </a:cxn>
            <a:cxn ang="0">
              <a:pos x="connsiteX13097" y="connsiteY13097"/>
            </a:cxn>
            <a:cxn ang="0">
              <a:pos x="connsiteX13098" y="connsiteY13098"/>
            </a:cxn>
            <a:cxn ang="0">
              <a:pos x="connsiteX13099" y="connsiteY13099"/>
            </a:cxn>
            <a:cxn ang="0">
              <a:pos x="connsiteX13100" y="connsiteY13100"/>
            </a:cxn>
            <a:cxn ang="0">
              <a:pos x="connsiteX13101" y="connsiteY13101"/>
            </a:cxn>
            <a:cxn ang="0">
              <a:pos x="connsiteX13102" y="connsiteY13102"/>
            </a:cxn>
            <a:cxn ang="0">
              <a:pos x="connsiteX13103" y="connsiteY13103"/>
            </a:cxn>
            <a:cxn ang="0">
              <a:pos x="connsiteX13104" y="connsiteY13104"/>
            </a:cxn>
            <a:cxn ang="0">
              <a:pos x="connsiteX13105" y="connsiteY13105"/>
            </a:cxn>
            <a:cxn ang="0">
              <a:pos x="connsiteX13106" y="connsiteY13106"/>
            </a:cxn>
            <a:cxn ang="0">
              <a:pos x="connsiteX13107" y="connsiteY13107"/>
            </a:cxn>
            <a:cxn ang="0">
              <a:pos x="connsiteX13108" y="connsiteY13108"/>
            </a:cxn>
            <a:cxn ang="0">
              <a:pos x="connsiteX13109" y="connsiteY13109"/>
            </a:cxn>
            <a:cxn ang="0">
              <a:pos x="connsiteX13110" y="connsiteY13110"/>
            </a:cxn>
            <a:cxn ang="0">
              <a:pos x="connsiteX13111" y="connsiteY13111"/>
            </a:cxn>
            <a:cxn ang="0">
              <a:pos x="connsiteX13112" y="connsiteY13112"/>
            </a:cxn>
            <a:cxn ang="0">
              <a:pos x="connsiteX13113" y="connsiteY13113"/>
            </a:cxn>
            <a:cxn ang="0">
              <a:pos x="connsiteX13114" y="connsiteY13114"/>
            </a:cxn>
            <a:cxn ang="0">
              <a:pos x="connsiteX13115" y="connsiteY13115"/>
            </a:cxn>
            <a:cxn ang="0">
              <a:pos x="connsiteX13116" y="connsiteY13116"/>
            </a:cxn>
            <a:cxn ang="0">
              <a:pos x="connsiteX13117" y="connsiteY13117"/>
            </a:cxn>
            <a:cxn ang="0">
              <a:pos x="connsiteX13118" y="connsiteY13118"/>
            </a:cxn>
            <a:cxn ang="0">
              <a:pos x="connsiteX13119" y="connsiteY13119"/>
            </a:cxn>
            <a:cxn ang="0">
              <a:pos x="connsiteX13120" y="connsiteY13120"/>
            </a:cxn>
            <a:cxn ang="0">
              <a:pos x="connsiteX13121" y="connsiteY13121"/>
            </a:cxn>
            <a:cxn ang="0">
              <a:pos x="connsiteX13122" y="connsiteY13122"/>
            </a:cxn>
            <a:cxn ang="0">
              <a:pos x="connsiteX13123" y="connsiteY13123"/>
            </a:cxn>
            <a:cxn ang="0">
              <a:pos x="connsiteX13124" y="connsiteY13124"/>
            </a:cxn>
            <a:cxn ang="0">
              <a:pos x="connsiteX13125" y="connsiteY13125"/>
            </a:cxn>
            <a:cxn ang="0">
              <a:pos x="connsiteX13126" y="connsiteY13126"/>
            </a:cxn>
            <a:cxn ang="0">
              <a:pos x="connsiteX13127" y="connsiteY13127"/>
            </a:cxn>
            <a:cxn ang="0">
              <a:pos x="connsiteX13128" y="connsiteY13128"/>
            </a:cxn>
            <a:cxn ang="0">
              <a:pos x="connsiteX13129" y="connsiteY13129"/>
            </a:cxn>
            <a:cxn ang="0">
              <a:pos x="connsiteX13130" y="connsiteY13130"/>
            </a:cxn>
            <a:cxn ang="0">
              <a:pos x="connsiteX13131" y="connsiteY13131"/>
            </a:cxn>
            <a:cxn ang="0">
              <a:pos x="connsiteX13132" y="connsiteY13132"/>
            </a:cxn>
            <a:cxn ang="0">
              <a:pos x="connsiteX13133" y="connsiteY13133"/>
            </a:cxn>
            <a:cxn ang="0">
              <a:pos x="connsiteX13134" y="connsiteY13134"/>
            </a:cxn>
            <a:cxn ang="0">
              <a:pos x="connsiteX13135" y="connsiteY13135"/>
            </a:cxn>
            <a:cxn ang="0">
              <a:pos x="connsiteX13136" y="connsiteY13136"/>
            </a:cxn>
            <a:cxn ang="0">
              <a:pos x="connsiteX13137" y="connsiteY13137"/>
            </a:cxn>
            <a:cxn ang="0">
              <a:pos x="connsiteX13138" y="connsiteY13138"/>
            </a:cxn>
            <a:cxn ang="0">
              <a:pos x="connsiteX13139" y="connsiteY13139"/>
            </a:cxn>
            <a:cxn ang="0">
              <a:pos x="connsiteX13140" y="connsiteY13140"/>
            </a:cxn>
            <a:cxn ang="0">
              <a:pos x="connsiteX13141" y="connsiteY13141"/>
            </a:cxn>
            <a:cxn ang="0">
              <a:pos x="connsiteX13142" y="connsiteY13142"/>
            </a:cxn>
            <a:cxn ang="0">
              <a:pos x="connsiteX13143" y="connsiteY13143"/>
            </a:cxn>
            <a:cxn ang="0">
              <a:pos x="connsiteX13144" y="connsiteY13144"/>
            </a:cxn>
            <a:cxn ang="0">
              <a:pos x="connsiteX13145" y="connsiteY13145"/>
            </a:cxn>
            <a:cxn ang="0">
              <a:pos x="connsiteX13146" y="connsiteY13146"/>
            </a:cxn>
            <a:cxn ang="0">
              <a:pos x="connsiteX13147" y="connsiteY13147"/>
            </a:cxn>
            <a:cxn ang="0">
              <a:pos x="connsiteX13148" y="connsiteY13148"/>
            </a:cxn>
            <a:cxn ang="0">
              <a:pos x="connsiteX13149" y="connsiteY13149"/>
            </a:cxn>
            <a:cxn ang="0">
              <a:pos x="connsiteX13150" y="connsiteY13150"/>
            </a:cxn>
            <a:cxn ang="0">
              <a:pos x="connsiteX13151" y="connsiteY13151"/>
            </a:cxn>
            <a:cxn ang="0">
              <a:pos x="connsiteX13152" y="connsiteY13152"/>
            </a:cxn>
            <a:cxn ang="0">
              <a:pos x="connsiteX13153" y="connsiteY13153"/>
            </a:cxn>
            <a:cxn ang="0">
              <a:pos x="connsiteX13154" y="connsiteY13154"/>
            </a:cxn>
            <a:cxn ang="0">
              <a:pos x="connsiteX13155" y="connsiteY13155"/>
            </a:cxn>
            <a:cxn ang="0">
              <a:pos x="connsiteX13156" y="connsiteY13156"/>
            </a:cxn>
            <a:cxn ang="0">
              <a:pos x="connsiteX13157" y="connsiteY13157"/>
            </a:cxn>
            <a:cxn ang="0">
              <a:pos x="connsiteX13158" y="connsiteY13158"/>
            </a:cxn>
            <a:cxn ang="0">
              <a:pos x="connsiteX13159" y="connsiteY13159"/>
            </a:cxn>
            <a:cxn ang="0">
              <a:pos x="connsiteX13160" y="connsiteY13160"/>
            </a:cxn>
            <a:cxn ang="0">
              <a:pos x="connsiteX13161" y="connsiteY13161"/>
            </a:cxn>
            <a:cxn ang="0">
              <a:pos x="connsiteX13162" y="connsiteY13162"/>
            </a:cxn>
            <a:cxn ang="0">
              <a:pos x="connsiteX13163" y="connsiteY13163"/>
            </a:cxn>
            <a:cxn ang="0">
              <a:pos x="connsiteX13164" y="connsiteY13164"/>
            </a:cxn>
            <a:cxn ang="0">
              <a:pos x="connsiteX13165" y="connsiteY13165"/>
            </a:cxn>
            <a:cxn ang="0">
              <a:pos x="connsiteX13166" y="connsiteY13166"/>
            </a:cxn>
            <a:cxn ang="0">
              <a:pos x="connsiteX13167" y="connsiteY13167"/>
            </a:cxn>
            <a:cxn ang="0">
              <a:pos x="connsiteX13168" y="connsiteY13168"/>
            </a:cxn>
            <a:cxn ang="0">
              <a:pos x="connsiteX13169" y="connsiteY13169"/>
            </a:cxn>
            <a:cxn ang="0">
              <a:pos x="connsiteX13170" y="connsiteY13170"/>
            </a:cxn>
            <a:cxn ang="0">
              <a:pos x="connsiteX13171" y="connsiteY13171"/>
            </a:cxn>
            <a:cxn ang="0">
              <a:pos x="connsiteX13172" y="connsiteY13172"/>
            </a:cxn>
            <a:cxn ang="0">
              <a:pos x="connsiteX13173" y="connsiteY13173"/>
            </a:cxn>
            <a:cxn ang="0">
              <a:pos x="connsiteX13174" y="connsiteY13174"/>
            </a:cxn>
            <a:cxn ang="0">
              <a:pos x="connsiteX13175" y="connsiteY13175"/>
            </a:cxn>
            <a:cxn ang="0">
              <a:pos x="connsiteX13176" y="connsiteY13176"/>
            </a:cxn>
            <a:cxn ang="0">
              <a:pos x="connsiteX13177" y="connsiteY13177"/>
            </a:cxn>
            <a:cxn ang="0">
              <a:pos x="connsiteX13178" y="connsiteY13178"/>
            </a:cxn>
            <a:cxn ang="0">
              <a:pos x="connsiteX13179" y="connsiteY13179"/>
            </a:cxn>
            <a:cxn ang="0">
              <a:pos x="connsiteX13180" y="connsiteY13180"/>
            </a:cxn>
            <a:cxn ang="0">
              <a:pos x="connsiteX13181" y="connsiteY13181"/>
            </a:cxn>
            <a:cxn ang="0">
              <a:pos x="connsiteX13182" y="connsiteY13182"/>
            </a:cxn>
            <a:cxn ang="0">
              <a:pos x="connsiteX13183" y="connsiteY13183"/>
            </a:cxn>
            <a:cxn ang="0">
              <a:pos x="connsiteX13184" y="connsiteY13184"/>
            </a:cxn>
            <a:cxn ang="0">
              <a:pos x="connsiteX13185" y="connsiteY13185"/>
            </a:cxn>
            <a:cxn ang="0">
              <a:pos x="connsiteX13186" y="connsiteY13186"/>
            </a:cxn>
            <a:cxn ang="0">
              <a:pos x="connsiteX13187" y="connsiteY13187"/>
            </a:cxn>
            <a:cxn ang="0">
              <a:pos x="connsiteX13188" y="connsiteY13188"/>
            </a:cxn>
            <a:cxn ang="0">
              <a:pos x="connsiteX13189" y="connsiteY13189"/>
            </a:cxn>
            <a:cxn ang="0">
              <a:pos x="connsiteX13190" y="connsiteY13190"/>
            </a:cxn>
            <a:cxn ang="0">
              <a:pos x="connsiteX13191" y="connsiteY13191"/>
            </a:cxn>
            <a:cxn ang="0">
              <a:pos x="connsiteX13192" y="connsiteY13192"/>
            </a:cxn>
            <a:cxn ang="0">
              <a:pos x="connsiteX13193" y="connsiteY13193"/>
            </a:cxn>
            <a:cxn ang="0">
              <a:pos x="connsiteX13194" y="connsiteY13194"/>
            </a:cxn>
            <a:cxn ang="0">
              <a:pos x="connsiteX13195" y="connsiteY13195"/>
            </a:cxn>
            <a:cxn ang="0">
              <a:pos x="connsiteX13196" y="connsiteY13196"/>
            </a:cxn>
            <a:cxn ang="0">
              <a:pos x="connsiteX13197" y="connsiteY13197"/>
            </a:cxn>
            <a:cxn ang="0">
              <a:pos x="connsiteX13198" y="connsiteY13198"/>
            </a:cxn>
            <a:cxn ang="0">
              <a:pos x="connsiteX13199" y="connsiteY13199"/>
            </a:cxn>
            <a:cxn ang="0">
              <a:pos x="connsiteX13200" y="connsiteY13200"/>
            </a:cxn>
            <a:cxn ang="0">
              <a:pos x="connsiteX13201" y="connsiteY13201"/>
            </a:cxn>
            <a:cxn ang="0">
              <a:pos x="connsiteX13202" y="connsiteY13202"/>
            </a:cxn>
            <a:cxn ang="0">
              <a:pos x="connsiteX13203" y="connsiteY13203"/>
            </a:cxn>
            <a:cxn ang="0">
              <a:pos x="connsiteX13204" y="connsiteY13204"/>
            </a:cxn>
            <a:cxn ang="0">
              <a:pos x="connsiteX13205" y="connsiteY13205"/>
            </a:cxn>
            <a:cxn ang="0">
              <a:pos x="connsiteX13206" y="connsiteY13206"/>
            </a:cxn>
            <a:cxn ang="0">
              <a:pos x="connsiteX13207" y="connsiteY13207"/>
            </a:cxn>
            <a:cxn ang="0">
              <a:pos x="connsiteX13208" y="connsiteY13208"/>
            </a:cxn>
            <a:cxn ang="0">
              <a:pos x="connsiteX13209" y="connsiteY13209"/>
            </a:cxn>
            <a:cxn ang="0">
              <a:pos x="connsiteX13210" y="connsiteY13210"/>
            </a:cxn>
            <a:cxn ang="0">
              <a:pos x="connsiteX13211" y="connsiteY13211"/>
            </a:cxn>
            <a:cxn ang="0">
              <a:pos x="connsiteX13212" y="connsiteY13212"/>
            </a:cxn>
            <a:cxn ang="0">
              <a:pos x="connsiteX13213" y="connsiteY13213"/>
            </a:cxn>
            <a:cxn ang="0">
              <a:pos x="connsiteX13214" y="connsiteY13214"/>
            </a:cxn>
            <a:cxn ang="0">
              <a:pos x="connsiteX13215" y="connsiteY13215"/>
            </a:cxn>
            <a:cxn ang="0">
              <a:pos x="connsiteX13216" y="connsiteY13216"/>
            </a:cxn>
            <a:cxn ang="0">
              <a:pos x="connsiteX13217" y="connsiteY13217"/>
            </a:cxn>
            <a:cxn ang="0">
              <a:pos x="connsiteX13218" y="connsiteY13218"/>
            </a:cxn>
            <a:cxn ang="0">
              <a:pos x="connsiteX13219" y="connsiteY13219"/>
            </a:cxn>
            <a:cxn ang="0">
              <a:pos x="connsiteX13220" y="connsiteY13220"/>
            </a:cxn>
            <a:cxn ang="0">
              <a:pos x="connsiteX13221" y="connsiteY13221"/>
            </a:cxn>
            <a:cxn ang="0">
              <a:pos x="connsiteX13222" y="connsiteY13222"/>
            </a:cxn>
            <a:cxn ang="0">
              <a:pos x="connsiteX13223" y="connsiteY13223"/>
            </a:cxn>
            <a:cxn ang="0">
              <a:pos x="connsiteX13224" y="connsiteY13224"/>
            </a:cxn>
            <a:cxn ang="0">
              <a:pos x="connsiteX13225" y="connsiteY13225"/>
            </a:cxn>
            <a:cxn ang="0">
              <a:pos x="connsiteX13226" y="connsiteY13226"/>
            </a:cxn>
            <a:cxn ang="0">
              <a:pos x="connsiteX13227" y="connsiteY13227"/>
            </a:cxn>
            <a:cxn ang="0">
              <a:pos x="connsiteX13228" y="connsiteY13228"/>
            </a:cxn>
            <a:cxn ang="0">
              <a:pos x="connsiteX13229" y="connsiteY13229"/>
            </a:cxn>
            <a:cxn ang="0">
              <a:pos x="connsiteX13230" y="connsiteY13230"/>
            </a:cxn>
            <a:cxn ang="0">
              <a:pos x="connsiteX13231" y="connsiteY13231"/>
            </a:cxn>
            <a:cxn ang="0">
              <a:pos x="connsiteX13232" y="connsiteY13232"/>
            </a:cxn>
            <a:cxn ang="0">
              <a:pos x="connsiteX13233" y="connsiteY13233"/>
            </a:cxn>
            <a:cxn ang="0">
              <a:pos x="connsiteX13234" y="connsiteY13234"/>
            </a:cxn>
            <a:cxn ang="0">
              <a:pos x="connsiteX13235" y="connsiteY13235"/>
            </a:cxn>
            <a:cxn ang="0">
              <a:pos x="connsiteX13236" y="connsiteY13236"/>
            </a:cxn>
            <a:cxn ang="0">
              <a:pos x="connsiteX13237" y="connsiteY13237"/>
            </a:cxn>
            <a:cxn ang="0">
              <a:pos x="connsiteX13238" y="connsiteY13238"/>
            </a:cxn>
            <a:cxn ang="0">
              <a:pos x="connsiteX13239" y="connsiteY13239"/>
            </a:cxn>
            <a:cxn ang="0">
              <a:pos x="connsiteX13240" y="connsiteY13240"/>
            </a:cxn>
            <a:cxn ang="0">
              <a:pos x="connsiteX13241" y="connsiteY13241"/>
            </a:cxn>
            <a:cxn ang="0">
              <a:pos x="connsiteX13242" y="connsiteY13242"/>
            </a:cxn>
            <a:cxn ang="0">
              <a:pos x="connsiteX13243" y="connsiteY13243"/>
            </a:cxn>
            <a:cxn ang="0">
              <a:pos x="connsiteX13244" y="connsiteY13244"/>
            </a:cxn>
            <a:cxn ang="0">
              <a:pos x="connsiteX13245" y="connsiteY13245"/>
            </a:cxn>
            <a:cxn ang="0">
              <a:pos x="connsiteX13246" y="connsiteY13246"/>
            </a:cxn>
            <a:cxn ang="0">
              <a:pos x="connsiteX13247" y="connsiteY13247"/>
            </a:cxn>
            <a:cxn ang="0">
              <a:pos x="connsiteX13248" y="connsiteY13248"/>
            </a:cxn>
            <a:cxn ang="0">
              <a:pos x="connsiteX13249" y="connsiteY13249"/>
            </a:cxn>
            <a:cxn ang="0">
              <a:pos x="connsiteX13250" y="connsiteY13250"/>
            </a:cxn>
            <a:cxn ang="0">
              <a:pos x="connsiteX13251" y="connsiteY13251"/>
            </a:cxn>
            <a:cxn ang="0">
              <a:pos x="connsiteX13252" y="connsiteY13252"/>
            </a:cxn>
            <a:cxn ang="0">
              <a:pos x="connsiteX13253" y="connsiteY13253"/>
            </a:cxn>
            <a:cxn ang="0">
              <a:pos x="connsiteX13254" y="connsiteY13254"/>
            </a:cxn>
            <a:cxn ang="0">
              <a:pos x="connsiteX13255" y="connsiteY13255"/>
            </a:cxn>
            <a:cxn ang="0">
              <a:pos x="connsiteX13256" y="connsiteY13256"/>
            </a:cxn>
            <a:cxn ang="0">
              <a:pos x="connsiteX13257" y="connsiteY13257"/>
            </a:cxn>
            <a:cxn ang="0">
              <a:pos x="connsiteX13258" y="connsiteY13258"/>
            </a:cxn>
            <a:cxn ang="0">
              <a:pos x="connsiteX13259" y="connsiteY13259"/>
            </a:cxn>
            <a:cxn ang="0">
              <a:pos x="connsiteX13260" y="connsiteY13260"/>
            </a:cxn>
            <a:cxn ang="0">
              <a:pos x="connsiteX13261" y="connsiteY13261"/>
            </a:cxn>
            <a:cxn ang="0">
              <a:pos x="connsiteX13262" y="connsiteY13262"/>
            </a:cxn>
            <a:cxn ang="0">
              <a:pos x="connsiteX13263" y="connsiteY13263"/>
            </a:cxn>
            <a:cxn ang="0">
              <a:pos x="connsiteX13264" y="connsiteY13264"/>
            </a:cxn>
            <a:cxn ang="0">
              <a:pos x="connsiteX13265" y="connsiteY13265"/>
            </a:cxn>
            <a:cxn ang="0">
              <a:pos x="connsiteX13266" y="connsiteY13266"/>
            </a:cxn>
            <a:cxn ang="0">
              <a:pos x="connsiteX13267" y="connsiteY13267"/>
            </a:cxn>
            <a:cxn ang="0">
              <a:pos x="connsiteX13268" y="connsiteY13268"/>
            </a:cxn>
            <a:cxn ang="0">
              <a:pos x="connsiteX13269" y="connsiteY13269"/>
            </a:cxn>
            <a:cxn ang="0">
              <a:pos x="connsiteX13270" y="connsiteY13270"/>
            </a:cxn>
            <a:cxn ang="0">
              <a:pos x="connsiteX13271" y="connsiteY13271"/>
            </a:cxn>
            <a:cxn ang="0">
              <a:pos x="connsiteX13272" y="connsiteY13272"/>
            </a:cxn>
            <a:cxn ang="0">
              <a:pos x="connsiteX13273" y="connsiteY13273"/>
            </a:cxn>
            <a:cxn ang="0">
              <a:pos x="connsiteX13274" y="connsiteY13274"/>
            </a:cxn>
            <a:cxn ang="0">
              <a:pos x="connsiteX13275" y="connsiteY13275"/>
            </a:cxn>
            <a:cxn ang="0">
              <a:pos x="connsiteX13276" y="connsiteY13276"/>
            </a:cxn>
            <a:cxn ang="0">
              <a:pos x="connsiteX13277" y="connsiteY13277"/>
            </a:cxn>
            <a:cxn ang="0">
              <a:pos x="connsiteX13278" y="connsiteY13278"/>
            </a:cxn>
            <a:cxn ang="0">
              <a:pos x="connsiteX13279" y="connsiteY13279"/>
            </a:cxn>
            <a:cxn ang="0">
              <a:pos x="connsiteX13280" y="connsiteY13280"/>
            </a:cxn>
            <a:cxn ang="0">
              <a:pos x="connsiteX13281" y="connsiteY13281"/>
            </a:cxn>
            <a:cxn ang="0">
              <a:pos x="connsiteX13282" y="connsiteY13282"/>
            </a:cxn>
            <a:cxn ang="0">
              <a:pos x="connsiteX13283" y="connsiteY13283"/>
            </a:cxn>
            <a:cxn ang="0">
              <a:pos x="connsiteX13284" y="connsiteY13284"/>
            </a:cxn>
            <a:cxn ang="0">
              <a:pos x="connsiteX13285" y="connsiteY13285"/>
            </a:cxn>
            <a:cxn ang="0">
              <a:pos x="connsiteX13286" y="connsiteY13286"/>
            </a:cxn>
            <a:cxn ang="0">
              <a:pos x="connsiteX13287" y="connsiteY13287"/>
            </a:cxn>
            <a:cxn ang="0">
              <a:pos x="connsiteX13288" y="connsiteY13288"/>
            </a:cxn>
            <a:cxn ang="0">
              <a:pos x="connsiteX13289" y="connsiteY13289"/>
            </a:cxn>
            <a:cxn ang="0">
              <a:pos x="connsiteX13290" y="connsiteY13290"/>
            </a:cxn>
            <a:cxn ang="0">
              <a:pos x="connsiteX13291" y="connsiteY13291"/>
            </a:cxn>
            <a:cxn ang="0">
              <a:pos x="connsiteX13292" y="connsiteY13292"/>
            </a:cxn>
            <a:cxn ang="0">
              <a:pos x="connsiteX13293" y="connsiteY13293"/>
            </a:cxn>
            <a:cxn ang="0">
              <a:pos x="connsiteX13294" y="connsiteY13294"/>
            </a:cxn>
            <a:cxn ang="0">
              <a:pos x="connsiteX13295" y="connsiteY13295"/>
            </a:cxn>
            <a:cxn ang="0">
              <a:pos x="connsiteX13296" y="connsiteY13296"/>
            </a:cxn>
            <a:cxn ang="0">
              <a:pos x="connsiteX13297" y="connsiteY13297"/>
            </a:cxn>
            <a:cxn ang="0">
              <a:pos x="connsiteX13298" y="connsiteY13298"/>
            </a:cxn>
            <a:cxn ang="0">
              <a:pos x="connsiteX13299" y="connsiteY13299"/>
            </a:cxn>
            <a:cxn ang="0">
              <a:pos x="connsiteX13300" y="connsiteY13300"/>
            </a:cxn>
            <a:cxn ang="0">
              <a:pos x="connsiteX13301" y="connsiteY13301"/>
            </a:cxn>
            <a:cxn ang="0">
              <a:pos x="connsiteX13302" y="connsiteY13302"/>
            </a:cxn>
            <a:cxn ang="0">
              <a:pos x="connsiteX13303" y="connsiteY13303"/>
            </a:cxn>
            <a:cxn ang="0">
              <a:pos x="connsiteX13304" y="connsiteY13304"/>
            </a:cxn>
            <a:cxn ang="0">
              <a:pos x="connsiteX13305" y="connsiteY13305"/>
            </a:cxn>
            <a:cxn ang="0">
              <a:pos x="connsiteX13306" y="connsiteY13306"/>
            </a:cxn>
            <a:cxn ang="0">
              <a:pos x="connsiteX13307" y="connsiteY13307"/>
            </a:cxn>
            <a:cxn ang="0">
              <a:pos x="connsiteX13308" y="connsiteY13308"/>
            </a:cxn>
            <a:cxn ang="0">
              <a:pos x="connsiteX13309" y="connsiteY13309"/>
            </a:cxn>
            <a:cxn ang="0">
              <a:pos x="connsiteX13310" y="connsiteY13310"/>
            </a:cxn>
            <a:cxn ang="0">
              <a:pos x="connsiteX13311" y="connsiteY13311"/>
            </a:cxn>
            <a:cxn ang="0">
              <a:pos x="connsiteX13312" y="connsiteY13312"/>
            </a:cxn>
            <a:cxn ang="0">
              <a:pos x="connsiteX13313" y="connsiteY13313"/>
            </a:cxn>
            <a:cxn ang="0">
              <a:pos x="connsiteX13314" y="connsiteY13314"/>
            </a:cxn>
            <a:cxn ang="0">
              <a:pos x="connsiteX13315" y="connsiteY13315"/>
            </a:cxn>
            <a:cxn ang="0">
              <a:pos x="connsiteX13316" y="connsiteY13316"/>
            </a:cxn>
            <a:cxn ang="0">
              <a:pos x="connsiteX13317" y="connsiteY13317"/>
            </a:cxn>
            <a:cxn ang="0">
              <a:pos x="connsiteX13318" y="connsiteY13318"/>
            </a:cxn>
            <a:cxn ang="0">
              <a:pos x="connsiteX13319" y="connsiteY13319"/>
            </a:cxn>
            <a:cxn ang="0">
              <a:pos x="connsiteX13320" y="connsiteY13320"/>
            </a:cxn>
            <a:cxn ang="0">
              <a:pos x="connsiteX13321" y="connsiteY13321"/>
            </a:cxn>
            <a:cxn ang="0">
              <a:pos x="connsiteX13322" y="connsiteY13322"/>
            </a:cxn>
            <a:cxn ang="0">
              <a:pos x="connsiteX13323" y="connsiteY13323"/>
            </a:cxn>
            <a:cxn ang="0">
              <a:pos x="connsiteX13324" y="connsiteY13324"/>
            </a:cxn>
            <a:cxn ang="0">
              <a:pos x="connsiteX13325" y="connsiteY13325"/>
            </a:cxn>
            <a:cxn ang="0">
              <a:pos x="connsiteX13326" y="connsiteY13326"/>
            </a:cxn>
            <a:cxn ang="0">
              <a:pos x="connsiteX13327" y="connsiteY13327"/>
            </a:cxn>
            <a:cxn ang="0">
              <a:pos x="connsiteX13328" y="connsiteY13328"/>
            </a:cxn>
            <a:cxn ang="0">
              <a:pos x="connsiteX13329" y="connsiteY13329"/>
            </a:cxn>
            <a:cxn ang="0">
              <a:pos x="connsiteX13330" y="connsiteY13330"/>
            </a:cxn>
            <a:cxn ang="0">
              <a:pos x="connsiteX13331" y="connsiteY13331"/>
            </a:cxn>
            <a:cxn ang="0">
              <a:pos x="connsiteX13332" y="connsiteY13332"/>
            </a:cxn>
            <a:cxn ang="0">
              <a:pos x="connsiteX13333" y="connsiteY13333"/>
            </a:cxn>
            <a:cxn ang="0">
              <a:pos x="connsiteX13334" y="connsiteY13334"/>
            </a:cxn>
            <a:cxn ang="0">
              <a:pos x="connsiteX13335" y="connsiteY13335"/>
            </a:cxn>
            <a:cxn ang="0">
              <a:pos x="connsiteX13336" y="connsiteY13336"/>
            </a:cxn>
            <a:cxn ang="0">
              <a:pos x="connsiteX13337" y="connsiteY13337"/>
            </a:cxn>
            <a:cxn ang="0">
              <a:pos x="connsiteX13338" y="connsiteY13338"/>
            </a:cxn>
            <a:cxn ang="0">
              <a:pos x="connsiteX13339" y="connsiteY13339"/>
            </a:cxn>
            <a:cxn ang="0">
              <a:pos x="connsiteX13340" y="connsiteY13340"/>
            </a:cxn>
            <a:cxn ang="0">
              <a:pos x="connsiteX13341" y="connsiteY13341"/>
            </a:cxn>
            <a:cxn ang="0">
              <a:pos x="connsiteX13342" y="connsiteY13342"/>
            </a:cxn>
            <a:cxn ang="0">
              <a:pos x="connsiteX13343" y="connsiteY13343"/>
            </a:cxn>
            <a:cxn ang="0">
              <a:pos x="connsiteX13344" y="connsiteY13344"/>
            </a:cxn>
            <a:cxn ang="0">
              <a:pos x="connsiteX13345" y="connsiteY13345"/>
            </a:cxn>
            <a:cxn ang="0">
              <a:pos x="connsiteX13346" y="connsiteY13346"/>
            </a:cxn>
            <a:cxn ang="0">
              <a:pos x="connsiteX13347" y="connsiteY13347"/>
            </a:cxn>
            <a:cxn ang="0">
              <a:pos x="connsiteX13348" y="connsiteY13348"/>
            </a:cxn>
            <a:cxn ang="0">
              <a:pos x="connsiteX13349" y="connsiteY13349"/>
            </a:cxn>
            <a:cxn ang="0">
              <a:pos x="connsiteX13350" y="connsiteY13350"/>
            </a:cxn>
            <a:cxn ang="0">
              <a:pos x="connsiteX13351" y="connsiteY13351"/>
            </a:cxn>
            <a:cxn ang="0">
              <a:pos x="connsiteX13352" y="connsiteY13352"/>
            </a:cxn>
            <a:cxn ang="0">
              <a:pos x="connsiteX13353" y="connsiteY13353"/>
            </a:cxn>
            <a:cxn ang="0">
              <a:pos x="connsiteX13354" y="connsiteY13354"/>
            </a:cxn>
            <a:cxn ang="0">
              <a:pos x="connsiteX13355" y="connsiteY13355"/>
            </a:cxn>
            <a:cxn ang="0">
              <a:pos x="connsiteX13356" y="connsiteY13356"/>
            </a:cxn>
            <a:cxn ang="0">
              <a:pos x="connsiteX13357" y="connsiteY13357"/>
            </a:cxn>
            <a:cxn ang="0">
              <a:pos x="connsiteX13358" y="connsiteY13358"/>
            </a:cxn>
            <a:cxn ang="0">
              <a:pos x="connsiteX13359" y="connsiteY13359"/>
            </a:cxn>
            <a:cxn ang="0">
              <a:pos x="connsiteX13360" y="connsiteY13360"/>
            </a:cxn>
            <a:cxn ang="0">
              <a:pos x="connsiteX13361" y="connsiteY13361"/>
            </a:cxn>
            <a:cxn ang="0">
              <a:pos x="connsiteX13362" y="connsiteY13362"/>
            </a:cxn>
            <a:cxn ang="0">
              <a:pos x="connsiteX13363" y="connsiteY13363"/>
            </a:cxn>
            <a:cxn ang="0">
              <a:pos x="connsiteX13364" y="connsiteY13364"/>
            </a:cxn>
            <a:cxn ang="0">
              <a:pos x="connsiteX13365" y="connsiteY13365"/>
            </a:cxn>
            <a:cxn ang="0">
              <a:pos x="connsiteX13366" y="connsiteY13366"/>
            </a:cxn>
            <a:cxn ang="0">
              <a:pos x="connsiteX13367" y="connsiteY13367"/>
            </a:cxn>
            <a:cxn ang="0">
              <a:pos x="connsiteX13368" y="connsiteY13368"/>
            </a:cxn>
            <a:cxn ang="0">
              <a:pos x="connsiteX13369" y="connsiteY13369"/>
            </a:cxn>
            <a:cxn ang="0">
              <a:pos x="connsiteX13370" y="connsiteY13370"/>
            </a:cxn>
            <a:cxn ang="0">
              <a:pos x="connsiteX13371" y="connsiteY13371"/>
            </a:cxn>
            <a:cxn ang="0">
              <a:pos x="connsiteX13372" y="connsiteY13372"/>
            </a:cxn>
            <a:cxn ang="0">
              <a:pos x="connsiteX13373" y="connsiteY13373"/>
            </a:cxn>
            <a:cxn ang="0">
              <a:pos x="connsiteX13374" y="connsiteY13374"/>
            </a:cxn>
            <a:cxn ang="0">
              <a:pos x="connsiteX13375" y="connsiteY13375"/>
            </a:cxn>
            <a:cxn ang="0">
              <a:pos x="connsiteX13376" y="connsiteY13376"/>
            </a:cxn>
            <a:cxn ang="0">
              <a:pos x="connsiteX13377" y="connsiteY13377"/>
            </a:cxn>
            <a:cxn ang="0">
              <a:pos x="connsiteX13378" y="connsiteY13378"/>
            </a:cxn>
            <a:cxn ang="0">
              <a:pos x="connsiteX13379" y="connsiteY13379"/>
            </a:cxn>
            <a:cxn ang="0">
              <a:pos x="connsiteX13380" y="connsiteY13380"/>
            </a:cxn>
            <a:cxn ang="0">
              <a:pos x="connsiteX13381" y="connsiteY13381"/>
            </a:cxn>
            <a:cxn ang="0">
              <a:pos x="connsiteX13382" y="connsiteY13382"/>
            </a:cxn>
            <a:cxn ang="0">
              <a:pos x="connsiteX13383" y="connsiteY13383"/>
            </a:cxn>
            <a:cxn ang="0">
              <a:pos x="connsiteX13384" y="connsiteY13384"/>
            </a:cxn>
            <a:cxn ang="0">
              <a:pos x="connsiteX13385" y="connsiteY13385"/>
            </a:cxn>
            <a:cxn ang="0">
              <a:pos x="connsiteX13386" y="connsiteY13386"/>
            </a:cxn>
            <a:cxn ang="0">
              <a:pos x="connsiteX13387" y="connsiteY13387"/>
            </a:cxn>
            <a:cxn ang="0">
              <a:pos x="connsiteX13388" y="connsiteY13388"/>
            </a:cxn>
            <a:cxn ang="0">
              <a:pos x="connsiteX13389" y="connsiteY13389"/>
            </a:cxn>
            <a:cxn ang="0">
              <a:pos x="connsiteX13390" y="connsiteY13390"/>
            </a:cxn>
            <a:cxn ang="0">
              <a:pos x="connsiteX13391" y="connsiteY13391"/>
            </a:cxn>
            <a:cxn ang="0">
              <a:pos x="connsiteX13392" y="connsiteY13392"/>
            </a:cxn>
            <a:cxn ang="0">
              <a:pos x="connsiteX13393" y="connsiteY13393"/>
            </a:cxn>
            <a:cxn ang="0">
              <a:pos x="connsiteX13394" y="connsiteY13394"/>
            </a:cxn>
            <a:cxn ang="0">
              <a:pos x="connsiteX13395" y="connsiteY13395"/>
            </a:cxn>
            <a:cxn ang="0">
              <a:pos x="connsiteX13396" y="connsiteY13396"/>
            </a:cxn>
            <a:cxn ang="0">
              <a:pos x="connsiteX13397" y="connsiteY13397"/>
            </a:cxn>
            <a:cxn ang="0">
              <a:pos x="connsiteX13398" y="connsiteY13398"/>
            </a:cxn>
            <a:cxn ang="0">
              <a:pos x="connsiteX13399" y="connsiteY13399"/>
            </a:cxn>
            <a:cxn ang="0">
              <a:pos x="connsiteX13400" y="connsiteY13400"/>
            </a:cxn>
            <a:cxn ang="0">
              <a:pos x="connsiteX13401" y="connsiteY13401"/>
            </a:cxn>
            <a:cxn ang="0">
              <a:pos x="connsiteX13402" y="connsiteY13402"/>
            </a:cxn>
            <a:cxn ang="0">
              <a:pos x="connsiteX13403" y="connsiteY13403"/>
            </a:cxn>
            <a:cxn ang="0">
              <a:pos x="connsiteX13404" y="connsiteY13404"/>
            </a:cxn>
            <a:cxn ang="0">
              <a:pos x="connsiteX13405" y="connsiteY13405"/>
            </a:cxn>
            <a:cxn ang="0">
              <a:pos x="connsiteX13406" y="connsiteY13406"/>
            </a:cxn>
            <a:cxn ang="0">
              <a:pos x="connsiteX13407" y="connsiteY13407"/>
            </a:cxn>
            <a:cxn ang="0">
              <a:pos x="connsiteX13408" y="connsiteY13408"/>
            </a:cxn>
            <a:cxn ang="0">
              <a:pos x="connsiteX13409" y="connsiteY13409"/>
            </a:cxn>
            <a:cxn ang="0">
              <a:pos x="connsiteX13410" y="connsiteY13410"/>
            </a:cxn>
            <a:cxn ang="0">
              <a:pos x="connsiteX13411" y="connsiteY13411"/>
            </a:cxn>
            <a:cxn ang="0">
              <a:pos x="connsiteX13412" y="connsiteY13412"/>
            </a:cxn>
            <a:cxn ang="0">
              <a:pos x="connsiteX13413" y="connsiteY13413"/>
            </a:cxn>
            <a:cxn ang="0">
              <a:pos x="connsiteX13414" y="connsiteY13414"/>
            </a:cxn>
            <a:cxn ang="0">
              <a:pos x="connsiteX13415" y="connsiteY13415"/>
            </a:cxn>
            <a:cxn ang="0">
              <a:pos x="connsiteX13416" y="connsiteY13416"/>
            </a:cxn>
            <a:cxn ang="0">
              <a:pos x="connsiteX13417" y="connsiteY13417"/>
            </a:cxn>
            <a:cxn ang="0">
              <a:pos x="connsiteX13418" y="connsiteY13418"/>
            </a:cxn>
            <a:cxn ang="0">
              <a:pos x="connsiteX13419" y="connsiteY13419"/>
            </a:cxn>
            <a:cxn ang="0">
              <a:pos x="connsiteX13420" y="connsiteY13420"/>
            </a:cxn>
            <a:cxn ang="0">
              <a:pos x="connsiteX13421" y="connsiteY13421"/>
            </a:cxn>
            <a:cxn ang="0">
              <a:pos x="connsiteX13422" y="connsiteY13422"/>
            </a:cxn>
            <a:cxn ang="0">
              <a:pos x="connsiteX13423" y="connsiteY13423"/>
            </a:cxn>
            <a:cxn ang="0">
              <a:pos x="connsiteX13424" y="connsiteY13424"/>
            </a:cxn>
            <a:cxn ang="0">
              <a:pos x="connsiteX13425" y="connsiteY13425"/>
            </a:cxn>
            <a:cxn ang="0">
              <a:pos x="connsiteX13426" y="connsiteY13426"/>
            </a:cxn>
            <a:cxn ang="0">
              <a:pos x="connsiteX13427" y="connsiteY13427"/>
            </a:cxn>
            <a:cxn ang="0">
              <a:pos x="connsiteX13428" y="connsiteY13428"/>
            </a:cxn>
            <a:cxn ang="0">
              <a:pos x="connsiteX13429" y="connsiteY13429"/>
            </a:cxn>
            <a:cxn ang="0">
              <a:pos x="connsiteX13430" y="connsiteY13430"/>
            </a:cxn>
            <a:cxn ang="0">
              <a:pos x="connsiteX13431" y="connsiteY13431"/>
            </a:cxn>
            <a:cxn ang="0">
              <a:pos x="connsiteX13432" y="connsiteY13432"/>
            </a:cxn>
            <a:cxn ang="0">
              <a:pos x="connsiteX13433" y="connsiteY13433"/>
            </a:cxn>
            <a:cxn ang="0">
              <a:pos x="connsiteX13434" y="connsiteY13434"/>
            </a:cxn>
            <a:cxn ang="0">
              <a:pos x="connsiteX13435" y="connsiteY13435"/>
            </a:cxn>
            <a:cxn ang="0">
              <a:pos x="connsiteX13436" y="connsiteY13436"/>
            </a:cxn>
            <a:cxn ang="0">
              <a:pos x="connsiteX13437" y="connsiteY13437"/>
            </a:cxn>
            <a:cxn ang="0">
              <a:pos x="connsiteX13438" y="connsiteY13438"/>
            </a:cxn>
            <a:cxn ang="0">
              <a:pos x="connsiteX13439" y="connsiteY13439"/>
            </a:cxn>
            <a:cxn ang="0">
              <a:pos x="connsiteX13440" y="connsiteY13440"/>
            </a:cxn>
            <a:cxn ang="0">
              <a:pos x="connsiteX13441" y="connsiteY13441"/>
            </a:cxn>
            <a:cxn ang="0">
              <a:pos x="connsiteX13442" y="connsiteY13442"/>
            </a:cxn>
            <a:cxn ang="0">
              <a:pos x="connsiteX13443" y="connsiteY13443"/>
            </a:cxn>
            <a:cxn ang="0">
              <a:pos x="connsiteX13444" y="connsiteY13444"/>
            </a:cxn>
            <a:cxn ang="0">
              <a:pos x="connsiteX13445" y="connsiteY13445"/>
            </a:cxn>
            <a:cxn ang="0">
              <a:pos x="connsiteX13446" y="connsiteY13446"/>
            </a:cxn>
            <a:cxn ang="0">
              <a:pos x="connsiteX13447" y="connsiteY13447"/>
            </a:cxn>
            <a:cxn ang="0">
              <a:pos x="connsiteX13448" y="connsiteY13448"/>
            </a:cxn>
            <a:cxn ang="0">
              <a:pos x="connsiteX13449" y="connsiteY13449"/>
            </a:cxn>
            <a:cxn ang="0">
              <a:pos x="connsiteX13450" y="connsiteY13450"/>
            </a:cxn>
            <a:cxn ang="0">
              <a:pos x="connsiteX13451" y="connsiteY13451"/>
            </a:cxn>
            <a:cxn ang="0">
              <a:pos x="connsiteX13452" y="connsiteY13452"/>
            </a:cxn>
            <a:cxn ang="0">
              <a:pos x="connsiteX13453" y="connsiteY13453"/>
            </a:cxn>
            <a:cxn ang="0">
              <a:pos x="connsiteX13454" y="connsiteY13454"/>
            </a:cxn>
            <a:cxn ang="0">
              <a:pos x="connsiteX13455" y="connsiteY13455"/>
            </a:cxn>
            <a:cxn ang="0">
              <a:pos x="connsiteX13456" y="connsiteY13456"/>
            </a:cxn>
            <a:cxn ang="0">
              <a:pos x="connsiteX13457" y="connsiteY13457"/>
            </a:cxn>
            <a:cxn ang="0">
              <a:pos x="connsiteX13458" y="connsiteY13458"/>
            </a:cxn>
            <a:cxn ang="0">
              <a:pos x="connsiteX13459" y="connsiteY13459"/>
            </a:cxn>
            <a:cxn ang="0">
              <a:pos x="connsiteX13460" y="connsiteY13460"/>
            </a:cxn>
            <a:cxn ang="0">
              <a:pos x="connsiteX13461" y="connsiteY13461"/>
            </a:cxn>
            <a:cxn ang="0">
              <a:pos x="connsiteX13462" y="connsiteY13462"/>
            </a:cxn>
            <a:cxn ang="0">
              <a:pos x="connsiteX13463" y="connsiteY13463"/>
            </a:cxn>
            <a:cxn ang="0">
              <a:pos x="connsiteX13464" y="connsiteY13464"/>
            </a:cxn>
            <a:cxn ang="0">
              <a:pos x="connsiteX13465" y="connsiteY13465"/>
            </a:cxn>
            <a:cxn ang="0">
              <a:pos x="connsiteX13466" y="connsiteY13466"/>
            </a:cxn>
            <a:cxn ang="0">
              <a:pos x="connsiteX13467" y="connsiteY13467"/>
            </a:cxn>
            <a:cxn ang="0">
              <a:pos x="connsiteX13468" y="connsiteY13468"/>
            </a:cxn>
            <a:cxn ang="0">
              <a:pos x="connsiteX13469" y="connsiteY13469"/>
            </a:cxn>
            <a:cxn ang="0">
              <a:pos x="connsiteX13470" y="connsiteY13470"/>
            </a:cxn>
            <a:cxn ang="0">
              <a:pos x="connsiteX13471" y="connsiteY13471"/>
            </a:cxn>
            <a:cxn ang="0">
              <a:pos x="connsiteX13472" y="connsiteY13472"/>
            </a:cxn>
            <a:cxn ang="0">
              <a:pos x="connsiteX13473" y="connsiteY13473"/>
            </a:cxn>
            <a:cxn ang="0">
              <a:pos x="connsiteX13474" y="connsiteY13474"/>
            </a:cxn>
            <a:cxn ang="0">
              <a:pos x="connsiteX13475" y="connsiteY13475"/>
            </a:cxn>
            <a:cxn ang="0">
              <a:pos x="connsiteX13476" y="connsiteY13476"/>
            </a:cxn>
            <a:cxn ang="0">
              <a:pos x="connsiteX13477" y="connsiteY13477"/>
            </a:cxn>
            <a:cxn ang="0">
              <a:pos x="connsiteX13478" y="connsiteY13478"/>
            </a:cxn>
            <a:cxn ang="0">
              <a:pos x="connsiteX13479" y="connsiteY13479"/>
            </a:cxn>
            <a:cxn ang="0">
              <a:pos x="connsiteX13480" y="connsiteY13480"/>
            </a:cxn>
            <a:cxn ang="0">
              <a:pos x="connsiteX13481" y="connsiteY13481"/>
            </a:cxn>
            <a:cxn ang="0">
              <a:pos x="connsiteX13482" y="connsiteY13482"/>
            </a:cxn>
            <a:cxn ang="0">
              <a:pos x="connsiteX13483" y="connsiteY13483"/>
            </a:cxn>
            <a:cxn ang="0">
              <a:pos x="connsiteX13484" y="connsiteY13484"/>
            </a:cxn>
            <a:cxn ang="0">
              <a:pos x="connsiteX13485" y="connsiteY13485"/>
            </a:cxn>
            <a:cxn ang="0">
              <a:pos x="connsiteX13486" y="connsiteY13486"/>
            </a:cxn>
            <a:cxn ang="0">
              <a:pos x="connsiteX13487" y="connsiteY13487"/>
            </a:cxn>
            <a:cxn ang="0">
              <a:pos x="connsiteX13488" y="connsiteY13488"/>
            </a:cxn>
            <a:cxn ang="0">
              <a:pos x="connsiteX13489" y="connsiteY13489"/>
            </a:cxn>
            <a:cxn ang="0">
              <a:pos x="connsiteX13490" y="connsiteY13490"/>
            </a:cxn>
            <a:cxn ang="0">
              <a:pos x="connsiteX13491" y="connsiteY13491"/>
            </a:cxn>
            <a:cxn ang="0">
              <a:pos x="connsiteX13492" y="connsiteY13492"/>
            </a:cxn>
            <a:cxn ang="0">
              <a:pos x="connsiteX13493" y="connsiteY13493"/>
            </a:cxn>
            <a:cxn ang="0">
              <a:pos x="connsiteX13494" y="connsiteY13494"/>
            </a:cxn>
            <a:cxn ang="0">
              <a:pos x="connsiteX13495" y="connsiteY13495"/>
            </a:cxn>
            <a:cxn ang="0">
              <a:pos x="connsiteX13496" y="connsiteY13496"/>
            </a:cxn>
            <a:cxn ang="0">
              <a:pos x="connsiteX13497" y="connsiteY13497"/>
            </a:cxn>
            <a:cxn ang="0">
              <a:pos x="connsiteX13498" y="connsiteY13498"/>
            </a:cxn>
            <a:cxn ang="0">
              <a:pos x="connsiteX13499" y="connsiteY13499"/>
            </a:cxn>
            <a:cxn ang="0">
              <a:pos x="connsiteX13500" y="connsiteY13500"/>
            </a:cxn>
            <a:cxn ang="0">
              <a:pos x="connsiteX13501" y="connsiteY13501"/>
            </a:cxn>
            <a:cxn ang="0">
              <a:pos x="connsiteX13502" y="connsiteY13502"/>
            </a:cxn>
            <a:cxn ang="0">
              <a:pos x="connsiteX13503" y="connsiteY13503"/>
            </a:cxn>
            <a:cxn ang="0">
              <a:pos x="connsiteX13504" y="connsiteY13504"/>
            </a:cxn>
            <a:cxn ang="0">
              <a:pos x="connsiteX13505" y="connsiteY13505"/>
            </a:cxn>
            <a:cxn ang="0">
              <a:pos x="connsiteX13506" y="connsiteY13506"/>
            </a:cxn>
            <a:cxn ang="0">
              <a:pos x="connsiteX13507" y="connsiteY13507"/>
            </a:cxn>
            <a:cxn ang="0">
              <a:pos x="connsiteX13508" y="connsiteY13508"/>
            </a:cxn>
            <a:cxn ang="0">
              <a:pos x="connsiteX13509" y="connsiteY13509"/>
            </a:cxn>
            <a:cxn ang="0">
              <a:pos x="connsiteX13510" y="connsiteY13510"/>
            </a:cxn>
            <a:cxn ang="0">
              <a:pos x="connsiteX13511" y="connsiteY13511"/>
            </a:cxn>
            <a:cxn ang="0">
              <a:pos x="connsiteX13512" y="connsiteY13512"/>
            </a:cxn>
            <a:cxn ang="0">
              <a:pos x="connsiteX13513" y="connsiteY13513"/>
            </a:cxn>
            <a:cxn ang="0">
              <a:pos x="connsiteX13514" y="connsiteY13514"/>
            </a:cxn>
            <a:cxn ang="0">
              <a:pos x="connsiteX13515" y="connsiteY13515"/>
            </a:cxn>
            <a:cxn ang="0">
              <a:pos x="connsiteX13516" y="connsiteY13516"/>
            </a:cxn>
            <a:cxn ang="0">
              <a:pos x="connsiteX13517" y="connsiteY13517"/>
            </a:cxn>
            <a:cxn ang="0">
              <a:pos x="connsiteX13518" y="connsiteY13518"/>
            </a:cxn>
            <a:cxn ang="0">
              <a:pos x="connsiteX13519" y="connsiteY13519"/>
            </a:cxn>
            <a:cxn ang="0">
              <a:pos x="connsiteX13520" y="connsiteY13520"/>
            </a:cxn>
            <a:cxn ang="0">
              <a:pos x="connsiteX13521" y="connsiteY13521"/>
            </a:cxn>
            <a:cxn ang="0">
              <a:pos x="connsiteX13522" y="connsiteY13522"/>
            </a:cxn>
            <a:cxn ang="0">
              <a:pos x="connsiteX13523" y="connsiteY13523"/>
            </a:cxn>
            <a:cxn ang="0">
              <a:pos x="connsiteX13524" y="connsiteY13524"/>
            </a:cxn>
            <a:cxn ang="0">
              <a:pos x="connsiteX13525" y="connsiteY13525"/>
            </a:cxn>
            <a:cxn ang="0">
              <a:pos x="connsiteX13526" y="connsiteY13526"/>
            </a:cxn>
            <a:cxn ang="0">
              <a:pos x="connsiteX13527" y="connsiteY13527"/>
            </a:cxn>
            <a:cxn ang="0">
              <a:pos x="connsiteX13528" y="connsiteY13528"/>
            </a:cxn>
            <a:cxn ang="0">
              <a:pos x="connsiteX13529" y="connsiteY13529"/>
            </a:cxn>
            <a:cxn ang="0">
              <a:pos x="connsiteX13530" y="connsiteY13530"/>
            </a:cxn>
            <a:cxn ang="0">
              <a:pos x="connsiteX13531" y="connsiteY13531"/>
            </a:cxn>
            <a:cxn ang="0">
              <a:pos x="connsiteX13532" y="connsiteY13532"/>
            </a:cxn>
            <a:cxn ang="0">
              <a:pos x="connsiteX13533" y="connsiteY13533"/>
            </a:cxn>
            <a:cxn ang="0">
              <a:pos x="connsiteX13534" y="connsiteY13534"/>
            </a:cxn>
            <a:cxn ang="0">
              <a:pos x="connsiteX13535" y="connsiteY13535"/>
            </a:cxn>
            <a:cxn ang="0">
              <a:pos x="connsiteX13536" y="connsiteY13536"/>
            </a:cxn>
            <a:cxn ang="0">
              <a:pos x="connsiteX13537" y="connsiteY13537"/>
            </a:cxn>
            <a:cxn ang="0">
              <a:pos x="connsiteX13538" y="connsiteY13538"/>
            </a:cxn>
            <a:cxn ang="0">
              <a:pos x="connsiteX13539" y="connsiteY13539"/>
            </a:cxn>
            <a:cxn ang="0">
              <a:pos x="connsiteX13540" y="connsiteY13540"/>
            </a:cxn>
            <a:cxn ang="0">
              <a:pos x="connsiteX13541" y="connsiteY13541"/>
            </a:cxn>
            <a:cxn ang="0">
              <a:pos x="connsiteX13542" y="connsiteY13542"/>
            </a:cxn>
            <a:cxn ang="0">
              <a:pos x="connsiteX13543" y="connsiteY13543"/>
            </a:cxn>
            <a:cxn ang="0">
              <a:pos x="connsiteX13544" y="connsiteY13544"/>
            </a:cxn>
            <a:cxn ang="0">
              <a:pos x="connsiteX13545" y="connsiteY13545"/>
            </a:cxn>
            <a:cxn ang="0">
              <a:pos x="connsiteX13546" y="connsiteY13546"/>
            </a:cxn>
            <a:cxn ang="0">
              <a:pos x="connsiteX13547" y="connsiteY13547"/>
            </a:cxn>
            <a:cxn ang="0">
              <a:pos x="connsiteX13548" y="connsiteY13548"/>
            </a:cxn>
            <a:cxn ang="0">
              <a:pos x="connsiteX13549" y="connsiteY13549"/>
            </a:cxn>
            <a:cxn ang="0">
              <a:pos x="connsiteX13550" y="connsiteY13550"/>
            </a:cxn>
            <a:cxn ang="0">
              <a:pos x="connsiteX13551" y="connsiteY13551"/>
            </a:cxn>
            <a:cxn ang="0">
              <a:pos x="connsiteX13552" y="connsiteY13552"/>
            </a:cxn>
            <a:cxn ang="0">
              <a:pos x="connsiteX13553" y="connsiteY13553"/>
            </a:cxn>
            <a:cxn ang="0">
              <a:pos x="connsiteX13554" y="connsiteY13554"/>
            </a:cxn>
            <a:cxn ang="0">
              <a:pos x="connsiteX13555" y="connsiteY13555"/>
            </a:cxn>
            <a:cxn ang="0">
              <a:pos x="connsiteX13556" y="connsiteY13556"/>
            </a:cxn>
            <a:cxn ang="0">
              <a:pos x="connsiteX13557" y="connsiteY13557"/>
            </a:cxn>
            <a:cxn ang="0">
              <a:pos x="connsiteX13558" y="connsiteY13558"/>
            </a:cxn>
            <a:cxn ang="0">
              <a:pos x="connsiteX13559" y="connsiteY13559"/>
            </a:cxn>
            <a:cxn ang="0">
              <a:pos x="connsiteX13560" y="connsiteY13560"/>
            </a:cxn>
            <a:cxn ang="0">
              <a:pos x="connsiteX13561" y="connsiteY13561"/>
            </a:cxn>
            <a:cxn ang="0">
              <a:pos x="connsiteX13562" y="connsiteY13562"/>
            </a:cxn>
            <a:cxn ang="0">
              <a:pos x="connsiteX13563" y="connsiteY13563"/>
            </a:cxn>
            <a:cxn ang="0">
              <a:pos x="connsiteX13564" y="connsiteY13564"/>
            </a:cxn>
            <a:cxn ang="0">
              <a:pos x="connsiteX13565" y="connsiteY13565"/>
            </a:cxn>
            <a:cxn ang="0">
              <a:pos x="connsiteX13566" y="connsiteY13566"/>
            </a:cxn>
            <a:cxn ang="0">
              <a:pos x="connsiteX13567" y="connsiteY13567"/>
            </a:cxn>
            <a:cxn ang="0">
              <a:pos x="connsiteX13568" y="connsiteY13568"/>
            </a:cxn>
            <a:cxn ang="0">
              <a:pos x="connsiteX13569" y="connsiteY13569"/>
            </a:cxn>
            <a:cxn ang="0">
              <a:pos x="connsiteX13570" y="connsiteY13570"/>
            </a:cxn>
            <a:cxn ang="0">
              <a:pos x="connsiteX13571" y="connsiteY13571"/>
            </a:cxn>
            <a:cxn ang="0">
              <a:pos x="connsiteX13572" y="connsiteY13572"/>
            </a:cxn>
            <a:cxn ang="0">
              <a:pos x="connsiteX13573" y="connsiteY13573"/>
            </a:cxn>
            <a:cxn ang="0">
              <a:pos x="connsiteX13574" y="connsiteY13574"/>
            </a:cxn>
            <a:cxn ang="0">
              <a:pos x="connsiteX13575" y="connsiteY13575"/>
            </a:cxn>
            <a:cxn ang="0">
              <a:pos x="connsiteX13576" y="connsiteY13576"/>
            </a:cxn>
            <a:cxn ang="0">
              <a:pos x="connsiteX13577" y="connsiteY13577"/>
            </a:cxn>
            <a:cxn ang="0">
              <a:pos x="connsiteX13578" y="connsiteY13578"/>
            </a:cxn>
            <a:cxn ang="0">
              <a:pos x="connsiteX13579" y="connsiteY13579"/>
            </a:cxn>
            <a:cxn ang="0">
              <a:pos x="connsiteX13580" y="connsiteY13580"/>
            </a:cxn>
            <a:cxn ang="0">
              <a:pos x="connsiteX13581" y="connsiteY13581"/>
            </a:cxn>
            <a:cxn ang="0">
              <a:pos x="connsiteX13582" y="connsiteY13582"/>
            </a:cxn>
            <a:cxn ang="0">
              <a:pos x="connsiteX13583" y="connsiteY13583"/>
            </a:cxn>
            <a:cxn ang="0">
              <a:pos x="connsiteX13584" y="connsiteY13584"/>
            </a:cxn>
            <a:cxn ang="0">
              <a:pos x="connsiteX13585" y="connsiteY13585"/>
            </a:cxn>
            <a:cxn ang="0">
              <a:pos x="connsiteX13586" y="connsiteY13586"/>
            </a:cxn>
            <a:cxn ang="0">
              <a:pos x="connsiteX13587" y="connsiteY13587"/>
            </a:cxn>
            <a:cxn ang="0">
              <a:pos x="connsiteX13588" y="connsiteY13588"/>
            </a:cxn>
            <a:cxn ang="0">
              <a:pos x="connsiteX13589" y="connsiteY13589"/>
            </a:cxn>
            <a:cxn ang="0">
              <a:pos x="connsiteX13590" y="connsiteY13590"/>
            </a:cxn>
            <a:cxn ang="0">
              <a:pos x="connsiteX13591" y="connsiteY13591"/>
            </a:cxn>
            <a:cxn ang="0">
              <a:pos x="connsiteX13592" y="connsiteY13592"/>
            </a:cxn>
            <a:cxn ang="0">
              <a:pos x="connsiteX13593" y="connsiteY13593"/>
            </a:cxn>
            <a:cxn ang="0">
              <a:pos x="connsiteX13594" y="connsiteY13594"/>
            </a:cxn>
            <a:cxn ang="0">
              <a:pos x="connsiteX13595" y="connsiteY13595"/>
            </a:cxn>
            <a:cxn ang="0">
              <a:pos x="connsiteX13596" y="connsiteY13596"/>
            </a:cxn>
            <a:cxn ang="0">
              <a:pos x="connsiteX13597" y="connsiteY13597"/>
            </a:cxn>
            <a:cxn ang="0">
              <a:pos x="connsiteX13598" y="connsiteY13598"/>
            </a:cxn>
            <a:cxn ang="0">
              <a:pos x="connsiteX13599" y="connsiteY13599"/>
            </a:cxn>
            <a:cxn ang="0">
              <a:pos x="connsiteX13600" y="connsiteY13600"/>
            </a:cxn>
            <a:cxn ang="0">
              <a:pos x="connsiteX13601" y="connsiteY13601"/>
            </a:cxn>
            <a:cxn ang="0">
              <a:pos x="connsiteX13602" y="connsiteY13602"/>
            </a:cxn>
            <a:cxn ang="0">
              <a:pos x="connsiteX13603" y="connsiteY13603"/>
            </a:cxn>
            <a:cxn ang="0">
              <a:pos x="connsiteX13604" y="connsiteY13604"/>
            </a:cxn>
            <a:cxn ang="0">
              <a:pos x="connsiteX13605" y="connsiteY13605"/>
            </a:cxn>
            <a:cxn ang="0">
              <a:pos x="connsiteX13606" y="connsiteY13606"/>
            </a:cxn>
            <a:cxn ang="0">
              <a:pos x="connsiteX13607" y="connsiteY13607"/>
            </a:cxn>
            <a:cxn ang="0">
              <a:pos x="connsiteX13608" y="connsiteY13608"/>
            </a:cxn>
            <a:cxn ang="0">
              <a:pos x="connsiteX13609" y="connsiteY13609"/>
            </a:cxn>
            <a:cxn ang="0">
              <a:pos x="connsiteX13610" y="connsiteY13610"/>
            </a:cxn>
            <a:cxn ang="0">
              <a:pos x="connsiteX13611" y="connsiteY13611"/>
            </a:cxn>
            <a:cxn ang="0">
              <a:pos x="connsiteX13612" y="connsiteY13612"/>
            </a:cxn>
            <a:cxn ang="0">
              <a:pos x="connsiteX13613" y="connsiteY13613"/>
            </a:cxn>
            <a:cxn ang="0">
              <a:pos x="connsiteX13614" y="connsiteY13614"/>
            </a:cxn>
            <a:cxn ang="0">
              <a:pos x="connsiteX13615" y="connsiteY13615"/>
            </a:cxn>
            <a:cxn ang="0">
              <a:pos x="connsiteX13616" y="connsiteY13616"/>
            </a:cxn>
            <a:cxn ang="0">
              <a:pos x="connsiteX13617" y="connsiteY13617"/>
            </a:cxn>
            <a:cxn ang="0">
              <a:pos x="connsiteX13618" y="connsiteY13618"/>
            </a:cxn>
            <a:cxn ang="0">
              <a:pos x="connsiteX13619" y="connsiteY13619"/>
            </a:cxn>
            <a:cxn ang="0">
              <a:pos x="connsiteX13620" y="connsiteY13620"/>
            </a:cxn>
            <a:cxn ang="0">
              <a:pos x="connsiteX13621" y="connsiteY13621"/>
            </a:cxn>
            <a:cxn ang="0">
              <a:pos x="connsiteX13622" y="connsiteY13622"/>
            </a:cxn>
            <a:cxn ang="0">
              <a:pos x="connsiteX13623" y="connsiteY13623"/>
            </a:cxn>
            <a:cxn ang="0">
              <a:pos x="connsiteX13624" y="connsiteY13624"/>
            </a:cxn>
            <a:cxn ang="0">
              <a:pos x="connsiteX13625" y="connsiteY13625"/>
            </a:cxn>
            <a:cxn ang="0">
              <a:pos x="connsiteX13626" y="connsiteY13626"/>
            </a:cxn>
            <a:cxn ang="0">
              <a:pos x="connsiteX13627" y="connsiteY13627"/>
            </a:cxn>
            <a:cxn ang="0">
              <a:pos x="connsiteX13628" y="connsiteY13628"/>
            </a:cxn>
            <a:cxn ang="0">
              <a:pos x="connsiteX13629" y="connsiteY13629"/>
            </a:cxn>
            <a:cxn ang="0">
              <a:pos x="connsiteX13630" y="connsiteY13630"/>
            </a:cxn>
            <a:cxn ang="0">
              <a:pos x="connsiteX13631" y="connsiteY13631"/>
            </a:cxn>
            <a:cxn ang="0">
              <a:pos x="connsiteX13632" y="connsiteY13632"/>
            </a:cxn>
            <a:cxn ang="0">
              <a:pos x="connsiteX13633" y="connsiteY13633"/>
            </a:cxn>
            <a:cxn ang="0">
              <a:pos x="connsiteX13634" y="connsiteY13634"/>
            </a:cxn>
            <a:cxn ang="0">
              <a:pos x="connsiteX13635" y="connsiteY13635"/>
            </a:cxn>
            <a:cxn ang="0">
              <a:pos x="connsiteX13636" y="connsiteY13636"/>
            </a:cxn>
            <a:cxn ang="0">
              <a:pos x="connsiteX13637" y="connsiteY13637"/>
            </a:cxn>
            <a:cxn ang="0">
              <a:pos x="connsiteX13638" y="connsiteY13638"/>
            </a:cxn>
            <a:cxn ang="0">
              <a:pos x="connsiteX13639" y="connsiteY13639"/>
            </a:cxn>
            <a:cxn ang="0">
              <a:pos x="connsiteX13640" y="connsiteY13640"/>
            </a:cxn>
            <a:cxn ang="0">
              <a:pos x="connsiteX13641" y="connsiteY13641"/>
            </a:cxn>
            <a:cxn ang="0">
              <a:pos x="connsiteX13642" y="connsiteY13642"/>
            </a:cxn>
            <a:cxn ang="0">
              <a:pos x="connsiteX13643" y="connsiteY13643"/>
            </a:cxn>
            <a:cxn ang="0">
              <a:pos x="connsiteX13644" y="connsiteY13644"/>
            </a:cxn>
            <a:cxn ang="0">
              <a:pos x="connsiteX13645" y="connsiteY13645"/>
            </a:cxn>
            <a:cxn ang="0">
              <a:pos x="connsiteX13646" y="connsiteY13646"/>
            </a:cxn>
            <a:cxn ang="0">
              <a:pos x="connsiteX13647" y="connsiteY13647"/>
            </a:cxn>
            <a:cxn ang="0">
              <a:pos x="connsiteX13648" y="connsiteY13648"/>
            </a:cxn>
            <a:cxn ang="0">
              <a:pos x="connsiteX13649" y="connsiteY13649"/>
            </a:cxn>
            <a:cxn ang="0">
              <a:pos x="connsiteX13650" y="connsiteY13650"/>
            </a:cxn>
            <a:cxn ang="0">
              <a:pos x="connsiteX13651" y="connsiteY13651"/>
            </a:cxn>
            <a:cxn ang="0">
              <a:pos x="connsiteX13652" y="connsiteY13652"/>
            </a:cxn>
            <a:cxn ang="0">
              <a:pos x="connsiteX13653" y="connsiteY13653"/>
            </a:cxn>
            <a:cxn ang="0">
              <a:pos x="connsiteX13654" y="connsiteY13654"/>
            </a:cxn>
            <a:cxn ang="0">
              <a:pos x="connsiteX13655" y="connsiteY13655"/>
            </a:cxn>
            <a:cxn ang="0">
              <a:pos x="connsiteX13656" y="connsiteY13656"/>
            </a:cxn>
            <a:cxn ang="0">
              <a:pos x="connsiteX13657" y="connsiteY13657"/>
            </a:cxn>
            <a:cxn ang="0">
              <a:pos x="connsiteX13658" y="connsiteY13658"/>
            </a:cxn>
            <a:cxn ang="0">
              <a:pos x="connsiteX13659" y="connsiteY13659"/>
            </a:cxn>
            <a:cxn ang="0">
              <a:pos x="connsiteX13660" y="connsiteY13660"/>
            </a:cxn>
            <a:cxn ang="0">
              <a:pos x="connsiteX13661" y="connsiteY13661"/>
            </a:cxn>
            <a:cxn ang="0">
              <a:pos x="connsiteX13662" y="connsiteY13662"/>
            </a:cxn>
            <a:cxn ang="0">
              <a:pos x="connsiteX13663" y="connsiteY13663"/>
            </a:cxn>
            <a:cxn ang="0">
              <a:pos x="connsiteX13664" y="connsiteY13664"/>
            </a:cxn>
            <a:cxn ang="0">
              <a:pos x="connsiteX13665" y="connsiteY13665"/>
            </a:cxn>
            <a:cxn ang="0">
              <a:pos x="connsiteX13666" y="connsiteY13666"/>
            </a:cxn>
            <a:cxn ang="0">
              <a:pos x="connsiteX13667" y="connsiteY13667"/>
            </a:cxn>
            <a:cxn ang="0">
              <a:pos x="connsiteX13668" y="connsiteY13668"/>
            </a:cxn>
            <a:cxn ang="0">
              <a:pos x="connsiteX13669" y="connsiteY13669"/>
            </a:cxn>
            <a:cxn ang="0">
              <a:pos x="connsiteX13670" y="connsiteY13670"/>
            </a:cxn>
            <a:cxn ang="0">
              <a:pos x="connsiteX13671" y="connsiteY13671"/>
            </a:cxn>
            <a:cxn ang="0">
              <a:pos x="connsiteX13672" y="connsiteY13672"/>
            </a:cxn>
            <a:cxn ang="0">
              <a:pos x="connsiteX13673" y="connsiteY13673"/>
            </a:cxn>
            <a:cxn ang="0">
              <a:pos x="connsiteX13674" y="connsiteY13674"/>
            </a:cxn>
            <a:cxn ang="0">
              <a:pos x="connsiteX13675" y="connsiteY13675"/>
            </a:cxn>
            <a:cxn ang="0">
              <a:pos x="connsiteX13676" y="connsiteY13676"/>
            </a:cxn>
            <a:cxn ang="0">
              <a:pos x="connsiteX13677" y="connsiteY13677"/>
            </a:cxn>
            <a:cxn ang="0">
              <a:pos x="connsiteX13678" y="connsiteY13678"/>
            </a:cxn>
            <a:cxn ang="0">
              <a:pos x="connsiteX13679" y="connsiteY13679"/>
            </a:cxn>
            <a:cxn ang="0">
              <a:pos x="connsiteX13680" y="connsiteY13680"/>
            </a:cxn>
            <a:cxn ang="0">
              <a:pos x="connsiteX13681" y="connsiteY13681"/>
            </a:cxn>
            <a:cxn ang="0">
              <a:pos x="connsiteX13682" y="connsiteY13682"/>
            </a:cxn>
            <a:cxn ang="0">
              <a:pos x="connsiteX13683" y="connsiteY13683"/>
            </a:cxn>
            <a:cxn ang="0">
              <a:pos x="connsiteX13684" y="connsiteY13684"/>
            </a:cxn>
            <a:cxn ang="0">
              <a:pos x="connsiteX13685" y="connsiteY13685"/>
            </a:cxn>
            <a:cxn ang="0">
              <a:pos x="connsiteX13686" y="connsiteY13686"/>
            </a:cxn>
            <a:cxn ang="0">
              <a:pos x="connsiteX13687" y="connsiteY13687"/>
            </a:cxn>
            <a:cxn ang="0">
              <a:pos x="connsiteX13688" y="connsiteY13688"/>
            </a:cxn>
            <a:cxn ang="0">
              <a:pos x="connsiteX13689" y="connsiteY13689"/>
            </a:cxn>
            <a:cxn ang="0">
              <a:pos x="connsiteX13690" y="connsiteY13690"/>
            </a:cxn>
            <a:cxn ang="0">
              <a:pos x="connsiteX13691" y="connsiteY13691"/>
            </a:cxn>
            <a:cxn ang="0">
              <a:pos x="connsiteX13692" y="connsiteY13692"/>
            </a:cxn>
            <a:cxn ang="0">
              <a:pos x="connsiteX13693" y="connsiteY13693"/>
            </a:cxn>
            <a:cxn ang="0">
              <a:pos x="connsiteX13694" y="connsiteY13694"/>
            </a:cxn>
            <a:cxn ang="0">
              <a:pos x="connsiteX13695" y="connsiteY13695"/>
            </a:cxn>
            <a:cxn ang="0">
              <a:pos x="connsiteX13696" y="connsiteY13696"/>
            </a:cxn>
            <a:cxn ang="0">
              <a:pos x="connsiteX13697" y="connsiteY13697"/>
            </a:cxn>
            <a:cxn ang="0">
              <a:pos x="connsiteX13698" y="connsiteY13698"/>
            </a:cxn>
            <a:cxn ang="0">
              <a:pos x="connsiteX13699" y="connsiteY13699"/>
            </a:cxn>
            <a:cxn ang="0">
              <a:pos x="connsiteX13700" y="connsiteY13700"/>
            </a:cxn>
            <a:cxn ang="0">
              <a:pos x="connsiteX13701" y="connsiteY13701"/>
            </a:cxn>
            <a:cxn ang="0">
              <a:pos x="connsiteX13702" y="connsiteY13702"/>
            </a:cxn>
            <a:cxn ang="0">
              <a:pos x="connsiteX13703" y="connsiteY13703"/>
            </a:cxn>
            <a:cxn ang="0">
              <a:pos x="connsiteX13704" y="connsiteY13704"/>
            </a:cxn>
            <a:cxn ang="0">
              <a:pos x="connsiteX13705" y="connsiteY13705"/>
            </a:cxn>
            <a:cxn ang="0">
              <a:pos x="connsiteX13706" y="connsiteY13706"/>
            </a:cxn>
            <a:cxn ang="0">
              <a:pos x="connsiteX13707" y="connsiteY13707"/>
            </a:cxn>
            <a:cxn ang="0">
              <a:pos x="connsiteX13708" y="connsiteY13708"/>
            </a:cxn>
            <a:cxn ang="0">
              <a:pos x="connsiteX13709" y="connsiteY13709"/>
            </a:cxn>
            <a:cxn ang="0">
              <a:pos x="connsiteX13710" y="connsiteY13710"/>
            </a:cxn>
            <a:cxn ang="0">
              <a:pos x="connsiteX13711" y="connsiteY13711"/>
            </a:cxn>
            <a:cxn ang="0">
              <a:pos x="connsiteX13712" y="connsiteY13712"/>
            </a:cxn>
            <a:cxn ang="0">
              <a:pos x="connsiteX13713" y="connsiteY13713"/>
            </a:cxn>
            <a:cxn ang="0">
              <a:pos x="connsiteX13714" y="connsiteY13714"/>
            </a:cxn>
            <a:cxn ang="0">
              <a:pos x="connsiteX13715" y="connsiteY13715"/>
            </a:cxn>
            <a:cxn ang="0">
              <a:pos x="connsiteX13716" y="connsiteY13716"/>
            </a:cxn>
            <a:cxn ang="0">
              <a:pos x="connsiteX13717" y="connsiteY13717"/>
            </a:cxn>
            <a:cxn ang="0">
              <a:pos x="connsiteX13718" y="connsiteY13718"/>
            </a:cxn>
            <a:cxn ang="0">
              <a:pos x="connsiteX13719" y="connsiteY13719"/>
            </a:cxn>
            <a:cxn ang="0">
              <a:pos x="connsiteX13720" y="connsiteY13720"/>
            </a:cxn>
            <a:cxn ang="0">
              <a:pos x="connsiteX13721" y="connsiteY13721"/>
            </a:cxn>
            <a:cxn ang="0">
              <a:pos x="connsiteX13722" y="connsiteY13722"/>
            </a:cxn>
            <a:cxn ang="0">
              <a:pos x="connsiteX13723" y="connsiteY13723"/>
            </a:cxn>
            <a:cxn ang="0">
              <a:pos x="connsiteX13724" y="connsiteY13724"/>
            </a:cxn>
            <a:cxn ang="0">
              <a:pos x="connsiteX13725" y="connsiteY13725"/>
            </a:cxn>
            <a:cxn ang="0">
              <a:pos x="connsiteX13726" y="connsiteY13726"/>
            </a:cxn>
            <a:cxn ang="0">
              <a:pos x="connsiteX13727" y="connsiteY13727"/>
            </a:cxn>
            <a:cxn ang="0">
              <a:pos x="connsiteX13728" y="connsiteY13728"/>
            </a:cxn>
            <a:cxn ang="0">
              <a:pos x="connsiteX13729" y="connsiteY13729"/>
            </a:cxn>
            <a:cxn ang="0">
              <a:pos x="connsiteX13730" y="connsiteY13730"/>
            </a:cxn>
            <a:cxn ang="0">
              <a:pos x="connsiteX13731" y="connsiteY13731"/>
            </a:cxn>
            <a:cxn ang="0">
              <a:pos x="connsiteX13732" y="connsiteY13732"/>
            </a:cxn>
            <a:cxn ang="0">
              <a:pos x="connsiteX13733" y="connsiteY13733"/>
            </a:cxn>
            <a:cxn ang="0">
              <a:pos x="connsiteX13734" y="connsiteY13734"/>
            </a:cxn>
            <a:cxn ang="0">
              <a:pos x="connsiteX13735" y="connsiteY13735"/>
            </a:cxn>
            <a:cxn ang="0">
              <a:pos x="connsiteX13736" y="connsiteY13736"/>
            </a:cxn>
            <a:cxn ang="0">
              <a:pos x="connsiteX13737" y="connsiteY13737"/>
            </a:cxn>
            <a:cxn ang="0">
              <a:pos x="connsiteX13738" y="connsiteY13738"/>
            </a:cxn>
            <a:cxn ang="0">
              <a:pos x="connsiteX13739" y="connsiteY13739"/>
            </a:cxn>
            <a:cxn ang="0">
              <a:pos x="connsiteX13740" y="connsiteY13740"/>
            </a:cxn>
            <a:cxn ang="0">
              <a:pos x="connsiteX13741" y="connsiteY13741"/>
            </a:cxn>
            <a:cxn ang="0">
              <a:pos x="connsiteX13742" y="connsiteY13742"/>
            </a:cxn>
            <a:cxn ang="0">
              <a:pos x="connsiteX13743" y="connsiteY13743"/>
            </a:cxn>
            <a:cxn ang="0">
              <a:pos x="connsiteX13744" y="connsiteY13744"/>
            </a:cxn>
            <a:cxn ang="0">
              <a:pos x="connsiteX13745" y="connsiteY13745"/>
            </a:cxn>
            <a:cxn ang="0">
              <a:pos x="connsiteX13746" y="connsiteY13746"/>
            </a:cxn>
            <a:cxn ang="0">
              <a:pos x="connsiteX13747" y="connsiteY13747"/>
            </a:cxn>
            <a:cxn ang="0">
              <a:pos x="connsiteX13748" y="connsiteY13748"/>
            </a:cxn>
            <a:cxn ang="0">
              <a:pos x="connsiteX13749" y="connsiteY13749"/>
            </a:cxn>
            <a:cxn ang="0">
              <a:pos x="connsiteX13750" y="connsiteY13750"/>
            </a:cxn>
            <a:cxn ang="0">
              <a:pos x="connsiteX13751" y="connsiteY13751"/>
            </a:cxn>
            <a:cxn ang="0">
              <a:pos x="connsiteX13752" y="connsiteY13752"/>
            </a:cxn>
            <a:cxn ang="0">
              <a:pos x="connsiteX13753" y="connsiteY13753"/>
            </a:cxn>
            <a:cxn ang="0">
              <a:pos x="connsiteX13754" y="connsiteY13754"/>
            </a:cxn>
            <a:cxn ang="0">
              <a:pos x="connsiteX13755" y="connsiteY13755"/>
            </a:cxn>
            <a:cxn ang="0">
              <a:pos x="connsiteX13756" y="connsiteY13756"/>
            </a:cxn>
            <a:cxn ang="0">
              <a:pos x="connsiteX13757" y="connsiteY13757"/>
            </a:cxn>
            <a:cxn ang="0">
              <a:pos x="connsiteX13758" y="connsiteY13758"/>
            </a:cxn>
            <a:cxn ang="0">
              <a:pos x="connsiteX13759" y="connsiteY13759"/>
            </a:cxn>
            <a:cxn ang="0">
              <a:pos x="connsiteX13760" y="connsiteY13760"/>
            </a:cxn>
            <a:cxn ang="0">
              <a:pos x="connsiteX13761" y="connsiteY13761"/>
            </a:cxn>
            <a:cxn ang="0">
              <a:pos x="connsiteX13762" y="connsiteY13762"/>
            </a:cxn>
            <a:cxn ang="0">
              <a:pos x="connsiteX13763" y="connsiteY13763"/>
            </a:cxn>
            <a:cxn ang="0">
              <a:pos x="connsiteX13764" y="connsiteY13764"/>
            </a:cxn>
            <a:cxn ang="0">
              <a:pos x="connsiteX13765" y="connsiteY13765"/>
            </a:cxn>
            <a:cxn ang="0">
              <a:pos x="connsiteX13766" y="connsiteY13766"/>
            </a:cxn>
            <a:cxn ang="0">
              <a:pos x="connsiteX13767" y="connsiteY13767"/>
            </a:cxn>
            <a:cxn ang="0">
              <a:pos x="connsiteX13768" y="connsiteY13768"/>
            </a:cxn>
            <a:cxn ang="0">
              <a:pos x="connsiteX13769" y="connsiteY13769"/>
            </a:cxn>
            <a:cxn ang="0">
              <a:pos x="connsiteX13770" y="connsiteY13770"/>
            </a:cxn>
            <a:cxn ang="0">
              <a:pos x="connsiteX13771" y="connsiteY13771"/>
            </a:cxn>
            <a:cxn ang="0">
              <a:pos x="connsiteX13772" y="connsiteY13772"/>
            </a:cxn>
            <a:cxn ang="0">
              <a:pos x="connsiteX13773" y="connsiteY13773"/>
            </a:cxn>
            <a:cxn ang="0">
              <a:pos x="connsiteX13774" y="connsiteY13774"/>
            </a:cxn>
            <a:cxn ang="0">
              <a:pos x="connsiteX13775" y="connsiteY13775"/>
            </a:cxn>
            <a:cxn ang="0">
              <a:pos x="connsiteX13776" y="connsiteY13776"/>
            </a:cxn>
            <a:cxn ang="0">
              <a:pos x="connsiteX13777" y="connsiteY13777"/>
            </a:cxn>
            <a:cxn ang="0">
              <a:pos x="connsiteX13778" y="connsiteY13778"/>
            </a:cxn>
            <a:cxn ang="0">
              <a:pos x="connsiteX13779" y="connsiteY13779"/>
            </a:cxn>
            <a:cxn ang="0">
              <a:pos x="connsiteX13780" y="connsiteY13780"/>
            </a:cxn>
            <a:cxn ang="0">
              <a:pos x="connsiteX13781" y="connsiteY13781"/>
            </a:cxn>
            <a:cxn ang="0">
              <a:pos x="connsiteX13782" y="connsiteY13782"/>
            </a:cxn>
            <a:cxn ang="0">
              <a:pos x="connsiteX13783" y="connsiteY13783"/>
            </a:cxn>
            <a:cxn ang="0">
              <a:pos x="connsiteX13784" y="connsiteY13784"/>
            </a:cxn>
            <a:cxn ang="0">
              <a:pos x="connsiteX13785" y="connsiteY13785"/>
            </a:cxn>
            <a:cxn ang="0">
              <a:pos x="connsiteX13786" y="connsiteY13786"/>
            </a:cxn>
            <a:cxn ang="0">
              <a:pos x="connsiteX13787" y="connsiteY13787"/>
            </a:cxn>
            <a:cxn ang="0">
              <a:pos x="connsiteX13788" y="connsiteY13788"/>
            </a:cxn>
            <a:cxn ang="0">
              <a:pos x="connsiteX13789" y="connsiteY13789"/>
            </a:cxn>
            <a:cxn ang="0">
              <a:pos x="connsiteX13790" y="connsiteY13790"/>
            </a:cxn>
            <a:cxn ang="0">
              <a:pos x="connsiteX13791" y="connsiteY13791"/>
            </a:cxn>
            <a:cxn ang="0">
              <a:pos x="connsiteX13792" y="connsiteY13792"/>
            </a:cxn>
            <a:cxn ang="0">
              <a:pos x="connsiteX13793" y="connsiteY13793"/>
            </a:cxn>
            <a:cxn ang="0">
              <a:pos x="connsiteX13794" y="connsiteY13794"/>
            </a:cxn>
            <a:cxn ang="0">
              <a:pos x="connsiteX13795" y="connsiteY13795"/>
            </a:cxn>
            <a:cxn ang="0">
              <a:pos x="connsiteX13796" y="connsiteY13796"/>
            </a:cxn>
            <a:cxn ang="0">
              <a:pos x="connsiteX13797" y="connsiteY13797"/>
            </a:cxn>
            <a:cxn ang="0">
              <a:pos x="connsiteX13798" y="connsiteY13798"/>
            </a:cxn>
            <a:cxn ang="0">
              <a:pos x="connsiteX13799" y="connsiteY13799"/>
            </a:cxn>
            <a:cxn ang="0">
              <a:pos x="connsiteX13800" y="connsiteY13800"/>
            </a:cxn>
            <a:cxn ang="0">
              <a:pos x="connsiteX13801" y="connsiteY13801"/>
            </a:cxn>
            <a:cxn ang="0">
              <a:pos x="connsiteX13802" y="connsiteY13802"/>
            </a:cxn>
            <a:cxn ang="0">
              <a:pos x="connsiteX13803" y="connsiteY13803"/>
            </a:cxn>
            <a:cxn ang="0">
              <a:pos x="connsiteX13804" y="connsiteY13804"/>
            </a:cxn>
            <a:cxn ang="0">
              <a:pos x="connsiteX13805" y="connsiteY13805"/>
            </a:cxn>
            <a:cxn ang="0">
              <a:pos x="connsiteX13806" y="connsiteY13806"/>
            </a:cxn>
            <a:cxn ang="0">
              <a:pos x="connsiteX13807" y="connsiteY13807"/>
            </a:cxn>
            <a:cxn ang="0">
              <a:pos x="connsiteX13808" y="connsiteY13808"/>
            </a:cxn>
            <a:cxn ang="0">
              <a:pos x="connsiteX13809" y="connsiteY13809"/>
            </a:cxn>
            <a:cxn ang="0">
              <a:pos x="connsiteX13810" y="connsiteY13810"/>
            </a:cxn>
            <a:cxn ang="0">
              <a:pos x="connsiteX13811" y="connsiteY13811"/>
            </a:cxn>
            <a:cxn ang="0">
              <a:pos x="connsiteX13812" y="connsiteY13812"/>
            </a:cxn>
            <a:cxn ang="0">
              <a:pos x="connsiteX13813" y="connsiteY13813"/>
            </a:cxn>
            <a:cxn ang="0">
              <a:pos x="connsiteX13814" y="connsiteY13814"/>
            </a:cxn>
            <a:cxn ang="0">
              <a:pos x="connsiteX13815" y="connsiteY13815"/>
            </a:cxn>
            <a:cxn ang="0">
              <a:pos x="connsiteX13816" y="connsiteY13816"/>
            </a:cxn>
            <a:cxn ang="0">
              <a:pos x="connsiteX13817" y="connsiteY13817"/>
            </a:cxn>
            <a:cxn ang="0">
              <a:pos x="connsiteX13818" y="connsiteY13818"/>
            </a:cxn>
            <a:cxn ang="0">
              <a:pos x="connsiteX13819" y="connsiteY13819"/>
            </a:cxn>
            <a:cxn ang="0">
              <a:pos x="connsiteX13820" y="connsiteY13820"/>
            </a:cxn>
            <a:cxn ang="0">
              <a:pos x="connsiteX13821" y="connsiteY13821"/>
            </a:cxn>
            <a:cxn ang="0">
              <a:pos x="connsiteX13822" y="connsiteY13822"/>
            </a:cxn>
            <a:cxn ang="0">
              <a:pos x="connsiteX13823" y="connsiteY13823"/>
            </a:cxn>
            <a:cxn ang="0">
              <a:pos x="connsiteX13824" y="connsiteY13824"/>
            </a:cxn>
            <a:cxn ang="0">
              <a:pos x="connsiteX13825" y="connsiteY13825"/>
            </a:cxn>
            <a:cxn ang="0">
              <a:pos x="connsiteX13826" y="connsiteY13826"/>
            </a:cxn>
            <a:cxn ang="0">
              <a:pos x="connsiteX13827" y="connsiteY13827"/>
            </a:cxn>
            <a:cxn ang="0">
              <a:pos x="connsiteX13828" y="connsiteY13828"/>
            </a:cxn>
            <a:cxn ang="0">
              <a:pos x="connsiteX13829" y="connsiteY13829"/>
            </a:cxn>
            <a:cxn ang="0">
              <a:pos x="connsiteX13830" y="connsiteY13830"/>
            </a:cxn>
            <a:cxn ang="0">
              <a:pos x="connsiteX13831" y="connsiteY13831"/>
            </a:cxn>
            <a:cxn ang="0">
              <a:pos x="connsiteX13832" y="connsiteY13832"/>
            </a:cxn>
            <a:cxn ang="0">
              <a:pos x="connsiteX13833" y="connsiteY13833"/>
            </a:cxn>
            <a:cxn ang="0">
              <a:pos x="connsiteX13834" y="connsiteY13834"/>
            </a:cxn>
            <a:cxn ang="0">
              <a:pos x="connsiteX13835" y="connsiteY13835"/>
            </a:cxn>
            <a:cxn ang="0">
              <a:pos x="connsiteX13836" y="connsiteY13836"/>
            </a:cxn>
            <a:cxn ang="0">
              <a:pos x="connsiteX13837" y="connsiteY13837"/>
            </a:cxn>
            <a:cxn ang="0">
              <a:pos x="connsiteX13838" y="connsiteY13838"/>
            </a:cxn>
            <a:cxn ang="0">
              <a:pos x="connsiteX13839" y="connsiteY13839"/>
            </a:cxn>
            <a:cxn ang="0">
              <a:pos x="connsiteX13840" y="connsiteY13840"/>
            </a:cxn>
            <a:cxn ang="0">
              <a:pos x="connsiteX13841" y="connsiteY13841"/>
            </a:cxn>
            <a:cxn ang="0">
              <a:pos x="connsiteX13842" y="connsiteY13842"/>
            </a:cxn>
            <a:cxn ang="0">
              <a:pos x="connsiteX13843" y="connsiteY13843"/>
            </a:cxn>
            <a:cxn ang="0">
              <a:pos x="connsiteX13844" y="connsiteY13844"/>
            </a:cxn>
            <a:cxn ang="0">
              <a:pos x="connsiteX13845" y="connsiteY13845"/>
            </a:cxn>
            <a:cxn ang="0">
              <a:pos x="connsiteX13846" y="connsiteY13846"/>
            </a:cxn>
            <a:cxn ang="0">
              <a:pos x="connsiteX13847" y="connsiteY13847"/>
            </a:cxn>
            <a:cxn ang="0">
              <a:pos x="connsiteX13848" y="connsiteY13848"/>
            </a:cxn>
            <a:cxn ang="0">
              <a:pos x="connsiteX13849" y="connsiteY13849"/>
            </a:cxn>
            <a:cxn ang="0">
              <a:pos x="connsiteX13850" y="connsiteY13850"/>
            </a:cxn>
            <a:cxn ang="0">
              <a:pos x="connsiteX13851" y="connsiteY13851"/>
            </a:cxn>
            <a:cxn ang="0">
              <a:pos x="connsiteX13852" y="connsiteY13852"/>
            </a:cxn>
            <a:cxn ang="0">
              <a:pos x="connsiteX13853" y="connsiteY13853"/>
            </a:cxn>
            <a:cxn ang="0">
              <a:pos x="connsiteX13854" y="connsiteY13854"/>
            </a:cxn>
            <a:cxn ang="0">
              <a:pos x="connsiteX13855" y="connsiteY13855"/>
            </a:cxn>
            <a:cxn ang="0">
              <a:pos x="connsiteX13856" y="connsiteY13856"/>
            </a:cxn>
            <a:cxn ang="0">
              <a:pos x="connsiteX13857" y="connsiteY13857"/>
            </a:cxn>
            <a:cxn ang="0">
              <a:pos x="connsiteX13858" y="connsiteY13858"/>
            </a:cxn>
            <a:cxn ang="0">
              <a:pos x="connsiteX13859" y="connsiteY13859"/>
            </a:cxn>
            <a:cxn ang="0">
              <a:pos x="connsiteX13860" y="connsiteY13860"/>
            </a:cxn>
            <a:cxn ang="0">
              <a:pos x="connsiteX13861" y="connsiteY13861"/>
            </a:cxn>
            <a:cxn ang="0">
              <a:pos x="connsiteX13862" y="connsiteY13862"/>
            </a:cxn>
            <a:cxn ang="0">
              <a:pos x="connsiteX13863" y="connsiteY13863"/>
            </a:cxn>
            <a:cxn ang="0">
              <a:pos x="connsiteX13864" y="connsiteY13864"/>
            </a:cxn>
            <a:cxn ang="0">
              <a:pos x="connsiteX13865" y="connsiteY13865"/>
            </a:cxn>
            <a:cxn ang="0">
              <a:pos x="connsiteX13866" y="connsiteY13866"/>
            </a:cxn>
            <a:cxn ang="0">
              <a:pos x="connsiteX13867" y="connsiteY13867"/>
            </a:cxn>
            <a:cxn ang="0">
              <a:pos x="connsiteX13868" y="connsiteY13868"/>
            </a:cxn>
            <a:cxn ang="0">
              <a:pos x="connsiteX13869" y="connsiteY13869"/>
            </a:cxn>
            <a:cxn ang="0">
              <a:pos x="connsiteX13870" y="connsiteY13870"/>
            </a:cxn>
            <a:cxn ang="0">
              <a:pos x="connsiteX13871" y="connsiteY13871"/>
            </a:cxn>
            <a:cxn ang="0">
              <a:pos x="connsiteX13872" y="connsiteY13872"/>
            </a:cxn>
            <a:cxn ang="0">
              <a:pos x="connsiteX13873" y="connsiteY13873"/>
            </a:cxn>
            <a:cxn ang="0">
              <a:pos x="connsiteX13874" y="connsiteY13874"/>
            </a:cxn>
            <a:cxn ang="0">
              <a:pos x="connsiteX13875" y="connsiteY13875"/>
            </a:cxn>
            <a:cxn ang="0">
              <a:pos x="connsiteX13876" y="connsiteY13876"/>
            </a:cxn>
            <a:cxn ang="0">
              <a:pos x="connsiteX13877" y="connsiteY13877"/>
            </a:cxn>
            <a:cxn ang="0">
              <a:pos x="connsiteX13878" y="connsiteY13878"/>
            </a:cxn>
            <a:cxn ang="0">
              <a:pos x="connsiteX13879" y="connsiteY13879"/>
            </a:cxn>
            <a:cxn ang="0">
              <a:pos x="connsiteX13880" y="connsiteY13880"/>
            </a:cxn>
            <a:cxn ang="0">
              <a:pos x="connsiteX13881" y="connsiteY13881"/>
            </a:cxn>
            <a:cxn ang="0">
              <a:pos x="connsiteX13882" y="connsiteY13882"/>
            </a:cxn>
            <a:cxn ang="0">
              <a:pos x="connsiteX13883" y="connsiteY13883"/>
            </a:cxn>
            <a:cxn ang="0">
              <a:pos x="connsiteX13884" y="connsiteY13884"/>
            </a:cxn>
            <a:cxn ang="0">
              <a:pos x="connsiteX13885" y="connsiteY13885"/>
            </a:cxn>
            <a:cxn ang="0">
              <a:pos x="connsiteX13886" y="connsiteY13886"/>
            </a:cxn>
            <a:cxn ang="0">
              <a:pos x="connsiteX13887" y="connsiteY13887"/>
            </a:cxn>
            <a:cxn ang="0">
              <a:pos x="connsiteX13888" y="connsiteY13888"/>
            </a:cxn>
            <a:cxn ang="0">
              <a:pos x="connsiteX13889" y="connsiteY13889"/>
            </a:cxn>
            <a:cxn ang="0">
              <a:pos x="connsiteX13890" y="connsiteY13890"/>
            </a:cxn>
            <a:cxn ang="0">
              <a:pos x="connsiteX13891" y="connsiteY13891"/>
            </a:cxn>
            <a:cxn ang="0">
              <a:pos x="connsiteX13892" y="connsiteY13892"/>
            </a:cxn>
            <a:cxn ang="0">
              <a:pos x="connsiteX13893" y="connsiteY13893"/>
            </a:cxn>
            <a:cxn ang="0">
              <a:pos x="connsiteX13894" y="connsiteY13894"/>
            </a:cxn>
            <a:cxn ang="0">
              <a:pos x="connsiteX13895" y="connsiteY13895"/>
            </a:cxn>
            <a:cxn ang="0">
              <a:pos x="connsiteX13896" y="connsiteY13896"/>
            </a:cxn>
            <a:cxn ang="0">
              <a:pos x="connsiteX13897" y="connsiteY13897"/>
            </a:cxn>
            <a:cxn ang="0">
              <a:pos x="connsiteX13898" y="connsiteY13898"/>
            </a:cxn>
            <a:cxn ang="0">
              <a:pos x="connsiteX13899" y="connsiteY13899"/>
            </a:cxn>
            <a:cxn ang="0">
              <a:pos x="connsiteX13900" y="connsiteY13900"/>
            </a:cxn>
            <a:cxn ang="0">
              <a:pos x="connsiteX13901" y="connsiteY13901"/>
            </a:cxn>
            <a:cxn ang="0">
              <a:pos x="connsiteX13902" y="connsiteY13902"/>
            </a:cxn>
            <a:cxn ang="0">
              <a:pos x="connsiteX13903" y="connsiteY13903"/>
            </a:cxn>
            <a:cxn ang="0">
              <a:pos x="connsiteX13904" y="connsiteY13904"/>
            </a:cxn>
            <a:cxn ang="0">
              <a:pos x="connsiteX13905" y="connsiteY13905"/>
            </a:cxn>
            <a:cxn ang="0">
              <a:pos x="connsiteX13906" y="connsiteY13906"/>
            </a:cxn>
            <a:cxn ang="0">
              <a:pos x="connsiteX13907" y="connsiteY13907"/>
            </a:cxn>
            <a:cxn ang="0">
              <a:pos x="connsiteX13908" y="connsiteY13908"/>
            </a:cxn>
            <a:cxn ang="0">
              <a:pos x="connsiteX13909" y="connsiteY13909"/>
            </a:cxn>
            <a:cxn ang="0">
              <a:pos x="connsiteX13910" y="connsiteY13910"/>
            </a:cxn>
            <a:cxn ang="0">
              <a:pos x="connsiteX13911" y="connsiteY13911"/>
            </a:cxn>
            <a:cxn ang="0">
              <a:pos x="connsiteX13912" y="connsiteY13912"/>
            </a:cxn>
            <a:cxn ang="0">
              <a:pos x="connsiteX13913" y="connsiteY13913"/>
            </a:cxn>
            <a:cxn ang="0">
              <a:pos x="connsiteX13914" y="connsiteY13914"/>
            </a:cxn>
            <a:cxn ang="0">
              <a:pos x="connsiteX13915" y="connsiteY13915"/>
            </a:cxn>
            <a:cxn ang="0">
              <a:pos x="connsiteX13916" y="connsiteY13916"/>
            </a:cxn>
            <a:cxn ang="0">
              <a:pos x="connsiteX13917" y="connsiteY13917"/>
            </a:cxn>
            <a:cxn ang="0">
              <a:pos x="connsiteX13918" y="connsiteY13918"/>
            </a:cxn>
            <a:cxn ang="0">
              <a:pos x="connsiteX13919" y="connsiteY13919"/>
            </a:cxn>
            <a:cxn ang="0">
              <a:pos x="connsiteX13920" y="connsiteY13920"/>
            </a:cxn>
            <a:cxn ang="0">
              <a:pos x="connsiteX13921" y="connsiteY13921"/>
            </a:cxn>
            <a:cxn ang="0">
              <a:pos x="connsiteX13922" y="connsiteY13922"/>
            </a:cxn>
            <a:cxn ang="0">
              <a:pos x="connsiteX13923" y="connsiteY13923"/>
            </a:cxn>
            <a:cxn ang="0">
              <a:pos x="connsiteX13924" y="connsiteY13924"/>
            </a:cxn>
            <a:cxn ang="0">
              <a:pos x="connsiteX13925" y="connsiteY13925"/>
            </a:cxn>
            <a:cxn ang="0">
              <a:pos x="connsiteX13926" y="connsiteY13926"/>
            </a:cxn>
            <a:cxn ang="0">
              <a:pos x="connsiteX13927" y="connsiteY13927"/>
            </a:cxn>
            <a:cxn ang="0">
              <a:pos x="connsiteX13928" y="connsiteY13928"/>
            </a:cxn>
            <a:cxn ang="0">
              <a:pos x="connsiteX13929" y="connsiteY13929"/>
            </a:cxn>
            <a:cxn ang="0">
              <a:pos x="connsiteX13930" y="connsiteY13930"/>
            </a:cxn>
            <a:cxn ang="0">
              <a:pos x="connsiteX13931" y="connsiteY13931"/>
            </a:cxn>
            <a:cxn ang="0">
              <a:pos x="connsiteX13932" y="connsiteY13932"/>
            </a:cxn>
            <a:cxn ang="0">
              <a:pos x="connsiteX13933" y="connsiteY13933"/>
            </a:cxn>
            <a:cxn ang="0">
              <a:pos x="connsiteX13934" y="connsiteY13934"/>
            </a:cxn>
            <a:cxn ang="0">
              <a:pos x="connsiteX13935" y="connsiteY13935"/>
            </a:cxn>
            <a:cxn ang="0">
              <a:pos x="connsiteX13936" y="connsiteY13936"/>
            </a:cxn>
            <a:cxn ang="0">
              <a:pos x="connsiteX13937" y="connsiteY13937"/>
            </a:cxn>
            <a:cxn ang="0">
              <a:pos x="connsiteX13938" y="connsiteY13938"/>
            </a:cxn>
            <a:cxn ang="0">
              <a:pos x="connsiteX13939" y="connsiteY13939"/>
            </a:cxn>
            <a:cxn ang="0">
              <a:pos x="connsiteX13940" y="connsiteY13940"/>
            </a:cxn>
            <a:cxn ang="0">
              <a:pos x="connsiteX13941" y="connsiteY13941"/>
            </a:cxn>
            <a:cxn ang="0">
              <a:pos x="connsiteX13942" y="connsiteY13942"/>
            </a:cxn>
            <a:cxn ang="0">
              <a:pos x="connsiteX13943" y="connsiteY13943"/>
            </a:cxn>
            <a:cxn ang="0">
              <a:pos x="connsiteX13944" y="connsiteY13944"/>
            </a:cxn>
          </a:cxnLst>
          <a:rect l="l" t="t" r="r" b="b"/>
          <a:pathLst>
            <a:path w="12192000" h="6858000">
              <a:moveTo>
                <a:pt x="0" y="6858000"/>
              </a:moveTo>
              <a:lnTo>
                <a:pt x="12192000" y="6858000"/>
              </a:lnTo>
              <a:lnTo>
                <a:pt x="12192000" y="0"/>
              </a:lnTo>
              <a:lnTo>
                <a:pt x="0" y="0"/>
              </a:lnTo>
              <a:lnTo>
                <a:pt x="0" y="6858000"/>
              </a:lnTo>
              <a:close/>
              <a:moveTo>
                <a:pt x="4251188" y="6501146"/>
              </a:moveTo>
              <a:cubicBezTo>
                <a:pt x="4231960" y="6501146"/>
                <a:pt x="4216369" y="6485555"/>
                <a:pt x="4216369" y="6466327"/>
              </a:cubicBezTo>
              <a:cubicBezTo>
                <a:pt x="4216369" y="6447099"/>
                <a:pt x="4231960" y="6431508"/>
                <a:pt x="4251188" y="6431508"/>
              </a:cubicBezTo>
              <a:cubicBezTo>
                <a:pt x="4270416" y="6431508"/>
                <a:pt x="4286007" y="6447099"/>
                <a:pt x="4286007" y="6466327"/>
              </a:cubicBezTo>
              <a:cubicBezTo>
                <a:pt x="4286007" y="6485555"/>
                <a:pt x="4270416" y="6501146"/>
                <a:pt x="4251188" y="6501146"/>
              </a:cubicBezTo>
              <a:close/>
              <a:moveTo>
                <a:pt x="4336080" y="6501146"/>
              </a:moveTo>
              <a:cubicBezTo>
                <a:pt x="4316852" y="6501146"/>
                <a:pt x="4301261" y="6485555"/>
                <a:pt x="4301261" y="6466327"/>
              </a:cubicBezTo>
              <a:cubicBezTo>
                <a:pt x="4301261" y="6447099"/>
                <a:pt x="4316852" y="6431508"/>
                <a:pt x="4336080" y="6431508"/>
              </a:cubicBezTo>
              <a:cubicBezTo>
                <a:pt x="4355308" y="6431508"/>
                <a:pt x="4370899" y="6447099"/>
                <a:pt x="4370899" y="6466327"/>
              </a:cubicBezTo>
              <a:cubicBezTo>
                <a:pt x="4370899" y="6485555"/>
                <a:pt x="4355308" y="6501146"/>
                <a:pt x="4336080" y="6501146"/>
              </a:cubicBezTo>
              <a:close/>
              <a:moveTo>
                <a:pt x="4420973" y="6501146"/>
              </a:moveTo>
              <a:cubicBezTo>
                <a:pt x="4401746" y="6501146"/>
                <a:pt x="4386154" y="6485555"/>
                <a:pt x="4386154" y="6466327"/>
              </a:cubicBezTo>
              <a:cubicBezTo>
                <a:pt x="4386154" y="6447099"/>
                <a:pt x="4401746" y="6431508"/>
                <a:pt x="4420973" y="6431508"/>
              </a:cubicBezTo>
              <a:cubicBezTo>
                <a:pt x="4440201" y="6431508"/>
                <a:pt x="4455792" y="6447099"/>
                <a:pt x="4455792" y="6466327"/>
              </a:cubicBezTo>
              <a:cubicBezTo>
                <a:pt x="4455792" y="6485555"/>
                <a:pt x="4440201" y="6501146"/>
                <a:pt x="4420973" y="6501146"/>
              </a:cubicBezTo>
              <a:close/>
              <a:moveTo>
                <a:pt x="4505866" y="6501146"/>
              </a:moveTo>
              <a:cubicBezTo>
                <a:pt x="4486638" y="6501146"/>
                <a:pt x="4471047" y="6485555"/>
                <a:pt x="4471047" y="6466327"/>
              </a:cubicBezTo>
              <a:cubicBezTo>
                <a:pt x="4471047" y="6447099"/>
                <a:pt x="4486638" y="6431508"/>
                <a:pt x="4505866" y="6431508"/>
              </a:cubicBezTo>
              <a:cubicBezTo>
                <a:pt x="4525093" y="6431508"/>
                <a:pt x="4540684" y="6447099"/>
                <a:pt x="4540684" y="6466327"/>
              </a:cubicBezTo>
              <a:cubicBezTo>
                <a:pt x="4540684" y="6485555"/>
                <a:pt x="4525093" y="6501146"/>
                <a:pt x="4505866" y="6501146"/>
              </a:cubicBezTo>
              <a:close/>
              <a:moveTo>
                <a:pt x="4590758" y="6501146"/>
              </a:moveTo>
              <a:cubicBezTo>
                <a:pt x="4571530" y="6501146"/>
                <a:pt x="4555939" y="6485555"/>
                <a:pt x="4555939" y="6466327"/>
              </a:cubicBezTo>
              <a:cubicBezTo>
                <a:pt x="4555939" y="6447099"/>
                <a:pt x="4571530" y="6431508"/>
                <a:pt x="4590758" y="6431508"/>
              </a:cubicBezTo>
              <a:cubicBezTo>
                <a:pt x="4609986" y="6431508"/>
                <a:pt x="4625577" y="6447099"/>
                <a:pt x="4625577" y="6466327"/>
              </a:cubicBezTo>
              <a:cubicBezTo>
                <a:pt x="4625577" y="6485555"/>
                <a:pt x="4609986" y="6501146"/>
                <a:pt x="4590758" y="6501146"/>
              </a:cubicBezTo>
              <a:close/>
              <a:moveTo>
                <a:pt x="4081403" y="6416286"/>
              </a:moveTo>
              <a:cubicBezTo>
                <a:pt x="4062176" y="6416286"/>
                <a:pt x="4046584" y="6400695"/>
                <a:pt x="4046584" y="6381467"/>
              </a:cubicBezTo>
              <a:cubicBezTo>
                <a:pt x="4046584" y="6362239"/>
                <a:pt x="4062176" y="6346648"/>
                <a:pt x="4081403" y="6346648"/>
              </a:cubicBezTo>
              <a:cubicBezTo>
                <a:pt x="4100631" y="6346648"/>
                <a:pt x="4116222" y="6362239"/>
                <a:pt x="4116222" y="6381467"/>
              </a:cubicBezTo>
              <a:cubicBezTo>
                <a:pt x="4116222" y="6400695"/>
                <a:pt x="4100631" y="6416286"/>
                <a:pt x="4081403" y="6416286"/>
              </a:cubicBezTo>
              <a:close/>
              <a:moveTo>
                <a:pt x="4166296" y="6416286"/>
              </a:moveTo>
              <a:cubicBezTo>
                <a:pt x="4147068" y="6416286"/>
                <a:pt x="4131477" y="6400695"/>
                <a:pt x="4131477" y="6381467"/>
              </a:cubicBezTo>
              <a:cubicBezTo>
                <a:pt x="4131477" y="6362239"/>
                <a:pt x="4147068" y="6346648"/>
                <a:pt x="4166296" y="6346648"/>
              </a:cubicBezTo>
              <a:cubicBezTo>
                <a:pt x="4185523" y="6346648"/>
                <a:pt x="4201114" y="6362239"/>
                <a:pt x="4201114" y="6381467"/>
              </a:cubicBezTo>
              <a:cubicBezTo>
                <a:pt x="4201114" y="6400695"/>
                <a:pt x="4185523" y="6416286"/>
                <a:pt x="4166296" y="6416286"/>
              </a:cubicBezTo>
              <a:close/>
              <a:moveTo>
                <a:pt x="4251188" y="6416286"/>
              </a:moveTo>
              <a:cubicBezTo>
                <a:pt x="4231960" y="6416286"/>
                <a:pt x="4216369" y="6400695"/>
                <a:pt x="4216369" y="6381467"/>
              </a:cubicBezTo>
              <a:cubicBezTo>
                <a:pt x="4216369" y="6362239"/>
                <a:pt x="4231960" y="6346648"/>
                <a:pt x="4251188" y="6346648"/>
              </a:cubicBezTo>
              <a:cubicBezTo>
                <a:pt x="4270416" y="6346648"/>
                <a:pt x="4286007" y="6362239"/>
                <a:pt x="4286007" y="6381467"/>
              </a:cubicBezTo>
              <a:cubicBezTo>
                <a:pt x="4286007" y="6400695"/>
                <a:pt x="4270416" y="6416286"/>
                <a:pt x="4251188" y="6416286"/>
              </a:cubicBezTo>
              <a:close/>
              <a:moveTo>
                <a:pt x="4336080" y="6416286"/>
              </a:moveTo>
              <a:cubicBezTo>
                <a:pt x="4316852" y="6416286"/>
                <a:pt x="4301261" y="6400695"/>
                <a:pt x="4301261" y="6381467"/>
              </a:cubicBezTo>
              <a:cubicBezTo>
                <a:pt x="4301261" y="6362239"/>
                <a:pt x="4316852" y="6346648"/>
                <a:pt x="4336080" y="6346648"/>
              </a:cubicBezTo>
              <a:cubicBezTo>
                <a:pt x="4355308" y="6346648"/>
                <a:pt x="4370899" y="6362239"/>
                <a:pt x="4370899" y="6381467"/>
              </a:cubicBezTo>
              <a:cubicBezTo>
                <a:pt x="4370899" y="6400695"/>
                <a:pt x="4355308" y="6416286"/>
                <a:pt x="4336080" y="6416286"/>
              </a:cubicBezTo>
              <a:close/>
              <a:moveTo>
                <a:pt x="4420973" y="6416286"/>
              </a:moveTo>
              <a:cubicBezTo>
                <a:pt x="4401746" y="6416286"/>
                <a:pt x="4386154" y="6400695"/>
                <a:pt x="4386154" y="6381467"/>
              </a:cubicBezTo>
              <a:cubicBezTo>
                <a:pt x="4386154" y="6362239"/>
                <a:pt x="4401746" y="6346648"/>
                <a:pt x="4420973" y="6346648"/>
              </a:cubicBezTo>
              <a:cubicBezTo>
                <a:pt x="4440201" y="6346648"/>
                <a:pt x="4455792" y="6362239"/>
                <a:pt x="4455792" y="6381467"/>
              </a:cubicBezTo>
              <a:cubicBezTo>
                <a:pt x="4455792" y="6400695"/>
                <a:pt x="4440201" y="6416286"/>
                <a:pt x="4420973" y="6416286"/>
              </a:cubicBezTo>
              <a:close/>
              <a:moveTo>
                <a:pt x="4505866" y="6416286"/>
              </a:moveTo>
              <a:cubicBezTo>
                <a:pt x="4486638" y="6416286"/>
                <a:pt x="4471047" y="6400695"/>
                <a:pt x="4471047" y="6381467"/>
              </a:cubicBezTo>
              <a:cubicBezTo>
                <a:pt x="4471047" y="6362239"/>
                <a:pt x="4486638" y="6346648"/>
                <a:pt x="4505866" y="6346648"/>
              </a:cubicBezTo>
              <a:cubicBezTo>
                <a:pt x="4525093" y="6346648"/>
                <a:pt x="4540684" y="6362239"/>
                <a:pt x="4540684" y="6381467"/>
              </a:cubicBezTo>
              <a:cubicBezTo>
                <a:pt x="4540684" y="6400695"/>
                <a:pt x="4525093" y="6416286"/>
                <a:pt x="4505866" y="6416286"/>
              </a:cubicBezTo>
              <a:close/>
              <a:moveTo>
                <a:pt x="4590758" y="6416286"/>
              </a:moveTo>
              <a:cubicBezTo>
                <a:pt x="4571530" y="6416286"/>
                <a:pt x="4555939" y="6400695"/>
                <a:pt x="4555939" y="6381467"/>
              </a:cubicBezTo>
              <a:cubicBezTo>
                <a:pt x="4555939" y="6362239"/>
                <a:pt x="4571530" y="6346648"/>
                <a:pt x="4590758" y="6346648"/>
              </a:cubicBezTo>
              <a:cubicBezTo>
                <a:pt x="4609986" y="6346648"/>
                <a:pt x="4625577" y="6362239"/>
                <a:pt x="4625577" y="6381467"/>
              </a:cubicBezTo>
              <a:cubicBezTo>
                <a:pt x="4625577" y="6400695"/>
                <a:pt x="4609986" y="6416286"/>
                <a:pt x="4590758" y="6416286"/>
              </a:cubicBezTo>
              <a:close/>
              <a:moveTo>
                <a:pt x="4675650" y="6416286"/>
              </a:moveTo>
              <a:cubicBezTo>
                <a:pt x="4656422" y="6416286"/>
                <a:pt x="4640831" y="6400695"/>
                <a:pt x="4640831" y="6381467"/>
              </a:cubicBezTo>
              <a:cubicBezTo>
                <a:pt x="4640831" y="6362239"/>
                <a:pt x="4656422" y="6346648"/>
                <a:pt x="4675650" y="6346648"/>
              </a:cubicBezTo>
              <a:cubicBezTo>
                <a:pt x="4694878" y="6346648"/>
                <a:pt x="4710469" y="6362239"/>
                <a:pt x="4710469" y="6381467"/>
              </a:cubicBezTo>
              <a:cubicBezTo>
                <a:pt x="4710469" y="6400695"/>
                <a:pt x="4694878" y="6416286"/>
                <a:pt x="4675650" y="6416286"/>
              </a:cubicBezTo>
              <a:close/>
              <a:moveTo>
                <a:pt x="5100113" y="6416286"/>
              </a:moveTo>
              <a:cubicBezTo>
                <a:pt x="5080886" y="6416286"/>
                <a:pt x="5065294" y="6400695"/>
                <a:pt x="5065294" y="6381467"/>
              </a:cubicBezTo>
              <a:cubicBezTo>
                <a:pt x="5065294" y="6362239"/>
                <a:pt x="5080886" y="6346648"/>
                <a:pt x="5100113" y="6346648"/>
              </a:cubicBezTo>
              <a:cubicBezTo>
                <a:pt x="5119341" y="6346648"/>
                <a:pt x="5134932" y="6362239"/>
                <a:pt x="5134932" y="6381467"/>
              </a:cubicBezTo>
              <a:cubicBezTo>
                <a:pt x="5134932" y="6400695"/>
                <a:pt x="5119341" y="6416286"/>
                <a:pt x="5100113" y="6416286"/>
              </a:cubicBezTo>
              <a:close/>
              <a:moveTo>
                <a:pt x="5185006" y="6416286"/>
              </a:moveTo>
              <a:cubicBezTo>
                <a:pt x="5165778" y="6416286"/>
                <a:pt x="5150187" y="6400695"/>
                <a:pt x="5150187" y="6381467"/>
              </a:cubicBezTo>
              <a:cubicBezTo>
                <a:pt x="5150187" y="6362239"/>
                <a:pt x="5165778" y="6346648"/>
                <a:pt x="5185006" y="6346648"/>
              </a:cubicBezTo>
              <a:cubicBezTo>
                <a:pt x="5204233" y="6346648"/>
                <a:pt x="5219824" y="6362239"/>
                <a:pt x="5219824" y="6381467"/>
              </a:cubicBezTo>
              <a:cubicBezTo>
                <a:pt x="5219824" y="6400695"/>
                <a:pt x="5204233" y="6416286"/>
                <a:pt x="5185006" y="6416286"/>
              </a:cubicBezTo>
              <a:close/>
              <a:moveTo>
                <a:pt x="5354790" y="6416286"/>
              </a:moveTo>
              <a:cubicBezTo>
                <a:pt x="5335562" y="6416286"/>
                <a:pt x="5319971" y="6400695"/>
                <a:pt x="5319971" y="6381467"/>
              </a:cubicBezTo>
              <a:cubicBezTo>
                <a:pt x="5319971" y="6362239"/>
                <a:pt x="5335562" y="6346648"/>
                <a:pt x="5354790" y="6346648"/>
              </a:cubicBezTo>
              <a:cubicBezTo>
                <a:pt x="5374018" y="6346648"/>
                <a:pt x="5389609" y="6362239"/>
                <a:pt x="5389609" y="6381467"/>
              </a:cubicBezTo>
              <a:cubicBezTo>
                <a:pt x="5389609" y="6400695"/>
                <a:pt x="5374018" y="6416286"/>
                <a:pt x="5354790" y="6416286"/>
              </a:cubicBezTo>
              <a:close/>
              <a:moveTo>
                <a:pt x="7646890" y="6416286"/>
              </a:moveTo>
              <a:cubicBezTo>
                <a:pt x="7627663" y="6416286"/>
                <a:pt x="7612065" y="6400695"/>
                <a:pt x="7612065" y="6381467"/>
              </a:cubicBezTo>
              <a:cubicBezTo>
                <a:pt x="7612065" y="6362239"/>
                <a:pt x="7627663" y="6346648"/>
                <a:pt x="7646890" y="6346648"/>
              </a:cubicBezTo>
              <a:cubicBezTo>
                <a:pt x="7666118" y="6346648"/>
                <a:pt x="7681703" y="6362239"/>
                <a:pt x="7681703" y="6381467"/>
              </a:cubicBezTo>
              <a:cubicBezTo>
                <a:pt x="7681703" y="6400695"/>
                <a:pt x="7666118" y="6416286"/>
                <a:pt x="7646890" y="6416286"/>
              </a:cubicBezTo>
              <a:close/>
              <a:moveTo>
                <a:pt x="3572048" y="6331425"/>
              </a:moveTo>
              <a:cubicBezTo>
                <a:pt x="3552820" y="6331425"/>
                <a:pt x="3537229" y="6315834"/>
                <a:pt x="3537229" y="6296606"/>
              </a:cubicBezTo>
              <a:cubicBezTo>
                <a:pt x="3537229" y="6277379"/>
                <a:pt x="3552820" y="6261788"/>
                <a:pt x="3572048" y="6261788"/>
              </a:cubicBezTo>
              <a:cubicBezTo>
                <a:pt x="3591276" y="6261788"/>
                <a:pt x="3606867" y="6277379"/>
                <a:pt x="3606867" y="6296606"/>
              </a:cubicBezTo>
              <a:cubicBezTo>
                <a:pt x="3606867" y="6315834"/>
                <a:pt x="3591276" y="6331425"/>
                <a:pt x="3572048" y="6331425"/>
              </a:cubicBezTo>
              <a:close/>
              <a:moveTo>
                <a:pt x="3741833" y="6331425"/>
              </a:moveTo>
              <a:cubicBezTo>
                <a:pt x="3722606" y="6331425"/>
                <a:pt x="3707014" y="6315834"/>
                <a:pt x="3707014" y="6296606"/>
              </a:cubicBezTo>
              <a:cubicBezTo>
                <a:pt x="3707014" y="6277379"/>
                <a:pt x="3722606" y="6261788"/>
                <a:pt x="3741833" y="6261788"/>
              </a:cubicBezTo>
              <a:cubicBezTo>
                <a:pt x="3761061" y="6261788"/>
                <a:pt x="3776652" y="6277379"/>
                <a:pt x="3776652" y="6296606"/>
              </a:cubicBezTo>
              <a:cubicBezTo>
                <a:pt x="3776652" y="6315834"/>
                <a:pt x="3761061" y="6331425"/>
                <a:pt x="3741833" y="6331425"/>
              </a:cubicBezTo>
              <a:close/>
              <a:moveTo>
                <a:pt x="3996511" y="6331425"/>
              </a:moveTo>
              <a:cubicBezTo>
                <a:pt x="3977283" y="6331425"/>
                <a:pt x="3961692" y="6315834"/>
                <a:pt x="3961692" y="6296606"/>
              </a:cubicBezTo>
              <a:cubicBezTo>
                <a:pt x="3961692" y="6277379"/>
                <a:pt x="3977283" y="6261788"/>
                <a:pt x="3996511" y="6261788"/>
              </a:cubicBezTo>
              <a:cubicBezTo>
                <a:pt x="4015739" y="6261788"/>
                <a:pt x="4031330" y="6277379"/>
                <a:pt x="4031330" y="6296606"/>
              </a:cubicBezTo>
              <a:cubicBezTo>
                <a:pt x="4031330" y="6315834"/>
                <a:pt x="4015739" y="6331425"/>
                <a:pt x="3996511" y="6331425"/>
              </a:cubicBezTo>
              <a:close/>
              <a:moveTo>
                <a:pt x="4081403" y="6331425"/>
              </a:moveTo>
              <a:cubicBezTo>
                <a:pt x="4062176" y="6331425"/>
                <a:pt x="4046584" y="6315834"/>
                <a:pt x="4046584" y="6296606"/>
              </a:cubicBezTo>
              <a:cubicBezTo>
                <a:pt x="4046584" y="6277379"/>
                <a:pt x="4062176" y="6261788"/>
                <a:pt x="4081403" y="6261788"/>
              </a:cubicBezTo>
              <a:cubicBezTo>
                <a:pt x="4100631" y="6261788"/>
                <a:pt x="4116222" y="6277379"/>
                <a:pt x="4116222" y="6296606"/>
              </a:cubicBezTo>
              <a:cubicBezTo>
                <a:pt x="4116222" y="6315834"/>
                <a:pt x="4100631" y="6331425"/>
                <a:pt x="4081403" y="6331425"/>
              </a:cubicBezTo>
              <a:close/>
              <a:moveTo>
                <a:pt x="4420973" y="6331425"/>
              </a:moveTo>
              <a:cubicBezTo>
                <a:pt x="4401746" y="6331425"/>
                <a:pt x="4386154" y="6315834"/>
                <a:pt x="4386154" y="6296606"/>
              </a:cubicBezTo>
              <a:cubicBezTo>
                <a:pt x="4386154" y="6277379"/>
                <a:pt x="4401746" y="6261788"/>
                <a:pt x="4420973" y="6261788"/>
              </a:cubicBezTo>
              <a:cubicBezTo>
                <a:pt x="4440201" y="6261788"/>
                <a:pt x="4455792" y="6277379"/>
                <a:pt x="4455792" y="6296606"/>
              </a:cubicBezTo>
              <a:cubicBezTo>
                <a:pt x="4455792" y="6315834"/>
                <a:pt x="4440201" y="6331425"/>
                <a:pt x="4420973" y="6331425"/>
              </a:cubicBezTo>
              <a:close/>
              <a:moveTo>
                <a:pt x="4505866" y="6331425"/>
              </a:moveTo>
              <a:cubicBezTo>
                <a:pt x="4486638" y="6331425"/>
                <a:pt x="4471047" y="6315834"/>
                <a:pt x="4471047" y="6296606"/>
              </a:cubicBezTo>
              <a:cubicBezTo>
                <a:pt x="4471047" y="6277379"/>
                <a:pt x="4486638" y="6261788"/>
                <a:pt x="4505866" y="6261788"/>
              </a:cubicBezTo>
              <a:cubicBezTo>
                <a:pt x="4525093" y="6261788"/>
                <a:pt x="4540684" y="6277379"/>
                <a:pt x="4540684" y="6296606"/>
              </a:cubicBezTo>
              <a:cubicBezTo>
                <a:pt x="4540684" y="6315834"/>
                <a:pt x="4525093" y="6331425"/>
                <a:pt x="4505866" y="6331425"/>
              </a:cubicBezTo>
              <a:close/>
              <a:moveTo>
                <a:pt x="4760543" y="6331425"/>
              </a:moveTo>
              <a:cubicBezTo>
                <a:pt x="4741316" y="6331425"/>
                <a:pt x="4725724" y="6315834"/>
                <a:pt x="4725724" y="6296606"/>
              </a:cubicBezTo>
              <a:cubicBezTo>
                <a:pt x="4725724" y="6277379"/>
                <a:pt x="4741316" y="6261788"/>
                <a:pt x="4760543" y="6261788"/>
              </a:cubicBezTo>
              <a:cubicBezTo>
                <a:pt x="4779771" y="6261788"/>
                <a:pt x="4795362" y="6277379"/>
                <a:pt x="4795362" y="6296606"/>
              </a:cubicBezTo>
              <a:cubicBezTo>
                <a:pt x="4795362" y="6315834"/>
                <a:pt x="4779771" y="6331425"/>
                <a:pt x="4760543" y="6331425"/>
              </a:cubicBezTo>
              <a:close/>
              <a:moveTo>
                <a:pt x="4930328" y="6331425"/>
              </a:moveTo>
              <a:cubicBezTo>
                <a:pt x="4911100" y="6331425"/>
                <a:pt x="4895509" y="6315834"/>
                <a:pt x="4895509" y="6296606"/>
              </a:cubicBezTo>
              <a:cubicBezTo>
                <a:pt x="4895509" y="6277379"/>
                <a:pt x="4911100" y="6261788"/>
                <a:pt x="4930328" y="6261788"/>
              </a:cubicBezTo>
              <a:cubicBezTo>
                <a:pt x="4949556" y="6261788"/>
                <a:pt x="4965147" y="6277379"/>
                <a:pt x="4965147" y="6296606"/>
              </a:cubicBezTo>
              <a:cubicBezTo>
                <a:pt x="4965147" y="6315834"/>
                <a:pt x="4949556" y="6331425"/>
                <a:pt x="4930328" y="6331425"/>
              </a:cubicBezTo>
              <a:close/>
              <a:moveTo>
                <a:pt x="5100113" y="6331425"/>
              </a:moveTo>
              <a:cubicBezTo>
                <a:pt x="5080886" y="6331425"/>
                <a:pt x="5065294" y="6315834"/>
                <a:pt x="5065294" y="6296606"/>
              </a:cubicBezTo>
              <a:cubicBezTo>
                <a:pt x="5065294" y="6277379"/>
                <a:pt x="5080886" y="6261788"/>
                <a:pt x="5100113" y="6261788"/>
              </a:cubicBezTo>
              <a:cubicBezTo>
                <a:pt x="5119341" y="6261788"/>
                <a:pt x="5134932" y="6277379"/>
                <a:pt x="5134932" y="6296606"/>
              </a:cubicBezTo>
              <a:cubicBezTo>
                <a:pt x="5134932" y="6315834"/>
                <a:pt x="5119341" y="6331425"/>
                <a:pt x="5100113" y="6331425"/>
              </a:cubicBezTo>
              <a:close/>
              <a:moveTo>
                <a:pt x="5185006" y="6331425"/>
              </a:moveTo>
              <a:cubicBezTo>
                <a:pt x="5165778" y="6331425"/>
                <a:pt x="5150187" y="6315834"/>
                <a:pt x="5150187" y="6296606"/>
              </a:cubicBezTo>
              <a:cubicBezTo>
                <a:pt x="5150187" y="6277379"/>
                <a:pt x="5165778" y="6261788"/>
                <a:pt x="5185006" y="6261788"/>
              </a:cubicBezTo>
              <a:cubicBezTo>
                <a:pt x="5204233" y="6261788"/>
                <a:pt x="5219824" y="6277379"/>
                <a:pt x="5219824" y="6296606"/>
              </a:cubicBezTo>
              <a:cubicBezTo>
                <a:pt x="5219824" y="6315834"/>
                <a:pt x="5204233" y="6331425"/>
                <a:pt x="5185006" y="6331425"/>
              </a:cubicBezTo>
              <a:close/>
              <a:moveTo>
                <a:pt x="5269898" y="6331425"/>
              </a:moveTo>
              <a:cubicBezTo>
                <a:pt x="5250670" y="6331425"/>
                <a:pt x="5235079" y="6315834"/>
                <a:pt x="5235079" y="6296606"/>
              </a:cubicBezTo>
              <a:cubicBezTo>
                <a:pt x="5235079" y="6277379"/>
                <a:pt x="5250670" y="6261788"/>
                <a:pt x="5269898" y="6261788"/>
              </a:cubicBezTo>
              <a:cubicBezTo>
                <a:pt x="5289126" y="6261788"/>
                <a:pt x="5304717" y="6277379"/>
                <a:pt x="5304717" y="6296606"/>
              </a:cubicBezTo>
              <a:cubicBezTo>
                <a:pt x="5304717" y="6315834"/>
                <a:pt x="5289126" y="6331425"/>
                <a:pt x="5269898" y="6331425"/>
              </a:cubicBezTo>
              <a:close/>
              <a:moveTo>
                <a:pt x="5354790" y="6331425"/>
              </a:moveTo>
              <a:cubicBezTo>
                <a:pt x="5335562" y="6331425"/>
                <a:pt x="5319971" y="6315834"/>
                <a:pt x="5319971" y="6296606"/>
              </a:cubicBezTo>
              <a:cubicBezTo>
                <a:pt x="5319971" y="6277379"/>
                <a:pt x="5335562" y="6261788"/>
                <a:pt x="5354790" y="6261788"/>
              </a:cubicBezTo>
              <a:cubicBezTo>
                <a:pt x="5374018" y="6261788"/>
                <a:pt x="5389609" y="6277379"/>
                <a:pt x="5389609" y="6296606"/>
              </a:cubicBezTo>
              <a:cubicBezTo>
                <a:pt x="5389609" y="6315834"/>
                <a:pt x="5374018" y="6331425"/>
                <a:pt x="5354790" y="6331425"/>
              </a:cubicBezTo>
              <a:close/>
              <a:moveTo>
                <a:pt x="5439683" y="6331425"/>
              </a:moveTo>
              <a:cubicBezTo>
                <a:pt x="5420456" y="6331425"/>
                <a:pt x="5404864" y="6315834"/>
                <a:pt x="5404864" y="6296606"/>
              </a:cubicBezTo>
              <a:cubicBezTo>
                <a:pt x="5404864" y="6277379"/>
                <a:pt x="5420456" y="6261788"/>
                <a:pt x="5439683" y="6261788"/>
              </a:cubicBezTo>
              <a:cubicBezTo>
                <a:pt x="5458911" y="6261788"/>
                <a:pt x="5474502" y="6277379"/>
                <a:pt x="5474502" y="6296606"/>
              </a:cubicBezTo>
              <a:cubicBezTo>
                <a:pt x="5474502" y="6315834"/>
                <a:pt x="5458911" y="6331425"/>
                <a:pt x="5439683" y="6331425"/>
              </a:cubicBezTo>
              <a:close/>
              <a:moveTo>
                <a:pt x="7052644" y="6331425"/>
              </a:moveTo>
              <a:cubicBezTo>
                <a:pt x="7033416" y="6331425"/>
                <a:pt x="7017818" y="6315834"/>
                <a:pt x="7017818" y="6296606"/>
              </a:cubicBezTo>
              <a:cubicBezTo>
                <a:pt x="7017818" y="6277379"/>
                <a:pt x="7033416" y="6261788"/>
                <a:pt x="7052644" y="6261788"/>
              </a:cubicBezTo>
              <a:cubicBezTo>
                <a:pt x="7071871" y="6261788"/>
                <a:pt x="7087456" y="6277379"/>
                <a:pt x="7087456" y="6296606"/>
              </a:cubicBezTo>
              <a:cubicBezTo>
                <a:pt x="7087456" y="6315834"/>
                <a:pt x="7071871" y="6331425"/>
                <a:pt x="7052644" y="6331425"/>
              </a:cubicBezTo>
              <a:close/>
              <a:moveTo>
                <a:pt x="7731784" y="6331425"/>
              </a:moveTo>
              <a:cubicBezTo>
                <a:pt x="7712556" y="6331425"/>
                <a:pt x="7696958" y="6315834"/>
                <a:pt x="7696958" y="6296606"/>
              </a:cubicBezTo>
              <a:cubicBezTo>
                <a:pt x="7696958" y="6277379"/>
                <a:pt x="7712556" y="6261788"/>
                <a:pt x="7731784" y="6261788"/>
              </a:cubicBezTo>
              <a:cubicBezTo>
                <a:pt x="7751011" y="6261788"/>
                <a:pt x="7766596" y="6277379"/>
                <a:pt x="7766596" y="6296606"/>
              </a:cubicBezTo>
              <a:cubicBezTo>
                <a:pt x="7766596" y="6315834"/>
                <a:pt x="7751011" y="6331425"/>
                <a:pt x="7731784" y="6331425"/>
              </a:cubicBezTo>
              <a:close/>
              <a:moveTo>
                <a:pt x="7816676" y="6331425"/>
              </a:moveTo>
              <a:cubicBezTo>
                <a:pt x="7797448" y="6331425"/>
                <a:pt x="7781850" y="6315834"/>
                <a:pt x="7781850" y="6296606"/>
              </a:cubicBezTo>
              <a:cubicBezTo>
                <a:pt x="7781850" y="6277379"/>
                <a:pt x="7797448" y="6261788"/>
                <a:pt x="7816676" y="6261788"/>
              </a:cubicBezTo>
              <a:cubicBezTo>
                <a:pt x="7835904" y="6261788"/>
                <a:pt x="7851488" y="6277379"/>
                <a:pt x="7851488" y="6296606"/>
              </a:cubicBezTo>
              <a:cubicBezTo>
                <a:pt x="7851488" y="6315834"/>
                <a:pt x="7835904" y="6331425"/>
                <a:pt x="7816676" y="6331425"/>
              </a:cubicBezTo>
              <a:close/>
              <a:moveTo>
                <a:pt x="9005170" y="6331425"/>
              </a:moveTo>
              <a:cubicBezTo>
                <a:pt x="8985943" y="6331425"/>
                <a:pt x="8970345" y="6315834"/>
                <a:pt x="8970345" y="6296606"/>
              </a:cubicBezTo>
              <a:cubicBezTo>
                <a:pt x="8970345" y="6277379"/>
                <a:pt x="8985943" y="6261788"/>
                <a:pt x="9005170" y="6261788"/>
              </a:cubicBezTo>
              <a:cubicBezTo>
                <a:pt x="9024398" y="6261788"/>
                <a:pt x="9039983" y="6277379"/>
                <a:pt x="9039983" y="6296606"/>
              </a:cubicBezTo>
              <a:cubicBezTo>
                <a:pt x="9039983" y="6315834"/>
                <a:pt x="9024398" y="6331425"/>
                <a:pt x="9005170" y="6331425"/>
              </a:cubicBezTo>
              <a:close/>
              <a:moveTo>
                <a:pt x="9174956" y="6331425"/>
              </a:moveTo>
              <a:cubicBezTo>
                <a:pt x="9155728" y="6331425"/>
                <a:pt x="9140130" y="6315834"/>
                <a:pt x="9140130" y="6296606"/>
              </a:cubicBezTo>
              <a:cubicBezTo>
                <a:pt x="9140130" y="6277379"/>
                <a:pt x="9155728" y="6261788"/>
                <a:pt x="9174956" y="6261788"/>
              </a:cubicBezTo>
              <a:cubicBezTo>
                <a:pt x="9194184" y="6261788"/>
                <a:pt x="9209768" y="6277379"/>
                <a:pt x="9209768" y="6296606"/>
              </a:cubicBezTo>
              <a:cubicBezTo>
                <a:pt x="9209768" y="6315834"/>
                <a:pt x="9194184" y="6331425"/>
                <a:pt x="9174956" y="6331425"/>
              </a:cubicBezTo>
              <a:close/>
              <a:moveTo>
                <a:pt x="3232478" y="6246565"/>
              </a:moveTo>
              <a:cubicBezTo>
                <a:pt x="3213250" y="6246565"/>
                <a:pt x="3197659" y="6230974"/>
                <a:pt x="3197659" y="6211747"/>
              </a:cubicBezTo>
              <a:cubicBezTo>
                <a:pt x="3197659" y="6192519"/>
                <a:pt x="3213250" y="6176928"/>
                <a:pt x="3232478" y="6176928"/>
              </a:cubicBezTo>
              <a:cubicBezTo>
                <a:pt x="3251706" y="6176928"/>
                <a:pt x="3267297" y="6192519"/>
                <a:pt x="3267297" y="6211747"/>
              </a:cubicBezTo>
              <a:cubicBezTo>
                <a:pt x="3267297" y="6230974"/>
                <a:pt x="3251706" y="6246565"/>
                <a:pt x="3232478" y="6246565"/>
              </a:cubicBezTo>
              <a:close/>
              <a:moveTo>
                <a:pt x="3317371" y="6246565"/>
              </a:moveTo>
              <a:cubicBezTo>
                <a:pt x="3298143" y="6246565"/>
                <a:pt x="3282552" y="6230974"/>
                <a:pt x="3282552" y="6211747"/>
              </a:cubicBezTo>
              <a:cubicBezTo>
                <a:pt x="3282552" y="6192519"/>
                <a:pt x="3298143" y="6176928"/>
                <a:pt x="3317371" y="6176928"/>
              </a:cubicBezTo>
              <a:cubicBezTo>
                <a:pt x="3336599" y="6176928"/>
                <a:pt x="3352190" y="6192519"/>
                <a:pt x="3352190" y="6211747"/>
              </a:cubicBezTo>
              <a:cubicBezTo>
                <a:pt x="3352190" y="6230974"/>
                <a:pt x="3336599" y="6246565"/>
                <a:pt x="3317371" y="6246565"/>
              </a:cubicBezTo>
              <a:close/>
              <a:moveTo>
                <a:pt x="3487156" y="6246565"/>
              </a:moveTo>
              <a:cubicBezTo>
                <a:pt x="3467928" y="6246565"/>
                <a:pt x="3452337" y="6230974"/>
                <a:pt x="3452337" y="6211747"/>
              </a:cubicBezTo>
              <a:cubicBezTo>
                <a:pt x="3452337" y="6192519"/>
                <a:pt x="3467928" y="6176928"/>
                <a:pt x="3487156" y="6176928"/>
              </a:cubicBezTo>
              <a:cubicBezTo>
                <a:pt x="3506383" y="6176928"/>
                <a:pt x="3521974" y="6192519"/>
                <a:pt x="3521974" y="6211747"/>
              </a:cubicBezTo>
              <a:cubicBezTo>
                <a:pt x="3521974" y="6230974"/>
                <a:pt x="3506383" y="6246565"/>
                <a:pt x="3487156" y="6246565"/>
              </a:cubicBezTo>
              <a:close/>
              <a:moveTo>
                <a:pt x="3741833" y="6246565"/>
              </a:moveTo>
              <a:cubicBezTo>
                <a:pt x="3722606" y="6246565"/>
                <a:pt x="3707014" y="6230974"/>
                <a:pt x="3707014" y="6211747"/>
              </a:cubicBezTo>
              <a:cubicBezTo>
                <a:pt x="3707014" y="6192519"/>
                <a:pt x="3722606" y="6176928"/>
                <a:pt x="3741833" y="6176928"/>
              </a:cubicBezTo>
              <a:cubicBezTo>
                <a:pt x="3761061" y="6176928"/>
                <a:pt x="3776652" y="6192519"/>
                <a:pt x="3776652" y="6211747"/>
              </a:cubicBezTo>
              <a:cubicBezTo>
                <a:pt x="3776652" y="6230974"/>
                <a:pt x="3761061" y="6246565"/>
                <a:pt x="3741833" y="6246565"/>
              </a:cubicBezTo>
              <a:close/>
              <a:moveTo>
                <a:pt x="3996511" y="6246565"/>
              </a:moveTo>
              <a:cubicBezTo>
                <a:pt x="3977283" y="6246565"/>
                <a:pt x="3961692" y="6230974"/>
                <a:pt x="3961692" y="6211747"/>
              </a:cubicBezTo>
              <a:cubicBezTo>
                <a:pt x="3961692" y="6192519"/>
                <a:pt x="3977283" y="6176928"/>
                <a:pt x="3996511" y="6176928"/>
              </a:cubicBezTo>
              <a:cubicBezTo>
                <a:pt x="4015739" y="6176928"/>
                <a:pt x="4031330" y="6192519"/>
                <a:pt x="4031330" y="6211747"/>
              </a:cubicBezTo>
              <a:cubicBezTo>
                <a:pt x="4031330" y="6230974"/>
                <a:pt x="4015739" y="6246565"/>
                <a:pt x="3996511" y="6246565"/>
              </a:cubicBezTo>
              <a:close/>
              <a:moveTo>
                <a:pt x="4166296" y="6246565"/>
              </a:moveTo>
              <a:cubicBezTo>
                <a:pt x="4147068" y="6246565"/>
                <a:pt x="4131477" y="6230974"/>
                <a:pt x="4131477" y="6211747"/>
              </a:cubicBezTo>
              <a:cubicBezTo>
                <a:pt x="4131477" y="6192519"/>
                <a:pt x="4147068" y="6176928"/>
                <a:pt x="4166296" y="6176928"/>
              </a:cubicBezTo>
              <a:cubicBezTo>
                <a:pt x="4185523" y="6176928"/>
                <a:pt x="4201114" y="6192519"/>
                <a:pt x="4201114" y="6211747"/>
              </a:cubicBezTo>
              <a:cubicBezTo>
                <a:pt x="4201114" y="6230974"/>
                <a:pt x="4185523" y="6246565"/>
                <a:pt x="4166296" y="6246565"/>
              </a:cubicBezTo>
              <a:close/>
              <a:moveTo>
                <a:pt x="4251188" y="6246565"/>
              </a:moveTo>
              <a:cubicBezTo>
                <a:pt x="4231960" y="6246565"/>
                <a:pt x="4216369" y="6230974"/>
                <a:pt x="4216369" y="6211747"/>
              </a:cubicBezTo>
              <a:cubicBezTo>
                <a:pt x="4216369" y="6192519"/>
                <a:pt x="4231960" y="6176928"/>
                <a:pt x="4251188" y="6176928"/>
              </a:cubicBezTo>
              <a:cubicBezTo>
                <a:pt x="4270416" y="6176928"/>
                <a:pt x="4286007" y="6192519"/>
                <a:pt x="4286007" y="6211747"/>
              </a:cubicBezTo>
              <a:cubicBezTo>
                <a:pt x="4286007" y="6230974"/>
                <a:pt x="4270416" y="6246565"/>
                <a:pt x="4251188" y="6246565"/>
              </a:cubicBezTo>
              <a:close/>
              <a:moveTo>
                <a:pt x="4336080" y="6246565"/>
              </a:moveTo>
              <a:cubicBezTo>
                <a:pt x="4316852" y="6246565"/>
                <a:pt x="4301261" y="6230974"/>
                <a:pt x="4301261" y="6211747"/>
              </a:cubicBezTo>
              <a:cubicBezTo>
                <a:pt x="4301261" y="6192519"/>
                <a:pt x="4316852" y="6176928"/>
                <a:pt x="4336080" y="6176928"/>
              </a:cubicBezTo>
              <a:cubicBezTo>
                <a:pt x="4355308" y="6176928"/>
                <a:pt x="4370899" y="6192519"/>
                <a:pt x="4370899" y="6211747"/>
              </a:cubicBezTo>
              <a:cubicBezTo>
                <a:pt x="4370899" y="6230974"/>
                <a:pt x="4355308" y="6246565"/>
                <a:pt x="4336080" y="6246565"/>
              </a:cubicBezTo>
              <a:close/>
              <a:moveTo>
                <a:pt x="4420973" y="6246565"/>
              </a:moveTo>
              <a:cubicBezTo>
                <a:pt x="4401746" y="6246565"/>
                <a:pt x="4386154" y="6230974"/>
                <a:pt x="4386154" y="6211747"/>
              </a:cubicBezTo>
              <a:cubicBezTo>
                <a:pt x="4386154" y="6192519"/>
                <a:pt x="4401746" y="6176928"/>
                <a:pt x="4420973" y="6176928"/>
              </a:cubicBezTo>
              <a:cubicBezTo>
                <a:pt x="4440201" y="6176928"/>
                <a:pt x="4455792" y="6192519"/>
                <a:pt x="4455792" y="6211747"/>
              </a:cubicBezTo>
              <a:cubicBezTo>
                <a:pt x="4455792" y="6230974"/>
                <a:pt x="4440201" y="6246565"/>
                <a:pt x="4420973" y="6246565"/>
              </a:cubicBezTo>
              <a:close/>
              <a:moveTo>
                <a:pt x="4590758" y="6246565"/>
              </a:moveTo>
              <a:cubicBezTo>
                <a:pt x="4571530" y="6246565"/>
                <a:pt x="4555939" y="6230974"/>
                <a:pt x="4555939" y="6211747"/>
              </a:cubicBezTo>
              <a:cubicBezTo>
                <a:pt x="4555939" y="6192519"/>
                <a:pt x="4571530" y="6176928"/>
                <a:pt x="4590758" y="6176928"/>
              </a:cubicBezTo>
              <a:cubicBezTo>
                <a:pt x="4609986" y="6176928"/>
                <a:pt x="4625577" y="6192519"/>
                <a:pt x="4625577" y="6211747"/>
              </a:cubicBezTo>
              <a:cubicBezTo>
                <a:pt x="4625577" y="6230974"/>
                <a:pt x="4609986" y="6246565"/>
                <a:pt x="4590758" y="6246565"/>
              </a:cubicBezTo>
              <a:close/>
              <a:moveTo>
                <a:pt x="4675650" y="6246565"/>
              </a:moveTo>
              <a:cubicBezTo>
                <a:pt x="4656422" y="6246565"/>
                <a:pt x="4640831" y="6230974"/>
                <a:pt x="4640831" y="6211747"/>
              </a:cubicBezTo>
              <a:cubicBezTo>
                <a:pt x="4640831" y="6192519"/>
                <a:pt x="4656422" y="6176928"/>
                <a:pt x="4675650" y="6176928"/>
              </a:cubicBezTo>
              <a:cubicBezTo>
                <a:pt x="4694878" y="6176928"/>
                <a:pt x="4710469" y="6192519"/>
                <a:pt x="4710469" y="6211747"/>
              </a:cubicBezTo>
              <a:cubicBezTo>
                <a:pt x="4710469" y="6230974"/>
                <a:pt x="4694878" y="6246565"/>
                <a:pt x="4675650" y="6246565"/>
              </a:cubicBezTo>
              <a:close/>
              <a:moveTo>
                <a:pt x="4760543" y="6246565"/>
              </a:moveTo>
              <a:cubicBezTo>
                <a:pt x="4741316" y="6246565"/>
                <a:pt x="4725724" y="6230974"/>
                <a:pt x="4725724" y="6211747"/>
              </a:cubicBezTo>
              <a:cubicBezTo>
                <a:pt x="4725724" y="6192519"/>
                <a:pt x="4741316" y="6176928"/>
                <a:pt x="4760543" y="6176928"/>
              </a:cubicBezTo>
              <a:cubicBezTo>
                <a:pt x="4779771" y="6176928"/>
                <a:pt x="4795362" y="6192519"/>
                <a:pt x="4795362" y="6211747"/>
              </a:cubicBezTo>
              <a:cubicBezTo>
                <a:pt x="4795362" y="6230974"/>
                <a:pt x="4779771" y="6246565"/>
                <a:pt x="4760543" y="6246565"/>
              </a:cubicBezTo>
              <a:close/>
              <a:moveTo>
                <a:pt x="4845436" y="6246565"/>
              </a:moveTo>
              <a:cubicBezTo>
                <a:pt x="4826208" y="6246565"/>
                <a:pt x="4810617" y="6230974"/>
                <a:pt x="4810617" y="6211747"/>
              </a:cubicBezTo>
              <a:cubicBezTo>
                <a:pt x="4810617" y="6192519"/>
                <a:pt x="4826208" y="6176928"/>
                <a:pt x="4845436" y="6176928"/>
              </a:cubicBezTo>
              <a:cubicBezTo>
                <a:pt x="4864663" y="6176928"/>
                <a:pt x="4880254" y="6192519"/>
                <a:pt x="4880254" y="6211747"/>
              </a:cubicBezTo>
              <a:cubicBezTo>
                <a:pt x="4880254" y="6230974"/>
                <a:pt x="4864663" y="6246565"/>
                <a:pt x="4845436" y="6246565"/>
              </a:cubicBezTo>
              <a:close/>
              <a:moveTo>
                <a:pt x="4930328" y="6246565"/>
              </a:moveTo>
              <a:cubicBezTo>
                <a:pt x="4911100" y="6246565"/>
                <a:pt x="4895509" y="6230974"/>
                <a:pt x="4895509" y="6211747"/>
              </a:cubicBezTo>
              <a:cubicBezTo>
                <a:pt x="4895509" y="6192519"/>
                <a:pt x="4911100" y="6176928"/>
                <a:pt x="4930328" y="6176928"/>
              </a:cubicBezTo>
              <a:cubicBezTo>
                <a:pt x="4949556" y="6176928"/>
                <a:pt x="4965147" y="6192519"/>
                <a:pt x="4965147" y="6211747"/>
              </a:cubicBezTo>
              <a:cubicBezTo>
                <a:pt x="4965147" y="6230974"/>
                <a:pt x="4949556" y="6246565"/>
                <a:pt x="4930328" y="6246565"/>
              </a:cubicBezTo>
              <a:close/>
              <a:moveTo>
                <a:pt x="5015220" y="6246565"/>
              </a:moveTo>
              <a:cubicBezTo>
                <a:pt x="4995992" y="6246565"/>
                <a:pt x="4980401" y="6230974"/>
                <a:pt x="4980401" y="6211747"/>
              </a:cubicBezTo>
              <a:cubicBezTo>
                <a:pt x="4980401" y="6192519"/>
                <a:pt x="4995992" y="6176928"/>
                <a:pt x="5015220" y="6176928"/>
              </a:cubicBezTo>
              <a:cubicBezTo>
                <a:pt x="5034448" y="6176928"/>
                <a:pt x="5050039" y="6192519"/>
                <a:pt x="5050039" y="6211747"/>
              </a:cubicBezTo>
              <a:cubicBezTo>
                <a:pt x="5050039" y="6230974"/>
                <a:pt x="5034448" y="6246565"/>
                <a:pt x="5015220" y="6246565"/>
              </a:cubicBezTo>
              <a:close/>
              <a:moveTo>
                <a:pt x="5100113" y="6246565"/>
              </a:moveTo>
              <a:cubicBezTo>
                <a:pt x="5080886" y="6246565"/>
                <a:pt x="5065294" y="6230974"/>
                <a:pt x="5065294" y="6211747"/>
              </a:cubicBezTo>
              <a:cubicBezTo>
                <a:pt x="5065294" y="6192519"/>
                <a:pt x="5080886" y="6176928"/>
                <a:pt x="5100113" y="6176928"/>
              </a:cubicBezTo>
              <a:cubicBezTo>
                <a:pt x="5119341" y="6176928"/>
                <a:pt x="5134932" y="6192519"/>
                <a:pt x="5134932" y="6211747"/>
              </a:cubicBezTo>
              <a:cubicBezTo>
                <a:pt x="5134932" y="6230974"/>
                <a:pt x="5119341" y="6246565"/>
                <a:pt x="5100113" y="6246565"/>
              </a:cubicBezTo>
              <a:close/>
              <a:moveTo>
                <a:pt x="5185006" y="6246565"/>
              </a:moveTo>
              <a:cubicBezTo>
                <a:pt x="5165778" y="6246565"/>
                <a:pt x="5150187" y="6230974"/>
                <a:pt x="5150187" y="6211747"/>
              </a:cubicBezTo>
              <a:cubicBezTo>
                <a:pt x="5150187" y="6192519"/>
                <a:pt x="5165778" y="6176928"/>
                <a:pt x="5185006" y="6176928"/>
              </a:cubicBezTo>
              <a:cubicBezTo>
                <a:pt x="5204233" y="6176928"/>
                <a:pt x="5219824" y="6192519"/>
                <a:pt x="5219824" y="6211747"/>
              </a:cubicBezTo>
              <a:cubicBezTo>
                <a:pt x="5219824" y="6230974"/>
                <a:pt x="5204233" y="6246565"/>
                <a:pt x="5185006" y="6246565"/>
              </a:cubicBezTo>
              <a:close/>
              <a:moveTo>
                <a:pt x="5269898" y="6246565"/>
              </a:moveTo>
              <a:cubicBezTo>
                <a:pt x="5250670" y="6246565"/>
                <a:pt x="5235079" y="6230974"/>
                <a:pt x="5235079" y="6211747"/>
              </a:cubicBezTo>
              <a:cubicBezTo>
                <a:pt x="5235079" y="6192519"/>
                <a:pt x="5250670" y="6176928"/>
                <a:pt x="5269898" y="6176928"/>
              </a:cubicBezTo>
              <a:cubicBezTo>
                <a:pt x="5289126" y="6176928"/>
                <a:pt x="5304717" y="6192519"/>
                <a:pt x="5304717" y="6211747"/>
              </a:cubicBezTo>
              <a:cubicBezTo>
                <a:pt x="5304717" y="6230974"/>
                <a:pt x="5289126" y="6246565"/>
                <a:pt x="5269898" y="6246565"/>
              </a:cubicBezTo>
              <a:close/>
              <a:moveTo>
                <a:pt x="5354790" y="6246565"/>
              </a:moveTo>
              <a:cubicBezTo>
                <a:pt x="5335562" y="6246565"/>
                <a:pt x="5319971" y="6230974"/>
                <a:pt x="5319971" y="6211747"/>
              </a:cubicBezTo>
              <a:cubicBezTo>
                <a:pt x="5319971" y="6192519"/>
                <a:pt x="5335562" y="6176928"/>
                <a:pt x="5354790" y="6176928"/>
              </a:cubicBezTo>
              <a:cubicBezTo>
                <a:pt x="5374018" y="6176928"/>
                <a:pt x="5389609" y="6192519"/>
                <a:pt x="5389609" y="6211747"/>
              </a:cubicBezTo>
              <a:cubicBezTo>
                <a:pt x="5389609" y="6230974"/>
                <a:pt x="5374018" y="6246565"/>
                <a:pt x="5354790" y="6246565"/>
              </a:cubicBezTo>
              <a:close/>
              <a:moveTo>
                <a:pt x="6967750" y="6246565"/>
              </a:moveTo>
              <a:cubicBezTo>
                <a:pt x="6948523" y="6246565"/>
                <a:pt x="6932925" y="6230974"/>
                <a:pt x="6932925" y="6211747"/>
              </a:cubicBezTo>
              <a:cubicBezTo>
                <a:pt x="6932925" y="6192519"/>
                <a:pt x="6948523" y="6176928"/>
                <a:pt x="6967750" y="6176928"/>
              </a:cubicBezTo>
              <a:cubicBezTo>
                <a:pt x="6986978" y="6176928"/>
                <a:pt x="7002563" y="6192519"/>
                <a:pt x="7002563" y="6211747"/>
              </a:cubicBezTo>
              <a:cubicBezTo>
                <a:pt x="7002563" y="6230974"/>
                <a:pt x="6986978" y="6246565"/>
                <a:pt x="6967750" y="6246565"/>
              </a:cubicBezTo>
              <a:close/>
              <a:moveTo>
                <a:pt x="7986460" y="6246565"/>
              </a:moveTo>
              <a:cubicBezTo>
                <a:pt x="7967233" y="6246565"/>
                <a:pt x="7951635" y="6230974"/>
                <a:pt x="7951635" y="6211747"/>
              </a:cubicBezTo>
              <a:cubicBezTo>
                <a:pt x="7951635" y="6192519"/>
                <a:pt x="7967233" y="6176928"/>
                <a:pt x="7986460" y="6176928"/>
              </a:cubicBezTo>
              <a:cubicBezTo>
                <a:pt x="8005688" y="6176928"/>
                <a:pt x="8021273" y="6192519"/>
                <a:pt x="8021273" y="6211747"/>
              </a:cubicBezTo>
              <a:cubicBezTo>
                <a:pt x="8021273" y="6230974"/>
                <a:pt x="8005688" y="6246565"/>
                <a:pt x="7986460" y="6246565"/>
              </a:cubicBezTo>
              <a:close/>
              <a:moveTo>
                <a:pt x="8920278" y="6246565"/>
              </a:moveTo>
              <a:cubicBezTo>
                <a:pt x="8901050" y="6246565"/>
                <a:pt x="8885453" y="6230974"/>
                <a:pt x="8885453" y="6211747"/>
              </a:cubicBezTo>
              <a:cubicBezTo>
                <a:pt x="8885453" y="6192519"/>
                <a:pt x="8901050" y="6176928"/>
                <a:pt x="8920278" y="6176928"/>
              </a:cubicBezTo>
              <a:cubicBezTo>
                <a:pt x="8939506" y="6176928"/>
                <a:pt x="8955090" y="6192519"/>
                <a:pt x="8955090" y="6211747"/>
              </a:cubicBezTo>
              <a:cubicBezTo>
                <a:pt x="8955090" y="6230974"/>
                <a:pt x="8939506" y="6246565"/>
                <a:pt x="8920278" y="6246565"/>
              </a:cubicBezTo>
              <a:close/>
              <a:moveTo>
                <a:pt x="9005170" y="6246565"/>
              </a:moveTo>
              <a:cubicBezTo>
                <a:pt x="8985943" y="6246565"/>
                <a:pt x="8970345" y="6230974"/>
                <a:pt x="8970345" y="6211747"/>
              </a:cubicBezTo>
              <a:cubicBezTo>
                <a:pt x="8970345" y="6192519"/>
                <a:pt x="8985943" y="6176928"/>
                <a:pt x="9005170" y="6176928"/>
              </a:cubicBezTo>
              <a:cubicBezTo>
                <a:pt x="9024398" y="6176928"/>
                <a:pt x="9039983" y="6192519"/>
                <a:pt x="9039983" y="6211747"/>
              </a:cubicBezTo>
              <a:cubicBezTo>
                <a:pt x="9039983" y="6230974"/>
                <a:pt x="9024398" y="6246565"/>
                <a:pt x="9005170" y="6246565"/>
              </a:cubicBezTo>
              <a:close/>
              <a:moveTo>
                <a:pt x="3147586" y="6161706"/>
              </a:moveTo>
              <a:cubicBezTo>
                <a:pt x="3128358" y="6161706"/>
                <a:pt x="3112767" y="6146115"/>
                <a:pt x="3112767" y="6126887"/>
              </a:cubicBezTo>
              <a:cubicBezTo>
                <a:pt x="3112767" y="6107659"/>
                <a:pt x="3128358" y="6092068"/>
                <a:pt x="3147586" y="6092068"/>
              </a:cubicBezTo>
              <a:cubicBezTo>
                <a:pt x="3166813" y="6092068"/>
                <a:pt x="3182404" y="6107659"/>
                <a:pt x="3182404" y="6126887"/>
              </a:cubicBezTo>
              <a:cubicBezTo>
                <a:pt x="3182404" y="6146115"/>
                <a:pt x="3166813" y="6161706"/>
                <a:pt x="3147586" y="6161706"/>
              </a:cubicBezTo>
              <a:close/>
              <a:moveTo>
                <a:pt x="3826726" y="6161706"/>
              </a:moveTo>
              <a:cubicBezTo>
                <a:pt x="3807498" y="6161706"/>
                <a:pt x="3791907" y="6146115"/>
                <a:pt x="3791907" y="6126887"/>
              </a:cubicBezTo>
              <a:cubicBezTo>
                <a:pt x="3791907" y="6107659"/>
                <a:pt x="3807498" y="6092068"/>
                <a:pt x="3826726" y="6092068"/>
              </a:cubicBezTo>
              <a:cubicBezTo>
                <a:pt x="3845953" y="6092068"/>
                <a:pt x="3861544" y="6107659"/>
                <a:pt x="3861544" y="6126887"/>
              </a:cubicBezTo>
              <a:cubicBezTo>
                <a:pt x="3861544" y="6146115"/>
                <a:pt x="3845953" y="6161706"/>
                <a:pt x="3826726" y="6161706"/>
              </a:cubicBezTo>
              <a:close/>
              <a:moveTo>
                <a:pt x="4081403" y="6161706"/>
              </a:moveTo>
              <a:cubicBezTo>
                <a:pt x="4062176" y="6161706"/>
                <a:pt x="4046584" y="6146115"/>
                <a:pt x="4046584" y="6126887"/>
              </a:cubicBezTo>
              <a:cubicBezTo>
                <a:pt x="4046584" y="6107659"/>
                <a:pt x="4062176" y="6092068"/>
                <a:pt x="4081403" y="6092068"/>
              </a:cubicBezTo>
              <a:cubicBezTo>
                <a:pt x="4100631" y="6092068"/>
                <a:pt x="4116222" y="6107659"/>
                <a:pt x="4116222" y="6126887"/>
              </a:cubicBezTo>
              <a:cubicBezTo>
                <a:pt x="4116222" y="6146115"/>
                <a:pt x="4100631" y="6161706"/>
                <a:pt x="4081403" y="6161706"/>
              </a:cubicBezTo>
              <a:close/>
              <a:moveTo>
                <a:pt x="4166296" y="6161706"/>
              </a:moveTo>
              <a:cubicBezTo>
                <a:pt x="4147068" y="6161706"/>
                <a:pt x="4131477" y="6146115"/>
                <a:pt x="4131477" y="6126887"/>
              </a:cubicBezTo>
              <a:cubicBezTo>
                <a:pt x="4131477" y="6107659"/>
                <a:pt x="4147068" y="6092068"/>
                <a:pt x="4166296" y="6092068"/>
              </a:cubicBezTo>
              <a:cubicBezTo>
                <a:pt x="4185523" y="6092068"/>
                <a:pt x="4201114" y="6107659"/>
                <a:pt x="4201114" y="6126887"/>
              </a:cubicBezTo>
              <a:cubicBezTo>
                <a:pt x="4201114" y="6146115"/>
                <a:pt x="4185523" y="6161706"/>
                <a:pt x="4166296" y="6161706"/>
              </a:cubicBezTo>
              <a:close/>
              <a:moveTo>
                <a:pt x="4251188" y="6161706"/>
              </a:moveTo>
              <a:cubicBezTo>
                <a:pt x="4231960" y="6161706"/>
                <a:pt x="4216369" y="6146115"/>
                <a:pt x="4216369" y="6126887"/>
              </a:cubicBezTo>
              <a:cubicBezTo>
                <a:pt x="4216369" y="6107659"/>
                <a:pt x="4231960" y="6092068"/>
                <a:pt x="4251188" y="6092068"/>
              </a:cubicBezTo>
              <a:cubicBezTo>
                <a:pt x="4270416" y="6092068"/>
                <a:pt x="4286007" y="6107659"/>
                <a:pt x="4286007" y="6126887"/>
              </a:cubicBezTo>
              <a:cubicBezTo>
                <a:pt x="4286007" y="6146115"/>
                <a:pt x="4270416" y="6161706"/>
                <a:pt x="4251188" y="6161706"/>
              </a:cubicBezTo>
              <a:close/>
              <a:moveTo>
                <a:pt x="4590758" y="6161706"/>
              </a:moveTo>
              <a:cubicBezTo>
                <a:pt x="4571530" y="6161706"/>
                <a:pt x="4555939" y="6146115"/>
                <a:pt x="4555939" y="6126887"/>
              </a:cubicBezTo>
              <a:cubicBezTo>
                <a:pt x="4555939" y="6107659"/>
                <a:pt x="4571530" y="6092068"/>
                <a:pt x="4590758" y="6092068"/>
              </a:cubicBezTo>
              <a:cubicBezTo>
                <a:pt x="4609986" y="6092068"/>
                <a:pt x="4625577" y="6107659"/>
                <a:pt x="4625577" y="6126887"/>
              </a:cubicBezTo>
              <a:cubicBezTo>
                <a:pt x="4625577" y="6146115"/>
                <a:pt x="4609986" y="6161706"/>
                <a:pt x="4590758" y="6161706"/>
              </a:cubicBezTo>
              <a:close/>
              <a:moveTo>
                <a:pt x="4675650" y="6161706"/>
              </a:moveTo>
              <a:cubicBezTo>
                <a:pt x="4656422" y="6161706"/>
                <a:pt x="4640831" y="6146115"/>
                <a:pt x="4640831" y="6126887"/>
              </a:cubicBezTo>
              <a:cubicBezTo>
                <a:pt x="4640831" y="6107659"/>
                <a:pt x="4656422" y="6092068"/>
                <a:pt x="4675650" y="6092068"/>
              </a:cubicBezTo>
              <a:cubicBezTo>
                <a:pt x="4694878" y="6092068"/>
                <a:pt x="4710469" y="6107659"/>
                <a:pt x="4710469" y="6126887"/>
              </a:cubicBezTo>
              <a:cubicBezTo>
                <a:pt x="4710469" y="6146115"/>
                <a:pt x="4694878" y="6161706"/>
                <a:pt x="4675650" y="6161706"/>
              </a:cubicBezTo>
              <a:close/>
              <a:moveTo>
                <a:pt x="4760543" y="6161706"/>
              </a:moveTo>
              <a:cubicBezTo>
                <a:pt x="4741316" y="6161706"/>
                <a:pt x="4725724" y="6146115"/>
                <a:pt x="4725724" y="6126887"/>
              </a:cubicBezTo>
              <a:cubicBezTo>
                <a:pt x="4725724" y="6107659"/>
                <a:pt x="4741316" y="6092068"/>
                <a:pt x="4760543" y="6092068"/>
              </a:cubicBezTo>
              <a:cubicBezTo>
                <a:pt x="4779771" y="6092068"/>
                <a:pt x="4795362" y="6107659"/>
                <a:pt x="4795362" y="6126887"/>
              </a:cubicBezTo>
              <a:cubicBezTo>
                <a:pt x="4795362" y="6146115"/>
                <a:pt x="4779771" y="6161706"/>
                <a:pt x="4760543" y="6161706"/>
              </a:cubicBezTo>
              <a:close/>
              <a:moveTo>
                <a:pt x="4845436" y="6161706"/>
              </a:moveTo>
              <a:cubicBezTo>
                <a:pt x="4826208" y="6161706"/>
                <a:pt x="4810617" y="6146115"/>
                <a:pt x="4810617" y="6126887"/>
              </a:cubicBezTo>
              <a:cubicBezTo>
                <a:pt x="4810617" y="6107659"/>
                <a:pt x="4826208" y="6092068"/>
                <a:pt x="4845436" y="6092068"/>
              </a:cubicBezTo>
              <a:cubicBezTo>
                <a:pt x="4864663" y="6092068"/>
                <a:pt x="4880254" y="6107659"/>
                <a:pt x="4880254" y="6126887"/>
              </a:cubicBezTo>
              <a:cubicBezTo>
                <a:pt x="4880254" y="6146115"/>
                <a:pt x="4864663" y="6161706"/>
                <a:pt x="4845436" y="6161706"/>
              </a:cubicBezTo>
              <a:close/>
              <a:moveTo>
                <a:pt x="4930328" y="6161706"/>
              </a:moveTo>
              <a:cubicBezTo>
                <a:pt x="4911100" y="6161706"/>
                <a:pt x="4895509" y="6146115"/>
                <a:pt x="4895509" y="6126887"/>
              </a:cubicBezTo>
              <a:cubicBezTo>
                <a:pt x="4895509" y="6107659"/>
                <a:pt x="4911100" y="6092068"/>
                <a:pt x="4930328" y="6092068"/>
              </a:cubicBezTo>
              <a:cubicBezTo>
                <a:pt x="4949556" y="6092068"/>
                <a:pt x="4965147" y="6107659"/>
                <a:pt x="4965147" y="6126887"/>
              </a:cubicBezTo>
              <a:cubicBezTo>
                <a:pt x="4965147" y="6146115"/>
                <a:pt x="4949556" y="6161706"/>
                <a:pt x="4930328" y="6161706"/>
              </a:cubicBezTo>
              <a:close/>
              <a:moveTo>
                <a:pt x="5015220" y="6161706"/>
              </a:moveTo>
              <a:cubicBezTo>
                <a:pt x="4995992" y="6161706"/>
                <a:pt x="4980401" y="6146115"/>
                <a:pt x="4980401" y="6126887"/>
              </a:cubicBezTo>
              <a:cubicBezTo>
                <a:pt x="4980401" y="6107659"/>
                <a:pt x="4995992" y="6092068"/>
                <a:pt x="5015220" y="6092068"/>
              </a:cubicBezTo>
              <a:cubicBezTo>
                <a:pt x="5034448" y="6092068"/>
                <a:pt x="5050039" y="6107659"/>
                <a:pt x="5050039" y="6126887"/>
              </a:cubicBezTo>
              <a:cubicBezTo>
                <a:pt x="5050039" y="6146115"/>
                <a:pt x="5034448" y="6161706"/>
                <a:pt x="5015220" y="6161706"/>
              </a:cubicBezTo>
              <a:close/>
              <a:moveTo>
                <a:pt x="5100113" y="6161706"/>
              </a:moveTo>
              <a:cubicBezTo>
                <a:pt x="5080886" y="6161706"/>
                <a:pt x="5065294" y="6146115"/>
                <a:pt x="5065294" y="6126887"/>
              </a:cubicBezTo>
              <a:cubicBezTo>
                <a:pt x="5065294" y="6107659"/>
                <a:pt x="5080886" y="6092068"/>
                <a:pt x="5100113" y="6092068"/>
              </a:cubicBezTo>
              <a:cubicBezTo>
                <a:pt x="5119341" y="6092068"/>
                <a:pt x="5134932" y="6107659"/>
                <a:pt x="5134932" y="6126887"/>
              </a:cubicBezTo>
              <a:cubicBezTo>
                <a:pt x="5134932" y="6146115"/>
                <a:pt x="5119341" y="6161706"/>
                <a:pt x="5100113" y="6161706"/>
              </a:cubicBezTo>
              <a:close/>
              <a:moveTo>
                <a:pt x="5185006" y="6161706"/>
              </a:moveTo>
              <a:cubicBezTo>
                <a:pt x="5165778" y="6161706"/>
                <a:pt x="5150187" y="6146115"/>
                <a:pt x="5150187" y="6126887"/>
              </a:cubicBezTo>
              <a:cubicBezTo>
                <a:pt x="5150187" y="6107659"/>
                <a:pt x="5165778" y="6092068"/>
                <a:pt x="5185006" y="6092068"/>
              </a:cubicBezTo>
              <a:cubicBezTo>
                <a:pt x="5204233" y="6092068"/>
                <a:pt x="5219824" y="6107659"/>
                <a:pt x="5219824" y="6126887"/>
              </a:cubicBezTo>
              <a:cubicBezTo>
                <a:pt x="5219824" y="6146115"/>
                <a:pt x="5204233" y="6161706"/>
                <a:pt x="5185006" y="6161706"/>
              </a:cubicBezTo>
              <a:close/>
              <a:moveTo>
                <a:pt x="5269898" y="6161706"/>
              </a:moveTo>
              <a:cubicBezTo>
                <a:pt x="5250670" y="6161706"/>
                <a:pt x="5235079" y="6146115"/>
                <a:pt x="5235079" y="6126887"/>
              </a:cubicBezTo>
              <a:cubicBezTo>
                <a:pt x="5235079" y="6107659"/>
                <a:pt x="5250670" y="6092068"/>
                <a:pt x="5269898" y="6092068"/>
              </a:cubicBezTo>
              <a:cubicBezTo>
                <a:pt x="5289126" y="6092068"/>
                <a:pt x="5304717" y="6107659"/>
                <a:pt x="5304717" y="6126887"/>
              </a:cubicBezTo>
              <a:cubicBezTo>
                <a:pt x="5304717" y="6146115"/>
                <a:pt x="5289126" y="6161706"/>
                <a:pt x="5269898" y="6161706"/>
              </a:cubicBezTo>
              <a:close/>
              <a:moveTo>
                <a:pt x="5354790" y="6161706"/>
              </a:moveTo>
              <a:cubicBezTo>
                <a:pt x="5335562" y="6161706"/>
                <a:pt x="5319971" y="6146115"/>
                <a:pt x="5319971" y="6126887"/>
              </a:cubicBezTo>
              <a:cubicBezTo>
                <a:pt x="5319971" y="6107659"/>
                <a:pt x="5335562" y="6092068"/>
                <a:pt x="5354790" y="6092068"/>
              </a:cubicBezTo>
              <a:cubicBezTo>
                <a:pt x="5374018" y="6092068"/>
                <a:pt x="5389609" y="6107659"/>
                <a:pt x="5389609" y="6126887"/>
              </a:cubicBezTo>
              <a:cubicBezTo>
                <a:pt x="5389609" y="6146115"/>
                <a:pt x="5374018" y="6161706"/>
                <a:pt x="5354790" y="6161706"/>
              </a:cubicBezTo>
              <a:close/>
              <a:moveTo>
                <a:pt x="5439683" y="6161706"/>
              </a:moveTo>
              <a:cubicBezTo>
                <a:pt x="5420456" y="6161706"/>
                <a:pt x="5404864" y="6146115"/>
                <a:pt x="5404864" y="6126887"/>
              </a:cubicBezTo>
              <a:cubicBezTo>
                <a:pt x="5404864" y="6107659"/>
                <a:pt x="5420456" y="6092068"/>
                <a:pt x="5439683" y="6092068"/>
              </a:cubicBezTo>
              <a:cubicBezTo>
                <a:pt x="5458911" y="6092068"/>
                <a:pt x="5474502" y="6107659"/>
                <a:pt x="5474502" y="6126887"/>
              </a:cubicBezTo>
              <a:cubicBezTo>
                <a:pt x="5474502" y="6146115"/>
                <a:pt x="5458911" y="6161706"/>
                <a:pt x="5439683" y="6161706"/>
              </a:cubicBezTo>
              <a:close/>
              <a:moveTo>
                <a:pt x="5524576" y="6161706"/>
              </a:moveTo>
              <a:cubicBezTo>
                <a:pt x="5505348" y="6161706"/>
                <a:pt x="5489757" y="6146115"/>
                <a:pt x="5489757" y="6126887"/>
              </a:cubicBezTo>
              <a:cubicBezTo>
                <a:pt x="5489757" y="6107659"/>
                <a:pt x="5505348" y="6092068"/>
                <a:pt x="5524576" y="6092068"/>
              </a:cubicBezTo>
              <a:cubicBezTo>
                <a:pt x="5543803" y="6092068"/>
                <a:pt x="5559394" y="6107659"/>
                <a:pt x="5559394" y="6126887"/>
              </a:cubicBezTo>
              <a:cubicBezTo>
                <a:pt x="5559394" y="6146115"/>
                <a:pt x="5543803" y="6161706"/>
                <a:pt x="5524576" y="6161706"/>
              </a:cubicBezTo>
              <a:close/>
              <a:moveTo>
                <a:pt x="6797966" y="6161706"/>
              </a:moveTo>
              <a:cubicBezTo>
                <a:pt x="6778738" y="6161706"/>
                <a:pt x="6763140" y="6146115"/>
                <a:pt x="6763140" y="6126887"/>
              </a:cubicBezTo>
              <a:cubicBezTo>
                <a:pt x="6763140" y="6107659"/>
                <a:pt x="6778738" y="6092068"/>
                <a:pt x="6797966" y="6092068"/>
              </a:cubicBezTo>
              <a:cubicBezTo>
                <a:pt x="6817194" y="6092068"/>
                <a:pt x="6832778" y="6107659"/>
                <a:pt x="6832778" y="6126887"/>
              </a:cubicBezTo>
              <a:cubicBezTo>
                <a:pt x="6832778" y="6146115"/>
                <a:pt x="6817194" y="6161706"/>
                <a:pt x="6797966" y="6161706"/>
              </a:cubicBezTo>
              <a:close/>
              <a:moveTo>
                <a:pt x="6967750" y="6161706"/>
              </a:moveTo>
              <a:cubicBezTo>
                <a:pt x="6948523" y="6161706"/>
                <a:pt x="6932925" y="6146115"/>
                <a:pt x="6932925" y="6126887"/>
              </a:cubicBezTo>
              <a:cubicBezTo>
                <a:pt x="6932925" y="6107659"/>
                <a:pt x="6948523" y="6092068"/>
                <a:pt x="6967750" y="6092068"/>
              </a:cubicBezTo>
              <a:cubicBezTo>
                <a:pt x="6986978" y="6092068"/>
                <a:pt x="7002563" y="6107659"/>
                <a:pt x="7002563" y="6126887"/>
              </a:cubicBezTo>
              <a:cubicBezTo>
                <a:pt x="7002563" y="6146115"/>
                <a:pt x="6986978" y="6161706"/>
                <a:pt x="6967750" y="6161706"/>
              </a:cubicBezTo>
              <a:close/>
              <a:moveTo>
                <a:pt x="8071353" y="6161706"/>
              </a:moveTo>
              <a:cubicBezTo>
                <a:pt x="8052125" y="6161706"/>
                <a:pt x="8036527" y="6146115"/>
                <a:pt x="8036527" y="6126887"/>
              </a:cubicBezTo>
              <a:cubicBezTo>
                <a:pt x="8036527" y="6107659"/>
                <a:pt x="8052125" y="6092068"/>
                <a:pt x="8071353" y="6092068"/>
              </a:cubicBezTo>
              <a:cubicBezTo>
                <a:pt x="8090580" y="6092068"/>
                <a:pt x="8106165" y="6107659"/>
                <a:pt x="8106165" y="6126887"/>
              </a:cubicBezTo>
              <a:cubicBezTo>
                <a:pt x="8106165" y="6146115"/>
                <a:pt x="8090580" y="6161706"/>
                <a:pt x="8071353" y="6161706"/>
              </a:cubicBezTo>
              <a:close/>
              <a:moveTo>
                <a:pt x="8241138" y="6161706"/>
              </a:moveTo>
              <a:cubicBezTo>
                <a:pt x="8221910" y="6161706"/>
                <a:pt x="8206313" y="6146115"/>
                <a:pt x="8206313" y="6126887"/>
              </a:cubicBezTo>
              <a:cubicBezTo>
                <a:pt x="8206313" y="6107659"/>
                <a:pt x="8221910" y="6092068"/>
                <a:pt x="8241138" y="6092068"/>
              </a:cubicBezTo>
              <a:cubicBezTo>
                <a:pt x="8260366" y="6092068"/>
                <a:pt x="8275950" y="6107659"/>
                <a:pt x="8275950" y="6126887"/>
              </a:cubicBezTo>
              <a:cubicBezTo>
                <a:pt x="8275950" y="6146115"/>
                <a:pt x="8260366" y="6161706"/>
                <a:pt x="8241138" y="6161706"/>
              </a:cubicBezTo>
              <a:close/>
              <a:moveTo>
                <a:pt x="9090063" y="6161706"/>
              </a:moveTo>
              <a:cubicBezTo>
                <a:pt x="9070835" y="6161706"/>
                <a:pt x="9055237" y="6146115"/>
                <a:pt x="9055237" y="6126887"/>
              </a:cubicBezTo>
              <a:cubicBezTo>
                <a:pt x="9055237" y="6107659"/>
                <a:pt x="9070835" y="6092068"/>
                <a:pt x="9090063" y="6092068"/>
              </a:cubicBezTo>
              <a:cubicBezTo>
                <a:pt x="9109290" y="6092068"/>
                <a:pt x="9124875" y="6107659"/>
                <a:pt x="9124875" y="6126887"/>
              </a:cubicBezTo>
              <a:cubicBezTo>
                <a:pt x="9124875" y="6146115"/>
                <a:pt x="9109290" y="6161706"/>
                <a:pt x="9090063" y="6161706"/>
              </a:cubicBezTo>
              <a:close/>
              <a:moveTo>
                <a:pt x="3317371" y="6076846"/>
              </a:moveTo>
              <a:cubicBezTo>
                <a:pt x="3298143" y="6076846"/>
                <a:pt x="3282552" y="6061255"/>
                <a:pt x="3282552" y="6042027"/>
              </a:cubicBezTo>
              <a:cubicBezTo>
                <a:pt x="3282552" y="6022799"/>
                <a:pt x="3298143" y="6007208"/>
                <a:pt x="3317371" y="6007208"/>
              </a:cubicBezTo>
              <a:cubicBezTo>
                <a:pt x="3336599" y="6007208"/>
                <a:pt x="3352190" y="6022799"/>
                <a:pt x="3352190" y="6042027"/>
              </a:cubicBezTo>
              <a:cubicBezTo>
                <a:pt x="3352190" y="6061255"/>
                <a:pt x="3336599" y="6076846"/>
                <a:pt x="3317371" y="6076846"/>
              </a:cubicBezTo>
              <a:close/>
              <a:moveTo>
                <a:pt x="3487156" y="6076846"/>
              </a:moveTo>
              <a:cubicBezTo>
                <a:pt x="3467928" y="6076846"/>
                <a:pt x="3452337" y="6061255"/>
                <a:pt x="3452337" y="6042027"/>
              </a:cubicBezTo>
              <a:cubicBezTo>
                <a:pt x="3452337" y="6022799"/>
                <a:pt x="3467928" y="6007208"/>
                <a:pt x="3487156" y="6007208"/>
              </a:cubicBezTo>
              <a:cubicBezTo>
                <a:pt x="3506383" y="6007208"/>
                <a:pt x="3521974" y="6022799"/>
                <a:pt x="3521974" y="6042027"/>
              </a:cubicBezTo>
              <a:cubicBezTo>
                <a:pt x="3521974" y="6061255"/>
                <a:pt x="3506383" y="6076846"/>
                <a:pt x="3487156" y="6076846"/>
              </a:cubicBezTo>
              <a:close/>
              <a:moveTo>
                <a:pt x="3656941" y="6076846"/>
              </a:moveTo>
              <a:cubicBezTo>
                <a:pt x="3637713" y="6076846"/>
                <a:pt x="3622122" y="6061255"/>
                <a:pt x="3622122" y="6042027"/>
              </a:cubicBezTo>
              <a:cubicBezTo>
                <a:pt x="3622122" y="6022799"/>
                <a:pt x="3637713" y="6007208"/>
                <a:pt x="3656941" y="6007208"/>
              </a:cubicBezTo>
              <a:cubicBezTo>
                <a:pt x="3676169" y="6007208"/>
                <a:pt x="3691760" y="6022799"/>
                <a:pt x="3691760" y="6042027"/>
              </a:cubicBezTo>
              <a:cubicBezTo>
                <a:pt x="3691760" y="6061255"/>
                <a:pt x="3676169" y="6076846"/>
                <a:pt x="3656941" y="6076846"/>
              </a:cubicBezTo>
              <a:close/>
              <a:moveTo>
                <a:pt x="4166296" y="6076846"/>
              </a:moveTo>
              <a:cubicBezTo>
                <a:pt x="4147068" y="6076846"/>
                <a:pt x="4131477" y="6061255"/>
                <a:pt x="4131477" y="6042027"/>
              </a:cubicBezTo>
              <a:cubicBezTo>
                <a:pt x="4131477" y="6022799"/>
                <a:pt x="4147068" y="6007208"/>
                <a:pt x="4166296" y="6007208"/>
              </a:cubicBezTo>
              <a:cubicBezTo>
                <a:pt x="4185523" y="6007208"/>
                <a:pt x="4201114" y="6022799"/>
                <a:pt x="4201114" y="6042027"/>
              </a:cubicBezTo>
              <a:cubicBezTo>
                <a:pt x="4201114" y="6061255"/>
                <a:pt x="4185523" y="6076846"/>
                <a:pt x="4166296" y="6076846"/>
              </a:cubicBezTo>
              <a:close/>
              <a:moveTo>
                <a:pt x="4420973" y="6076846"/>
              </a:moveTo>
              <a:cubicBezTo>
                <a:pt x="4401746" y="6076846"/>
                <a:pt x="4386154" y="6061255"/>
                <a:pt x="4386154" y="6042027"/>
              </a:cubicBezTo>
              <a:cubicBezTo>
                <a:pt x="4386154" y="6022799"/>
                <a:pt x="4401746" y="6007208"/>
                <a:pt x="4420973" y="6007208"/>
              </a:cubicBezTo>
              <a:cubicBezTo>
                <a:pt x="4440201" y="6007208"/>
                <a:pt x="4455792" y="6022799"/>
                <a:pt x="4455792" y="6042027"/>
              </a:cubicBezTo>
              <a:cubicBezTo>
                <a:pt x="4455792" y="6061255"/>
                <a:pt x="4440201" y="6076846"/>
                <a:pt x="4420973" y="6076846"/>
              </a:cubicBezTo>
              <a:close/>
              <a:moveTo>
                <a:pt x="4505866" y="6076846"/>
              </a:moveTo>
              <a:cubicBezTo>
                <a:pt x="4486638" y="6076846"/>
                <a:pt x="4471047" y="6061255"/>
                <a:pt x="4471047" y="6042027"/>
              </a:cubicBezTo>
              <a:cubicBezTo>
                <a:pt x="4471047" y="6022799"/>
                <a:pt x="4486638" y="6007208"/>
                <a:pt x="4505866" y="6007208"/>
              </a:cubicBezTo>
              <a:cubicBezTo>
                <a:pt x="4525093" y="6007208"/>
                <a:pt x="4540684" y="6022799"/>
                <a:pt x="4540684" y="6042027"/>
              </a:cubicBezTo>
              <a:cubicBezTo>
                <a:pt x="4540684" y="6061255"/>
                <a:pt x="4525093" y="6076846"/>
                <a:pt x="4505866" y="6076846"/>
              </a:cubicBezTo>
              <a:close/>
              <a:moveTo>
                <a:pt x="4590758" y="6076846"/>
              </a:moveTo>
              <a:cubicBezTo>
                <a:pt x="4571530" y="6076846"/>
                <a:pt x="4555939" y="6061255"/>
                <a:pt x="4555939" y="6042027"/>
              </a:cubicBezTo>
              <a:cubicBezTo>
                <a:pt x="4555939" y="6022799"/>
                <a:pt x="4571530" y="6007208"/>
                <a:pt x="4590758" y="6007208"/>
              </a:cubicBezTo>
              <a:cubicBezTo>
                <a:pt x="4609986" y="6007208"/>
                <a:pt x="4625577" y="6022799"/>
                <a:pt x="4625577" y="6042027"/>
              </a:cubicBezTo>
              <a:cubicBezTo>
                <a:pt x="4625577" y="6061255"/>
                <a:pt x="4609986" y="6076846"/>
                <a:pt x="4590758" y="6076846"/>
              </a:cubicBezTo>
              <a:close/>
              <a:moveTo>
                <a:pt x="4675650" y="6076846"/>
              </a:moveTo>
              <a:cubicBezTo>
                <a:pt x="4656422" y="6076846"/>
                <a:pt x="4640831" y="6061255"/>
                <a:pt x="4640831" y="6042027"/>
              </a:cubicBezTo>
              <a:cubicBezTo>
                <a:pt x="4640831" y="6022799"/>
                <a:pt x="4656422" y="6007208"/>
                <a:pt x="4675650" y="6007208"/>
              </a:cubicBezTo>
              <a:cubicBezTo>
                <a:pt x="4694878" y="6007208"/>
                <a:pt x="4710469" y="6022799"/>
                <a:pt x="4710469" y="6042027"/>
              </a:cubicBezTo>
              <a:cubicBezTo>
                <a:pt x="4710469" y="6061255"/>
                <a:pt x="4694878" y="6076846"/>
                <a:pt x="4675650" y="6076846"/>
              </a:cubicBezTo>
              <a:close/>
              <a:moveTo>
                <a:pt x="4760543" y="6076846"/>
              </a:moveTo>
              <a:cubicBezTo>
                <a:pt x="4741316" y="6076846"/>
                <a:pt x="4725724" y="6061255"/>
                <a:pt x="4725724" y="6042027"/>
              </a:cubicBezTo>
              <a:cubicBezTo>
                <a:pt x="4725724" y="6022799"/>
                <a:pt x="4741316" y="6007208"/>
                <a:pt x="4760543" y="6007208"/>
              </a:cubicBezTo>
              <a:cubicBezTo>
                <a:pt x="4779771" y="6007208"/>
                <a:pt x="4795362" y="6022799"/>
                <a:pt x="4795362" y="6042027"/>
              </a:cubicBezTo>
              <a:cubicBezTo>
                <a:pt x="4795362" y="6061255"/>
                <a:pt x="4779771" y="6076846"/>
                <a:pt x="4760543" y="6076846"/>
              </a:cubicBezTo>
              <a:close/>
              <a:moveTo>
                <a:pt x="4845436" y="6076846"/>
              </a:moveTo>
              <a:cubicBezTo>
                <a:pt x="4826208" y="6076846"/>
                <a:pt x="4810617" y="6061255"/>
                <a:pt x="4810617" y="6042027"/>
              </a:cubicBezTo>
              <a:cubicBezTo>
                <a:pt x="4810617" y="6022799"/>
                <a:pt x="4826208" y="6007208"/>
                <a:pt x="4845436" y="6007208"/>
              </a:cubicBezTo>
              <a:cubicBezTo>
                <a:pt x="4864663" y="6007208"/>
                <a:pt x="4880254" y="6022799"/>
                <a:pt x="4880254" y="6042027"/>
              </a:cubicBezTo>
              <a:cubicBezTo>
                <a:pt x="4880254" y="6061255"/>
                <a:pt x="4864663" y="6076846"/>
                <a:pt x="4845436" y="6076846"/>
              </a:cubicBezTo>
              <a:close/>
              <a:moveTo>
                <a:pt x="4930328" y="6076846"/>
              </a:moveTo>
              <a:cubicBezTo>
                <a:pt x="4911100" y="6076846"/>
                <a:pt x="4895509" y="6061255"/>
                <a:pt x="4895509" y="6042027"/>
              </a:cubicBezTo>
              <a:cubicBezTo>
                <a:pt x="4895509" y="6022799"/>
                <a:pt x="4911100" y="6007208"/>
                <a:pt x="4930328" y="6007208"/>
              </a:cubicBezTo>
              <a:cubicBezTo>
                <a:pt x="4949556" y="6007208"/>
                <a:pt x="4965147" y="6022799"/>
                <a:pt x="4965147" y="6042027"/>
              </a:cubicBezTo>
              <a:cubicBezTo>
                <a:pt x="4965147" y="6061255"/>
                <a:pt x="4949556" y="6076846"/>
                <a:pt x="4930328" y="6076846"/>
              </a:cubicBezTo>
              <a:close/>
              <a:moveTo>
                <a:pt x="5015220" y="6076846"/>
              </a:moveTo>
              <a:cubicBezTo>
                <a:pt x="4995992" y="6076846"/>
                <a:pt x="4980401" y="6061255"/>
                <a:pt x="4980401" y="6042027"/>
              </a:cubicBezTo>
              <a:cubicBezTo>
                <a:pt x="4980401" y="6022799"/>
                <a:pt x="4995992" y="6007208"/>
                <a:pt x="5015220" y="6007208"/>
              </a:cubicBezTo>
              <a:cubicBezTo>
                <a:pt x="5034448" y="6007208"/>
                <a:pt x="5050039" y="6022799"/>
                <a:pt x="5050039" y="6042027"/>
              </a:cubicBezTo>
              <a:cubicBezTo>
                <a:pt x="5050039" y="6061255"/>
                <a:pt x="5034448" y="6076846"/>
                <a:pt x="5015220" y="6076846"/>
              </a:cubicBezTo>
              <a:close/>
              <a:moveTo>
                <a:pt x="5100113" y="6076846"/>
              </a:moveTo>
              <a:cubicBezTo>
                <a:pt x="5080886" y="6076846"/>
                <a:pt x="5065294" y="6061255"/>
                <a:pt x="5065294" y="6042027"/>
              </a:cubicBezTo>
              <a:cubicBezTo>
                <a:pt x="5065294" y="6022799"/>
                <a:pt x="5080886" y="6007208"/>
                <a:pt x="5100113" y="6007208"/>
              </a:cubicBezTo>
              <a:cubicBezTo>
                <a:pt x="5119341" y="6007208"/>
                <a:pt x="5134932" y="6022799"/>
                <a:pt x="5134932" y="6042027"/>
              </a:cubicBezTo>
              <a:cubicBezTo>
                <a:pt x="5134932" y="6061255"/>
                <a:pt x="5119341" y="6076846"/>
                <a:pt x="5100113" y="6076846"/>
              </a:cubicBezTo>
              <a:close/>
              <a:moveTo>
                <a:pt x="5185006" y="6076846"/>
              </a:moveTo>
              <a:cubicBezTo>
                <a:pt x="5165778" y="6076846"/>
                <a:pt x="5150187" y="6061255"/>
                <a:pt x="5150187" y="6042027"/>
              </a:cubicBezTo>
              <a:cubicBezTo>
                <a:pt x="5150187" y="6022799"/>
                <a:pt x="5165778" y="6007208"/>
                <a:pt x="5185006" y="6007208"/>
              </a:cubicBezTo>
              <a:cubicBezTo>
                <a:pt x="5204233" y="6007208"/>
                <a:pt x="5219824" y="6022799"/>
                <a:pt x="5219824" y="6042027"/>
              </a:cubicBezTo>
              <a:cubicBezTo>
                <a:pt x="5219824" y="6061255"/>
                <a:pt x="5204233" y="6076846"/>
                <a:pt x="5185006" y="6076846"/>
              </a:cubicBezTo>
              <a:close/>
              <a:moveTo>
                <a:pt x="5269898" y="6076846"/>
              </a:moveTo>
              <a:cubicBezTo>
                <a:pt x="5250670" y="6076846"/>
                <a:pt x="5235079" y="6061255"/>
                <a:pt x="5235079" y="6042027"/>
              </a:cubicBezTo>
              <a:cubicBezTo>
                <a:pt x="5235079" y="6022799"/>
                <a:pt x="5250670" y="6007208"/>
                <a:pt x="5269898" y="6007208"/>
              </a:cubicBezTo>
              <a:cubicBezTo>
                <a:pt x="5289126" y="6007208"/>
                <a:pt x="5304717" y="6022799"/>
                <a:pt x="5304717" y="6042027"/>
              </a:cubicBezTo>
              <a:cubicBezTo>
                <a:pt x="5304717" y="6061255"/>
                <a:pt x="5289126" y="6076846"/>
                <a:pt x="5269898" y="6076846"/>
              </a:cubicBezTo>
              <a:close/>
              <a:moveTo>
                <a:pt x="5354790" y="6076846"/>
              </a:moveTo>
              <a:cubicBezTo>
                <a:pt x="5335562" y="6076846"/>
                <a:pt x="5319971" y="6061255"/>
                <a:pt x="5319971" y="6042027"/>
              </a:cubicBezTo>
              <a:cubicBezTo>
                <a:pt x="5319971" y="6022799"/>
                <a:pt x="5335562" y="6007208"/>
                <a:pt x="5354790" y="6007208"/>
              </a:cubicBezTo>
              <a:cubicBezTo>
                <a:pt x="5374018" y="6007208"/>
                <a:pt x="5389609" y="6022799"/>
                <a:pt x="5389609" y="6042027"/>
              </a:cubicBezTo>
              <a:cubicBezTo>
                <a:pt x="5389609" y="6061255"/>
                <a:pt x="5374018" y="6076846"/>
                <a:pt x="5354790" y="6076846"/>
              </a:cubicBezTo>
              <a:close/>
              <a:moveTo>
                <a:pt x="5439683" y="6076846"/>
              </a:moveTo>
              <a:cubicBezTo>
                <a:pt x="5420456" y="6076846"/>
                <a:pt x="5404864" y="6061255"/>
                <a:pt x="5404864" y="6042027"/>
              </a:cubicBezTo>
              <a:cubicBezTo>
                <a:pt x="5404864" y="6022799"/>
                <a:pt x="5420456" y="6007208"/>
                <a:pt x="5439683" y="6007208"/>
              </a:cubicBezTo>
              <a:cubicBezTo>
                <a:pt x="5458911" y="6007208"/>
                <a:pt x="5474502" y="6022799"/>
                <a:pt x="5474502" y="6042027"/>
              </a:cubicBezTo>
              <a:cubicBezTo>
                <a:pt x="5474502" y="6061255"/>
                <a:pt x="5458911" y="6076846"/>
                <a:pt x="5439683" y="6076846"/>
              </a:cubicBezTo>
              <a:close/>
              <a:moveTo>
                <a:pt x="6288611" y="6076846"/>
              </a:moveTo>
              <a:cubicBezTo>
                <a:pt x="6269384" y="6076846"/>
                <a:pt x="6253786" y="6061255"/>
                <a:pt x="6253786" y="6042027"/>
              </a:cubicBezTo>
              <a:cubicBezTo>
                <a:pt x="6253786" y="6022799"/>
                <a:pt x="6269384" y="6007208"/>
                <a:pt x="6288611" y="6007208"/>
              </a:cubicBezTo>
              <a:cubicBezTo>
                <a:pt x="6307839" y="6007208"/>
                <a:pt x="6323424" y="6022799"/>
                <a:pt x="6323424" y="6042027"/>
              </a:cubicBezTo>
              <a:cubicBezTo>
                <a:pt x="6323424" y="6061255"/>
                <a:pt x="6307839" y="6076846"/>
                <a:pt x="6288611" y="6076846"/>
              </a:cubicBezTo>
              <a:close/>
              <a:moveTo>
                <a:pt x="6373504" y="6076846"/>
              </a:moveTo>
              <a:cubicBezTo>
                <a:pt x="6354276" y="6076846"/>
                <a:pt x="6338678" y="6061255"/>
                <a:pt x="6338678" y="6042027"/>
              </a:cubicBezTo>
              <a:cubicBezTo>
                <a:pt x="6338678" y="6022799"/>
                <a:pt x="6354276" y="6007208"/>
                <a:pt x="6373504" y="6007208"/>
              </a:cubicBezTo>
              <a:cubicBezTo>
                <a:pt x="6392731" y="6007208"/>
                <a:pt x="6408316" y="6022799"/>
                <a:pt x="6408316" y="6042027"/>
              </a:cubicBezTo>
              <a:cubicBezTo>
                <a:pt x="6408316" y="6061255"/>
                <a:pt x="6392731" y="6076846"/>
                <a:pt x="6373504" y="6076846"/>
              </a:cubicBezTo>
              <a:close/>
              <a:moveTo>
                <a:pt x="8071353" y="6076846"/>
              </a:moveTo>
              <a:cubicBezTo>
                <a:pt x="8052125" y="6076846"/>
                <a:pt x="8036527" y="6061255"/>
                <a:pt x="8036527" y="6042027"/>
              </a:cubicBezTo>
              <a:cubicBezTo>
                <a:pt x="8036527" y="6022799"/>
                <a:pt x="8052125" y="6007208"/>
                <a:pt x="8071353" y="6007208"/>
              </a:cubicBezTo>
              <a:cubicBezTo>
                <a:pt x="8090580" y="6007208"/>
                <a:pt x="8106165" y="6022799"/>
                <a:pt x="8106165" y="6042027"/>
              </a:cubicBezTo>
              <a:cubicBezTo>
                <a:pt x="8106165" y="6061255"/>
                <a:pt x="8090580" y="6076846"/>
                <a:pt x="8071353" y="6076846"/>
              </a:cubicBezTo>
              <a:close/>
              <a:moveTo>
                <a:pt x="8156246" y="6076846"/>
              </a:moveTo>
              <a:cubicBezTo>
                <a:pt x="8137018" y="6076846"/>
                <a:pt x="8121420" y="6061255"/>
                <a:pt x="8121420" y="6042027"/>
              </a:cubicBezTo>
              <a:cubicBezTo>
                <a:pt x="8121420" y="6022799"/>
                <a:pt x="8137018" y="6007208"/>
                <a:pt x="8156246" y="6007208"/>
              </a:cubicBezTo>
              <a:cubicBezTo>
                <a:pt x="8175474" y="6007208"/>
                <a:pt x="8191058" y="6022799"/>
                <a:pt x="8191058" y="6042027"/>
              </a:cubicBezTo>
              <a:cubicBezTo>
                <a:pt x="8191058" y="6061255"/>
                <a:pt x="8175474" y="6076846"/>
                <a:pt x="8156246" y="6076846"/>
              </a:cubicBezTo>
              <a:close/>
              <a:moveTo>
                <a:pt x="8241138" y="6076846"/>
              </a:moveTo>
              <a:cubicBezTo>
                <a:pt x="8221910" y="6076846"/>
                <a:pt x="8206313" y="6061255"/>
                <a:pt x="8206313" y="6042027"/>
              </a:cubicBezTo>
              <a:cubicBezTo>
                <a:pt x="8206313" y="6022799"/>
                <a:pt x="8221910" y="6007208"/>
                <a:pt x="8241138" y="6007208"/>
              </a:cubicBezTo>
              <a:cubicBezTo>
                <a:pt x="8260366" y="6007208"/>
                <a:pt x="8275950" y="6022799"/>
                <a:pt x="8275950" y="6042027"/>
              </a:cubicBezTo>
              <a:cubicBezTo>
                <a:pt x="8275950" y="6061255"/>
                <a:pt x="8260366" y="6076846"/>
                <a:pt x="8241138" y="6076846"/>
              </a:cubicBezTo>
              <a:close/>
              <a:moveTo>
                <a:pt x="8326030" y="6076846"/>
              </a:moveTo>
              <a:cubicBezTo>
                <a:pt x="8306803" y="6076846"/>
                <a:pt x="8291205" y="6061255"/>
                <a:pt x="8291205" y="6042027"/>
              </a:cubicBezTo>
              <a:cubicBezTo>
                <a:pt x="8291205" y="6022799"/>
                <a:pt x="8306803" y="6007208"/>
                <a:pt x="8326030" y="6007208"/>
              </a:cubicBezTo>
              <a:cubicBezTo>
                <a:pt x="8345258" y="6007208"/>
                <a:pt x="8360843" y="6022799"/>
                <a:pt x="8360843" y="6042027"/>
              </a:cubicBezTo>
              <a:cubicBezTo>
                <a:pt x="8360843" y="6061255"/>
                <a:pt x="8345258" y="6076846"/>
                <a:pt x="8326030" y="6076846"/>
              </a:cubicBezTo>
              <a:close/>
              <a:moveTo>
                <a:pt x="9344740" y="6076846"/>
              </a:moveTo>
              <a:cubicBezTo>
                <a:pt x="9325513" y="6076846"/>
                <a:pt x="9309915" y="6061255"/>
                <a:pt x="9309915" y="6042027"/>
              </a:cubicBezTo>
              <a:cubicBezTo>
                <a:pt x="9309915" y="6022799"/>
                <a:pt x="9325513" y="6007208"/>
                <a:pt x="9344740" y="6007208"/>
              </a:cubicBezTo>
              <a:cubicBezTo>
                <a:pt x="9363968" y="6007208"/>
                <a:pt x="9379553" y="6022799"/>
                <a:pt x="9379553" y="6042027"/>
              </a:cubicBezTo>
              <a:cubicBezTo>
                <a:pt x="9379553" y="6061255"/>
                <a:pt x="9363968" y="6076846"/>
                <a:pt x="9344740" y="6076846"/>
              </a:cubicBezTo>
              <a:close/>
              <a:moveTo>
                <a:pt x="10108773" y="6076846"/>
              </a:moveTo>
              <a:cubicBezTo>
                <a:pt x="10089545" y="6076846"/>
                <a:pt x="10073947" y="6061255"/>
                <a:pt x="10073947" y="6042027"/>
              </a:cubicBezTo>
              <a:cubicBezTo>
                <a:pt x="10073947" y="6022799"/>
                <a:pt x="10089545" y="6007208"/>
                <a:pt x="10108773" y="6007208"/>
              </a:cubicBezTo>
              <a:cubicBezTo>
                <a:pt x="10128000" y="6007208"/>
                <a:pt x="10143585" y="6022799"/>
                <a:pt x="10143585" y="6042027"/>
              </a:cubicBezTo>
              <a:cubicBezTo>
                <a:pt x="10143585" y="6061255"/>
                <a:pt x="10128000" y="6076846"/>
                <a:pt x="10108773" y="6076846"/>
              </a:cubicBezTo>
              <a:close/>
              <a:moveTo>
                <a:pt x="10193665" y="6076846"/>
              </a:moveTo>
              <a:cubicBezTo>
                <a:pt x="10174437" y="6076846"/>
                <a:pt x="10158839" y="6061255"/>
                <a:pt x="10158839" y="6042027"/>
              </a:cubicBezTo>
              <a:cubicBezTo>
                <a:pt x="10158839" y="6022799"/>
                <a:pt x="10174437" y="6007208"/>
                <a:pt x="10193665" y="6007208"/>
              </a:cubicBezTo>
              <a:cubicBezTo>
                <a:pt x="10212893" y="6007208"/>
                <a:pt x="10228477" y="6022799"/>
                <a:pt x="10228477" y="6042027"/>
              </a:cubicBezTo>
              <a:cubicBezTo>
                <a:pt x="10228477" y="6061255"/>
                <a:pt x="10212893" y="6076846"/>
                <a:pt x="10193665" y="6076846"/>
              </a:cubicBezTo>
              <a:close/>
              <a:moveTo>
                <a:pt x="10278558" y="6076846"/>
              </a:moveTo>
              <a:cubicBezTo>
                <a:pt x="10259330" y="6076846"/>
                <a:pt x="10243733" y="6061255"/>
                <a:pt x="10243733" y="6042027"/>
              </a:cubicBezTo>
              <a:cubicBezTo>
                <a:pt x="10243733" y="6022799"/>
                <a:pt x="10259330" y="6007208"/>
                <a:pt x="10278558" y="6007208"/>
              </a:cubicBezTo>
              <a:cubicBezTo>
                <a:pt x="10297786" y="6007208"/>
                <a:pt x="10313370" y="6022799"/>
                <a:pt x="10313370" y="6042027"/>
              </a:cubicBezTo>
              <a:cubicBezTo>
                <a:pt x="10313370" y="6061255"/>
                <a:pt x="10297786" y="6076846"/>
                <a:pt x="10278558" y="6076846"/>
              </a:cubicBezTo>
              <a:close/>
              <a:moveTo>
                <a:pt x="10363450" y="6076846"/>
              </a:moveTo>
              <a:cubicBezTo>
                <a:pt x="10344223" y="6076846"/>
                <a:pt x="10328625" y="6061255"/>
                <a:pt x="10328625" y="6042027"/>
              </a:cubicBezTo>
              <a:cubicBezTo>
                <a:pt x="10328625" y="6022799"/>
                <a:pt x="10344223" y="6007208"/>
                <a:pt x="10363450" y="6007208"/>
              </a:cubicBezTo>
              <a:cubicBezTo>
                <a:pt x="10382678" y="6007208"/>
                <a:pt x="10398263" y="6022799"/>
                <a:pt x="10398263" y="6042027"/>
              </a:cubicBezTo>
              <a:cubicBezTo>
                <a:pt x="10398263" y="6061255"/>
                <a:pt x="10382678" y="6076846"/>
                <a:pt x="10363450" y="6076846"/>
              </a:cubicBezTo>
              <a:close/>
              <a:moveTo>
                <a:pt x="10448343" y="6076846"/>
              </a:moveTo>
              <a:cubicBezTo>
                <a:pt x="10429115" y="6076846"/>
                <a:pt x="10413517" y="6061255"/>
                <a:pt x="10413517" y="6042027"/>
              </a:cubicBezTo>
              <a:cubicBezTo>
                <a:pt x="10413517" y="6022799"/>
                <a:pt x="10429115" y="6007208"/>
                <a:pt x="10448343" y="6007208"/>
              </a:cubicBezTo>
              <a:cubicBezTo>
                <a:pt x="10467570" y="6007208"/>
                <a:pt x="10483155" y="6022799"/>
                <a:pt x="10483155" y="6042027"/>
              </a:cubicBezTo>
              <a:cubicBezTo>
                <a:pt x="10483155" y="6061255"/>
                <a:pt x="10467570" y="6076846"/>
                <a:pt x="10448343" y="6076846"/>
              </a:cubicBezTo>
              <a:close/>
              <a:moveTo>
                <a:pt x="10618128" y="6076846"/>
              </a:moveTo>
              <a:cubicBezTo>
                <a:pt x="10598900" y="6076846"/>
                <a:pt x="10583303" y="6061255"/>
                <a:pt x="10583303" y="6042027"/>
              </a:cubicBezTo>
              <a:cubicBezTo>
                <a:pt x="10583303" y="6022799"/>
                <a:pt x="10598900" y="6007208"/>
                <a:pt x="10618128" y="6007208"/>
              </a:cubicBezTo>
              <a:cubicBezTo>
                <a:pt x="10637356" y="6007208"/>
                <a:pt x="10652940" y="6022799"/>
                <a:pt x="10652940" y="6042027"/>
              </a:cubicBezTo>
              <a:cubicBezTo>
                <a:pt x="10652940" y="6061255"/>
                <a:pt x="10637356" y="6076846"/>
                <a:pt x="10618128" y="6076846"/>
              </a:cubicBezTo>
              <a:close/>
              <a:moveTo>
                <a:pt x="1959091" y="5991985"/>
              </a:moveTo>
              <a:cubicBezTo>
                <a:pt x="1939863" y="5991985"/>
                <a:pt x="1924272" y="5976394"/>
                <a:pt x="1924272" y="5957166"/>
              </a:cubicBezTo>
              <a:cubicBezTo>
                <a:pt x="1924272" y="5937939"/>
                <a:pt x="1939863" y="5922348"/>
                <a:pt x="1959091" y="5922348"/>
              </a:cubicBezTo>
              <a:cubicBezTo>
                <a:pt x="1978319" y="5922348"/>
                <a:pt x="1993910" y="5937939"/>
                <a:pt x="1993910" y="5957166"/>
              </a:cubicBezTo>
              <a:cubicBezTo>
                <a:pt x="1993910" y="5976394"/>
                <a:pt x="1978319" y="5991985"/>
                <a:pt x="1959091" y="5991985"/>
              </a:cubicBezTo>
              <a:close/>
              <a:moveTo>
                <a:pt x="2043983" y="5991985"/>
              </a:moveTo>
              <a:cubicBezTo>
                <a:pt x="2024756" y="5991985"/>
                <a:pt x="2009164" y="5976394"/>
                <a:pt x="2009164" y="5957166"/>
              </a:cubicBezTo>
              <a:cubicBezTo>
                <a:pt x="2009164" y="5937939"/>
                <a:pt x="2024756" y="5922348"/>
                <a:pt x="2043983" y="5922348"/>
              </a:cubicBezTo>
              <a:cubicBezTo>
                <a:pt x="2063211" y="5922348"/>
                <a:pt x="2078802" y="5937939"/>
                <a:pt x="2078802" y="5957166"/>
              </a:cubicBezTo>
              <a:cubicBezTo>
                <a:pt x="2078802" y="5976394"/>
                <a:pt x="2063211" y="5991985"/>
                <a:pt x="2043983" y="5991985"/>
              </a:cubicBezTo>
              <a:close/>
              <a:moveTo>
                <a:pt x="3062693" y="5991985"/>
              </a:moveTo>
              <a:cubicBezTo>
                <a:pt x="3043466" y="5991985"/>
                <a:pt x="3027874" y="5976394"/>
                <a:pt x="3027874" y="5957166"/>
              </a:cubicBezTo>
              <a:cubicBezTo>
                <a:pt x="3027874" y="5937939"/>
                <a:pt x="3043466" y="5922348"/>
                <a:pt x="3062693" y="5922348"/>
              </a:cubicBezTo>
              <a:cubicBezTo>
                <a:pt x="3081921" y="5922348"/>
                <a:pt x="3097512" y="5937939"/>
                <a:pt x="3097512" y="5957166"/>
              </a:cubicBezTo>
              <a:cubicBezTo>
                <a:pt x="3097512" y="5976394"/>
                <a:pt x="3081921" y="5991985"/>
                <a:pt x="3062693" y="5991985"/>
              </a:cubicBezTo>
              <a:close/>
              <a:moveTo>
                <a:pt x="3317371" y="5991985"/>
              </a:moveTo>
              <a:cubicBezTo>
                <a:pt x="3298143" y="5991985"/>
                <a:pt x="3282552" y="5976394"/>
                <a:pt x="3282552" y="5957166"/>
              </a:cubicBezTo>
              <a:cubicBezTo>
                <a:pt x="3282552" y="5937939"/>
                <a:pt x="3298143" y="5922348"/>
                <a:pt x="3317371" y="5922348"/>
              </a:cubicBezTo>
              <a:cubicBezTo>
                <a:pt x="3336599" y="5922348"/>
                <a:pt x="3352190" y="5937939"/>
                <a:pt x="3352190" y="5957166"/>
              </a:cubicBezTo>
              <a:cubicBezTo>
                <a:pt x="3352190" y="5976394"/>
                <a:pt x="3336599" y="5991985"/>
                <a:pt x="3317371" y="5991985"/>
              </a:cubicBezTo>
              <a:close/>
              <a:moveTo>
                <a:pt x="3402263" y="5991985"/>
              </a:moveTo>
              <a:cubicBezTo>
                <a:pt x="3383036" y="5991985"/>
                <a:pt x="3367444" y="5976394"/>
                <a:pt x="3367444" y="5957166"/>
              </a:cubicBezTo>
              <a:cubicBezTo>
                <a:pt x="3367444" y="5937939"/>
                <a:pt x="3383036" y="5922348"/>
                <a:pt x="3402263" y="5922348"/>
              </a:cubicBezTo>
              <a:cubicBezTo>
                <a:pt x="3421491" y="5922348"/>
                <a:pt x="3437082" y="5937939"/>
                <a:pt x="3437082" y="5957166"/>
              </a:cubicBezTo>
              <a:cubicBezTo>
                <a:pt x="3437082" y="5976394"/>
                <a:pt x="3421491" y="5991985"/>
                <a:pt x="3402263" y="5991985"/>
              </a:cubicBezTo>
              <a:close/>
              <a:moveTo>
                <a:pt x="3487156" y="5991985"/>
              </a:moveTo>
              <a:cubicBezTo>
                <a:pt x="3467928" y="5991985"/>
                <a:pt x="3452337" y="5976394"/>
                <a:pt x="3452337" y="5957166"/>
              </a:cubicBezTo>
              <a:cubicBezTo>
                <a:pt x="3452337" y="5937939"/>
                <a:pt x="3467928" y="5922348"/>
                <a:pt x="3487156" y="5922348"/>
              </a:cubicBezTo>
              <a:cubicBezTo>
                <a:pt x="3506383" y="5922348"/>
                <a:pt x="3521974" y="5937939"/>
                <a:pt x="3521974" y="5957166"/>
              </a:cubicBezTo>
              <a:cubicBezTo>
                <a:pt x="3521974" y="5976394"/>
                <a:pt x="3506383" y="5991985"/>
                <a:pt x="3487156" y="5991985"/>
              </a:cubicBezTo>
              <a:close/>
              <a:moveTo>
                <a:pt x="3656941" y="5991985"/>
              </a:moveTo>
              <a:cubicBezTo>
                <a:pt x="3637713" y="5991985"/>
                <a:pt x="3622122" y="5976394"/>
                <a:pt x="3622122" y="5957166"/>
              </a:cubicBezTo>
              <a:cubicBezTo>
                <a:pt x="3622122" y="5937939"/>
                <a:pt x="3637713" y="5922348"/>
                <a:pt x="3656941" y="5922348"/>
              </a:cubicBezTo>
              <a:cubicBezTo>
                <a:pt x="3676169" y="5922348"/>
                <a:pt x="3691760" y="5937939"/>
                <a:pt x="3691760" y="5957166"/>
              </a:cubicBezTo>
              <a:cubicBezTo>
                <a:pt x="3691760" y="5976394"/>
                <a:pt x="3676169" y="5991985"/>
                <a:pt x="3656941" y="5991985"/>
              </a:cubicBezTo>
              <a:close/>
              <a:moveTo>
                <a:pt x="3826726" y="5991985"/>
              </a:moveTo>
              <a:cubicBezTo>
                <a:pt x="3807498" y="5991985"/>
                <a:pt x="3791907" y="5976394"/>
                <a:pt x="3791907" y="5957166"/>
              </a:cubicBezTo>
              <a:cubicBezTo>
                <a:pt x="3791907" y="5937939"/>
                <a:pt x="3807498" y="5922348"/>
                <a:pt x="3826726" y="5922348"/>
              </a:cubicBezTo>
              <a:cubicBezTo>
                <a:pt x="3845953" y="5922348"/>
                <a:pt x="3861544" y="5937939"/>
                <a:pt x="3861544" y="5957166"/>
              </a:cubicBezTo>
              <a:cubicBezTo>
                <a:pt x="3861544" y="5976394"/>
                <a:pt x="3845953" y="5991985"/>
                <a:pt x="3826726" y="5991985"/>
              </a:cubicBezTo>
              <a:close/>
              <a:moveTo>
                <a:pt x="3996511" y="5991985"/>
              </a:moveTo>
              <a:cubicBezTo>
                <a:pt x="3977283" y="5991985"/>
                <a:pt x="3961692" y="5976394"/>
                <a:pt x="3961692" y="5957166"/>
              </a:cubicBezTo>
              <a:cubicBezTo>
                <a:pt x="3961692" y="5937939"/>
                <a:pt x="3977283" y="5922348"/>
                <a:pt x="3996511" y="5922348"/>
              </a:cubicBezTo>
              <a:cubicBezTo>
                <a:pt x="4015739" y="5922348"/>
                <a:pt x="4031330" y="5937939"/>
                <a:pt x="4031330" y="5957166"/>
              </a:cubicBezTo>
              <a:cubicBezTo>
                <a:pt x="4031330" y="5976394"/>
                <a:pt x="4015739" y="5991985"/>
                <a:pt x="3996511" y="5991985"/>
              </a:cubicBezTo>
              <a:close/>
              <a:moveTo>
                <a:pt x="4081403" y="5991985"/>
              </a:moveTo>
              <a:cubicBezTo>
                <a:pt x="4062176" y="5991985"/>
                <a:pt x="4046584" y="5976394"/>
                <a:pt x="4046584" y="5957166"/>
              </a:cubicBezTo>
              <a:cubicBezTo>
                <a:pt x="4046584" y="5937939"/>
                <a:pt x="4062176" y="5922348"/>
                <a:pt x="4081403" y="5922348"/>
              </a:cubicBezTo>
              <a:cubicBezTo>
                <a:pt x="4100631" y="5922348"/>
                <a:pt x="4116222" y="5937939"/>
                <a:pt x="4116222" y="5957166"/>
              </a:cubicBezTo>
              <a:cubicBezTo>
                <a:pt x="4116222" y="5976394"/>
                <a:pt x="4100631" y="5991985"/>
                <a:pt x="4081403" y="5991985"/>
              </a:cubicBezTo>
              <a:close/>
              <a:moveTo>
                <a:pt x="4420973" y="5991985"/>
              </a:moveTo>
              <a:cubicBezTo>
                <a:pt x="4401746" y="5991985"/>
                <a:pt x="4386154" y="5976394"/>
                <a:pt x="4386154" y="5957166"/>
              </a:cubicBezTo>
              <a:cubicBezTo>
                <a:pt x="4386154" y="5937939"/>
                <a:pt x="4401746" y="5922348"/>
                <a:pt x="4420973" y="5922348"/>
              </a:cubicBezTo>
              <a:cubicBezTo>
                <a:pt x="4440201" y="5922348"/>
                <a:pt x="4455792" y="5937939"/>
                <a:pt x="4455792" y="5957166"/>
              </a:cubicBezTo>
              <a:cubicBezTo>
                <a:pt x="4455792" y="5976394"/>
                <a:pt x="4440201" y="5991985"/>
                <a:pt x="4420973" y="5991985"/>
              </a:cubicBezTo>
              <a:close/>
              <a:moveTo>
                <a:pt x="4505866" y="5991985"/>
              </a:moveTo>
              <a:cubicBezTo>
                <a:pt x="4486638" y="5991985"/>
                <a:pt x="4471047" y="5976394"/>
                <a:pt x="4471047" y="5957166"/>
              </a:cubicBezTo>
              <a:cubicBezTo>
                <a:pt x="4471047" y="5937939"/>
                <a:pt x="4486638" y="5922348"/>
                <a:pt x="4505866" y="5922348"/>
              </a:cubicBezTo>
              <a:cubicBezTo>
                <a:pt x="4525093" y="5922348"/>
                <a:pt x="4540684" y="5937939"/>
                <a:pt x="4540684" y="5957166"/>
              </a:cubicBezTo>
              <a:cubicBezTo>
                <a:pt x="4540684" y="5976394"/>
                <a:pt x="4525093" y="5991985"/>
                <a:pt x="4505866" y="5991985"/>
              </a:cubicBezTo>
              <a:close/>
              <a:moveTo>
                <a:pt x="4590758" y="5991985"/>
              </a:moveTo>
              <a:cubicBezTo>
                <a:pt x="4571530" y="5991985"/>
                <a:pt x="4555939" y="5976394"/>
                <a:pt x="4555939" y="5957166"/>
              </a:cubicBezTo>
              <a:cubicBezTo>
                <a:pt x="4555939" y="5937939"/>
                <a:pt x="4571530" y="5922348"/>
                <a:pt x="4590758" y="5922348"/>
              </a:cubicBezTo>
              <a:cubicBezTo>
                <a:pt x="4609986" y="5922348"/>
                <a:pt x="4625577" y="5937939"/>
                <a:pt x="4625577" y="5957166"/>
              </a:cubicBezTo>
              <a:cubicBezTo>
                <a:pt x="4625577" y="5976394"/>
                <a:pt x="4609986" y="5991985"/>
                <a:pt x="4590758" y="5991985"/>
              </a:cubicBezTo>
              <a:close/>
              <a:moveTo>
                <a:pt x="4675650" y="5991985"/>
              </a:moveTo>
              <a:cubicBezTo>
                <a:pt x="4656422" y="5991985"/>
                <a:pt x="4640831" y="5976394"/>
                <a:pt x="4640831" y="5957166"/>
              </a:cubicBezTo>
              <a:cubicBezTo>
                <a:pt x="4640831" y="5937939"/>
                <a:pt x="4656422" y="5922348"/>
                <a:pt x="4675650" y="5922348"/>
              </a:cubicBezTo>
              <a:cubicBezTo>
                <a:pt x="4694878" y="5922348"/>
                <a:pt x="4710469" y="5937939"/>
                <a:pt x="4710469" y="5957166"/>
              </a:cubicBezTo>
              <a:cubicBezTo>
                <a:pt x="4710469" y="5976394"/>
                <a:pt x="4694878" y="5991985"/>
                <a:pt x="4675650" y="5991985"/>
              </a:cubicBezTo>
              <a:close/>
              <a:moveTo>
                <a:pt x="4760543" y="5991985"/>
              </a:moveTo>
              <a:cubicBezTo>
                <a:pt x="4741316" y="5991985"/>
                <a:pt x="4725724" y="5976394"/>
                <a:pt x="4725724" y="5957166"/>
              </a:cubicBezTo>
              <a:cubicBezTo>
                <a:pt x="4725724" y="5937939"/>
                <a:pt x="4741316" y="5922348"/>
                <a:pt x="4760543" y="5922348"/>
              </a:cubicBezTo>
              <a:cubicBezTo>
                <a:pt x="4779771" y="5922348"/>
                <a:pt x="4795362" y="5937939"/>
                <a:pt x="4795362" y="5957166"/>
              </a:cubicBezTo>
              <a:cubicBezTo>
                <a:pt x="4795362" y="5976394"/>
                <a:pt x="4779771" y="5991985"/>
                <a:pt x="4760543" y="5991985"/>
              </a:cubicBezTo>
              <a:close/>
              <a:moveTo>
                <a:pt x="4845436" y="5991985"/>
              </a:moveTo>
              <a:cubicBezTo>
                <a:pt x="4826208" y="5991985"/>
                <a:pt x="4810617" y="5976394"/>
                <a:pt x="4810617" y="5957166"/>
              </a:cubicBezTo>
              <a:cubicBezTo>
                <a:pt x="4810617" y="5937939"/>
                <a:pt x="4826208" y="5922348"/>
                <a:pt x="4845436" y="5922348"/>
              </a:cubicBezTo>
              <a:cubicBezTo>
                <a:pt x="4864663" y="5922348"/>
                <a:pt x="4880254" y="5937939"/>
                <a:pt x="4880254" y="5957166"/>
              </a:cubicBezTo>
              <a:cubicBezTo>
                <a:pt x="4880254" y="5976394"/>
                <a:pt x="4864663" y="5991985"/>
                <a:pt x="4845436" y="5991985"/>
              </a:cubicBezTo>
              <a:close/>
              <a:moveTo>
                <a:pt x="4930328" y="5991985"/>
              </a:moveTo>
              <a:cubicBezTo>
                <a:pt x="4911100" y="5991985"/>
                <a:pt x="4895509" y="5976394"/>
                <a:pt x="4895509" y="5957166"/>
              </a:cubicBezTo>
              <a:cubicBezTo>
                <a:pt x="4895509" y="5937939"/>
                <a:pt x="4911100" y="5922348"/>
                <a:pt x="4930328" y="5922348"/>
              </a:cubicBezTo>
              <a:cubicBezTo>
                <a:pt x="4949556" y="5922348"/>
                <a:pt x="4965147" y="5937939"/>
                <a:pt x="4965147" y="5957166"/>
              </a:cubicBezTo>
              <a:cubicBezTo>
                <a:pt x="4965147" y="5976394"/>
                <a:pt x="4949556" y="5991985"/>
                <a:pt x="4930328" y="5991985"/>
              </a:cubicBezTo>
              <a:close/>
              <a:moveTo>
                <a:pt x="5015220" y="5991985"/>
              </a:moveTo>
              <a:cubicBezTo>
                <a:pt x="4995992" y="5991985"/>
                <a:pt x="4980401" y="5976394"/>
                <a:pt x="4980401" y="5957166"/>
              </a:cubicBezTo>
              <a:cubicBezTo>
                <a:pt x="4980401" y="5937939"/>
                <a:pt x="4995992" y="5922348"/>
                <a:pt x="5015220" y="5922348"/>
              </a:cubicBezTo>
              <a:cubicBezTo>
                <a:pt x="5034448" y="5922348"/>
                <a:pt x="5050039" y="5937939"/>
                <a:pt x="5050039" y="5957166"/>
              </a:cubicBezTo>
              <a:cubicBezTo>
                <a:pt x="5050039" y="5976394"/>
                <a:pt x="5034448" y="5991985"/>
                <a:pt x="5015220" y="5991985"/>
              </a:cubicBezTo>
              <a:close/>
              <a:moveTo>
                <a:pt x="5100113" y="5991985"/>
              </a:moveTo>
              <a:cubicBezTo>
                <a:pt x="5080886" y="5991985"/>
                <a:pt x="5065294" y="5976394"/>
                <a:pt x="5065294" y="5957166"/>
              </a:cubicBezTo>
              <a:cubicBezTo>
                <a:pt x="5065294" y="5937939"/>
                <a:pt x="5080886" y="5922348"/>
                <a:pt x="5100113" y="5922348"/>
              </a:cubicBezTo>
              <a:cubicBezTo>
                <a:pt x="5119341" y="5922348"/>
                <a:pt x="5134932" y="5937939"/>
                <a:pt x="5134932" y="5957166"/>
              </a:cubicBezTo>
              <a:cubicBezTo>
                <a:pt x="5134932" y="5976394"/>
                <a:pt x="5119341" y="5991985"/>
                <a:pt x="5100113" y="5991985"/>
              </a:cubicBezTo>
              <a:close/>
              <a:moveTo>
                <a:pt x="5185006" y="5991985"/>
              </a:moveTo>
              <a:cubicBezTo>
                <a:pt x="5165778" y="5991985"/>
                <a:pt x="5150187" y="5976394"/>
                <a:pt x="5150187" y="5957166"/>
              </a:cubicBezTo>
              <a:cubicBezTo>
                <a:pt x="5150187" y="5937939"/>
                <a:pt x="5165778" y="5922348"/>
                <a:pt x="5185006" y="5922348"/>
              </a:cubicBezTo>
              <a:cubicBezTo>
                <a:pt x="5204233" y="5922348"/>
                <a:pt x="5219824" y="5937939"/>
                <a:pt x="5219824" y="5957166"/>
              </a:cubicBezTo>
              <a:cubicBezTo>
                <a:pt x="5219824" y="5976394"/>
                <a:pt x="5204233" y="5991985"/>
                <a:pt x="5185006" y="5991985"/>
              </a:cubicBezTo>
              <a:close/>
              <a:moveTo>
                <a:pt x="5269898" y="5991985"/>
              </a:moveTo>
              <a:cubicBezTo>
                <a:pt x="5250670" y="5991985"/>
                <a:pt x="5235079" y="5976394"/>
                <a:pt x="5235079" y="5957166"/>
              </a:cubicBezTo>
              <a:cubicBezTo>
                <a:pt x="5235079" y="5937939"/>
                <a:pt x="5250670" y="5922348"/>
                <a:pt x="5269898" y="5922348"/>
              </a:cubicBezTo>
              <a:cubicBezTo>
                <a:pt x="5289126" y="5922348"/>
                <a:pt x="5304717" y="5937939"/>
                <a:pt x="5304717" y="5957166"/>
              </a:cubicBezTo>
              <a:cubicBezTo>
                <a:pt x="5304717" y="5976394"/>
                <a:pt x="5289126" y="5991985"/>
                <a:pt x="5269898" y="5991985"/>
              </a:cubicBezTo>
              <a:close/>
              <a:moveTo>
                <a:pt x="5354790" y="5991985"/>
              </a:moveTo>
              <a:cubicBezTo>
                <a:pt x="5335562" y="5991985"/>
                <a:pt x="5319971" y="5976394"/>
                <a:pt x="5319971" y="5957166"/>
              </a:cubicBezTo>
              <a:cubicBezTo>
                <a:pt x="5319971" y="5937939"/>
                <a:pt x="5335562" y="5922348"/>
                <a:pt x="5354790" y="5922348"/>
              </a:cubicBezTo>
              <a:cubicBezTo>
                <a:pt x="5374018" y="5922348"/>
                <a:pt x="5389609" y="5937939"/>
                <a:pt x="5389609" y="5957166"/>
              </a:cubicBezTo>
              <a:cubicBezTo>
                <a:pt x="5389609" y="5976394"/>
                <a:pt x="5374018" y="5991985"/>
                <a:pt x="5354790" y="5991985"/>
              </a:cubicBezTo>
              <a:close/>
              <a:moveTo>
                <a:pt x="5439683" y="5991985"/>
              </a:moveTo>
              <a:cubicBezTo>
                <a:pt x="5420456" y="5991985"/>
                <a:pt x="5404864" y="5976394"/>
                <a:pt x="5404864" y="5957166"/>
              </a:cubicBezTo>
              <a:cubicBezTo>
                <a:pt x="5404864" y="5937939"/>
                <a:pt x="5420456" y="5922348"/>
                <a:pt x="5439683" y="5922348"/>
              </a:cubicBezTo>
              <a:cubicBezTo>
                <a:pt x="5458911" y="5922348"/>
                <a:pt x="5474502" y="5937939"/>
                <a:pt x="5474502" y="5957166"/>
              </a:cubicBezTo>
              <a:cubicBezTo>
                <a:pt x="5474502" y="5976394"/>
                <a:pt x="5458911" y="5991985"/>
                <a:pt x="5439683" y="5991985"/>
              </a:cubicBezTo>
              <a:close/>
              <a:moveTo>
                <a:pt x="6118826" y="5991985"/>
              </a:moveTo>
              <a:cubicBezTo>
                <a:pt x="6099592" y="5991985"/>
                <a:pt x="6084000" y="5976394"/>
                <a:pt x="6084000" y="5957166"/>
              </a:cubicBezTo>
              <a:cubicBezTo>
                <a:pt x="6084000" y="5937939"/>
                <a:pt x="6099592" y="5922348"/>
                <a:pt x="6118826" y="5922348"/>
              </a:cubicBezTo>
              <a:cubicBezTo>
                <a:pt x="6138054" y="5922348"/>
                <a:pt x="6153638" y="5937939"/>
                <a:pt x="6153638" y="5957166"/>
              </a:cubicBezTo>
              <a:cubicBezTo>
                <a:pt x="6153638" y="5976394"/>
                <a:pt x="6138054" y="5991985"/>
                <a:pt x="6118826" y="5991985"/>
              </a:cubicBezTo>
              <a:close/>
              <a:moveTo>
                <a:pt x="6203718" y="5991985"/>
              </a:moveTo>
              <a:cubicBezTo>
                <a:pt x="6184490" y="5991985"/>
                <a:pt x="6168893" y="5976394"/>
                <a:pt x="6168893" y="5957166"/>
              </a:cubicBezTo>
              <a:cubicBezTo>
                <a:pt x="6168893" y="5937939"/>
                <a:pt x="6184490" y="5922348"/>
                <a:pt x="6203718" y="5922348"/>
              </a:cubicBezTo>
              <a:cubicBezTo>
                <a:pt x="6222946" y="5922348"/>
                <a:pt x="6238530" y="5937939"/>
                <a:pt x="6238530" y="5957166"/>
              </a:cubicBezTo>
              <a:cubicBezTo>
                <a:pt x="6238530" y="5976394"/>
                <a:pt x="6222946" y="5991985"/>
                <a:pt x="6203718" y="5991985"/>
              </a:cubicBezTo>
              <a:close/>
              <a:moveTo>
                <a:pt x="7986460" y="5991985"/>
              </a:moveTo>
              <a:cubicBezTo>
                <a:pt x="7967233" y="5991985"/>
                <a:pt x="7951635" y="5976394"/>
                <a:pt x="7951635" y="5957166"/>
              </a:cubicBezTo>
              <a:cubicBezTo>
                <a:pt x="7951635" y="5937939"/>
                <a:pt x="7967233" y="5922348"/>
                <a:pt x="7986460" y="5922348"/>
              </a:cubicBezTo>
              <a:cubicBezTo>
                <a:pt x="8005688" y="5922348"/>
                <a:pt x="8021273" y="5937939"/>
                <a:pt x="8021273" y="5957166"/>
              </a:cubicBezTo>
              <a:cubicBezTo>
                <a:pt x="8021273" y="5976394"/>
                <a:pt x="8005688" y="5991985"/>
                <a:pt x="7986460" y="5991985"/>
              </a:cubicBezTo>
              <a:close/>
              <a:moveTo>
                <a:pt x="8071353" y="5991985"/>
              </a:moveTo>
              <a:cubicBezTo>
                <a:pt x="8052125" y="5991985"/>
                <a:pt x="8036527" y="5976394"/>
                <a:pt x="8036527" y="5957166"/>
              </a:cubicBezTo>
              <a:cubicBezTo>
                <a:pt x="8036527" y="5937939"/>
                <a:pt x="8052125" y="5922348"/>
                <a:pt x="8071353" y="5922348"/>
              </a:cubicBezTo>
              <a:cubicBezTo>
                <a:pt x="8090580" y="5922348"/>
                <a:pt x="8106165" y="5937939"/>
                <a:pt x="8106165" y="5957166"/>
              </a:cubicBezTo>
              <a:cubicBezTo>
                <a:pt x="8106165" y="5976394"/>
                <a:pt x="8090580" y="5991985"/>
                <a:pt x="8071353" y="5991985"/>
              </a:cubicBezTo>
              <a:close/>
              <a:moveTo>
                <a:pt x="8156246" y="5991985"/>
              </a:moveTo>
              <a:cubicBezTo>
                <a:pt x="8137018" y="5991985"/>
                <a:pt x="8121420" y="5976394"/>
                <a:pt x="8121420" y="5957166"/>
              </a:cubicBezTo>
              <a:cubicBezTo>
                <a:pt x="8121420" y="5937939"/>
                <a:pt x="8137018" y="5922348"/>
                <a:pt x="8156246" y="5922348"/>
              </a:cubicBezTo>
              <a:cubicBezTo>
                <a:pt x="8175474" y="5922348"/>
                <a:pt x="8191058" y="5937939"/>
                <a:pt x="8191058" y="5957166"/>
              </a:cubicBezTo>
              <a:cubicBezTo>
                <a:pt x="8191058" y="5976394"/>
                <a:pt x="8175474" y="5991985"/>
                <a:pt x="8156246" y="5991985"/>
              </a:cubicBezTo>
              <a:close/>
              <a:moveTo>
                <a:pt x="8241138" y="5991985"/>
              </a:moveTo>
              <a:cubicBezTo>
                <a:pt x="8221910" y="5991985"/>
                <a:pt x="8206313" y="5976394"/>
                <a:pt x="8206313" y="5957166"/>
              </a:cubicBezTo>
              <a:cubicBezTo>
                <a:pt x="8206313" y="5937939"/>
                <a:pt x="8221910" y="5922348"/>
                <a:pt x="8241138" y="5922348"/>
              </a:cubicBezTo>
              <a:cubicBezTo>
                <a:pt x="8260366" y="5922348"/>
                <a:pt x="8275950" y="5937939"/>
                <a:pt x="8275950" y="5957166"/>
              </a:cubicBezTo>
              <a:cubicBezTo>
                <a:pt x="8275950" y="5976394"/>
                <a:pt x="8260366" y="5991985"/>
                <a:pt x="8241138" y="5991985"/>
              </a:cubicBezTo>
              <a:close/>
              <a:moveTo>
                <a:pt x="8326030" y="5991985"/>
              </a:moveTo>
              <a:cubicBezTo>
                <a:pt x="8306803" y="5991985"/>
                <a:pt x="8291205" y="5976394"/>
                <a:pt x="8291205" y="5957166"/>
              </a:cubicBezTo>
              <a:cubicBezTo>
                <a:pt x="8291205" y="5937939"/>
                <a:pt x="8306803" y="5922348"/>
                <a:pt x="8326030" y="5922348"/>
              </a:cubicBezTo>
              <a:cubicBezTo>
                <a:pt x="8345258" y="5922348"/>
                <a:pt x="8360843" y="5937939"/>
                <a:pt x="8360843" y="5957166"/>
              </a:cubicBezTo>
              <a:cubicBezTo>
                <a:pt x="8360843" y="5976394"/>
                <a:pt x="8345258" y="5991985"/>
                <a:pt x="8326030" y="5991985"/>
              </a:cubicBezTo>
              <a:close/>
              <a:moveTo>
                <a:pt x="9259848" y="5991985"/>
              </a:moveTo>
              <a:cubicBezTo>
                <a:pt x="9240620" y="5991985"/>
                <a:pt x="9225023" y="5976394"/>
                <a:pt x="9225023" y="5957166"/>
              </a:cubicBezTo>
              <a:cubicBezTo>
                <a:pt x="9225023" y="5937939"/>
                <a:pt x="9240620" y="5922348"/>
                <a:pt x="9259848" y="5922348"/>
              </a:cubicBezTo>
              <a:cubicBezTo>
                <a:pt x="9279076" y="5922348"/>
                <a:pt x="9294660" y="5937939"/>
                <a:pt x="9294660" y="5957166"/>
              </a:cubicBezTo>
              <a:cubicBezTo>
                <a:pt x="9294660" y="5976394"/>
                <a:pt x="9279076" y="5991985"/>
                <a:pt x="9259848" y="5991985"/>
              </a:cubicBezTo>
              <a:close/>
              <a:moveTo>
                <a:pt x="9344740" y="5991985"/>
              </a:moveTo>
              <a:cubicBezTo>
                <a:pt x="9325513" y="5991985"/>
                <a:pt x="9309915" y="5976394"/>
                <a:pt x="9309915" y="5957166"/>
              </a:cubicBezTo>
              <a:cubicBezTo>
                <a:pt x="9309915" y="5937939"/>
                <a:pt x="9325513" y="5922348"/>
                <a:pt x="9344740" y="5922348"/>
              </a:cubicBezTo>
              <a:cubicBezTo>
                <a:pt x="9363968" y="5922348"/>
                <a:pt x="9379553" y="5937939"/>
                <a:pt x="9379553" y="5957166"/>
              </a:cubicBezTo>
              <a:cubicBezTo>
                <a:pt x="9379553" y="5976394"/>
                <a:pt x="9363968" y="5991985"/>
                <a:pt x="9344740" y="5991985"/>
              </a:cubicBezTo>
              <a:close/>
              <a:moveTo>
                <a:pt x="9429633" y="5991985"/>
              </a:moveTo>
              <a:cubicBezTo>
                <a:pt x="9410405" y="5991985"/>
                <a:pt x="9394807" y="5976394"/>
                <a:pt x="9394807" y="5957166"/>
              </a:cubicBezTo>
              <a:cubicBezTo>
                <a:pt x="9394807" y="5937939"/>
                <a:pt x="9410405" y="5922348"/>
                <a:pt x="9429633" y="5922348"/>
              </a:cubicBezTo>
              <a:cubicBezTo>
                <a:pt x="9448860" y="5922348"/>
                <a:pt x="9464445" y="5937939"/>
                <a:pt x="9464445" y="5957166"/>
              </a:cubicBezTo>
              <a:cubicBezTo>
                <a:pt x="9464445" y="5976394"/>
                <a:pt x="9448860" y="5991985"/>
                <a:pt x="9429633" y="5991985"/>
              </a:cubicBezTo>
              <a:close/>
              <a:moveTo>
                <a:pt x="9599418" y="5991985"/>
              </a:moveTo>
              <a:cubicBezTo>
                <a:pt x="9580190" y="5991985"/>
                <a:pt x="9564593" y="5976394"/>
                <a:pt x="9564593" y="5957166"/>
              </a:cubicBezTo>
              <a:cubicBezTo>
                <a:pt x="9564593" y="5937939"/>
                <a:pt x="9580190" y="5922348"/>
                <a:pt x="9599418" y="5922348"/>
              </a:cubicBezTo>
              <a:cubicBezTo>
                <a:pt x="9618646" y="5922348"/>
                <a:pt x="9634230" y="5937939"/>
                <a:pt x="9634230" y="5957166"/>
              </a:cubicBezTo>
              <a:cubicBezTo>
                <a:pt x="9634230" y="5976394"/>
                <a:pt x="9618646" y="5991985"/>
                <a:pt x="9599418" y="5991985"/>
              </a:cubicBezTo>
              <a:close/>
              <a:moveTo>
                <a:pt x="9684310" y="5991985"/>
              </a:moveTo>
              <a:cubicBezTo>
                <a:pt x="9665083" y="5991985"/>
                <a:pt x="9649485" y="5976394"/>
                <a:pt x="9649485" y="5957166"/>
              </a:cubicBezTo>
              <a:cubicBezTo>
                <a:pt x="9649485" y="5937939"/>
                <a:pt x="9665083" y="5922348"/>
                <a:pt x="9684310" y="5922348"/>
              </a:cubicBezTo>
              <a:cubicBezTo>
                <a:pt x="9703538" y="5922348"/>
                <a:pt x="9719123" y="5937939"/>
                <a:pt x="9719123" y="5957166"/>
              </a:cubicBezTo>
              <a:cubicBezTo>
                <a:pt x="9719123" y="5976394"/>
                <a:pt x="9703538" y="5991985"/>
                <a:pt x="9684310" y="5991985"/>
              </a:cubicBezTo>
              <a:close/>
              <a:moveTo>
                <a:pt x="9938988" y="5991985"/>
              </a:moveTo>
              <a:cubicBezTo>
                <a:pt x="9919760" y="5991985"/>
                <a:pt x="9904163" y="5976394"/>
                <a:pt x="9904163" y="5957166"/>
              </a:cubicBezTo>
              <a:cubicBezTo>
                <a:pt x="9904163" y="5937939"/>
                <a:pt x="9919760" y="5922348"/>
                <a:pt x="9938988" y="5922348"/>
              </a:cubicBezTo>
              <a:cubicBezTo>
                <a:pt x="9958216" y="5922348"/>
                <a:pt x="9973800" y="5937939"/>
                <a:pt x="9973800" y="5957166"/>
              </a:cubicBezTo>
              <a:cubicBezTo>
                <a:pt x="9973800" y="5976394"/>
                <a:pt x="9958216" y="5991985"/>
                <a:pt x="9938988" y="5991985"/>
              </a:cubicBezTo>
              <a:close/>
              <a:moveTo>
                <a:pt x="10023880" y="5991985"/>
              </a:moveTo>
              <a:cubicBezTo>
                <a:pt x="10004653" y="5991985"/>
                <a:pt x="9989055" y="5976394"/>
                <a:pt x="9989055" y="5957166"/>
              </a:cubicBezTo>
              <a:cubicBezTo>
                <a:pt x="9989055" y="5937939"/>
                <a:pt x="10004653" y="5922348"/>
                <a:pt x="10023880" y="5922348"/>
              </a:cubicBezTo>
              <a:cubicBezTo>
                <a:pt x="10043108" y="5922348"/>
                <a:pt x="10058693" y="5937939"/>
                <a:pt x="10058693" y="5957166"/>
              </a:cubicBezTo>
              <a:cubicBezTo>
                <a:pt x="10058693" y="5976394"/>
                <a:pt x="10043108" y="5991985"/>
                <a:pt x="10023880" y="5991985"/>
              </a:cubicBezTo>
              <a:close/>
              <a:moveTo>
                <a:pt x="10108773" y="5991985"/>
              </a:moveTo>
              <a:cubicBezTo>
                <a:pt x="10089545" y="5991985"/>
                <a:pt x="10073947" y="5976394"/>
                <a:pt x="10073947" y="5957166"/>
              </a:cubicBezTo>
              <a:cubicBezTo>
                <a:pt x="10073947" y="5937939"/>
                <a:pt x="10089545" y="5922348"/>
                <a:pt x="10108773" y="5922348"/>
              </a:cubicBezTo>
              <a:cubicBezTo>
                <a:pt x="10128000" y="5922348"/>
                <a:pt x="10143585" y="5937939"/>
                <a:pt x="10143585" y="5957166"/>
              </a:cubicBezTo>
              <a:cubicBezTo>
                <a:pt x="10143585" y="5976394"/>
                <a:pt x="10128000" y="5991985"/>
                <a:pt x="10108773" y="5991985"/>
              </a:cubicBezTo>
              <a:close/>
              <a:moveTo>
                <a:pt x="10193665" y="5991985"/>
              </a:moveTo>
              <a:cubicBezTo>
                <a:pt x="10174437" y="5991985"/>
                <a:pt x="10158839" y="5976394"/>
                <a:pt x="10158839" y="5957166"/>
              </a:cubicBezTo>
              <a:cubicBezTo>
                <a:pt x="10158839" y="5937939"/>
                <a:pt x="10174437" y="5922348"/>
                <a:pt x="10193665" y="5922348"/>
              </a:cubicBezTo>
              <a:cubicBezTo>
                <a:pt x="10212893" y="5922348"/>
                <a:pt x="10228477" y="5937939"/>
                <a:pt x="10228477" y="5957166"/>
              </a:cubicBezTo>
              <a:cubicBezTo>
                <a:pt x="10228477" y="5976394"/>
                <a:pt x="10212893" y="5991985"/>
                <a:pt x="10193665" y="5991985"/>
              </a:cubicBezTo>
              <a:close/>
              <a:moveTo>
                <a:pt x="10278558" y="5991985"/>
              </a:moveTo>
              <a:cubicBezTo>
                <a:pt x="10259330" y="5991985"/>
                <a:pt x="10243733" y="5976394"/>
                <a:pt x="10243733" y="5957166"/>
              </a:cubicBezTo>
              <a:cubicBezTo>
                <a:pt x="10243733" y="5937939"/>
                <a:pt x="10259330" y="5922348"/>
                <a:pt x="10278558" y="5922348"/>
              </a:cubicBezTo>
              <a:cubicBezTo>
                <a:pt x="10297786" y="5922348"/>
                <a:pt x="10313370" y="5937939"/>
                <a:pt x="10313370" y="5957166"/>
              </a:cubicBezTo>
              <a:cubicBezTo>
                <a:pt x="10313370" y="5976394"/>
                <a:pt x="10297786" y="5991985"/>
                <a:pt x="10278558" y="5991985"/>
              </a:cubicBezTo>
              <a:close/>
              <a:moveTo>
                <a:pt x="10363450" y="5991985"/>
              </a:moveTo>
              <a:cubicBezTo>
                <a:pt x="10344223" y="5991985"/>
                <a:pt x="10328625" y="5976394"/>
                <a:pt x="10328625" y="5957166"/>
              </a:cubicBezTo>
              <a:cubicBezTo>
                <a:pt x="10328625" y="5937939"/>
                <a:pt x="10344223" y="5922348"/>
                <a:pt x="10363450" y="5922348"/>
              </a:cubicBezTo>
              <a:cubicBezTo>
                <a:pt x="10382678" y="5922348"/>
                <a:pt x="10398263" y="5937939"/>
                <a:pt x="10398263" y="5957166"/>
              </a:cubicBezTo>
              <a:cubicBezTo>
                <a:pt x="10398263" y="5976394"/>
                <a:pt x="10382678" y="5991985"/>
                <a:pt x="10363450" y="5991985"/>
              </a:cubicBezTo>
              <a:close/>
              <a:moveTo>
                <a:pt x="10448343" y="5991985"/>
              </a:moveTo>
              <a:cubicBezTo>
                <a:pt x="10429115" y="5991985"/>
                <a:pt x="10413517" y="5976394"/>
                <a:pt x="10413517" y="5957166"/>
              </a:cubicBezTo>
              <a:cubicBezTo>
                <a:pt x="10413517" y="5937939"/>
                <a:pt x="10429115" y="5922348"/>
                <a:pt x="10448343" y="5922348"/>
              </a:cubicBezTo>
              <a:cubicBezTo>
                <a:pt x="10467570" y="5922348"/>
                <a:pt x="10483155" y="5937939"/>
                <a:pt x="10483155" y="5957166"/>
              </a:cubicBezTo>
              <a:cubicBezTo>
                <a:pt x="10483155" y="5976394"/>
                <a:pt x="10467570" y="5991985"/>
                <a:pt x="10448343" y="5991985"/>
              </a:cubicBezTo>
              <a:close/>
              <a:moveTo>
                <a:pt x="10533235" y="5991985"/>
              </a:moveTo>
              <a:cubicBezTo>
                <a:pt x="10514007" y="5991985"/>
                <a:pt x="10498409" y="5976394"/>
                <a:pt x="10498409" y="5957166"/>
              </a:cubicBezTo>
              <a:cubicBezTo>
                <a:pt x="10498409" y="5937939"/>
                <a:pt x="10514007" y="5922348"/>
                <a:pt x="10533235" y="5922348"/>
              </a:cubicBezTo>
              <a:cubicBezTo>
                <a:pt x="10552463" y="5922348"/>
                <a:pt x="10568047" y="5937939"/>
                <a:pt x="10568047" y="5957166"/>
              </a:cubicBezTo>
              <a:cubicBezTo>
                <a:pt x="10568047" y="5976394"/>
                <a:pt x="10552463" y="5991985"/>
                <a:pt x="10533235" y="5991985"/>
              </a:cubicBezTo>
              <a:close/>
              <a:moveTo>
                <a:pt x="10618128" y="5991985"/>
              </a:moveTo>
              <a:cubicBezTo>
                <a:pt x="10598900" y="5991985"/>
                <a:pt x="10583303" y="5976394"/>
                <a:pt x="10583303" y="5957166"/>
              </a:cubicBezTo>
              <a:cubicBezTo>
                <a:pt x="10583303" y="5937939"/>
                <a:pt x="10598900" y="5922348"/>
                <a:pt x="10618128" y="5922348"/>
              </a:cubicBezTo>
              <a:cubicBezTo>
                <a:pt x="10637356" y="5922348"/>
                <a:pt x="10652940" y="5937939"/>
                <a:pt x="10652940" y="5957166"/>
              </a:cubicBezTo>
              <a:cubicBezTo>
                <a:pt x="10652940" y="5976394"/>
                <a:pt x="10637356" y="5991985"/>
                <a:pt x="10618128" y="5991985"/>
              </a:cubicBezTo>
              <a:close/>
              <a:moveTo>
                <a:pt x="1704413" y="5907125"/>
              </a:moveTo>
              <a:cubicBezTo>
                <a:pt x="1685186" y="5907125"/>
                <a:pt x="1669594" y="5891534"/>
                <a:pt x="1669594" y="5872307"/>
              </a:cubicBezTo>
              <a:cubicBezTo>
                <a:pt x="1669594" y="5853079"/>
                <a:pt x="1685186" y="5837488"/>
                <a:pt x="1704413" y="5837488"/>
              </a:cubicBezTo>
              <a:cubicBezTo>
                <a:pt x="1723641" y="5837488"/>
                <a:pt x="1739232" y="5853079"/>
                <a:pt x="1739232" y="5872307"/>
              </a:cubicBezTo>
              <a:cubicBezTo>
                <a:pt x="1739232" y="5891534"/>
                <a:pt x="1723641" y="5907125"/>
                <a:pt x="1704413" y="5907125"/>
              </a:cubicBezTo>
              <a:close/>
              <a:moveTo>
                <a:pt x="1789306" y="5907125"/>
              </a:moveTo>
              <a:cubicBezTo>
                <a:pt x="1770078" y="5907125"/>
                <a:pt x="1754487" y="5891534"/>
                <a:pt x="1754487" y="5872307"/>
              </a:cubicBezTo>
              <a:cubicBezTo>
                <a:pt x="1754487" y="5853079"/>
                <a:pt x="1770078" y="5837488"/>
                <a:pt x="1789306" y="5837488"/>
              </a:cubicBezTo>
              <a:cubicBezTo>
                <a:pt x="1808533" y="5837488"/>
                <a:pt x="1824124" y="5853079"/>
                <a:pt x="1824124" y="5872307"/>
              </a:cubicBezTo>
              <a:cubicBezTo>
                <a:pt x="1824124" y="5891534"/>
                <a:pt x="1808533" y="5907125"/>
                <a:pt x="1789306" y="5907125"/>
              </a:cubicBezTo>
              <a:close/>
              <a:moveTo>
                <a:pt x="1874199" y="5907125"/>
              </a:moveTo>
              <a:cubicBezTo>
                <a:pt x="1854971" y="5907125"/>
                <a:pt x="1839380" y="5891534"/>
                <a:pt x="1839380" y="5872307"/>
              </a:cubicBezTo>
              <a:cubicBezTo>
                <a:pt x="1839380" y="5853079"/>
                <a:pt x="1854971" y="5837488"/>
                <a:pt x="1874199" y="5837488"/>
              </a:cubicBezTo>
              <a:cubicBezTo>
                <a:pt x="1893427" y="5837488"/>
                <a:pt x="1909018" y="5853079"/>
                <a:pt x="1909018" y="5872307"/>
              </a:cubicBezTo>
              <a:cubicBezTo>
                <a:pt x="1909018" y="5891534"/>
                <a:pt x="1893427" y="5907125"/>
                <a:pt x="1874199" y="5907125"/>
              </a:cubicBezTo>
              <a:close/>
              <a:moveTo>
                <a:pt x="1959091" y="5907125"/>
              </a:moveTo>
              <a:cubicBezTo>
                <a:pt x="1939863" y="5907125"/>
                <a:pt x="1924272" y="5891534"/>
                <a:pt x="1924272" y="5872307"/>
              </a:cubicBezTo>
              <a:cubicBezTo>
                <a:pt x="1924272" y="5853079"/>
                <a:pt x="1939863" y="5837488"/>
                <a:pt x="1959091" y="5837488"/>
              </a:cubicBezTo>
              <a:cubicBezTo>
                <a:pt x="1978319" y="5837488"/>
                <a:pt x="1993910" y="5853079"/>
                <a:pt x="1993910" y="5872307"/>
              </a:cubicBezTo>
              <a:cubicBezTo>
                <a:pt x="1993910" y="5891534"/>
                <a:pt x="1978319" y="5907125"/>
                <a:pt x="1959091" y="5907125"/>
              </a:cubicBezTo>
              <a:close/>
              <a:moveTo>
                <a:pt x="2043983" y="5907125"/>
              </a:moveTo>
              <a:cubicBezTo>
                <a:pt x="2024756" y="5907125"/>
                <a:pt x="2009164" y="5891534"/>
                <a:pt x="2009164" y="5872307"/>
              </a:cubicBezTo>
              <a:cubicBezTo>
                <a:pt x="2009164" y="5853079"/>
                <a:pt x="2024756" y="5837488"/>
                <a:pt x="2043983" y="5837488"/>
              </a:cubicBezTo>
              <a:cubicBezTo>
                <a:pt x="2063211" y="5837488"/>
                <a:pt x="2078802" y="5853079"/>
                <a:pt x="2078802" y="5872307"/>
              </a:cubicBezTo>
              <a:cubicBezTo>
                <a:pt x="2078802" y="5891534"/>
                <a:pt x="2063211" y="5907125"/>
                <a:pt x="2043983" y="5907125"/>
              </a:cubicBezTo>
              <a:close/>
              <a:moveTo>
                <a:pt x="2128876" y="5907125"/>
              </a:moveTo>
              <a:cubicBezTo>
                <a:pt x="2109648" y="5907125"/>
                <a:pt x="2094057" y="5891534"/>
                <a:pt x="2094057" y="5872307"/>
              </a:cubicBezTo>
              <a:cubicBezTo>
                <a:pt x="2094057" y="5853079"/>
                <a:pt x="2109648" y="5837488"/>
                <a:pt x="2128876" y="5837488"/>
              </a:cubicBezTo>
              <a:cubicBezTo>
                <a:pt x="2148103" y="5837488"/>
                <a:pt x="2163694" y="5853079"/>
                <a:pt x="2163694" y="5872307"/>
              </a:cubicBezTo>
              <a:cubicBezTo>
                <a:pt x="2163694" y="5891534"/>
                <a:pt x="2148103" y="5907125"/>
                <a:pt x="2128876" y="5907125"/>
              </a:cubicBezTo>
              <a:close/>
              <a:moveTo>
                <a:pt x="2977801" y="5907125"/>
              </a:moveTo>
              <a:cubicBezTo>
                <a:pt x="2958573" y="5907125"/>
                <a:pt x="2942982" y="5891534"/>
                <a:pt x="2942982" y="5872307"/>
              </a:cubicBezTo>
              <a:cubicBezTo>
                <a:pt x="2942982" y="5853079"/>
                <a:pt x="2958573" y="5837488"/>
                <a:pt x="2977801" y="5837488"/>
              </a:cubicBezTo>
              <a:cubicBezTo>
                <a:pt x="2997029" y="5837488"/>
                <a:pt x="3012620" y="5853079"/>
                <a:pt x="3012620" y="5872307"/>
              </a:cubicBezTo>
              <a:cubicBezTo>
                <a:pt x="3012620" y="5891534"/>
                <a:pt x="2997029" y="5907125"/>
                <a:pt x="2977801" y="5907125"/>
              </a:cubicBezTo>
              <a:close/>
              <a:moveTo>
                <a:pt x="3062693" y="5907125"/>
              </a:moveTo>
              <a:cubicBezTo>
                <a:pt x="3043466" y="5907125"/>
                <a:pt x="3027874" y="5891534"/>
                <a:pt x="3027874" y="5872307"/>
              </a:cubicBezTo>
              <a:cubicBezTo>
                <a:pt x="3027874" y="5853079"/>
                <a:pt x="3043466" y="5837488"/>
                <a:pt x="3062693" y="5837488"/>
              </a:cubicBezTo>
              <a:cubicBezTo>
                <a:pt x="3081921" y="5837488"/>
                <a:pt x="3097512" y="5853079"/>
                <a:pt x="3097512" y="5872307"/>
              </a:cubicBezTo>
              <a:cubicBezTo>
                <a:pt x="3097512" y="5891534"/>
                <a:pt x="3081921" y="5907125"/>
                <a:pt x="3062693" y="5907125"/>
              </a:cubicBezTo>
              <a:close/>
              <a:moveTo>
                <a:pt x="3147586" y="5907125"/>
              </a:moveTo>
              <a:cubicBezTo>
                <a:pt x="3128358" y="5907125"/>
                <a:pt x="3112767" y="5891534"/>
                <a:pt x="3112767" y="5872307"/>
              </a:cubicBezTo>
              <a:cubicBezTo>
                <a:pt x="3112767" y="5853079"/>
                <a:pt x="3128358" y="5837488"/>
                <a:pt x="3147586" y="5837488"/>
              </a:cubicBezTo>
              <a:cubicBezTo>
                <a:pt x="3166813" y="5837488"/>
                <a:pt x="3182404" y="5853079"/>
                <a:pt x="3182404" y="5872307"/>
              </a:cubicBezTo>
              <a:cubicBezTo>
                <a:pt x="3182404" y="5891534"/>
                <a:pt x="3166813" y="5907125"/>
                <a:pt x="3147586" y="5907125"/>
              </a:cubicBezTo>
              <a:close/>
              <a:moveTo>
                <a:pt x="3826726" y="5907125"/>
              </a:moveTo>
              <a:cubicBezTo>
                <a:pt x="3807498" y="5907125"/>
                <a:pt x="3791907" y="5891534"/>
                <a:pt x="3791907" y="5872307"/>
              </a:cubicBezTo>
              <a:cubicBezTo>
                <a:pt x="3791907" y="5853079"/>
                <a:pt x="3807498" y="5837488"/>
                <a:pt x="3826726" y="5837488"/>
              </a:cubicBezTo>
              <a:cubicBezTo>
                <a:pt x="3845953" y="5837488"/>
                <a:pt x="3861544" y="5853079"/>
                <a:pt x="3861544" y="5872307"/>
              </a:cubicBezTo>
              <a:cubicBezTo>
                <a:pt x="3861544" y="5891534"/>
                <a:pt x="3845953" y="5907125"/>
                <a:pt x="3826726" y="5907125"/>
              </a:cubicBezTo>
              <a:close/>
              <a:moveTo>
                <a:pt x="3911618" y="5907125"/>
              </a:moveTo>
              <a:cubicBezTo>
                <a:pt x="3892390" y="5907125"/>
                <a:pt x="3876799" y="5891534"/>
                <a:pt x="3876799" y="5872307"/>
              </a:cubicBezTo>
              <a:cubicBezTo>
                <a:pt x="3876799" y="5853079"/>
                <a:pt x="3892390" y="5837488"/>
                <a:pt x="3911618" y="5837488"/>
              </a:cubicBezTo>
              <a:cubicBezTo>
                <a:pt x="3930846" y="5837488"/>
                <a:pt x="3946437" y="5853079"/>
                <a:pt x="3946437" y="5872307"/>
              </a:cubicBezTo>
              <a:cubicBezTo>
                <a:pt x="3946437" y="5891534"/>
                <a:pt x="3930846" y="5907125"/>
                <a:pt x="3911618" y="5907125"/>
              </a:cubicBezTo>
              <a:close/>
              <a:moveTo>
                <a:pt x="3996511" y="5907125"/>
              </a:moveTo>
              <a:cubicBezTo>
                <a:pt x="3977283" y="5907125"/>
                <a:pt x="3961692" y="5891534"/>
                <a:pt x="3961692" y="5872307"/>
              </a:cubicBezTo>
              <a:cubicBezTo>
                <a:pt x="3961692" y="5853079"/>
                <a:pt x="3977283" y="5837488"/>
                <a:pt x="3996511" y="5837488"/>
              </a:cubicBezTo>
              <a:cubicBezTo>
                <a:pt x="4015739" y="5837488"/>
                <a:pt x="4031330" y="5853079"/>
                <a:pt x="4031330" y="5872307"/>
              </a:cubicBezTo>
              <a:cubicBezTo>
                <a:pt x="4031330" y="5891534"/>
                <a:pt x="4015739" y="5907125"/>
                <a:pt x="3996511" y="5907125"/>
              </a:cubicBezTo>
              <a:close/>
              <a:moveTo>
                <a:pt x="4336080" y="5907125"/>
              </a:moveTo>
              <a:cubicBezTo>
                <a:pt x="4316852" y="5907125"/>
                <a:pt x="4301261" y="5891534"/>
                <a:pt x="4301261" y="5872307"/>
              </a:cubicBezTo>
              <a:cubicBezTo>
                <a:pt x="4301261" y="5853079"/>
                <a:pt x="4316852" y="5837488"/>
                <a:pt x="4336080" y="5837488"/>
              </a:cubicBezTo>
              <a:cubicBezTo>
                <a:pt x="4355308" y="5837488"/>
                <a:pt x="4370899" y="5853079"/>
                <a:pt x="4370899" y="5872307"/>
              </a:cubicBezTo>
              <a:cubicBezTo>
                <a:pt x="4370899" y="5891534"/>
                <a:pt x="4355308" y="5907125"/>
                <a:pt x="4336080" y="5907125"/>
              </a:cubicBezTo>
              <a:close/>
              <a:moveTo>
                <a:pt x="4420973" y="5907125"/>
              </a:moveTo>
              <a:cubicBezTo>
                <a:pt x="4401746" y="5907125"/>
                <a:pt x="4386154" y="5891534"/>
                <a:pt x="4386154" y="5872307"/>
              </a:cubicBezTo>
              <a:cubicBezTo>
                <a:pt x="4386154" y="5853079"/>
                <a:pt x="4401746" y="5837488"/>
                <a:pt x="4420973" y="5837488"/>
              </a:cubicBezTo>
              <a:cubicBezTo>
                <a:pt x="4440201" y="5837488"/>
                <a:pt x="4455792" y="5853079"/>
                <a:pt x="4455792" y="5872307"/>
              </a:cubicBezTo>
              <a:cubicBezTo>
                <a:pt x="4455792" y="5891534"/>
                <a:pt x="4440201" y="5907125"/>
                <a:pt x="4420973" y="5907125"/>
              </a:cubicBezTo>
              <a:close/>
              <a:moveTo>
                <a:pt x="4505866" y="5907125"/>
              </a:moveTo>
              <a:cubicBezTo>
                <a:pt x="4486638" y="5907125"/>
                <a:pt x="4471047" y="5891534"/>
                <a:pt x="4471047" y="5872307"/>
              </a:cubicBezTo>
              <a:cubicBezTo>
                <a:pt x="4471047" y="5853079"/>
                <a:pt x="4486638" y="5837488"/>
                <a:pt x="4505866" y="5837488"/>
              </a:cubicBezTo>
              <a:cubicBezTo>
                <a:pt x="4525093" y="5837488"/>
                <a:pt x="4540684" y="5853079"/>
                <a:pt x="4540684" y="5872307"/>
              </a:cubicBezTo>
              <a:cubicBezTo>
                <a:pt x="4540684" y="5891534"/>
                <a:pt x="4525093" y="5907125"/>
                <a:pt x="4505866" y="5907125"/>
              </a:cubicBezTo>
              <a:close/>
              <a:moveTo>
                <a:pt x="4590758" y="5907125"/>
              </a:moveTo>
              <a:cubicBezTo>
                <a:pt x="4571530" y="5907125"/>
                <a:pt x="4555939" y="5891534"/>
                <a:pt x="4555939" y="5872307"/>
              </a:cubicBezTo>
              <a:cubicBezTo>
                <a:pt x="4555939" y="5853079"/>
                <a:pt x="4571530" y="5837488"/>
                <a:pt x="4590758" y="5837488"/>
              </a:cubicBezTo>
              <a:cubicBezTo>
                <a:pt x="4609986" y="5837488"/>
                <a:pt x="4625577" y="5853079"/>
                <a:pt x="4625577" y="5872307"/>
              </a:cubicBezTo>
              <a:cubicBezTo>
                <a:pt x="4625577" y="5891534"/>
                <a:pt x="4609986" y="5907125"/>
                <a:pt x="4590758" y="5907125"/>
              </a:cubicBezTo>
              <a:close/>
              <a:moveTo>
                <a:pt x="4675650" y="5907125"/>
              </a:moveTo>
              <a:cubicBezTo>
                <a:pt x="4656422" y="5907125"/>
                <a:pt x="4640831" y="5891534"/>
                <a:pt x="4640831" y="5872307"/>
              </a:cubicBezTo>
              <a:cubicBezTo>
                <a:pt x="4640831" y="5853079"/>
                <a:pt x="4656422" y="5837488"/>
                <a:pt x="4675650" y="5837488"/>
              </a:cubicBezTo>
              <a:cubicBezTo>
                <a:pt x="4694878" y="5837488"/>
                <a:pt x="4710469" y="5853079"/>
                <a:pt x="4710469" y="5872307"/>
              </a:cubicBezTo>
              <a:cubicBezTo>
                <a:pt x="4710469" y="5891534"/>
                <a:pt x="4694878" y="5907125"/>
                <a:pt x="4675650" y="5907125"/>
              </a:cubicBezTo>
              <a:close/>
              <a:moveTo>
                <a:pt x="4760543" y="5907125"/>
              </a:moveTo>
              <a:cubicBezTo>
                <a:pt x="4741316" y="5907125"/>
                <a:pt x="4725724" y="5891534"/>
                <a:pt x="4725724" y="5872307"/>
              </a:cubicBezTo>
              <a:cubicBezTo>
                <a:pt x="4725724" y="5853079"/>
                <a:pt x="4741316" y="5837488"/>
                <a:pt x="4760543" y="5837488"/>
              </a:cubicBezTo>
              <a:cubicBezTo>
                <a:pt x="4779771" y="5837488"/>
                <a:pt x="4795362" y="5853079"/>
                <a:pt x="4795362" y="5872307"/>
              </a:cubicBezTo>
              <a:cubicBezTo>
                <a:pt x="4795362" y="5891534"/>
                <a:pt x="4779771" y="5907125"/>
                <a:pt x="4760543" y="5907125"/>
              </a:cubicBezTo>
              <a:close/>
              <a:moveTo>
                <a:pt x="4845436" y="5907125"/>
              </a:moveTo>
              <a:cubicBezTo>
                <a:pt x="4826208" y="5907125"/>
                <a:pt x="4810617" y="5891534"/>
                <a:pt x="4810617" y="5872307"/>
              </a:cubicBezTo>
              <a:cubicBezTo>
                <a:pt x="4810617" y="5853079"/>
                <a:pt x="4826208" y="5837488"/>
                <a:pt x="4845436" y="5837488"/>
              </a:cubicBezTo>
              <a:cubicBezTo>
                <a:pt x="4864663" y="5837488"/>
                <a:pt x="4880254" y="5853079"/>
                <a:pt x="4880254" y="5872307"/>
              </a:cubicBezTo>
              <a:cubicBezTo>
                <a:pt x="4880254" y="5891534"/>
                <a:pt x="4864663" y="5907125"/>
                <a:pt x="4845436" y="5907125"/>
              </a:cubicBezTo>
              <a:close/>
              <a:moveTo>
                <a:pt x="4930328" y="5907125"/>
              </a:moveTo>
              <a:cubicBezTo>
                <a:pt x="4911100" y="5907125"/>
                <a:pt x="4895509" y="5891534"/>
                <a:pt x="4895509" y="5872307"/>
              </a:cubicBezTo>
              <a:cubicBezTo>
                <a:pt x="4895509" y="5853079"/>
                <a:pt x="4911100" y="5837488"/>
                <a:pt x="4930328" y="5837488"/>
              </a:cubicBezTo>
              <a:cubicBezTo>
                <a:pt x="4949556" y="5837488"/>
                <a:pt x="4965147" y="5853079"/>
                <a:pt x="4965147" y="5872307"/>
              </a:cubicBezTo>
              <a:cubicBezTo>
                <a:pt x="4965147" y="5891534"/>
                <a:pt x="4949556" y="5907125"/>
                <a:pt x="4930328" y="5907125"/>
              </a:cubicBezTo>
              <a:close/>
              <a:moveTo>
                <a:pt x="5015220" y="5907125"/>
              </a:moveTo>
              <a:cubicBezTo>
                <a:pt x="4995992" y="5907125"/>
                <a:pt x="4980401" y="5891534"/>
                <a:pt x="4980401" y="5872307"/>
              </a:cubicBezTo>
              <a:cubicBezTo>
                <a:pt x="4980401" y="5853079"/>
                <a:pt x="4995992" y="5837488"/>
                <a:pt x="5015220" y="5837488"/>
              </a:cubicBezTo>
              <a:cubicBezTo>
                <a:pt x="5034448" y="5837488"/>
                <a:pt x="5050039" y="5853079"/>
                <a:pt x="5050039" y="5872307"/>
              </a:cubicBezTo>
              <a:cubicBezTo>
                <a:pt x="5050039" y="5891534"/>
                <a:pt x="5034448" y="5907125"/>
                <a:pt x="5015220" y="5907125"/>
              </a:cubicBezTo>
              <a:close/>
              <a:moveTo>
                <a:pt x="5100113" y="5907125"/>
              </a:moveTo>
              <a:cubicBezTo>
                <a:pt x="5080886" y="5907125"/>
                <a:pt x="5065294" y="5891534"/>
                <a:pt x="5065294" y="5872307"/>
              </a:cubicBezTo>
              <a:cubicBezTo>
                <a:pt x="5065294" y="5853079"/>
                <a:pt x="5080886" y="5837488"/>
                <a:pt x="5100113" y="5837488"/>
              </a:cubicBezTo>
              <a:cubicBezTo>
                <a:pt x="5119341" y="5837488"/>
                <a:pt x="5134932" y="5853079"/>
                <a:pt x="5134932" y="5872307"/>
              </a:cubicBezTo>
              <a:cubicBezTo>
                <a:pt x="5134932" y="5891534"/>
                <a:pt x="5119341" y="5907125"/>
                <a:pt x="5100113" y="5907125"/>
              </a:cubicBezTo>
              <a:close/>
              <a:moveTo>
                <a:pt x="5185006" y="5907125"/>
              </a:moveTo>
              <a:cubicBezTo>
                <a:pt x="5165778" y="5907125"/>
                <a:pt x="5150187" y="5891534"/>
                <a:pt x="5150187" y="5872307"/>
              </a:cubicBezTo>
              <a:cubicBezTo>
                <a:pt x="5150187" y="5853079"/>
                <a:pt x="5165778" y="5837488"/>
                <a:pt x="5185006" y="5837488"/>
              </a:cubicBezTo>
              <a:cubicBezTo>
                <a:pt x="5204233" y="5837488"/>
                <a:pt x="5219824" y="5853079"/>
                <a:pt x="5219824" y="5872307"/>
              </a:cubicBezTo>
              <a:cubicBezTo>
                <a:pt x="5219824" y="5891534"/>
                <a:pt x="5204233" y="5907125"/>
                <a:pt x="5185006" y="5907125"/>
              </a:cubicBezTo>
              <a:close/>
              <a:moveTo>
                <a:pt x="5269898" y="5907125"/>
              </a:moveTo>
              <a:cubicBezTo>
                <a:pt x="5250670" y="5907125"/>
                <a:pt x="5235079" y="5891534"/>
                <a:pt x="5235079" y="5872307"/>
              </a:cubicBezTo>
              <a:cubicBezTo>
                <a:pt x="5235079" y="5853079"/>
                <a:pt x="5250670" y="5837488"/>
                <a:pt x="5269898" y="5837488"/>
              </a:cubicBezTo>
              <a:cubicBezTo>
                <a:pt x="5289126" y="5837488"/>
                <a:pt x="5304717" y="5853079"/>
                <a:pt x="5304717" y="5872307"/>
              </a:cubicBezTo>
              <a:cubicBezTo>
                <a:pt x="5304717" y="5891534"/>
                <a:pt x="5289126" y="5907125"/>
                <a:pt x="5269898" y="5907125"/>
              </a:cubicBezTo>
              <a:close/>
              <a:moveTo>
                <a:pt x="5354790" y="5907125"/>
              </a:moveTo>
              <a:cubicBezTo>
                <a:pt x="5335562" y="5907125"/>
                <a:pt x="5319971" y="5891534"/>
                <a:pt x="5319971" y="5872307"/>
              </a:cubicBezTo>
              <a:cubicBezTo>
                <a:pt x="5319971" y="5853079"/>
                <a:pt x="5335562" y="5837488"/>
                <a:pt x="5354790" y="5837488"/>
              </a:cubicBezTo>
              <a:cubicBezTo>
                <a:pt x="5374018" y="5837488"/>
                <a:pt x="5389609" y="5853079"/>
                <a:pt x="5389609" y="5872307"/>
              </a:cubicBezTo>
              <a:cubicBezTo>
                <a:pt x="5389609" y="5891534"/>
                <a:pt x="5374018" y="5907125"/>
                <a:pt x="5354790" y="5907125"/>
              </a:cubicBezTo>
              <a:close/>
              <a:moveTo>
                <a:pt x="6203718" y="5907125"/>
              </a:moveTo>
              <a:cubicBezTo>
                <a:pt x="6184490" y="5907125"/>
                <a:pt x="6168893" y="5891534"/>
                <a:pt x="6168893" y="5872307"/>
              </a:cubicBezTo>
              <a:cubicBezTo>
                <a:pt x="6168893" y="5853079"/>
                <a:pt x="6184490" y="5837488"/>
                <a:pt x="6203718" y="5837488"/>
              </a:cubicBezTo>
              <a:cubicBezTo>
                <a:pt x="6222946" y="5837488"/>
                <a:pt x="6238530" y="5853079"/>
                <a:pt x="6238530" y="5872307"/>
              </a:cubicBezTo>
              <a:cubicBezTo>
                <a:pt x="6238530" y="5891534"/>
                <a:pt x="6222946" y="5907125"/>
                <a:pt x="6203718" y="5907125"/>
              </a:cubicBezTo>
              <a:close/>
              <a:moveTo>
                <a:pt x="6288611" y="5907125"/>
              </a:moveTo>
              <a:cubicBezTo>
                <a:pt x="6269384" y="5907125"/>
                <a:pt x="6253786" y="5891534"/>
                <a:pt x="6253786" y="5872307"/>
              </a:cubicBezTo>
              <a:cubicBezTo>
                <a:pt x="6253786" y="5853079"/>
                <a:pt x="6269384" y="5837488"/>
                <a:pt x="6288611" y="5837488"/>
              </a:cubicBezTo>
              <a:cubicBezTo>
                <a:pt x="6307839" y="5837488"/>
                <a:pt x="6323424" y="5853079"/>
                <a:pt x="6323424" y="5872307"/>
              </a:cubicBezTo>
              <a:cubicBezTo>
                <a:pt x="6323424" y="5891534"/>
                <a:pt x="6307839" y="5907125"/>
                <a:pt x="6288611" y="5907125"/>
              </a:cubicBezTo>
              <a:close/>
              <a:moveTo>
                <a:pt x="7307320" y="5907125"/>
              </a:moveTo>
              <a:cubicBezTo>
                <a:pt x="7288093" y="5907125"/>
                <a:pt x="7272495" y="5891534"/>
                <a:pt x="7272495" y="5872307"/>
              </a:cubicBezTo>
              <a:cubicBezTo>
                <a:pt x="7272495" y="5853079"/>
                <a:pt x="7288093" y="5837488"/>
                <a:pt x="7307320" y="5837488"/>
              </a:cubicBezTo>
              <a:cubicBezTo>
                <a:pt x="7326548" y="5837488"/>
                <a:pt x="7342133" y="5853079"/>
                <a:pt x="7342133" y="5872307"/>
              </a:cubicBezTo>
              <a:cubicBezTo>
                <a:pt x="7342133" y="5891534"/>
                <a:pt x="7326548" y="5907125"/>
                <a:pt x="7307320" y="5907125"/>
              </a:cubicBezTo>
              <a:close/>
              <a:moveTo>
                <a:pt x="7901568" y="5907125"/>
              </a:moveTo>
              <a:cubicBezTo>
                <a:pt x="7882340" y="5907125"/>
                <a:pt x="7866743" y="5891534"/>
                <a:pt x="7866743" y="5872307"/>
              </a:cubicBezTo>
              <a:cubicBezTo>
                <a:pt x="7866743" y="5853079"/>
                <a:pt x="7882340" y="5837488"/>
                <a:pt x="7901568" y="5837488"/>
              </a:cubicBezTo>
              <a:cubicBezTo>
                <a:pt x="7920796" y="5837488"/>
                <a:pt x="7936380" y="5853079"/>
                <a:pt x="7936380" y="5872307"/>
              </a:cubicBezTo>
              <a:cubicBezTo>
                <a:pt x="7936380" y="5891534"/>
                <a:pt x="7920796" y="5907125"/>
                <a:pt x="7901568" y="5907125"/>
              </a:cubicBezTo>
              <a:close/>
              <a:moveTo>
                <a:pt x="7986460" y="5907125"/>
              </a:moveTo>
              <a:cubicBezTo>
                <a:pt x="7967233" y="5907125"/>
                <a:pt x="7951635" y="5891534"/>
                <a:pt x="7951635" y="5872307"/>
              </a:cubicBezTo>
              <a:cubicBezTo>
                <a:pt x="7951635" y="5853079"/>
                <a:pt x="7967233" y="5837488"/>
                <a:pt x="7986460" y="5837488"/>
              </a:cubicBezTo>
              <a:cubicBezTo>
                <a:pt x="8005688" y="5837488"/>
                <a:pt x="8021273" y="5853079"/>
                <a:pt x="8021273" y="5872307"/>
              </a:cubicBezTo>
              <a:cubicBezTo>
                <a:pt x="8021273" y="5891534"/>
                <a:pt x="8005688" y="5907125"/>
                <a:pt x="7986460" y="5907125"/>
              </a:cubicBezTo>
              <a:close/>
              <a:moveTo>
                <a:pt x="8071353" y="5907125"/>
              </a:moveTo>
              <a:cubicBezTo>
                <a:pt x="8052125" y="5907125"/>
                <a:pt x="8036527" y="5891534"/>
                <a:pt x="8036527" y="5872307"/>
              </a:cubicBezTo>
              <a:cubicBezTo>
                <a:pt x="8036527" y="5853079"/>
                <a:pt x="8052125" y="5837488"/>
                <a:pt x="8071353" y="5837488"/>
              </a:cubicBezTo>
              <a:cubicBezTo>
                <a:pt x="8090580" y="5837488"/>
                <a:pt x="8106165" y="5853079"/>
                <a:pt x="8106165" y="5872307"/>
              </a:cubicBezTo>
              <a:cubicBezTo>
                <a:pt x="8106165" y="5891534"/>
                <a:pt x="8090580" y="5907125"/>
                <a:pt x="8071353" y="5907125"/>
              </a:cubicBezTo>
              <a:close/>
              <a:moveTo>
                <a:pt x="8241138" y="5907125"/>
              </a:moveTo>
              <a:cubicBezTo>
                <a:pt x="8221910" y="5907125"/>
                <a:pt x="8206313" y="5891534"/>
                <a:pt x="8206313" y="5872307"/>
              </a:cubicBezTo>
              <a:cubicBezTo>
                <a:pt x="8206313" y="5853079"/>
                <a:pt x="8221910" y="5837488"/>
                <a:pt x="8241138" y="5837488"/>
              </a:cubicBezTo>
              <a:cubicBezTo>
                <a:pt x="8260366" y="5837488"/>
                <a:pt x="8275950" y="5853079"/>
                <a:pt x="8275950" y="5872307"/>
              </a:cubicBezTo>
              <a:cubicBezTo>
                <a:pt x="8275950" y="5891534"/>
                <a:pt x="8260366" y="5907125"/>
                <a:pt x="8241138" y="5907125"/>
              </a:cubicBezTo>
              <a:close/>
              <a:moveTo>
                <a:pt x="8580708" y="5907125"/>
              </a:moveTo>
              <a:cubicBezTo>
                <a:pt x="8561480" y="5907125"/>
                <a:pt x="8545883" y="5891534"/>
                <a:pt x="8545883" y="5872307"/>
              </a:cubicBezTo>
              <a:cubicBezTo>
                <a:pt x="8545883" y="5853079"/>
                <a:pt x="8561480" y="5837488"/>
                <a:pt x="8580708" y="5837488"/>
              </a:cubicBezTo>
              <a:cubicBezTo>
                <a:pt x="8599936" y="5837488"/>
                <a:pt x="8615520" y="5853079"/>
                <a:pt x="8615520" y="5872307"/>
              </a:cubicBezTo>
              <a:cubicBezTo>
                <a:pt x="8615520" y="5891534"/>
                <a:pt x="8599936" y="5907125"/>
                <a:pt x="8580708" y="5907125"/>
              </a:cubicBezTo>
              <a:close/>
              <a:moveTo>
                <a:pt x="8750493" y="5907125"/>
              </a:moveTo>
              <a:cubicBezTo>
                <a:pt x="8731265" y="5907125"/>
                <a:pt x="8715667" y="5891534"/>
                <a:pt x="8715667" y="5872307"/>
              </a:cubicBezTo>
              <a:cubicBezTo>
                <a:pt x="8715667" y="5853079"/>
                <a:pt x="8731265" y="5837488"/>
                <a:pt x="8750493" y="5837488"/>
              </a:cubicBezTo>
              <a:cubicBezTo>
                <a:pt x="8769720" y="5837488"/>
                <a:pt x="8785305" y="5853079"/>
                <a:pt x="8785305" y="5872307"/>
              </a:cubicBezTo>
              <a:cubicBezTo>
                <a:pt x="8785305" y="5891534"/>
                <a:pt x="8769720" y="5907125"/>
                <a:pt x="8750493" y="5907125"/>
              </a:cubicBezTo>
              <a:close/>
              <a:moveTo>
                <a:pt x="8835386" y="5907125"/>
              </a:moveTo>
              <a:cubicBezTo>
                <a:pt x="8816158" y="5907125"/>
                <a:pt x="8800560" y="5891534"/>
                <a:pt x="8800560" y="5872307"/>
              </a:cubicBezTo>
              <a:cubicBezTo>
                <a:pt x="8800560" y="5853079"/>
                <a:pt x="8816158" y="5837488"/>
                <a:pt x="8835386" y="5837488"/>
              </a:cubicBezTo>
              <a:cubicBezTo>
                <a:pt x="8854614" y="5837488"/>
                <a:pt x="8870198" y="5853079"/>
                <a:pt x="8870198" y="5872307"/>
              </a:cubicBezTo>
              <a:cubicBezTo>
                <a:pt x="8870198" y="5891534"/>
                <a:pt x="8854614" y="5907125"/>
                <a:pt x="8835386" y="5907125"/>
              </a:cubicBezTo>
              <a:close/>
              <a:moveTo>
                <a:pt x="9174956" y="5907125"/>
              </a:moveTo>
              <a:cubicBezTo>
                <a:pt x="9155728" y="5907125"/>
                <a:pt x="9140130" y="5891534"/>
                <a:pt x="9140130" y="5872307"/>
              </a:cubicBezTo>
              <a:cubicBezTo>
                <a:pt x="9140130" y="5853079"/>
                <a:pt x="9155728" y="5837488"/>
                <a:pt x="9174956" y="5837488"/>
              </a:cubicBezTo>
              <a:cubicBezTo>
                <a:pt x="9194184" y="5837488"/>
                <a:pt x="9209768" y="5853079"/>
                <a:pt x="9209768" y="5872307"/>
              </a:cubicBezTo>
              <a:cubicBezTo>
                <a:pt x="9209768" y="5891534"/>
                <a:pt x="9194184" y="5907125"/>
                <a:pt x="9174956" y="5907125"/>
              </a:cubicBezTo>
              <a:close/>
              <a:moveTo>
                <a:pt x="9259848" y="5907125"/>
              </a:moveTo>
              <a:cubicBezTo>
                <a:pt x="9240620" y="5907125"/>
                <a:pt x="9225023" y="5891534"/>
                <a:pt x="9225023" y="5872307"/>
              </a:cubicBezTo>
              <a:cubicBezTo>
                <a:pt x="9225023" y="5853079"/>
                <a:pt x="9240620" y="5837488"/>
                <a:pt x="9259848" y="5837488"/>
              </a:cubicBezTo>
              <a:cubicBezTo>
                <a:pt x="9279076" y="5837488"/>
                <a:pt x="9294660" y="5853079"/>
                <a:pt x="9294660" y="5872307"/>
              </a:cubicBezTo>
              <a:cubicBezTo>
                <a:pt x="9294660" y="5891534"/>
                <a:pt x="9279076" y="5907125"/>
                <a:pt x="9259848" y="5907125"/>
              </a:cubicBezTo>
              <a:close/>
              <a:moveTo>
                <a:pt x="9344740" y="5907125"/>
              </a:moveTo>
              <a:cubicBezTo>
                <a:pt x="9325513" y="5907125"/>
                <a:pt x="9309915" y="5891534"/>
                <a:pt x="9309915" y="5872307"/>
              </a:cubicBezTo>
              <a:cubicBezTo>
                <a:pt x="9309915" y="5853079"/>
                <a:pt x="9325513" y="5837488"/>
                <a:pt x="9344740" y="5837488"/>
              </a:cubicBezTo>
              <a:cubicBezTo>
                <a:pt x="9363968" y="5837488"/>
                <a:pt x="9379553" y="5853079"/>
                <a:pt x="9379553" y="5872307"/>
              </a:cubicBezTo>
              <a:cubicBezTo>
                <a:pt x="9379553" y="5891534"/>
                <a:pt x="9363968" y="5907125"/>
                <a:pt x="9344740" y="5907125"/>
              </a:cubicBezTo>
              <a:close/>
              <a:moveTo>
                <a:pt x="9429633" y="5907125"/>
              </a:moveTo>
              <a:cubicBezTo>
                <a:pt x="9410405" y="5907125"/>
                <a:pt x="9394807" y="5891534"/>
                <a:pt x="9394807" y="5872307"/>
              </a:cubicBezTo>
              <a:cubicBezTo>
                <a:pt x="9394807" y="5853079"/>
                <a:pt x="9410405" y="5837488"/>
                <a:pt x="9429633" y="5837488"/>
              </a:cubicBezTo>
              <a:cubicBezTo>
                <a:pt x="9448860" y="5837488"/>
                <a:pt x="9464445" y="5853079"/>
                <a:pt x="9464445" y="5872307"/>
              </a:cubicBezTo>
              <a:cubicBezTo>
                <a:pt x="9464445" y="5891534"/>
                <a:pt x="9448860" y="5907125"/>
                <a:pt x="9429633" y="5907125"/>
              </a:cubicBezTo>
              <a:close/>
              <a:moveTo>
                <a:pt x="9514525" y="5907125"/>
              </a:moveTo>
              <a:cubicBezTo>
                <a:pt x="9495297" y="5907125"/>
                <a:pt x="9479699" y="5891534"/>
                <a:pt x="9479699" y="5872307"/>
              </a:cubicBezTo>
              <a:cubicBezTo>
                <a:pt x="9479699" y="5853079"/>
                <a:pt x="9495297" y="5837488"/>
                <a:pt x="9514525" y="5837488"/>
              </a:cubicBezTo>
              <a:cubicBezTo>
                <a:pt x="9533753" y="5837488"/>
                <a:pt x="9549337" y="5853079"/>
                <a:pt x="9549337" y="5872307"/>
              </a:cubicBezTo>
              <a:cubicBezTo>
                <a:pt x="9549337" y="5891534"/>
                <a:pt x="9533753" y="5907125"/>
                <a:pt x="9514525" y="5907125"/>
              </a:cubicBezTo>
              <a:close/>
              <a:moveTo>
                <a:pt x="9599418" y="5907125"/>
              </a:moveTo>
              <a:cubicBezTo>
                <a:pt x="9580190" y="5907125"/>
                <a:pt x="9564593" y="5891534"/>
                <a:pt x="9564593" y="5872307"/>
              </a:cubicBezTo>
              <a:cubicBezTo>
                <a:pt x="9564593" y="5853079"/>
                <a:pt x="9580190" y="5837488"/>
                <a:pt x="9599418" y="5837488"/>
              </a:cubicBezTo>
              <a:cubicBezTo>
                <a:pt x="9618646" y="5837488"/>
                <a:pt x="9634230" y="5853079"/>
                <a:pt x="9634230" y="5872307"/>
              </a:cubicBezTo>
              <a:cubicBezTo>
                <a:pt x="9634230" y="5891534"/>
                <a:pt x="9618646" y="5907125"/>
                <a:pt x="9599418" y="5907125"/>
              </a:cubicBezTo>
              <a:close/>
              <a:moveTo>
                <a:pt x="9684310" y="5907125"/>
              </a:moveTo>
              <a:cubicBezTo>
                <a:pt x="9665083" y="5907125"/>
                <a:pt x="9649485" y="5891534"/>
                <a:pt x="9649485" y="5872307"/>
              </a:cubicBezTo>
              <a:cubicBezTo>
                <a:pt x="9649485" y="5853079"/>
                <a:pt x="9665083" y="5837488"/>
                <a:pt x="9684310" y="5837488"/>
              </a:cubicBezTo>
              <a:cubicBezTo>
                <a:pt x="9703538" y="5837488"/>
                <a:pt x="9719123" y="5853079"/>
                <a:pt x="9719123" y="5872307"/>
              </a:cubicBezTo>
              <a:cubicBezTo>
                <a:pt x="9719123" y="5891534"/>
                <a:pt x="9703538" y="5907125"/>
                <a:pt x="9684310" y="5907125"/>
              </a:cubicBezTo>
              <a:close/>
              <a:moveTo>
                <a:pt x="9769203" y="5907125"/>
              </a:moveTo>
              <a:cubicBezTo>
                <a:pt x="9749975" y="5907125"/>
                <a:pt x="9734377" y="5891534"/>
                <a:pt x="9734377" y="5872307"/>
              </a:cubicBezTo>
              <a:cubicBezTo>
                <a:pt x="9734377" y="5853079"/>
                <a:pt x="9749975" y="5837488"/>
                <a:pt x="9769203" y="5837488"/>
              </a:cubicBezTo>
              <a:cubicBezTo>
                <a:pt x="9788430" y="5837488"/>
                <a:pt x="9804015" y="5853079"/>
                <a:pt x="9804015" y="5872307"/>
              </a:cubicBezTo>
              <a:cubicBezTo>
                <a:pt x="9804015" y="5891534"/>
                <a:pt x="9788430" y="5907125"/>
                <a:pt x="9769203" y="5907125"/>
              </a:cubicBezTo>
              <a:close/>
              <a:moveTo>
                <a:pt x="9854095" y="5907125"/>
              </a:moveTo>
              <a:cubicBezTo>
                <a:pt x="9834867" y="5907125"/>
                <a:pt x="9819269" y="5891534"/>
                <a:pt x="9819269" y="5872307"/>
              </a:cubicBezTo>
              <a:cubicBezTo>
                <a:pt x="9819269" y="5853079"/>
                <a:pt x="9834867" y="5837488"/>
                <a:pt x="9854095" y="5837488"/>
              </a:cubicBezTo>
              <a:cubicBezTo>
                <a:pt x="9873323" y="5837488"/>
                <a:pt x="9888907" y="5853079"/>
                <a:pt x="9888907" y="5872307"/>
              </a:cubicBezTo>
              <a:cubicBezTo>
                <a:pt x="9888907" y="5891534"/>
                <a:pt x="9873323" y="5907125"/>
                <a:pt x="9854095" y="5907125"/>
              </a:cubicBezTo>
              <a:close/>
              <a:moveTo>
                <a:pt x="9938988" y="5907125"/>
              </a:moveTo>
              <a:cubicBezTo>
                <a:pt x="9919760" y="5907125"/>
                <a:pt x="9904163" y="5891534"/>
                <a:pt x="9904163" y="5872307"/>
              </a:cubicBezTo>
              <a:cubicBezTo>
                <a:pt x="9904163" y="5853079"/>
                <a:pt x="9919760" y="5837488"/>
                <a:pt x="9938988" y="5837488"/>
              </a:cubicBezTo>
              <a:cubicBezTo>
                <a:pt x="9958216" y="5837488"/>
                <a:pt x="9973800" y="5853079"/>
                <a:pt x="9973800" y="5872307"/>
              </a:cubicBezTo>
              <a:cubicBezTo>
                <a:pt x="9973800" y="5891534"/>
                <a:pt x="9958216" y="5907125"/>
                <a:pt x="9938988" y="5907125"/>
              </a:cubicBezTo>
              <a:close/>
              <a:moveTo>
                <a:pt x="10023880" y="5907125"/>
              </a:moveTo>
              <a:cubicBezTo>
                <a:pt x="10004653" y="5907125"/>
                <a:pt x="9989055" y="5891534"/>
                <a:pt x="9989055" y="5872307"/>
              </a:cubicBezTo>
              <a:cubicBezTo>
                <a:pt x="9989055" y="5853079"/>
                <a:pt x="10004653" y="5837488"/>
                <a:pt x="10023880" y="5837488"/>
              </a:cubicBezTo>
              <a:cubicBezTo>
                <a:pt x="10043108" y="5837488"/>
                <a:pt x="10058693" y="5853079"/>
                <a:pt x="10058693" y="5872307"/>
              </a:cubicBezTo>
              <a:cubicBezTo>
                <a:pt x="10058693" y="5891534"/>
                <a:pt x="10043108" y="5907125"/>
                <a:pt x="10023880" y="5907125"/>
              </a:cubicBezTo>
              <a:close/>
              <a:moveTo>
                <a:pt x="10108773" y="5907125"/>
              </a:moveTo>
              <a:cubicBezTo>
                <a:pt x="10089545" y="5907125"/>
                <a:pt x="10073947" y="5891534"/>
                <a:pt x="10073947" y="5872307"/>
              </a:cubicBezTo>
              <a:cubicBezTo>
                <a:pt x="10073947" y="5853079"/>
                <a:pt x="10089545" y="5837488"/>
                <a:pt x="10108773" y="5837488"/>
              </a:cubicBezTo>
              <a:cubicBezTo>
                <a:pt x="10128000" y="5837488"/>
                <a:pt x="10143585" y="5853079"/>
                <a:pt x="10143585" y="5872307"/>
              </a:cubicBezTo>
              <a:cubicBezTo>
                <a:pt x="10143585" y="5891534"/>
                <a:pt x="10128000" y="5907125"/>
                <a:pt x="10108773" y="5907125"/>
              </a:cubicBezTo>
              <a:close/>
              <a:moveTo>
                <a:pt x="10193665" y="5907125"/>
              </a:moveTo>
              <a:cubicBezTo>
                <a:pt x="10174437" y="5907125"/>
                <a:pt x="10158839" y="5891534"/>
                <a:pt x="10158839" y="5872307"/>
              </a:cubicBezTo>
              <a:cubicBezTo>
                <a:pt x="10158839" y="5853079"/>
                <a:pt x="10174437" y="5837488"/>
                <a:pt x="10193665" y="5837488"/>
              </a:cubicBezTo>
              <a:cubicBezTo>
                <a:pt x="10212893" y="5837488"/>
                <a:pt x="10228477" y="5853079"/>
                <a:pt x="10228477" y="5872307"/>
              </a:cubicBezTo>
              <a:cubicBezTo>
                <a:pt x="10228477" y="5891534"/>
                <a:pt x="10212893" y="5907125"/>
                <a:pt x="10193665" y="5907125"/>
              </a:cubicBezTo>
              <a:close/>
              <a:moveTo>
                <a:pt x="10278558" y="5907125"/>
              </a:moveTo>
              <a:cubicBezTo>
                <a:pt x="10259330" y="5907125"/>
                <a:pt x="10243733" y="5891534"/>
                <a:pt x="10243733" y="5872307"/>
              </a:cubicBezTo>
              <a:cubicBezTo>
                <a:pt x="10243733" y="5853079"/>
                <a:pt x="10259330" y="5837488"/>
                <a:pt x="10278558" y="5837488"/>
              </a:cubicBezTo>
              <a:cubicBezTo>
                <a:pt x="10297786" y="5837488"/>
                <a:pt x="10313370" y="5853079"/>
                <a:pt x="10313370" y="5872307"/>
              </a:cubicBezTo>
              <a:cubicBezTo>
                <a:pt x="10313370" y="5891534"/>
                <a:pt x="10297786" y="5907125"/>
                <a:pt x="10278558" y="5907125"/>
              </a:cubicBezTo>
              <a:close/>
              <a:moveTo>
                <a:pt x="10363450" y="5907125"/>
              </a:moveTo>
              <a:cubicBezTo>
                <a:pt x="10344223" y="5907125"/>
                <a:pt x="10328625" y="5891534"/>
                <a:pt x="10328625" y="5872307"/>
              </a:cubicBezTo>
              <a:cubicBezTo>
                <a:pt x="10328625" y="5853079"/>
                <a:pt x="10344223" y="5837488"/>
                <a:pt x="10363450" y="5837488"/>
              </a:cubicBezTo>
              <a:cubicBezTo>
                <a:pt x="10382678" y="5837488"/>
                <a:pt x="10398263" y="5853079"/>
                <a:pt x="10398263" y="5872307"/>
              </a:cubicBezTo>
              <a:cubicBezTo>
                <a:pt x="10398263" y="5891534"/>
                <a:pt x="10382678" y="5907125"/>
                <a:pt x="10363450" y="5907125"/>
              </a:cubicBezTo>
              <a:close/>
              <a:moveTo>
                <a:pt x="10448343" y="5907125"/>
              </a:moveTo>
              <a:cubicBezTo>
                <a:pt x="10429115" y="5907125"/>
                <a:pt x="10413517" y="5891534"/>
                <a:pt x="10413517" y="5872307"/>
              </a:cubicBezTo>
              <a:cubicBezTo>
                <a:pt x="10413517" y="5853079"/>
                <a:pt x="10429115" y="5837488"/>
                <a:pt x="10448343" y="5837488"/>
              </a:cubicBezTo>
              <a:cubicBezTo>
                <a:pt x="10467570" y="5837488"/>
                <a:pt x="10483155" y="5853079"/>
                <a:pt x="10483155" y="5872307"/>
              </a:cubicBezTo>
              <a:cubicBezTo>
                <a:pt x="10483155" y="5891534"/>
                <a:pt x="10467570" y="5907125"/>
                <a:pt x="10448343" y="5907125"/>
              </a:cubicBezTo>
              <a:close/>
              <a:moveTo>
                <a:pt x="10618128" y="5907125"/>
              </a:moveTo>
              <a:cubicBezTo>
                <a:pt x="10598900" y="5907125"/>
                <a:pt x="10583303" y="5891534"/>
                <a:pt x="10583303" y="5872307"/>
              </a:cubicBezTo>
              <a:cubicBezTo>
                <a:pt x="10583303" y="5853079"/>
                <a:pt x="10598900" y="5837488"/>
                <a:pt x="10618128" y="5837488"/>
              </a:cubicBezTo>
              <a:cubicBezTo>
                <a:pt x="10637356" y="5837488"/>
                <a:pt x="10652940" y="5853079"/>
                <a:pt x="10652940" y="5872307"/>
              </a:cubicBezTo>
              <a:cubicBezTo>
                <a:pt x="10652940" y="5891534"/>
                <a:pt x="10637356" y="5907125"/>
                <a:pt x="10618128" y="5907125"/>
              </a:cubicBezTo>
              <a:close/>
              <a:moveTo>
                <a:pt x="1704413" y="5822266"/>
              </a:moveTo>
              <a:cubicBezTo>
                <a:pt x="1685186" y="5822266"/>
                <a:pt x="1669594" y="5806675"/>
                <a:pt x="1669594" y="5787447"/>
              </a:cubicBezTo>
              <a:cubicBezTo>
                <a:pt x="1669594" y="5768219"/>
                <a:pt x="1685186" y="5752628"/>
                <a:pt x="1704413" y="5752628"/>
              </a:cubicBezTo>
              <a:cubicBezTo>
                <a:pt x="1723641" y="5752628"/>
                <a:pt x="1739232" y="5768219"/>
                <a:pt x="1739232" y="5787447"/>
              </a:cubicBezTo>
              <a:cubicBezTo>
                <a:pt x="1739232" y="5806675"/>
                <a:pt x="1723641" y="5822266"/>
                <a:pt x="1704413" y="5822266"/>
              </a:cubicBezTo>
              <a:close/>
              <a:moveTo>
                <a:pt x="1789306" y="5822266"/>
              </a:moveTo>
              <a:cubicBezTo>
                <a:pt x="1770078" y="5822266"/>
                <a:pt x="1754487" y="5806675"/>
                <a:pt x="1754487" y="5787447"/>
              </a:cubicBezTo>
              <a:cubicBezTo>
                <a:pt x="1754487" y="5768219"/>
                <a:pt x="1770078" y="5752628"/>
                <a:pt x="1789306" y="5752628"/>
              </a:cubicBezTo>
              <a:cubicBezTo>
                <a:pt x="1808533" y="5752628"/>
                <a:pt x="1824124" y="5768219"/>
                <a:pt x="1824124" y="5787447"/>
              </a:cubicBezTo>
              <a:cubicBezTo>
                <a:pt x="1824124" y="5806675"/>
                <a:pt x="1808533" y="5822266"/>
                <a:pt x="1789306" y="5822266"/>
              </a:cubicBezTo>
              <a:close/>
              <a:moveTo>
                <a:pt x="1874199" y="5822266"/>
              </a:moveTo>
              <a:cubicBezTo>
                <a:pt x="1854971" y="5822266"/>
                <a:pt x="1839380" y="5806675"/>
                <a:pt x="1839380" y="5787447"/>
              </a:cubicBezTo>
              <a:cubicBezTo>
                <a:pt x="1839380" y="5768219"/>
                <a:pt x="1854971" y="5752628"/>
                <a:pt x="1874199" y="5752628"/>
              </a:cubicBezTo>
              <a:cubicBezTo>
                <a:pt x="1893427" y="5752628"/>
                <a:pt x="1909018" y="5768219"/>
                <a:pt x="1909018" y="5787447"/>
              </a:cubicBezTo>
              <a:cubicBezTo>
                <a:pt x="1909018" y="5806675"/>
                <a:pt x="1893427" y="5822266"/>
                <a:pt x="1874199" y="5822266"/>
              </a:cubicBezTo>
              <a:close/>
              <a:moveTo>
                <a:pt x="1959091" y="5822266"/>
              </a:moveTo>
              <a:cubicBezTo>
                <a:pt x="1939863" y="5822266"/>
                <a:pt x="1924272" y="5806675"/>
                <a:pt x="1924272" y="5787447"/>
              </a:cubicBezTo>
              <a:cubicBezTo>
                <a:pt x="1924272" y="5768219"/>
                <a:pt x="1939863" y="5752628"/>
                <a:pt x="1959091" y="5752628"/>
              </a:cubicBezTo>
              <a:cubicBezTo>
                <a:pt x="1978319" y="5752628"/>
                <a:pt x="1993910" y="5768219"/>
                <a:pt x="1993910" y="5787447"/>
              </a:cubicBezTo>
              <a:cubicBezTo>
                <a:pt x="1993910" y="5806675"/>
                <a:pt x="1978319" y="5822266"/>
                <a:pt x="1959091" y="5822266"/>
              </a:cubicBezTo>
              <a:close/>
              <a:moveTo>
                <a:pt x="2043983" y="5822266"/>
              </a:moveTo>
              <a:cubicBezTo>
                <a:pt x="2024756" y="5822266"/>
                <a:pt x="2009164" y="5806675"/>
                <a:pt x="2009164" y="5787447"/>
              </a:cubicBezTo>
              <a:cubicBezTo>
                <a:pt x="2009164" y="5768219"/>
                <a:pt x="2024756" y="5752628"/>
                <a:pt x="2043983" y="5752628"/>
              </a:cubicBezTo>
              <a:cubicBezTo>
                <a:pt x="2063211" y="5752628"/>
                <a:pt x="2078802" y="5768219"/>
                <a:pt x="2078802" y="5787447"/>
              </a:cubicBezTo>
              <a:cubicBezTo>
                <a:pt x="2078802" y="5806675"/>
                <a:pt x="2063211" y="5822266"/>
                <a:pt x="2043983" y="5822266"/>
              </a:cubicBezTo>
              <a:close/>
              <a:moveTo>
                <a:pt x="2128876" y="5822266"/>
              </a:moveTo>
              <a:cubicBezTo>
                <a:pt x="2109648" y="5822266"/>
                <a:pt x="2094057" y="5806675"/>
                <a:pt x="2094057" y="5787447"/>
              </a:cubicBezTo>
              <a:cubicBezTo>
                <a:pt x="2094057" y="5768219"/>
                <a:pt x="2109648" y="5752628"/>
                <a:pt x="2128876" y="5752628"/>
              </a:cubicBezTo>
              <a:cubicBezTo>
                <a:pt x="2148103" y="5752628"/>
                <a:pt x="2163694" y="5768219"/>
                <a:pt x="2163694" y="5787447"/>
              </a:cubicBezTo>
              <a:cubicBezTo>
                <a:pt x="2163694" y="5806675"/>
                <a:pt x="2148103" y="5822266"/>
                <a:pt x="2128876" y="5822266"/>
              </a:cubicBezTo>
              <a:close/>
              <a:moveTo>
                <a:pt x="2213769" y="5822266"/>
              </a:moveTo>
              <a:cubicBezTo>
                <a:pt x="2194541" y="5822266"/>
                <a:pt x="2178950" y="5806675"/>
                <a:pt x="2178950" y="5787447"/>
              </a:cubicBezTo>
              <a:cubicBezTo>
                <a:pt x="2178950" y="5768219"/>
                <a:pt x="2194541" y="5752628"/>
                <a:pt x="2213769" y="5752628"/>
              </a:cubicBezTo>
              <a:cubicBezTo>
                <a:pt x="2232997" y="5752628"/>
                <a:pt x="2248588" y="5768219"/>
                <a:pt x="2248588" y="5787447"/>
              </a:cubicBezTo>
              <a:cubicBezTo>
                <a:pt x="2248588" y="5806675"/>
                <a:pt x="2232997" y="5822266"/>
                <a:pt x="2213769" y="5822266"/>
              </a:cubicBezTo>
              <a:close/>
              <a:moveTo>
                <a:pt x="2298661" y="5822266"/>
              </a:moveTo>
              <a:cubicBezTo>
                <a:pt x="2279433" y="5822266"/>
                <a:pt x="2263842" y="5806675"/>
                <a:pt x="2263842" y="5787447"/>
              </a:cubicBezTo>
              <a:cubicBezTo>
                <a:pt x="2263842" y="5768219"/>
                <a:pt x="2279433" y="5752628"/>
                <a:pt x="2298661" y="5752628"/>
              </a:cubicBezTo>
              <a:cubicBezTo>
                <a:pt x="2317889" y="5752628"/>
                <a:pt x="2333480" y="5768219"/>
                <a:pt x="2333480" y="5787447"/>
              </a:cubicBezTo>
              <a:cubicBezTo>
                <a:pt x="2333480" y="5806675"/>
                <a:pt x="2317889" y="5822266"/>
                <a:pt x="2298661" y="5822266"/>
              </a:cubicBezTo>
              <a:close/>
              <a:moveTo>
                <a:pt x="2892908" y="5822266"/>
              </a:moveTo>
              <a:cubicBezTo>
                <a:pt x="2873680" y="5822266"/>
                <a:pt x="2858089" y="5806675"/>
                <a:pt x="2858089" y="5787447"/>
              </a:cubicBezTo>
              <a:cubicBezTo>
                <a:pt x="2858089" y="5768219"/>
                <a:pt x="2873680" y="5752628"/>
                <a:pt x="2892908" y="5752628"/>
              </a:cubicBezTo>
              <a:cubicBezTo>
                <a:pt x="2912136" y="5752628"/>
                <a:pt x="2927727" y="5768219"/>
                <a:pt x="2927727" y="5787447"/>
              </a:cubicBezTo>
              <a:cubicBezTo>
                <a:pt x="2927727" y="5806675"/>
                <a:pt x="2912136" y="5822266"/>
                <a:pt x="2892908" y="5822266"/>
              </a:cubicBezTo>
              <a:close/>
              <a:moveTo>
                <a:pt x="3062693" y="5822266"/>
              </a:moveTo>
              <a:cubicBezTo>
                <a:pt x="3043466" y="5822266"/>
                <a:pt x="3027874" y="5806675"/>
                <a:pt x="3027874" y="5787447"/>
              </a:cubicBezTo>
              <a:cubicBezTo>
                <a:pt x="3027874" y="5768219"/>
                <a:pt x="3043466" y="5752628"/>
                <a:pt x="3062693" y="5752628"/>
              </a:cubicBezTo>
              <a:cubicBezTo>
                <a:pt x="3081921" y="5752628"/>
                <a:pt x="3097512" y="5768219"/>
                <a:pt x="3097512" y="5787447"/>
              </a:cubicBezTo>
              <a:cubicBezTo>
                <a:pt x="3097512" y="5806675"/>
                <a:pt x="3081921" y="5822266"/>
                <a:pt x="3062693" y="5822266"/>
              </a:cubicBezTo>
              <a:close/>
              <a:moveTo>
                <a:pt x="3147586" y="5822266"/>
              </a:moveTo>
              <a:cubicBezTo>
                <a:pt x="3128358" y="5822266"/>
                <a:pt x="3112767" y="5806675"/>
                <a:pt x="3112767" y="5787447"/>
              </a:cubicBezTo>
              <a:cubicBezTo>
                <a:pt x="3112767" y="5768219"/>
                <a:pt x="3128358" y="5752628"/>
                <a:pt x="3147586" y="5752628"/>
              </a:cubicBezTo>
              <a:cubicBezTo>
                <a:pt x="3166813" y="5752628"/>
                <a:pt x="3182404" y="5768219"/>
                <a:pt x="3182404" y="5787447"/>
              </a:cubicBezTo>
              <a:cubicBezTo>
                <a:pt x="3182404" y="5806675"/>
                <a:pt x="3166813" y="5822266"/>
                <a:pt x="3147586" y="5822266"/>
              </a:cubicBezTo>
              <a:close/>
              <a:moveTo>
                <a:pt x="3402263" y="5822266"/>
              </a:moveTo>
              <a:cubicBezTo>
                <a:pt x="3383036" y="5822266"/>
                <a:pt x="3367444" y="5806675"/>
                <a:pt x="3367444" y="5787447"/>
              </a:cubicBezTo>
              <a:cubicBezTo>
                <a:pt x="3367444" y="5768219"/>
                <a:pt x="3383036" y="5752628"/>
                <a:pt x="3402263" y="5752628"/>
              </a:cubicBezTo>
              <a:cubicBezTo>
                <a:pt x="3421491" y="5752628"/>
                <a:pt x="3437082" y="5768219"/>
                <a:pt x="3437082" y="5787447"/>
              </a:cubicBezTo>
              <a:cubicBezTo>
                <a:pt x="3437082" y="5806675"/>
                <a:pt x="3421491" y="5822266"/>
                <a:pt x="3402263" y="5822266"/>
              </a:cubicBezTo>
              <a:close/>
              <a:moveTo>
                <a:pt x="3572048" y="5822266"/>
              </a:moveTo>
              <a:cubicBezTo>
                <a:pt x="3552820" y="5822266"/>
                <a:pt x="3537229" y="5806675"/>
                <a:pt x="3537229" y="5787447"/>
              </a:cubicBezTo>
              <a:cubicBezTo>
                <a:pt x="3537229" y="5768219"/>
                <a:pt x="3552820" y="5752628"/>
                <a:pt x="3572048" y="5752628"/>
              </a:cubicBezTo>
              <a:cubicBezTo>
                <a:pt x="3591276" y="5752628"/>
                <a:pt x="3606867" y="5768219"/>
                <a:pt x="3606867" y="5787447"/>
              </a:cubicBezTo>
              <a:cubicBezTo>
                <a:pt x="3606867" y="5806675"/>
                <a:pt x="3591276" y="5822266"/>
                <a:pt x="3572048" y="5822266"/>
              </a:cubicBezTo>
              <a:close/>
              <a:moveTo>
                <a:pt x="3741833" y="5822266"/>
              </a:moveTo>
              <a:cubicBezTo>
                <a:pt x="3722606" y="5822266"/>
                <a:pt x="3707014" y="5806675"/>
                <a:pt x="3707014" y="5787447"/>
              </a:cubicBezTo>
              <a:cubicBezTo>
                <a:pt x="3707014" y="5768219"/>
                <a:pt x="3722606" y="5752628"/>
                <a:pt x="3741833" y="5752628"/>
              </a:cubicBezTo>
              <a:cubicBezTo>
                <a:pt x="3761061" y="5752628"/>
                <a:pt x="3776652" y="5768219"/>
                <a:pt x="3776652" y="5787447"/>
              </a:cubicBezTo>
              <a:cubicBezTo>
                <a:pt x="3776652" y="5806675"/>
                <a:pt x="3761061" y="5822266"/>
                <a:pt x="3741833" y="5822266"/>
              </a:cubicBezTo>
              <a:close/>
              <a:moveTo>
                <a:pt x="3996511" y="5822266"/>
              </a:moveTo>
              <a:cubicBezTo>
                <a:pt x="3977283" y="5822266"/>
                <a:pt x="3961692" y="5806675"/>
                <a:pt x="3961692" y="5787447"/>
              </a:cubicBezTo>
              <a:cubicBezTo>
                <a:pt x="3961692" y="5768219"/>
                <a:pt x="3977283" y="5752628"/>
                <a:pt x="3996511" y="5752628"/>
              </a:cubicBezTo>
              <a:cubicBezTo>
                <a:pt x="4015739" y="5752628"/>
                <a:pt x="4031330" y="5768219"/>
                <a:pt x="4031330" y="5787447"/>
              </a:cubicBezTo>
              <a:cubicBezTo>
                <a:pt x="4031330" y="5806675"/>
                <a:pt x="4015739" y="5822266"/>
                <a:pt x="3996511" y="5822266"/>
              </a:cubicBezTo>
              <a:close/>
              <a:moveTo>
                <a:pt x="4590758" y="5822266"/>
              </a:moveTo>
              <a:cubicBezTo>
                <a:pt x="4571530" y="5822266"/>
                <a:pt x="4555939" y="5806675"/>
                <a:pt x="4555939" y="5787447"/>
              </a:cubicBezTo>
              <a:cubicBezTo>
                <a:pt x="4555939" y="5768219"/>
                <a:pt x="4571530" y="5752628"/>
                <a:pt x="4590758" y="5752628"/>
              </a:cubicBezTo>
              <a:cubicBezTo>
                <a:pt x="4609986" y="5752628"/>
                <a:pt x="4625577" y="5768219"/>
                <a:pt x="4625577" y="5787447"/>
              </a:cubicBezTo>
              <a:cubicBezTo>
                <a:pt x="4625577" y="5806675"/>
                <a:pt x="4609986" y="5822266"/>
                <a:pt x="4590758" y="5822266"/>
              </a:cubicBezTo>
              <a:close/>
              <a:moveTo>
                <a:pt x="4675650" y="5822266"/>
              </a:moveTo>
              <a:cubicBezTo>
                <a:pt x="4656422" y="5822266"/>
                <a:pt x="4640831" y="5806675"/>
                <a:pt x="4640831" y="5787447"/>
              </a:cubicBezTo>
              <a:cubicBezTo>
                <a:pt x="4640831" y="5768219"/>
                <a:pt x="4656422" y="5752628"/>
                <a:pt x="4675650" y="5752628"/>
              </a:cubicBezTo>
              <a:cubicBezTo>
                <a:pt x="4694878" y="5752628"/>
                <a:pt x="4710469" y="5768219"/>
                <a:pt x="4710469" y="5787447"/>
              </a:cubicBezTo>
              <a:cubicBezTo>
                <a:pt x="4710469" y="5806675"/>
                <a:pt x="4694878" y="5822266"/>
                <a:pt x="4675650" y="5822266"/>
              </a:cubicBezTo>
              <a:close/>
              <a:moveTo>
                <a:pt x="4760543" y="5822266"/>
              </a:moveTo>
              <a:cubicBezTo>
                <a:pt x="4741316" y="5822266"/>
                <a:pt x="4725724" y="5806675"/>
                <a:pt x="4725724" y="5787447"/>
              </a:cubicBezTo>
              <a:cubicBezTo>
                <a:pt x="4725724" y="5768219"/>
                <a:pt x="4741316" y="5752628"/>
                <a:pt x="4760543" y="5752628"/>
              </a:cubicBezTo>
              <a:cubicBezTo>
                <a:pt x="4779771" y="5752628"/>
                <a:pt x="4795362" y="5768219"/>
                <a:pt x="4795362" y="5787447"/>
              </a:cubicBezTo>
              <a:cubicBezTo>
                <a:pt x="4795362" y="5806675"/>
                <a:pt x="4779771" y="5822266"/>
                <a:pt x="4760543" y="5822266"/>
              </a:cubicBezTo>
              <a:close/>
              <a:moveTo>
                <a:pt x="4845436" y="5822266"/>
              </a:moveTo>
              <a:cubicBezTo>
                <a:pt x="4826208" y="5822266"/>
                <a:pt x="4810617" y="5806675"/>
                <a:pt x="4810617" y="5787447"/>
              </a:cubicBezTo>
              <a:cubicBezTo>
                <a:pt x="4810617" y="5768219"/>
                <a:pt x="4826208" y="5752628"/>
                <a:pt x="4845436" y="5752628"/>
              </a:cubicBezTo>
              <a:cubicBezTo>
                <a:pt x="4864663" y="5752628"/>
                <a:pt x="4880254" y="5768219"/>
                <a:pt x="4880254" y="5787447"/>
              </a:cubicBezTo>
              <a:cubicBezTo>
                <a:pt x="4880254" y="5806675"/>
                <a:pt x="4864663" y="5822266"/>
                <a:pt x="4845436" y="5822266"/>
              </a:cubicBezTo>
              <a:close/>
              <a:moveTo>
                <a:pt x="4930328" y="5822266"/>
              </a:moveTo>
              <a:cubicBezTo>
                <a:pt x="4911100" y="5822266"/>
                <a:pt x="4895509" y="5806675"/>
                <a:pt x="4895509" y="5787447"/>
              </a:cubicBezTo>
              <a:cubicBezTo>
                <a:pt x="4895509" y="5768219"/>
                <a:pt x="4911100" y="5752628"/>
                <a:pt x="4930328" y="5752628"/>
              </a:cubicBezTo>
              <a:cubicBezTo>
                <a:pt x="4949556" y="5752628"/>
                <a:pt x="4965147" y="5768219"/>
                <a:pt x="4965147" y="5787447"/>
              </a:cubicBezTo>
              <a:cubicBezTo>
                <a:pt x="4965147" y="5806675"/>
                <a:pt x="4949556" y="5822266"/>
                <a:pt x="4930328" y="5822266"/>
              </a:cubicBezTo>
              <a:close/>
              <a:moveTo>
                <a:pt x="5015220" y="5822266"/>
              </a:moveTo>
              <a:cubicBezTo>
                <a:pt x="4995992" y="5822266"/>
                <a:pt x="4980401" y="5806675"/>
                <a:pt x="4980401" y="5787447"/>
              </a:cubicBezTo>
              <a:cubicBezTo>
                <a:pt x="4980401" y="5768219"/>
                <a:pt x="4995992" y="5752628"/>
                <a:pt x="5015220" y="5752628"/>
              </a:cubicBezTo>
              <a:cubicBezTo>
                <a:pt x="5034448" y="5752628"/>
                <a:pt x="5050039" y="5768219"/>
                <a:pt x="5050039" y="5787447"/>
              </a:cubicBezTo>
              <a:cubicBezTo>
                <a:pt x="5050039" y="5806675"/>
                <a:pt x="5034448" y="5822266"/>
                <a:pt x="5015220" y="5822266"/>
              </a:cubicBezTo>
              <a:close/>
              <a:moveTo>
                <a:pt x="5100113" y="5822266"/>
              </a:moveTo>
              <a:cubicBezTo>
                <a:pt x="5080886" y="5822266"/>
                <a:pt x="5065294" y="5806675"/>
                <a:pt x="5065294" y="5787447"/>
              </a:cubicBezTo>
              <a:cubicBezTo>
                <a:pt x="5065294" y="5768219"/>
                <a:pt x="5080886" y="5752628"/>
                <a:pt x="5100113" y="5752628"/>
              </a:cubicBezTo>
              <a:cubicBezTo>
                <a:pt x="5119341" y="5752628"/>
                <a:pt x="5134932" y="5768219"/>
                <a:pt x="5134932" y="5787447"/>
              </a:cubicBezTo>
              <a:cubicBezTo>
                <a:pt x="5134932" y="5806675"/>
                <a:pt x="5119341" y="5822266"/>
                <a:pt x="5100113" y="5822266"/>
              </a:cubicBezTo>
              <a:close/>
              <a:moveTo>
                <a:pt x="5185006" y="5822266"/>
              </a:moveTo>
              <a:cubicBezTo>
                <a:pt x="5165778" y="5822266"/>
                <a:pt x="5150187" y="5806675"/>
                <a:pt x="5150187" y="5787447"/>
              </a:cubicBezTo>
              <a:cubicBezTo>
                <a:pt x="5150187" y="5768219"/>
                <a:pt x="5165778" y="5752628"/>
                <a:pt x="5185006" y="5752628"/>
              </a:cubicBezTo>
              <a:cubicBezTo>
                <a:pt x="5204233" y="5752628"/>
                <a:pt x="5219824" y="5768219"/>
                <a:pt x="5219824" y="5787447"/>
              </a:cubicBezTo>
              <a:cubicBezTo>
                <a:pt x="5219824" y="5806675"/>
                <a:pt x="5204233" y="5822266"/>
                <a:pt x="5185006" y="5822266"/>
              </a:cubicBezTo>
              <a:close/>
              <a:moveTo>
                <a:pt x="5269898" y="5822266"/>
              </a:moveTo>
              <a:cubicBezTo>
                <a:pt x="5250670" y="5822266"/>
                <a:pt x="5235079" y="5806675"/>
                <a:pt x="5235079" y="5787447"/>
              </a:cubicBezTo>
              <a:cubicBezTo>
                <a:pt x="5235079" y="5768219"/>
                <a:pt x="5250670" y="5752628"/>
                <a:pt x="5269898" y="5752628"/>
              </a:cubicBezTo>
              <a:cubicBezTo>
                <a:pt x="5289126" y="5752628"/>
                <a:pt x="5304717" y="5768219"/>
                <a:pt x="5304717" y="5787447"/>
              </a:cubicBezTo>
              <a:cubicBezTo>
                <a:pt x="5304717" y="5806675"/>
                <a:pt x="5289126" y="5822266"/>
                <a:pt x="5269898" y="5822266"/>
              </a:cubicBezTo>
              <a:close/>
              <a:moveTo>
                <a:pt x="5354790" y="5822266"/>
              </a:moveTo>
              <a:cubicBezTo>
                <a:pt x="5335562" y="5822266"/>
                <a:pt x="5319971" y="5806675"/>
                <a:pt x="5319971" y="5787447"/>
              </a:cubicBezTo>
              <a:cubicBezTo>
                <a:pt x="5319971" y="5768219"/>
                <a:pt x="5335562" y="5752628"/>
                <a:pt x="5354790" y="5752628"/>
              </a:cubicBezTo>
              <a:cubicBezTo>
                <a:pt x="5374018" y="5752628"/>
                <a:pt x="5389609" y="5768219"/>
                <a:pt x="5389609" y="5787447"/>
              </a:cubicBezTo>
              <a:cubicBezTo>
                <a:pt x="5389609" y="5806675"/>
                <a:pt x="5374018" y="5822266"/>
                <a:pt x="5354790" y="5822266"/>
              </a:cubicBezTo>
              <a:close/>
              <a:moveTo>
                <a:pt x="6203718" y="5822266"/>
              </a:moveTo>
              <a:cubicBezTo>
                <a:pt x="6184490" y="5822266"/>
                <a:pt x="6168893" y="5806675"/>
                <a:pt x="6168893" y="5787447"/>
              </a:cubicBezTo>
              <a:cubicBezTo>
                <a:pt x="6168893" y="5768219"/>
                <a:pt x="6184490" y="5752628"/>
                <a:pt x="6203718" y="5752628"/>
              </a:cubicBezTo>
              <a:cubicBezTo>
                <a:pt x="6222946" y="5752628"/>
                <a:pt x="6238530" y="5768219"/>
                <a:pt x="6238530" y="5787447"/>
              </a:cubicBezTo>
              <a:cubicBezTo>
                <a:pt x="6238530" y="5806675"/>
                <a:pt x="6222946" y="5822266"/>
                <a:pt x="6203718" y="5822266"/>
              </a:cubicBezTo>
              <a:close/>
              <a:moveTo>
                <a:pt x="7222428" y="5822266"/>
              </a:moveTo>
              <a:cubicBezTo>
                <a:pt x="7203200" y="5822266"/>
                <a:pt x="7187603" y="5806675"/>
                <a:pt x="7187603" y="5787447"/>
              </a:cubicBezTo>
              <a:cubicBezTo>
                <a:pt x="7187603" y="5768219"/>
                <a:pt x="7203200" y="5752628"/>
                <a:pt x="7222428" y="5752628"/>
              </a:cubicBezTo>
              <a:cubicBezTo>
                <a:pt x="7241656" y="5752628"/>
                <a:pt x="7257240" y="5768219"/>
                <a:pt x="7257240" y="5787447"/>
              </a:cubicBezTo>
              <a:cubicBezTo>
                <a:pt x="7257240" y="5806675"/>
                <a:pt x="7241656" y="5822266"/>
                <a:pt x="7222428" y="5822266"/>
              </a:cubicBezTo>
              <a:close/>
              <a:moveTo>
                <a:pt x="7901568" y="5822266"/>
              </a:moveTo>
              <a:cubicBezTo>
                <a:pt x="7882340" y="5822266"/>
                <a:pt x="7866743" y="5806675"/>
                <a:pt x="7866743" y="5787447"/>
              </a:cubicBezTo>
              <a:cubicBezTo>
                <a:pt x="7866743" y="5768219"/>
                <a:pt x="7882340" y="5752628"/>
                <a:pt x="7901568" y="5752628"/>
              </a:cubicBezTo>
              <a:cubicBezTo>
                <a:pt x="7920796" y="5752628"/>
                <a:pt x="7936380" y="5768219"/>
                <a:pt x="7936380" y="5787447"/>
              </a:cubicBezTo>
              <a:cubicBezTo>
                <a:pt x="7936380" y="5806675"/>
                <a:pt x="7920796" y="5822266"/>
                <a:pt x="7901568" y="5822266"/>
              </a:cubicBezTo>
              <a:close/>
              <a:moveTo>
                <a:pt x="7986460" y="5822266"/>
              </a:moveTo>
              <a:cubicBezTo>
                <a:pt x="7967233" y="5822266"/>
                <a:pt x="7951635" y="5806675"/>
                <a:pt x="7951635" y="5787447"/>
              </a:cubicBezTo>
              <a:cubicBezTo>
                <a:pt x="7951635" y="5768219"/>
                <a:pt x="7967233" y="5752628"/>
                <a:pt x="7986460" y="5752628"/>
              </a:cubicBezTo>
              <a:cubicBezTo>
                <a:pt x="8005688" y="5752628"/>
                <a:pt x="8021273" y="5768219"/>
                <a:pt x="8021273" y="5787447"/>
              </a:cubicBezTo>
              <a:cubicBezTo>
                <a:pt x="8021273" y="5806675"/>
                <a:pt x="8005688" y="5822266"/>
                <a:pt x="7986460" y="5822266"/>
              </a:cubicBezTo>
              <a:close/>
              <a:moveTo>
                <a:pt x="8071353" y="5822266"/>
              </a:moveTo>
              <a:cubicBezTo>
                <a:pt x="8052125" y="5822266"/>
                <a:pt x="8036527" y="5806675"/>
                <a:pt x="8036527" y="5787447"/>
              </a:cubicBezTo>
              <a:cubicBezTo>
                <a:pt x="8036527" y="5768219"/>
                <a:pt x="8052125" y="5752628"/>
                <a:pt x="8071353" y="5752628"/>
              </a:cubicBezTo>
              <a:cubicBezTo>
                <a:pt x="8090580" y="5752628"/>
                <a:pt x="8106165" y="5768219"/>
                <a:pt x="8106165" y="5787447"/>
              </a:cubicBezTo>
              <a:cubicBezTo>
                <a:pt x="8106165" y="5806675"/>
                <a:pt x="8090580" y="5822266"/>
                <a:pt x="8071353" y="5822266"/>
              </a:cubicBezTo>
              <a:close/>
              <a:moveTo>
                <a:pt x="8156246" y="5822266"/>
              </a:moveTo>
              <a:cubicBezTo>
                <a:pt x="8137018" y="5822266"/>
                <a:pt x="8121420" y="5806675"/>
                <a:pt x="8121420" y="5787447"/>
              </a:cubicBezTo>
              <a:cubicBezTo>
                <a:pt x="8121420" y="5768219"/>
                <a:pt x="8137018" y="5752628"/>
                <a:pt x="8156246" y="5752628"/>
              </a:cubicBezTo>
              <a:cubicBezTo>
                <a:pt x="8175474" y="5752628"/>
                <a:pt x="8191058" y="5768219"/>
                <a:pt x="8191058" y="5787447"/>
              </a:cubicBezTo>
              <a:cubicBezTo>
                <a:pt x="8191058" y="5806675"/>
                <a:pt x="8175474" y="5822266"/>
                <a:pt x="8156246" y="5822266"/>
              </a:cubicBezTo>
              <a:close/>
              <a:moveTo>
                <a:pt x="8241138" y="5822266"/>
              </a:moveTo>
              <a:cubicBezTo>
                <a:pt x="8221910" y="5822266"/>
                <a:pt x="8206313" y="5806675"/>
                <a:pt x="8206313" y="5787447"/>
              </a:cubicBezTo>
              <a:cubicBezTo>
                <a:pt x="8206313" y="5768219"/>
                <a:pt x="8221910" y="5752628"/>
                <a:pt x="8241138" y="5752628"/>
              </a:cubicBezTo>
              <a:cubicBezTo>
                <a:pt x="8260366" y="5752628"/>
                <a:pt x="8275950" y="5768219"/>
                <a:pt x="8275950" y="5787447"/>
              </a:cubicBezTo>
              <a:cubicBezTo>
                <a:pt x="8275950" y="5806675"/>
                <a:pt x="8260366" y="5822266"/>
                <a:pt x="8241138" y="5822266"/>
              </a:cubicBezTo>
              <a:close/>
              <a:moveTo>
                <a:pt x="8410923" y="5822266"/>
              </a:moveTo>
              <a:cubicBezTo>
                <a:pt x="8391695" y="5822266"/>
                <a:pt x="8376097" y="5806675"/>
                <a:pt x="8376097" y="5787447"/>
              </a:cubicBezTo>
              <a:cubicBezTo>
                <a:pt x="8376097" y="5768219"/>
                <a:pt x="8391695" y="5752628"/>
                <a:pt x="8410923" y="5752628"/>
              </a:cubicBezTo>
              <a:cubicBezTo>
                <a:pt x="8430150" y="5752628"/>
                <a:pt x="8445735" y="5768219"/>
                <a:pt x="8445735" y="5787447"/>
              </a:cubicBezTo>
              <a:cubicBezTo>
                <a:pt x="8445735" y="5806675"/>
                <a:pt x="8430150" y="5822266"/>
                <a:pt x="8410923" y="5822266"/>
              </a:cubicBezTo>
              <a:close/>
              <a:moveTo>
                <a:pt x="8495816" y="5822266"/>
              </a:moveTo>
              <a:cubicBezTo>
                <a:pt x="8476588" y="5822266"/>
                <a:pt x="8460990" y="5806675"/>
                <a:pt x="8460990" y="5787447"/>
              </a:cubicBezTo>
              <a:cubicBezTo>
                <a:pt x="8460990" y="5768219"/>
                <a:pt x="8476588" y="5752628"/>
                <a:pt x="8495816" y="5752628"/>
              </a:cubicBezTo>
              <a:cubicBezTo>
                <a:pt x="8515044" y="5752628"/>
                <a:pt x="8530628" y="5768219"/>
                <a:pt x="8530628" y="5787447"/>
              </a:cubicBezTo>
              <a:cubicBezTo>
                <a:pt x="8530628" y="5806675"/>
                <a:pt x="8515044" y="5822266"/>
                <a:pt x="8495816" y="5822266"/>
              </a:cubicBezTo>
              <a:close/>
              <a:moveTo>
                <a:pt x="8580708" y="5822266"/>
              </a:moveTo>
              <a:cubicBezTo>
                <a:pt x="8561480" y="5822266"/>
                <a:pt x="8545883" y="5806675"/>
                <a:pt x="8545883" y="5787447"/>
              </a:cubicBezTo>
              <a:cubicBezTo>
                <a:pt x="8545883" y="5768219"/>
                <a:pt x="8561480" y="5752628"/>
                <a:pt x="8580708" y="5752628"/>
              </a:cubicBezTo>
              <a:cubicBezTo>
                <a:pt x="8599936" y="5752628"/>
                <a:pt x="8615520" y="5768219"/>
                <a:pt x="8615520" y="5787447"/>
              </a:cubicBezTo>
              <a:cubicBezTo>
                <a:pt x="8615520" y="5806675"/>
                <a:pt x="8599936" y="5822266"/>
                <a:pt x="8580708" y="5822266"/>
              </a:cubicBezTo>
              <a:close/>
              <a:moveTo>
                <a:pt x="8665600" y="5822266"/>
              </a:moveTo>
              <a:cubicBezTo>
                <a:pt x="8646373" y="5822266"/>
                <a:pt x="8630775" y="5806675"/>
                <a:pt x="8630775" y="5787447"/>
              </a:cubicBezTo>
              <a:cubicBezTo>
                <a:pt x="8630775" y="5768219"/>
                <a:pt x="8646373" y="5752628"/>
                <a:pt x="8665600" y="5752628"/>
              </a:cubicBezTo>
              <a:cubicBezTo>
                <a:pt x="8684828" y="5752628"/>
                <a:pt x="8700413" y="5768219"/>
                <a:pt x="8700413" y="5787447"/>
              </a:cubicBezTo>
              <a:cubicBezTo>
                <a:pt x="8700413" y="5806675"/>
                <a:pt x="8684828" y="5822266"/>
                <a:pt x="8665600" y="5822266"/>
              </a:cubicBezTo>
              <a:close/>
              <a:moveTo>
                <a:pt x="8750493" y="5822266"/>
              </a:moveTo>
              <a:cubicBezTo>
                <a:pt x="8731265" y="5822266"/>
                <a:pt x="8715667" y="5806675"/>
                <a:pt x="8715667" y="5787447"/>
              </a:cubicBezTo>
              <a:cubicBezTo>
                <a:pt x="8715667" y="5768219"/>
                <a:pt x="8731265" y="5752628"/>
                <a:pt x="8750493" y="5752628"/>
              </a:cubicBezTo>
              <a:cubicBezTo>
                <a:pt x="8769720" y="5752628"/>
                <a:pt x="8785305" y="5768219"/>
                <a:pt x="8785305" y="5787447"/>
              </a:cubicBezTo>
              <a:cubicBezTo>
                <a:pt x="8785305" y="5806675"/>
                <a:pt x="8769720" y="5822266"/>
                <a:pt x="8750493" y="5822266"/>
              </a:cubicBezTo>
              <a:close/>
              <a:moveTo>
                <a:pt x="8835386" y="5822266"/>
              </a:moveTo>
              <a:cubicBezTo>
                <a:pt x="8816158" y="5822266"/>
                <a:pt x="8800560" y="5806675"/>
                <a:pt x="8800560" y="5787447"/>
              </a:cubicBezTo>
              <a:cubicBezTo>
                <a:pt x="8800560" y="5768219"/>
                <a:pt x="8816158" y="5752628"/>
                <a:pt x="8835386" y="5752628"/>
              </a:cubicBezTo>
              <a:cubicBezTo>
                <a:pt x="8854614" y="5752628"/>
                <a:pt x="8870198" y="5768219"/>
                <a:pt x="8870198" y="5787447"/>
              </a:cubicBezTo>
              <a:cubicBezTo>
                <a:pt x="8870198" y="5806675"/>
                <a:pt x="8854614" y="5822266"/>
                <a:pt x="8835386" y="5822266"/>
              </a:cubicBezTo>
              <a:close/>
              <a:moveTo>
                <a:pt x="8920278" y="5822266"/>
              </a:moveTo>
              <a:cubicBezTo>
                <a:pt x="8901050" y="5822266"/>
                <a:pt x="8885453" y="5806675"/>
                <a:pt x="8885453" y="5787447"/>
              </a:cubicBezTo>
              <a:cubicBezTo>
                <a:pt x="8885453" y="5768219"/>
                <a:pt x="8901050" y="5752628"/>
                <a:pt x="8920278" y="5752628"/>
              </a:cubicBezTo>
              <a:cubicBezTo>
                <a:pt x="8939506" y="5752628"/>
                <a:pt x="8955090" y="5768219"/>
                <a:pt x="8955090" y="5787447"/>
              </a:cubicBezTo>
              <a:cubicBezTo>
                <a:pt x="8955090" y="5806675"/>
                <a:pt x="8939506" y="5822266"/>
                <a:pt x="8920278" y="5822266"/>
              </a:cubicBezTo>
              <a:close/>
              <a:moveTo>
                <a:pt x="9090063" y="5822266"/>
              </a:moveTo>
              <a:cubicBezTo>
                <a:pt x="9070835" y="5822266"/>
                <a:pt x="9055237" y="5806675"/>
                <a:pt x="9055237" y="5787447"/>
              </a:cubicBezTo>
              <a:cubicBezTo>
                <a:pt x="9055237" y="5768219"/>
                <a:pt x="9070835" y="5752628"/>
                <a:pt x="9090063" y="5752628"/>
              </a:cubicBezTo>
              <a:cubicBezTo>
                <a:pt x="9109290" y="5752628"/>
                <a:pt x="9124875" y="5768219"/>
                <a:pt x="9124875" y="5787447"/>
              </a:cubicBezTo>
              <a:cubicBezTo>
                <a:pt x="9124875" y="5806675"/>
                <a:pt x="9109290" y="5822266"/>
                <a:pt x="9090063" y="5822266"/>
              </a:cubicBezTo>
              <a:close/>
              <a:moveTo>
                <a:pt x="9174956" y="5822266"/>
              </a:moveTo>
              <a:cubicBezTo>
                <a:pt x="9155728" y="5822266"/>
                <a:pt x="9140130" y="5806675"/>
                <a:pt x="9140130" y="5787447"/>
              </a:cubicBezTo>
              <a:cubicBezTo>
                <a:pt x="9140130" y="5768219"/>
                <a:pt x="9155728" y="5752628"/>
                <a:pt x="9174956" y="5752628"/>
              </a:cubicBezTo>
              <a:cubicBezTo>
                <a:pt x="9194184" y="5752628"/>
                <a:pt x="9209768" y="5768219"/>
                <a:pt x="9209768" y="5787447"/>
              </a:cubicBezTo>
              <a:cubicBezTo>
                <a:pt x="9209768" y="5806675"/>
                <a:pt x="9194184" y="5822266"/>
                <a:pt x="9174956" y="5822266"/>
              </a:cubicBezTo>
              <a:close/>
              <a:moveTo>
                <a:pt x="9259848" y="5822266"/>
              </a:moveTo>
              <a:cubicBezTo>
                <a:pt x="9240620" y="5822266"/>
                <a:pt x="9225023" y="5806675"/>
                <a:pt x="9225023" y="5787447"/>
              </a:cubicBezTo>
              <a:cubicBezTo>
                <a:pt x="9225023" y="5768219"/>
                <a:pt x="9240620" y="5752628"/>
                <a:pt x="9259848" y="5752628"/>
              </a:cubicBezTo>
              <a:cubicBezTo>
                <a:pt x="9279076" y="5752628"/>
                <a:pt x="9294660" y="5768219"/>
                <a:pt x="9294660" y="5787447"/>
              </a:cubicBezTo>
              <a:cubicBezTo>
                <a:pt x="9294660" y="5806675"/>
                <a:pt x="9279076" y="5822266"/>
                <a:pt x="9259848" y="5822266"/>
              </a:cubicBezTo>
              <a:close/>
              <a:moveTo>
                <a:pt x="9344740" y="5822266"/>
              </a:moveTo>
              <a:cubicBezTo>
                <a:pt x="9325513" y="5822266"/>
                <a:pt x="9309915" y="5806675"/>
                <a:pt x="9309915" y="5787447"/>
              </a:cubicBezTo>
              <a:cubicBezTo>
                <a:pt x="9309915" y="5768219"/>
                <a:pt x="9325513" y="5752628"/>
                <a:pt x="9344740" y="5752628"/>
              </a:cubicBezTo>
              <a:cubicBezTo>
                <a:pt x="9363968" y="5752628"/>
                <a:pt x="9379553" y="5768219"/>
                <a:pt x="9379553" y="5787447"/>
              </a:cubicBezTo>
              <a:cubicBezTo>
                <a:pt x="9379553" y="5806675"/>
                <a:pt x="9363968" y="5822266"/>
                <a:pt x="9344740" y="5822266"/>
              </a:cubicBezTo>
              <a:close/>
              <a:moveTo>
                <a:pt x="9429633" y="5822266"/>
              </a:moveTo>
              <a:cubicBezTo>
                <a:pt x="9410405" y="5822266"/>
                <a:pt x="9394807" y="5806675"/>
                <a:pt x="9394807" y="5787447"/>
              </a:cubicBezTo>
              <a:cubicBezTo>
                <a:pt x="9394807" y="5768219"/>
                <a:pt x="9410405" y="5752628"/>
                <a:pt x="9429633" y="5752628"/>
              </a:cubicBezTo>
              <a:cubicBezTo>
                <a:pt x="9448860" y="5752628"/>
                <a:pt x="9464445" y="5768219"/>
                <a:pt x="9464445" y="5787447"/>
              </a:cubicBezTo>
              <a:cubicBezTo>
                <a:pt x="9464445" y="5806675"/>
                <a:pt x="9448860" y="5822266"/>
                <a:pt x="9429633" y="5822266"/>
              </a:cubicBezTo>
              <a:close/>
              <a:moveTo>
                <a:pt x="9514525" y="5822266"/>
              </a:moveTo>
              <a:cubicBezTo>
                <a:pt x="9495297" y="5822266"/>
                <a:pt x="9479699" y="5806675"/>
                <a:pt x="9479699" y="5787447"/>
              </a:cubicBezTo>
              <a:cubicBezTo>
                <a:pt x="9479699" y="5768219"/>
                <a:pt x="9495297" y="5752628"/>
                <a:pt x="9514525" y="5752628"/>
              </a:cubicBezTo>
              <a:cubicBezTo>
                <a:pt x="9533753" y="5752628"/>
                <a:pt x="9549337" y="5768219"/>
                <a:pt x="9549337" y="5787447"/>
              </a:cubicBezTo>
              <a:cubicBezTo>
                <a:pt x="9549337" y="5806675"/>
                <a:pt x="9533753" y="5822266"/>
                <a:pt x="9514525" y="5822266"/>
              </a:cubicBezTo>
              <a:close/>
              <a:moveTo>
                <a:pt x="9599418" y="5822266"/>
              </a:moveTo>
              <a:cubicBezTo>
                <a:pt x="9580190" y="5822266"/>
                <a:pt x="9564593" y="5806675"/>
                <a:pt x="9564593" y="5787447"/>
              </a:cubicBezTo>
              <a:cubicBezTo>
                <a:pt x="9564593" y="5768219"/>
                <a:pt x="9580190" y="5752628"/>
                <a:pt x="9599418" y="5752628"/>
              </a:cubicBezTo>
              <a:cubicBezTo>
                <a:pt x="9618646" y="5752628"/>
                <a:pt x="9634230" y="5768219"/>
                <a:pt x="9634230" y="5787447"/>
              </a:cubicBezTo>
              <a:cubicBezTo>
                <a:pt x="9634230" y="5806675"/>
                <a:pt x="9618646" y="5822266"/>
                <a:pt x="9599418" y="5822266"/>
              </a:cubicBezTo>
              <a:close/>
              <a:moveTo>
                <a:pt x="9684310" y="5822266"/>
              </a:moveTo>
              <a:cubicBezTo>
                <a:pt x="9665083" y="5822266"/>
                <a:pt x="9649485" y="5806675"/>
                <a:pt x="9649485" y="5787447"/>
              </a:cubicBezTo>
              <a:cubicBezTo>
                <a:pt x="9649485" y="5768219"/>
                <a:pt x="9665083" y="5752628"/>
                <a:pt x="9684310" y="5752628"/>
              </a:cubicBezTo>
              <a:cubicBezTo>
                <a:pt x="9703538" y="5752628"/>
                <a:pt x="9719123" y="5768219"/>
                <a:pt x="9719123" y="5787447"/>
              </a:cubicBezTo>
              <a:cubicBezTo>
                <a:pt x="9719123" y="5806675"/>
                <a:pt x="9703538" y="5822266"/>
                <a:pt x="9684310" y="5822266"/>
              </a:cubicBezTo>
              <a:close/>
              <a:moveTo>
                <a:pt x="9769203" y="5822266"/>
              </a:moveTo>
              <a:cubicBezTo>
                <a:pt x="9749975" y="5822266"/>
                <a:pt x="9734377" y="5806675"/>
                <a:pt x="9734377" y="5787447"/>
              </a:cubicBezTo>
              <a:cubicBezTo>
                <a:pt x="9734377" y="5768219"/>
                <a:pt x="9749975" y="5752628"/>
                <a:pt x="9769203" y="5752628"/>
              </a:cubicBezTo>
              <a:cubicBezTo>
                <a:pt x="9788430" y="5752628"/>
                <a:pt x="9804015" y="5768219"/>
                <a:pt x="9804015" y="5787447"/>
              </a:cubicBezTo>
              <a:cubicBezTo>
                <a:pt x="9804015" y="5806675"/>
                <a:pt x="9788430" y="5822266"/>
                <a:pt x="9769203" y="5822266"/>
              </a:cubicBezTo>
              <a:close/>
              <a:moveTo>
                <a:pt x="9854095" y="5822266"/>
              </a:moveTo>
              <a:cubicBezTo>
                <a:pt x="9834867" y="5822266"/>
                <a:pt x="9819269" y="5806675"/>
                <a:pt x="9819269" y="5787447"/>
              </a:cubicBezTo>
              <a:cubicBezTo>
                <a:pt x="9819269" y="5768219"/>
                <a:pt x="9834867" y="5752628"/>
                <a:pt x="9854095" y="5752628"/>
              </a:cubicBezTo>
              <a:cubicBezTo>
                <a:pt x="9873323" y="5752628"/>
                <a:pt x="9888907" y="5768219"/>
                <a:pt x="9888907" y="5787447"/>
              </a:cubicBezTo>
              <a:cubicBezTo>
                <a:pt x="9888907" y="5806675"/>
                <a:pt x="9873323" y="5822266"/>
                <a:pt x="9854095" y="5822266"/>
              </a:cubicBezTo>
              <a:close/>
              <a:moveTo>
                <a:pt x="9938988" y="5822266"/>
              </a:moveTo>
              <a:cubicBezTo>
                <a:pt x="9919760" y="5822266"/>
                <a:pt x="9904163" y="5806675"/>
                <a:pt x="9904163" y="5787447"/>
              </a:cubicBezTo>
              <a:cubicBezTo>
                <a:pt x="9904163" y="5768219"/>
                <a:pt x="9919760" y="5752628"/>
                <a:pt x="9938988" y="5752628"/>
              </a:cubicBezTo>
              <a:cubicBezTo>
                <a:pt x="9958216" y="5752628"/>
                <a:pt x="9973800" y="5768219"/>
                <a:pt x="9973800" y="5787447"/>
              </a:cubicBezTo>
              <a:cubicBezTo>
                <a:pt x="9973800" y="5806675"/>
                <a:pt x="9958216" y="5822266"/>
                <a:pt x="9938988" y="5822266"/>
              </a:cubicBezTo>
              <a:close/>
              <a:moveTo>
                <a:pt x="10023880" y="5822266"/>
              </a:moveTo>
              <a:cubicBezTo>
                <a:pt x="10004653" y="5822266"/>
                <a:pt x="9989055" y="5806675"/>
                <a:pt x="9989055" y="5787447"/>
              </a:cubicBezTo>
              <a:cubicBezTo>
                <a:pt x="9989055" y="5768219"/>
                <a:pt x="10004653" y="5752628"/>
                <a:pt x="10023880" y="5752628"/>
              </a:cubicBezTo>
              <a:cubicBezTo>
                <a:pt x="10043108" y="5752628"/>
                <a:pt x="10058693" y="5768219"/>
                <a:pt x="10058693" y="5787447"/>
              </a:cubicBezTo>
              <a:cubicBezTo>
                <a:pt x="10058693" y="5806675"/>
                <a:pt x="10043108" y="5822266"/>
                <a:pt x="10023880" y="5822266"/>
              </a:cubicBezTo>
              <a:close/>
              <a:moveTo>
                <a:pt x="10108773" y="5822266"/>
              </a:moveTo>
              <a:cubicBezTo>
                <a:pt x="10089545" y="5822266"/>
                <a:pt x="10073947" y="5806675"/>
                <a:pt x="10073947" y="5787447"/>
              </a:cubicBezTo>
              <a:cubicBezTo>
                <a:pt x="10073947" y="5768219"/>
                <a:pt x="10089545" y="5752628"/>
                <a:pt x="10108773" y="5752628"/>
              </a:cubicBezTo>
              <a:cubicBezTo>
                <a:pt x="10128000" y="5752628"/>
                <a:pt x="10143585" y="5768219"/>
                <a:pt x="10143585" y="5787447"/>
              </a:cubicBezTo>
              <a:cubicBezTo>
                <a:pt x="10143585" y="5806675"/>
                <a:pt x="10128000" y="5822266"/>
                <a:pt x="10108773" y="5822266"/>
              </a:cubicBezTo>
              <a:close/>
              <a:moveTo>
                <a:pt x="10193665" y="5822266"/>
              </a:moveTo>
              <a:cubicBezTo>
                <a:pt x="10174437" y="5822266"/>
                <a:pt x="10158839" y="5806675"/>
                <a:pt x="10158839" y="5787447"/>
              </a:cubicBezTo>
              <a:cubicBezTo>
                <a:pt x="10158839" y="5768219"/>
                <a:pt x="10174437" y="5752628"/>
                <a:pt x="10193665" y="5752628"/>
              </a:cubicBezTo>
              <a:cubicBezTo>
                <a:pt x="10212893" y="5752628"/>
                <a:pt x="10228477" y="5768219"/>
                <a:pt x="10228477" y="5787447"/>
              </a:cubicBezTo>
              <a:cubicBezTo>
                <a:pt x="10228477" y="5806675"/>
                <a:pt x="10212893" y="5822266"/>
                <a:pt x="10193665" y="5822266"/>
              </a:cubicBezTo>
              <a:close/>
              <a:moveTo>
                <a:pt x="10278558" y="5822266"/>
              </a:moveTo>
              <a:cubicBezTo>
                <a:pt x="10259330" y="5822266"/>
                <a:pt x="10243733" y="5806675"/>
                <a:pt x="10243733" y="5787447"/>
              </a:cubicBezTo>
              <a:cubicBezTo>
                <a:pt x="10243733" y="5768219"/>
                <a:pt x="10259330" y="5752628"/>
                <a:pt x="10278558" y="5752628"/>
              </a:cubicBezTo>
              <a:cubicBezTo>
                <a:pt x="10297786" y="5752628"/>
                <a:pt x="10313370" y="5768219"/>
                <a:pt x="10313370" y="5787447"/>
              </a:cubicBezTo>
              <a:cubicBezTo>
                <a:pt x="10313370" y="5806675"/>
                <a:pt x="10297786" y="5822266"/>
                <a:pt x="10278558" y="5822266"/>
              </a:cubicBezTo>
              <a:close/>
              <a:moveTo>
                <a:pt x="10363450" y="5822266"/>
              </a:moveTo>
              <a:cubicBezTo>
                <a:pt x="10344223" y="5822266"/>
                <a:pt x="10328625" y="5806675"/>
                <a:pt x="10328625" y="5787447"/>
              </a:cubicBezTo>
              <a:cubicBezTo>
                <a:pt x="10328625" y="5768219"/>
                <a:pt x="10344223" y="5752628"/>
                <a:pt x="10363450" y="5752628"/>
              </a:cubicBezTo>
              <a:cubicBezTo>
                <a:pt x="10382678" y="5752628"/>
                <a:pt x="10398263" y="5768219"/>
                <a:pt x="10398263" y="5787447"/>
              </a:cubicBezTo>
              <a:cubicBezTo>
                <a:pt x="10398263" y="5806675"/>
                <a:pt x="10382678" y="5822266"/>
                <a:pt x="10363450" y="5822266"/>
              </a:cubicBezTo>
              <a:close/>
              <a:moveTo>
                <a:pt x="10448343" y="5822266"/>
              </a:moveTo>
              <a:cubicBezTo>
                <a:pt x="10429115" y="5822266"/>
                <a:pt x="10413517" y="5806675"/>
                <a:pt x="10413517" y="5787447"/>
              </a:cubicBezTo>
              <a:cubicBezTo>
                <a:pt x="10413517" y="5768219"/>
                <a:pt x="10429115" y="5752628"/>
                <a:pt x="10448343" y="5752628"/>
              </a:cubicBezTo>
              <a:cubicBezTo>
                <a:pt x="10467570" y="5752628"/>
                <a:pt x="10483155" y="5768219"/>
                <a:pt x="10483155" y="5787447"/>
              </a:cubicBezTo>
              <a:cubicBezTo>
                <a:pt x="10483155" y="5806675"/>
                <a:pt x="10467570" y="5822266"/>
                <a:pt x="10448343" y="5822266"/>
              </a:cubicBezTo>
              <a:close/>
              <a:moveTo>
                <a:pt x="10533235" y="5822266"/>
              </a:moveTo>
              <a:cubicBezTo>
                <a:pt x="10514007" y="5822266"/>
                <a:pt x="10498409" y="5806675"/>
                <a:pt x="10498409" y="5787447"/>
              </a:cubicBezTo>
              <a:cubicBezTo>
                <a:pt x="10498409" y="5768219"/>
                <a:pt x="10514007" y="5752628"/>
                <a:pt x="10533235" y="5752628"/>
              </a:cubicBezTo>
              <a:cubicBezTo>
                <a:pt x="10552463" y="5752628"/>
                <a:pt x="10568047" y="5768219"/>
                <a:pt x="10568047" y="5787447"/>
              </a:cubicBezTo>
              <a:cubicBezTo>
                <a:pt x="10568047" y="5806675"/>
                <a:pt x="10552463" y="5822266"/>
                <a:pt x="10533235" y="5822266"/>
              </a:cubicBezTo>
              <a:close/>
              <a:moveTo>
                <a:pt x="1534629" y="5737406"/>
              </a:moveTo>
              <a:cubicBezTo>
                <a:pt x="1515401" y="5737406"/>
                <a:pt x="1499810" y="5721815"/>
                <a:pt x="1499810" y="5702587"/>
              </a:cubicBezTo>
              <a:cubicBezTo>
                <a:pt x="1499810" y="5683359"/>
                <a:pt x="1515401" y="5667768"/>
                <a:pt x="1534629" y="5667768"/>
              </a:cubicBezTo>
              <a:cubicBezTo>
                <a:pt x="1553857" y="5667768"/>
                <a:pt x="1569448" y="5683359"/>
                <a:pt x="1569448" y="5702587"/>
              </a:cubicBezTo>
              <a:cubicBezTo>
                <a:pt x="1569448" y="5721815"/>
                <a:pt x="1553857" y="5737406"/>
                <a:pt x="1534629" y="5737406"/>
              </a:cubicBezTo>
              <a:close/>
              <a:moveTo>
                <a:pt x="1789306" y="5737406"/>
              </a:moveTo>
              <a:cubicBezTo>
                <a:pt x="1770078" y="5737406"/>
                <a:pt x="1754487" y="5721815"/>
                <a:pt x="1754487" y="5702587"/>
              </a:cubicBezTo>
              <a:cubicBezTo>
                <a:pt x="1754487" y="5683359"/>
                <a:pt x="1770078" y="5667768"/>
                <a:pt x="1789306" y="5667768"/>
              </a:cubicBezTo>
              <a:cubicBezTo>
                <a:pt x="1808533" y="5667768"/>
                <a:pt x="1824124" y="5683359"/>
                <a:pt x="1824124" y="5702587"/>
              </a:cubicBezTo>
              <a:cubicBezTo>
                <a:pt x="1824124" y="5721815"/>
                <a:pt x="1808533" y="5737406"/>
                <a:pt x="1789306" y="5737406"/>
              </a:cubicBezTo>
              <a:close/>
              <a:moveTo>
                <a:pt x="1874199" y="5737406"/>
              </a:moveTo>
              <a:cubicBezTo>
                <a:pt x="1854971" y="5737406"/>
                <a:pt x="1839380" y="5721815"/>
                <a:pt x="1839380" y="5702587"/>
              </a:cubicBezTo>
              <a:cubicBezTo>
                <a:pt x="1839380" y="5683359"/>
                <a:pt x="1854971" y="5667768"/>
                <a:pt x="1874199" y="5667768"/>
              </a:cubicBezTo>
              <a:cubicBezTo>
                <a:pt x="1893427" y="5667768"/>
                <a:pt x="1909018" y="5683359"/>
                <a:pt x="1909018" y="5702587"/>
              </a:cubicBezTo>
              <a:cubicBezTo>
                <a:pt x="1909018" y="5721815"/>
                <a:pt x="1893427" y="5737406"/>
                <a:pt x="1874199" y="5737406"/>
              </a:cubicBezTo>
              <a:close/>
              <a:moveTo>
                <a:pt x="1959091" y="5737406"/>
              </a:moveTo>
              <a:cubicBezTo>
                <a:pt x="1939863" y="5737406"/>
                <a:pt x="1924272" y="5721815"/>
                <a:pt x="1924272" y="5702587"/>
              </a:cubicBezTo>
              <a:cubicBezTo>
                <a:pt x="1924272" y="5683359"/>
                <a:pt x="1939863" y="5667768"/>
                <a:pt x="1959091" y="5667768"/>
              </a:cubicBezTo>
              <a:cubicBezTo>
                <a:pt x="1978319" y="5667768"/>
                <a:pt x="1993910" y="5683359"/>
                <a:pt x="1993910" y="5702587"/>
              </a:cubicBezTo>
              <a:cubicBezTo>
                <a:pt x="1993910" y="5721815"/>
                <a:pt x="1978319" y="5737406"/>
                <a:pt x="1959091" y="5737406"/>
              </a:cubicBezTo>
              <a:close/>
              <a:moveTo>
                <a:pt x="2043983" y="5737406"/>
              </a:moveTo>
              <a:cubicBezTo>
                <a:pt x="2024756" y="5737406"/>
                <a:pt x="2009164" y="5721815"/>
                <a:pt x="2009164" y="5702587"/>
              </a:cubicBezTo>
              <a:cubicBezTo>
                <a:pt x="2009164" y="5683359"/>
                <a:pt x="2024756" y="5667768"/>
                <a:pt x="2043983" y="5667768"/>
              </a:cubicBezTo>
              <a:cubicBezTo>
                <a:pt x="2063211" y="5667768"/>
                <a:pt x="2078802" y="5683359"/>
                <a:pt x="2078802" y="5702587"/>
              </a:cubicBezTo>
              <a:cubicBezTo>
                <a:pt x="2078802" y="5721815"/>
                <a:pt x="2063211" y="5737406"/>
                <a:pt x="2043983" y="5737406"/>
              </a:cubicBezTo>
              <a:close/>
              <a:moveTo>
                <a:pt x="2128876" y="5737406"/>
              </a:moveTo>
              <a:cubicBezTo>
                <a:pt x="2109648" y="5737406"/>
                <a:pt x="2094057" y="5721815"/>
                <a:pt x="2094057" y="5702587"/>
              </a:cubicBezTo>
              <a:cubicBezTo>
                <a:pt x="2094057" y="5683359"/>
                <a:pt x="2109648" y="5667768"/>
                <a:pt x="2128876" y="5667768"/>
              </a:cubicBezTo>
              <a:cubicBezTo>
                <a:pt x="2148103" y="5667768"/>
                <a:pt x="2163694" y="5683359"/>
                <a:pt x="2163694" y="5702587"/>
              </a:cubicBezTo>
              <a:cubicBezTo>
                <a:pt x="2163694" y="5721815"/>
                <a:pt x="2148103" y="5737406"/>
                <a:pt x="2128876" y="5737406"/>
              </a:cubicBezTo>
              <a:close/>
              <a:moveTo>
                <a:pt x="2213769" y="5737406"/>
              </a:moveTo>
              <a:cubicBezTo>
                <a:pt x="2194541" y="5737406"/>
                <a:pt x="2178950" y="5721815"/>
                <a:pt x="2178950" y="5702587"/>
              </a:cubicBezTo>
              <a:cubicBezTo>
                <a:pt x="2178950" y="5683359"/>
                <a:pt x="2194541" y="5667768"/>
                <a:pt x="2213769" y="5667768"/>
              </a:cubicBezTo>
              <a:cubicBezTo>
                <a:pt x="2232997" y="5667768"/>
                <a:pt x="2248588" y="5683359"/>
                <a:pt x="2248588" y="5702587"/>
              </a:cubicBezTo>
              <a:cubicBezTo>
                <a:pt x="2248588" y="5721815"/>
                <a:pt x="2232997" y="5737406"/>
                <a:pt x="2213769" y="5737406"/>
              </a:cubicBezTo>
              <a:close/>
              <a:moveTo>
                <a:pt x="2298661" y="5737406"/>
              </a:moveTo>
              <a:cubicBezTo>
                <a:pt x="2279433" y="5737406"/>
                <a:pt x="2263842" y="5721815"/>
                <a:pt x="2263842" y="5702587"/>
              </a:cubicBezTo>
              <a:cubicBezTo>
                <a:pt x="2263842" y="5683359"/>
                <a:pt x="2279433" y="5667768"/>
                <a:pt x="2298661" y="5667768"/>
              </a:cubicBezTo>
              <a:cubicBezTo>
                <a:pt x="2317889" y="5667768"/>
                <a:pt x="2333480" y="5683359"/>
                <a:pt x="2333480" y="5702587"/>
              </a:cubicBezTo>
              <a:cubicBezTo>
                <a:pt x="2333480" y="5721815"/>
                <a:pt x="2317889" y="5737406"/>
                <a:pt x="2298661" y="5737406"/>
              </a:cubicBezTo>
              <a:close/>
              <a:moveTo>
                <a:pt x="2383553" y="5737406"/>
              </a:moveTo>
              <a:cubicBezTo>
                <a:pt x="2364326" y="5737406"/>
                <a:pt x="2348734" y="5721815"/>
                <a:pt x="2348734" y="5702587"/>
              </a:cubicBezTo>
              <a:cubicBezTo>
                <a:pt x="2348734" y="5683359"/>
                <a:pt x="2364326" y="5667768"/>
                <a:pt x="2383553" y="5667768"/>
              </a:cubicBezTo>
              <a:cubicBezTo>
                <a:pt x="2402781" y="5667768"/>
                <a:pt x="2418372" y="5683359"/>
                <a:pt x="2418372" y="5702587"/>
              </a:cubicBezTo>
              <a:cubicBezTo>
                <a:pt x="2418372" y="5721815"/>
                <a:pt x="2402781" y="5737406"/>
                <a:pt x="2383553" y="5737406"/>
              </a:cubicBezTo>
              <a:close/>
              <a:moveTo>
                <a:pt x="2638231" y="5737406"/>
              </a:moveTo>
              <a:cubicBezTo>
                <a:pt x="2619003" y="5737406"/>
                <a:pt x="2603412" y="5721815"/>
                <a:pt x="2603412" y="5702587"/>
              </a:cubicBezTo>
              <a:cubicBezTo>
                <a:pt x="2603412" y="5683359"/>
                <a:pt x="2619003" y="5667768"/>
                <a:pt x="2638231" y="5667768"/>
              </a:cubicBezTo>
              <a:cubicBezTo>
                <a:pt x="2657459" y="5667768"/>
                <a:pt x="2673050" y="5683359"/>
                <a:pt x="2673050" y="5702587"/>
              </a:cubicBezTo>
              <a:cubicBezTo>
                <a:pt x="2673050" y="5721815"/>
                <a:pt x="2657459" y="5737406"/>
                <a:pt x="2638231" y="5737406"/>
              </a:cubicBezTo>
              <a:close/>
              <a:moveTo>
                <a:pt x="2723123" y="5737406"/>
              </a:moveTo>
              <a:cubicBezTo>
                <a:pt x="2703896" y="5737406"/>
                <a:pt x="2688304" y="5721815"/>
                <a:pt x="2688304" y="5702587"/>
              </a:cubicBezTo>
              <a:cubicBezTo>
                <a:pt x="2688304" y="5683359"/>
                <a:pt x="2703896" y="5667768"/>
                <a:pt x="2723123" y="5667768"/>
              </a:cubicBezTo>
              <a:cubicBezTo>
                <a:pt x="2742351" y="5667768"/>
                <a:pt x="2757942" y="5683359"/>
                <a:pt x="2757942" y="5702587"/>
              </a:cubicBezTo>
              <a:cubicBezTo>
                <a:pt x="2757942" y="5721815"/>
                <a:pt x="2742351" y="5737406"/>
                <a:pt x="2723123" y="5737406"/>
              </a:cubicBezTo>
              <a:close/>
              <a:moveTo>
                <a:pt x="3062693" y="5737406"/>
              </a:moveTo>
              <a:cubicBezTo>
                <a:pt x="3043466" y="5737406"/>
                <a:pt x="3027874" y="5721815"/>
                <a:pt x="3027874" y="5702587"/>
              </a:cubicBezTo>
              <a:cubicBezTo>
                <a:pt x="3027874" y="5683359"/>
                <a:pt x="3043466" y="5667768"/>
                <a:pt x="3062693" y="5667768"/>
              </a:cubicBezTo>
              <a:cubicBezTo>
                <a:pt x="3081921" y="5667768"/>
                <a:pt x="3097512" y="5683359"/>
                <a:pt x="3097512" y="5702587"/>
              </a:cubicBezTo>
              <a:cubicBezTo>
                <a:pt x="3097512" y="5721815"/>
                <a:pt x="3081921" y="5737406"/>
                <a:pt x="3062693" y="5737406"/>
              </a:cubicBezTo>
              <a:close/>
              <a:moveTo>
                <a:pt x="3147586" y="5737406"/>
              </a:moveTo>
              <a:cubicBezTo>
                <a:pt x="3128358" y="5737406"/>
                <a:pt x="3112767" y="5721815"/>
                <a:pt x="3112767" y="5702587"/>
              </a:cubicBezTo>
              <a:cubicBezTo>
                <a:pt x="3112767" y="5683359"/>
                <a:pt x="3128358" y="5667768"/>
                <a:pt x="3147586" y="5667768"/>
              </a:cubicBezTo>
              <a:cubicBezTo>
                <a:pt x="3166813" y="5667768"/>
                <a:pt x="3182404" y="5683359"/>
                <a:pt x="3182404" y="5702587"/>
              </a:cubicBezTo>
              <a:cubicBezTo>
                <a:pt x="3182404" y="5721815"/>
                <a:pt x="3166813" y="5737406"/>
                <a:pt x="3147586" y="5737406"/>
              </a:cubicBezTo>
              <a:close/>
              <a:moveTo>
                <a:pt x="3232478" y="5737406"/>
              </a:moveTo>
              <a:cubicBezTo>
                <a:pt x="3213250" y="5737406"/>
                <a:pt x="3197659" y="5721815"/>
                <a:pt x="3197659" y="5702587"/>
              </a:cubicBezTo>
              <a:cubicBezTo>
                <a:pt x="3197659" y="5683359"/>
                <a:pt x="3213250" y="5667768"/>
                <a:pt x="3232478" y="5667768"/>
              </a:cubicBezTo>
              <a:cubicBezTo>
                <a:pt x="3251706" y="5667768"/>
                <a:pt x="3267297" y="5683359"/>
                <a:pt x="3267297" y="5702587"/>
              </a:cubicBezTo>
              <a:cubicBezTo>
                <a:pt x="3267297" y="5721815"/>
                <a:pt x="3251706" y="5737406"/>
                <a:pt x="3232478" y="5737406"/>
              </a:cubicBezTo>
              <a:close/>
              <a:moveTo>
                <a:pt x="3317371" y="5737406"/>
              </a:moveTo>
              <a:cubicBezTo>
                <a:pt x="3298143" y="5737406"/>
                <a:pt x="3282552" y="5721815"/>
                <a:pt x="3282552" y="5702587"/>
              </a:cubicBezTo>
              <a:cubicBezTo>
                <a:pt x="3282552" y="5683359"/>
                <a:pt x="3298143" y="5667768"/>
                <a:pt x="3317371" y="5667768"/>
              </a:cubicBezTo>
              <a:cubicBezTo>
                <a:pt x="3336599" y="5667768"/>
                <a:pt x="3352190" y="5683359"/>
                <a:pt x="3352190" y="5702587"/>
              </a:cubicBezTo>
              <a:cubicBezTo>
                <a:pt x="3352190" y="5721815"/>
                <a:pt x="3336599" y="5737406"/>
                <a:pt x="3317371" y="5737406"/>
              </a:cubicBezTo>
              <a:close/>
              <a:moveTo>
                <a:pt x="3487156" y="5737406"/>
              </a:moveTo>
              <a:cubicBezTo>
                <a:pt x="3467928" y="5737406"/>
                <a:pt x="3452337" y="5721815"/>
                <a:pt x="3452337" y="5702587"/>
              </a:cubicBezTo>
              <a:cubicBezTo>
                <a:pt x="3452337" y="5683359"/>
                <a:pt x="3467928" y="5667768"/>
                <a:pt x="3487156" y="5667768"/>
              </a:cubicBezTo>
              <a:cubicBezTo>
                <a:pt x="3506383" y="5667768"/>
                <a:pt x="3521974" y="5683359"/>
                <a:pt x="3521974" y="5702587"/>
              </a:cubicBezTo>
              <a:cubicBezTo>
                <a:pt x="3521974" y="5721815"/>
                <a:pt x="3506383" y="5737406"/>
                <a:pt x="3487156" y="5737406"/>
              </a:cubicBezTo>
              <a:close/>
              <a:moveTo>
                <a:pt x="3656941" y="5737406"/>
              </a:moveTo>
              <a:cubicBezTo>
                <a:pt x="3637713" y="5737406"/>
                <a:pt x="3622122" y="5721815"/>
                <a:pt x="3622122" y="5702587"/>
              </a:cubicBezTo>
              <a:cubicBezTo>
                <a:pt x="3622122" y="5683359"/>
                <a:pt x="3637713" y="5667768"/>
                <a:pt x="3656941" y="5667768"/>
              </a:cubicBezTo>
              <a:cubicBezTo>
                <a:pt x="3676169" y="5667768"/>
                <a:pt x="3691760" y="5683359"/>
                <a:pt x="3691760" y="5702587"/>
              </a:cubicBezTo>
              <a:cubicBezTo>
                <a:pt x="3691760" y="5721815"/>
                <a:pt x="3676169" y="5737406"/>
                <a:pt x="3656941" y="5737406"/>
              </a:cubicBezTo>
              <a:close/>
              <a:moveTo>
                <a:pt x="3826726" y="5737406"/>
              </a:moveTo>
              <a:cubicBezTo>
                <a:pt x="3807498" y="5737406"/>
                <a:pt x="3791907" y="5721815"/>
                <a:pt x="3791907" y="5702587"/>
              </a:cubicBezTo>
              <a:cubicBezTo>
                <a:pt x="3791907" y="5683359"/>
                <a:pt x="3807498" y="5667768"/>
                <a:pt x="3826726" y="5667768"/>
              </a:cubicBezTo>
              <a:cubicBezTo>
                <a:pt x="3845953" y="5667768"/>
                <a:pt x="3861544" y="5683359"/>
                <a:pt x="3861544" y="5702587"/>
              </a:cubicBezTo>
              <a:cubicBezTo>
                <a:pt x="3861544" y="5721815"/>
                <a:pt x="3845953" y="5737406"/>
                <a:pt x="3826726" y="5737406"/>
              </a:cubicBezTo>
              <a:close/>
              <a:moveTo>
                <a:pt x="4590758" y="5737406"/>
              </a:moveTo>
              <a:cubicBezTo>
                <a:pt x="4571530" y="5737406"/>
                <a:pt x="4555939" y="5721815"/>
                <a:pt x="4555939" y="5702587"/>
              </a:cubicBezTo>
              <a:cubicBezTo>
                <a:pt x="4555939" y="5683359"/>
                <a:pt x="4571530" y="5667768"/>
                <a:pt x="4590758" y="5667768"/>
              </a:cubicBezTo>
              <a:cubicBezTo>
                <a:pt x="4609986" y="5667768"/>
                <a:pt x="4625577" y="5683359"/>
                <a:pt x="4625577" y="5702587"/>
              </a:cubicBezTo>
              <a:cubicBezTo>
                <a:pt x="4625577" y="5721815"/>
                <a:pt x="4609986" y="5737406"/>
                <a:pt x="4590758" y="5737406"/>
              </a:cubicBezTo>
              <a:close/>
              <a:moveTo>
                <a:pt x="4675650" y="5737406"/>
              </a:moveTo>
              <a:cubicBezTo>
                <a:pt x="4656422" y="5737406"/>
                <a:pt x="4640831" y="5721815"/>
                <a:pt x="4640831" y="5702587"/>
              </a:cubicBezTo>
              <a:cubicBezTo>
                <a:pt x="4640831" y="5683359"/>
                <a:pt x="4656422" y="5667768"/>
                <a:pt x="4675650" y="5667768"/>
              </a:cubicBezTo>
              <a:cubicBezTo>
                <a:pt x="4694878" y="5667768"/>
                <a:pt x="4710469" y="5683359"/>
                <a:pt x="4710469" y="5702587"/>
              </a:cubicBezTo>
              <a:cubicBezTo>
                <a:pt x="4710469" y="5721815"/>
                <a:pt x="4694878" y="5737406"/>
                <a:pt x="4675650" y="5737406"/>
              </a:cubicBezTo>
              <a:close/>
              <a:moveTo>
                <a:pt x="4760543" y="5737406"/>
              </a:moveTo>
              <a:cubicBezTo>
                <a:pt x="4741316" y="5737406"/>
                <a:pt x="4725724" y="5721815"/>
                <a:pt x="4725724" y="5702587"/>
              </a:cubicBezTo>
              <a:cubicBezTo>
                <a:pt x="4725724" y="5683359"/>
                <a:pt x="4741316" y="5667768"/>
                <a:pt x="4760543" y="5667768"/>
              </a:cubicBezTo>
              <a:cubicBezTo>
                <a:pt x="4779771" y="5667768"/>
                <a:pt x="4795362" y="5683359"/>
                <a:pt x="4795362" y="5702587"/>
              </a:cubicBezTo>
              <a:cubicBezTo>
                <a:pt x="4795362" y="5721815"/>
                <a:pt x="4779771" y="5737406"/>
                <a:pt x="4760543" y="5737406"/>
              </a:cubicBezTo>
              <a:close/>
              <a:moveTo>
                <a:pt x="4845436" y="5737406"/>
              </a:moveTo>
              <a:cubicBezTo>
                <a:pt x="4826208" y="5737406"/>
                <a:pt x="4810617" y="5721815"/>
                <a:pt x="4810617" y="5702587"/>
              </a:cubicBezTo>
              <a:cubicBezTo>
                <a:pt x="4810617" y="5683359"/>
                <a:pt x="4826208" y="5667768"/>
                <a:pt x="4845436" y="5667768"/>
              </a:cubicBezTo>
              <a:cubicBezTo>
                <a:pt x="4864663" y="5667768"/>
                <a:pt x="4880254" y="5683359"/>
                <a:pt x="4880254" y="5702587"/>
              </a:cubicBezTo>
              <a:cubicBezTo>
                <a:pt x="4880254" y="5721815"/>
                <a:pt x="4864663" y="5737406"/>
                <a:pt x="4845436" y="5737406"/>
              </a:cubicBezTo>
              <a:close/>
              <a:moveTo>
                <a:pt x="4930328" y="5737406"/>
              </a:moveTo>
              <a:cubicBezTo>
                <a:pt x="4911100" y="5737406"/>
                <a:pt x="4895509" y="5721815"/>
                <a:pt x="4895509" y="5702587"/>
              </a:cubicBezTo>
              <a:cubicBezTo>
                <a:pt x="4895509" y="5683359"/>
                <a:pt x="4911100" y="5667768"/>
                <a:pt x="4930328" y="5667768"/>
              </a:cubicBezTo>
              <a:cubicBezTo>
                <a:pt x="4949556" y="5667768"/>
                <a:pt x="4965147" y="5683359"/>
                <a:pt x="4965147" y="5702587"/>
              </a:cubicBezTo>
              <a:cubicBezTo>
                <a:pt x="4965147" y="5721815"/>
                <a:pt x="4949556" y="5737406"/>
                <a:pt x="4930328" y="5737406"/>
              </a:cubicBezTo>
              <a:close/>
              <a:moveTo>
                <a:pt x="5015220" y="5737406"/>
              </a:moveTo>
              <a:cubicBezTo>
                <a:pt x="4995992" y="5737406"/>
                <a:pt x="4980401" y="5721815"/>
                <a:pt x="4980401" y="5702587"/>
              </a:cubicBezTo>
              <a:cubicBezTo>
                <a:pt x="4980401" y="5683359"/>
                <a:pt x="4995992" y="5667768"/>
                <a:pt x="5015220" y="5667768"/>
              </a:cubicBezTo>
              <a:cubicBezTo>
                <a:pt x="5034448" y="5667768"/>
                <a:pt x="5050039" y="5683359"/>
                <a:pt x="5050039" y="5702587"/>
              </a:cubicBezTo>
              <a:cubicBezTo>
                <a:pt x="5050039" y="5721815"/>
                <a:pt x="5034448" y="5737406"/>
                <a:pt x="5015220" y="5737406"/>
              </a:cubicBezTo>
              <a:close/>
              <a:moveTo>
                <a:pt x="5100113" y="5737406"/>
              </a:moveTo>
              <a:cubicBezTo>
                <a:pt x="5080886" y="5737406"/>
                <a:pt x="5065294" y="5721815"/>
                <a:pt x="5065294" y="5702587"/>
              </a:cubicBezTo>
              <a:cubicBezTo>
                <a:pt x="5065294" y="5683359"/>
                <a:pt x="5080886" y="5667768"/>
                <a:pt x="5100113" y="5667768"/>
              </a:cubicBezTo>
              <a:cubicBezTo>
                <a:pt x="5119341" y="5667768"/>
                <a:pt x="5134932" y="5683359"/>
                <a:pt x="5134932" y="5702587"/>
              </a:cubicBezTo>
              <a:cubicBezTo>
                <a:pt x="5134932" y="5721815"/>
                <a:pt x="5119341" y="5737406"/>
                <a:pt x="5100113" y="5737406"/>
              </a:cubicBezTo>
              <a:close/>
              <a:moveTo>
                <a:pt x="5185006" y="5737406"/>
              </a:moveTo>
              <a:cubicBezTo>
                <a:pt x="5165778" y="5737406"/>
                <a:pt x="5150187" y="5721815"/>
                <a:pt x="5150187" y="5702587"/>
              </a:cubicBezTo>
              <a:cubicBezTo>
                <a:pt x="5150187" y="5683359"/>
                <a:pt x="5165778" y="5667768"/>
                <a:pt x="5185006" y="5667768"/>
              </a:cubicBezTo>
              <a:cubicBezTo>
                <a:pt x="5204233" y="5667768"/>
                <a:pt x="5219824" y="5683359"/>
                <a:pt x="5219824" y="5702587"/>
              </a:cubicBezTo>
              <a:cubicBezTo>
                <a:pt x="5219824" y="5721815"/>
                <a:pt x="5204233" y="5737406"/>
                <a:pt x="5185006" y="5737406"/>
              </a:cubicBezTo>
              <a:close/>
              <a:moveTo>
                <a:pt x="5269898" y="5737406"/>
              </a:moveTo>
              <a:cubicBezTo>
                <a:pt x="5250670" y="5737406"/>
                <a:pt x="5235079" y="5721815"/>
                <a:pt x="5235079" y="5702587"/>
              </a:cubicBezTo>
              <a:cubicBezTo>
                <a:pt x="5235079" y="5683359"/>
                <a:pt x="5250670" y="5667768"/>
                <a:pt x="5269898" y="5667768"/>
              </a:cubicBezTo>
              <a:cubicBezTo>
                <a:pt x="5289126" y="5667768"/>
                <a:pt x="5304717" y="5683359"/>
                <a:pt x="5304717" y="5702587"/>
              </a:cubicBezTo>
              <a:cubicBezTo>
                <a:pt x="5304717" y="5721815"/>
                <a:pt x="5289126" y="5737406"/>
                <a:pt x="5269898" y="5737406"/>
              </a:cubicBezTo>
              <a:close/>
              <a:moveTo>
                <a:pt x="7137536" y="5737406"/>
              </a:moveTo>
              <a:cubicBezTo>
                <a:pt x="7118308" y="5737406"/>
                <a:pt x="7102710" y="5721815"/>
                <a:pt x="7102710" y="5702587"/>
              </a:cubicBezTo>
              <a:cubicBezTo>
                <a:pt x="7102710" y="5683359"/>
                <a:pt x="7118308" y="5667768"/>
                <a:pt x="7137536" y="5667768"/>
              </a:cubicBezTo>
              <a:cubicBezTo>
                <a:pt x="7156764" y="5667768"/>
                <a:pt x="7172348" y="5683359"/>
                <a:pt x="7172348" y="5702587"/>
              </a:cubicBezTo>
              <a:cubicBezTo>
                <a:pt x="7172348" y="5721815"/>
                <a:pt x="7156764" y="5737406"/>
                <a:pt x="7137536" y="5737406"/>
              </a:cubicBezTo>
              <a:close/>
              <a:moveTo>
                <a:pt x="7731784" y="5737406"/>
              </a:moveTo>
              <a:cubicBezTo>
                <a:pt x="7712556" y="5737406"/>
                <a:pt x="7696958" y="5721815"/>
                <a:pt x="7696958" y="5702587"/>
              </a:cubicBezTo>
              <a:cubicBezTo>
                <a:pt x="7696958" y="5683359"/>
                <a:pt x="7712556" y="5667768"/>
                <a:pt x="7731784" y="5667768"/>
              </a:cubicBezTo>
              <a:cubicBezTo>
                <a:pt x="7751011" y="5667768"/>
                <a:pt x="7766596" y="5683359"/>
                <a:pt x="7766596" y="5702587"/>
              </a:cubicBezTo>
              <a:cubicBezTo>
                <a:pt x="7766596" y="5721815"/>
                <a:pt x="7751011" y="5737406"/>
                <a:pt x="7731784" y="5737406"/>
              </a:cubicBezTo>
              <a:close/>
              <a:moveTo>
                <a:pt x="7901568" y="5737406"/>
              </a:moveTo>
              <a:cubicBezTo>
                <a:pt x="7882340" y="5737406"/>
                <a:pt x="7866743" y="5721815"/>
                <a:pt x="7866743" y="5702587"/>
              </a:cubicBezTo>
              <a:cubicBezTo>
                <a:pt x="7866743" y="5683359"/>
                <a:pt x="7882340" y="5667768"/>
                <a:pt x="7901568" y="5667768"/>
              </a:cubicBezTo>
              <a:cubicBezTo>
                <a:pt x="7920796" y="5667768"/>
                <a:pt x="7936380" y="5683359"/>
                <a:pt x="7936380" y="5702587"/>
              </a:cubicBezTo>
              <a:cubicBezTo>
                <a:pt x="7936380" y="5721815"/>
                <a:pt x="7920796" y="5737406"/>
                <a:pt x="7901568" y="5737406"/>
              </a:cubicBezTo>
              <a:close/>
              <a:moveTo>
                <a:pt x="7986460" y="5737406"/>
              </a:moveTo>
              <a:cubicBezTo>
                <a:pt x="7967233" y="5737406"/>
                <a:pt x="7951635" y="5721815"/>
                <a:pt x="7951635" y="5702587"/>
              </a:cubicBezTo>
              <a:cubicBezTo>
                <a:pt x="7951635" y="5683359"/>
                <a:pt x="7967233" y="5667768"/>
                <a:pt x="7986460" y="5667768"/>
              </a:cubicBezTo>
              <a:cubicBezTo>
                <a:pt x="8005688" y="5667768"/>
                <a:pt x="8021273" y="5683359"/>
                <a:pt x="8021273" y="5702587"/>
              </a:cubicBezTo>
              <a:cubicBezTo>
                <a:pt x="8021273" y="5721815"/>
                <a:pt x="8005688" y="5737406"/>
                <a:pt x="7986460" y="5737406"/>
              </a:cubicBezTo>
              <a:close/>
              <a:moveTo>
                <a:pt x="8071353" y="5737406"/>
              </a:moveTo>
              <a:cubicBezTo>
                <a:pt x="8052125" y="5737406"/>
                <a:pt x="8036527" y="5721815"/>
                <a:pt x="8036527" y="5702587"/>
              </a:cubicBezTo>
              <a:cubicBezTo>
                <a:pt x="8036527" y="5683359"/>
                <a:pt x="8052125" y="5667768"/>
                <a:pt x="8071353" y="5667768"/>
              </a:cubicBezTo>
              <a:cubicBezTo>
                <a:pt x="8090580" y="5667768"/>
                <a:pt x="8106165" y="5683359"/>
                <a:pt x="8106165" y="5702587"/>
              </a:cubicBezTo>
              <a:cubicBezTo>
                <a:pt x="8106165" y="5721815"/>
                <a:pt x="8090580" y="5737406"/>
                <a:pt x="8071353" y="5737406"/>
              </a:cubicBezTo>
              <a:close/>
              <a:moveTo>
                <a:pt x="8156246" y="5737406"/>
              </a:moveTo>
              <a:cubicBezTo>
                <a:pt x="8137018" y="5737406"/>
                <a:pt x="8121420" y="5721815"/>
                <a:pt x="8121420" y="5702587"/>
              </a:cubicBezTo>
              <a:cubicBezTo>
                <a:pt x="8121420" y="5683359"/>
                <a:pt x="8137018" y="5667768"/>
                <a:pt x="8156246" y="5667768"/>
              </a:cubicBezTo>
              <a:cubicBezTo>
                <a:pt x="8175474" y="5667768"/>
                <a:pt x="8191058" y="5683359"/>
                <a:pt x="8191058" y="5702587"/>
              </a:cubicBezTo>
              <a:cubicBezTo>
                <a:pt x="8191058" y="5721815"/>
                <a:pt x="8175474" y="5737406"/>
                <a:pt x="8156246" y="5737406"/>
              </a:cubicBezTo>
              <a:close/>
              <a:moveTo>
                <a:pt x="8241138" y="5737406"/>
              </a:moveTo>
              <a:cubicBezTo>
                <a:pt x="8221910" y="5737406"/>
                <a:pt x="8206313" y="5721815"/>
                <a:pt x="8206313" y="5702587"/>
              </a:cubicBezTo>
              <a:cubicBezTo>
                <a:pt x="8206313" y="5683359"/>
                <a:pt x="8221910" y="5667768"/>
                <a:pt x="8241138" y="5667768"/>
              </a:cubicBezTo>
              <a:cubicBezTo>
                <a:pt x="8260366" y="5667768"/>
                <a:pt x="8275950" y="5683359"/>
                <a:pt x="8275950" y="5702587"/>
              </a:cubicBezTo>
              <a:cubicBezTo>
                <a:pt x="8275950" y="5721815"/>
                <a:pt x="8260366" y="5737406"/>
                <a:pt x="8241138" y="5737406"/>
              </a:cubicBezTo>
              <a:close/>
              <a:moveTo>
                <a:pt x="8326030" y="5737406"/>
              </a:moveTo>
              <a:cubicBezTo>
                <a:pt x="8306803" y="5737406"/>
                <a:pt x="8291205" y="5721815"/>
                <a:pt x="8291205" y="5702587"/>
              </a:cubicBezTo>
              <a:cubicBezTo>
                <a:pt x="8291205" y="5683359"/>
                <a:pt x="8306803" y="5667768"/>
                <a:pt x="8326030" y="5667768"/>
              </a:cubicBezTo>
              <a:cubicBezTo>
                <a:pt x="8345258" y="5667768"/>
                <a:pt x="8360843" y="5683359"/>
                <a:pt x="8360843" y="5702587"/>
              </a:cubicBezTo>
              <a:cubicBezTo>
                <a:pt x="8360843" y="5721815"/>
                <a:pt x="8345258" y="5737406"/>
                <a:pt x="8326030" y="5737406"/>
              </a:cubicBezTo>
              <a:close/>
              <a:moveTo>
                <a:pt x="8410923" y="5737406"/>
              </a:moveTo>
              <a:cubicBezTo>
                <a:pt x="8391695" y="5737406"/>
                <a:pt x="8376097" y="5721815"/>
                <a:pt x="8376097" y="5702587"/>
              </a:cubicBezTo>
              <a:cubicBezTo>
                <a:pt x="8376097" y="5683359"/>
                <a:pt x="8391695" y="5667768"/>
                <a:pt x="8410923" y="5667768"/>
              </a:cubicBezTo>
              <a:cubicBezTo>
                <a:pt x="8430150" y="5667768"/>
                <a:pt x="8445735" y="5683359"/>
                <a:pt x="8445735" y="5702587"/>
              </a:cubicBezTo>
              <a:cubicBezTo>
                <a:pt x="8445735" y="5721815"/>
                <a:pt x="8430150" y="5737406"/>
                <a:pt x="8410923" y="5737406"/>
              </a:cubicBezTo>
              <a:close/>
              <a:moveTo>
                <a:pt x="8495816" y="5737406"/>
              </a:moveTo>
              <a:cubicBezTo>
                <a:pt x="8476588" y="5737406"/>
                <a:pt x="8460990" y="5721815"/>
                <a:pt x="8460990" y="5702587"/>
              </a:cubicBezTo>
              <a:cubicBezTo>
                <a:pt x="8460990" y="5683359"/>
                <a:pt x="8476588" y="5667768"/>
                <a:pt x="8495816" y="5667768"/>
              </a:cubicBezTo>
              <a:cubicBezTo>
                <a:pt x="8515044" y="5667768"/>
                <a:pt x="8530628" y="5683359"/>
                <a:pt x="8530628" y="5702587"/>
              </a:cubicBezTo>
              <a:cubicBezTo>
                <a:pt x="8530628" y="5721815"/>
                <a:pt x="8515044" y="5737406"/>
                <a:pt x="8495816" y="5737406"/>
              </a:cubicBezTo>
              <a:close/>
              <a:moveTo>
                <a:pt x="8580708" y="5737406"/>
              </a:moveTo>
              <a:cubicBezTo>
                <a:pt x="8561480" y="5737406"/>
                <a:pt x="8545883" y="5721815"/>
                <a:pt x="8545883" y="5702587"/>
              </a:cubicBezTo>
              <a:cubicBezTo>
                <a:pt x="8545883" y="5683359"/>
                <a:pt x="8561480" y="5667768"/>
                <a:pt x="8580708" y="5667768"/>
              </a:cubicBezTo>
              <a:cubicBezTo>
                <a:pt x="8599936" y="5667768"/>
                <a:pt x="8615520" y="5683359"/>
                <a:pt x="8615520" y="5702587"/>
              </a:cubicBezTo>
              <a:cubicBezTo>
                <a:pt x="8615520" y="5721815"/>
                <a:pt x="8599936" y="5737406"/>
                <a:pt x="8580708" y="5737406"/>
              </a:cubicBezTo>
              <a:close/>
              <a:moveTo>
                <a:pt x="8665600" y="5737406"/>
              </a:moveTo>
              <a:cubicBezTo>
                <a:pt x="8646373" y="5737406"/>
                <a:pt x="8630775" y="5721815"/>
                <a:pt x="8630775" y="5702587"/>
              </a:cubicBezTo>
              <a:cubicBezTo>
                <a:pt x="8630775" y="5683359"/>
                <a:pt x="8646373" y="5667768"/>
                <a:pt x="8665600" y="5667768"/>
              </a:cubicBezTo>
              <a:cubicBezTo>
                <a:pt x="8684828" y="5667768"/>
                <a:pt x="8700413" y="5683359"/>
                <a:pt x="8700413" y="5702587"/>
              </a:cubicBezTo>
              <a:cubicBezTo>
                <a:pt x="8700413" y="5721815"/>
                <a:pt x="8684828" y="5737406"/>
                <a:pt x="8665600" y="5737406"/>
              </a:cubicBezTo>
              <a:close/>
              <a:moveTo>
                <a:pt x="8750493" y="5737406"/>
              </a:moveTo>
              <a:cubicBezTo>
                <a:pt x="8731265" y="5737406"/>
                <a:pt x="8715667" y="5721815"/>
                <a:pt x="8715667" y="5702587"/>
              </a:cubicBezTo>
              <a:cubicBezTo>
                <a:pt x="8715667" y="5683359"/>
                <a:pt x="8731265" y="5667768"/>
                <a:pt x="8750493" y="5667768"/>
              </a:cubicBezTo>
              <a:cubicBezTo>
                <a:pt x="8769720" y="5667768"/>
                <a:pt x="8785305" y="5683359"/>
                <a:pt x="8785305" y="5702587"/>
              </a:cubicBezTo>
              <a:cubicBezTo>
                <a:pt x="8785305" y="5721815"/>
                <a:pt x="8769720" y="5737406"/>
                <a:pt x="8750493" y="5737406"/>
              </a:cubicBezTo>
              <a:close/>
              <a:moveTo>
                <a:pt x="8835386" y="5737406"/>
              </a:moveTo>
              <a:cubicBezTo>
                <a:pt x="8816158" y="5737406"/>
                <a:pt x="8800560" y="5721815"/>
                <a:pt x="8800560" y="5702587"/>
              </a:cubicBezTo>
              <a:cubicBezTo>
                <a:pt x="8800560" y="5683359"/>
                <a:pt x="8816158" y="5667768"/>
                <a:pt x="8835386" y="5667768"/>
              </a:cubicBezTo>
              <a:cubicBezTo>
                <a:pt x="8854614" y="5667768"/>
                <a:pt x="8870198" y="5683359"/>
                <a:pt x="8870198" y="5702587"/>
              </a:cubicBezTo>
              <a:cubicBezTo>
                <a:pt x="8870198" y="5721815"/>
                <a:pt x="8854614" y="5737406"/>
                <a:pt x="8835386" y="5737406"/>
              </a:cubicBezTo>
              <a:close/>
              <a:moveTo>
                <a:pt x="8920278" y="5737406"/>
              </a:moveTo>
              <a:cubicBezTo>
                <a:pt x="8901050" y="5737406"/>
                <a:pt x="8885453" y="5721815"/>
                <a:pt x="8885453" y="5702587"/>
              </a:cubicBezTo>
              <a:cubicBezTo>
                <a:pt x="8885453" y="5683359"/>
                <a:pt x="8901050" y="5667768"/>
                <a:pt x="8920278" y="5667768"/>
              </a:cubicBezTo>
              <a:cubicBezTo>
                <a:pt x="8939506" y="5667768"/>
                <a:pt x="8955090" y="5683359"/>
                <a:pt x="8955090" y="5702587"/>
              </a:cubicBezTo>
              <a:cubicBezTo>
                <a:pt x="8955090" y="5721815"/>
                <a:pt x="8939506" y="5737406"/>
                <a:pt x="8920278" y="5737406"/>
              </a:cubicBezTo>
              <a:close/>
              <a:moveTo>
                <a:pt x="9005170" y="5737406"/>
              </a:moveTo>
              <a:cubicBezTo>
                <a:pt x="8985943" y="5737406"/>
                <a:pt x="8970345" y="5721815"/>
                <a:pt x="8970345" y="5702587"/>
              </a:cubicBezTo>
              <a:cubicBezTo>
                <a:pt x="8970345" y="5683359"/>
                <a:pt x="8985943" y="5667768"/>
                <a:pt x="9005170" y="5667768"/>
              </a:cubicBezTo>
              <a:cubicBezTo>
                <a:pt x="9024398" y="5667768"/>
                <a:pt x="9039983" y="5683359"/>
                <a:pt x="9039983" y="5702587"/>
              </a:cubicBezTo>
              <a:cubicBezTo>
                <a:pt x="9039983" y="5721815"/>
                <a:pt x="9024398" y="5737406"/>
                <a:pt x="9005170" y="5737406"/>
              </a:cubicBezTo>
              <a:close/>
              <a:moveTo>
                <a:pt x="9090063" y="5737406"/>
              </a:moveTo>
              <a:cubicBezTo>
                <a:pt x="9070835" y="5737406"/>
                <a:pt x="9055237" y="5721815"/>
                <a:pt x="9055237" y="5702587"/>
              </a:cubicBezTo>
              <a:cubicBezTo>
                <a:pt x="9055237" y="5683359"/>
                <a:pt x="9070835" y="5667768"/>
                <a:pt x="9090063" y="5667768"/>
              </a:cubicBezTo>
              <a:cubicBezTo>
                <a:pt x="9109290" y="5667768"/>
                <a:pt x="9124875" y="5683359"/>
                <a:pt x="9124875" y="5702587"/>
              </a:cubicBezTo>
              <a:cubicBezTo>
                <a:pt x="9124875" y="5721815"/>
                <a:pt x="9109290" y="5737406"/>
                <a:pt x="9090063" y="5737406"/>
              </a:cubicBezTo>
              <a:close/>
              <a:moveTo>
                <a:pt x="9174956" y="5737406"/>
              </a:moveTo>
              <a:cubicBezTo>
                <a:pt x="9155728" y="5737406"/>
                <a:pt x="9140130" y="5721815"/>
                <a:pt x="9140130" y="5702587"/>
              </a:cubicBezTo>
              <a:cubicBezTo>
                <a:pt x="9140130" y="5683359"/>
                <a:pt x="9155728" y="5667768"/>
                <a:pt x="9174956" y="5667768"/>
              </a:cubicBezTo>
              <a:cubicBezTo>
                <a:pt x="9194184" y="5667768"/>
                <a:pt x="9209768" y="5683359"/>
                <a:pt x="9209768" y="5702587"/>
              </a:cubicBezTo>
              <a:cubicBezTo>
                <a:pt x="9209768" y="5721815"/>
                <a:pt x="9194184" y="5737406"/>
                <a:pt x="9174956" y="5737406"/>
              </a:cubicBezTo>
              <a:close/>
              <a:moveTo>
                <a:pt x="9259848" y="5737406"/>
              </a:moveTo>
              <a:cubicBezTo>
                <a:pt x="9240620" y="5737406"/>
                <a:pt x="9225023" y="5721815"/>
                <a:pt x="9225023" y="5702587"/>
              </a:cubicBezTo>
              <a:cubicBezTo>
                <a:pt x="9225023" y="5683359"/>
                <a:pt x="9240620" y="5667768"/>
                <a:pt x="9259848" y="5667768"/>
              </a:cubicBezTo>
              <a:cubicBezTo>
                <a:pt x="9279076" y="5667768"/>
                <a:pt x="9294660" y="5683359"/>
                <a:pt x="9294660" y="5702587"/>
              </a:cubicBezTo>
              <a:cubicBezTo>
                <a:pt x="9294660" y="5721815"/>
                <a:pt x="9279076" y="5737406"/>
                <a:pt x="9259848" y="5737406"/>
              </a:cubicBezTo>
              <a:close/>
              <a:moveTo>
                <a:pt x="9344740" y="5737406"/>
              </a:moveTo>
              <a:cubicBezTo>
                <a:pt x="9325513" y="5737406"/>
                <a:pt x="9309915" y="5721815"/>
                <a:pt x="9309915" y="5702587"/>
              </a:cubicBezTo>
              <a:cubicBezTo>
                <a:pt x="9309915" y="5683359"/>
                <a:pt x="9325513" y="5667768"/>
                <a:pt x="9344740" y="5667768"/>
              </a:cubicBezTo>
              <a:cubicBezTo>
                <a:pt x="9363968" y="5667768"/>
                <a:pt x="9379553" y="5683359"/>
                <a:pt x="9379553" y="5702587"/>
              </a:cubicBezTo>
              <a:cubicBezTo>
                <a:pt x="9379553" y="5721815"/>
                <a:pt x="9363968" y="5737406"/>
                <a:pt x="9344740" y="5737406"/>
              </a:cubicBezTo>
              <a:close/>
              <a:moveTo>
                <a:pt x="9429633" y="5737406"/>
              </a:moveTo>
              <a:cubicBezTo>
                <a:pt x="9410405" y="5737406"/>
                <a:pt x="9394807" y="5721815"/>
                <a:pt x="9394807" y="5702587"/>
              </a:cubicBezTo>
              <a:cubicBezTo>
                <a:pt x="9394807" y="5683359"/>
                <a:pt x="9410405" y="5667768"/>
                <a:pt x="9429633" y="5667768"/>
              </a:cubicBezTo>
              <a:cubicBezTo>
                <a:pt x="9448860" y="5667768"/>
                <a:pt x="9464445" y="5683359"/>
                <a:pt x="9464445" y="5702587"/>
              </a:cubicBezTo>
              <a:cubicBezTo>
                <a:pt x="9464445" y="5721815"/>
                <a:pt x="9448860" y="5737406"/>
                <a:pt x="9429633" y="5737406"/>
              </a:cubicBezTo>
              <a:close/>
              <a:moveTo>
                <a:pt x="9514525" y="5737406"/>
              </a:moveTo>
              <a:cubicBezTo>
                <a:pt x="9495297" y="5737406"/>
                <a:pt x="9479699" y="5721815"/>
                <a:pt x="9479699" y="5702587"/>
              </a:cubicBezTo>
              <a:cubicBezTo>
                <a:pt x="9479699" y="5683359"/>
                <a:pt x="9495297" y="5667768"/>
                <a:pt x="9514525" y="5667768"/>
              </a:cubicBezTo>
              <a:cubicBezTo>
                <a:pt x="9533753" y="5667768"/>
                <a:pt x="9549337" y="5683359"/>
                <a:pt x="9549337" y="5702587"/>
              </a:cubicBezTo>
              <a:cubicBezTo>
                <a:pt x="9549337" y="5721815"/>
                <a:pt x="9533753" y="5737406"/>
                <a:pt x="9514525" y="5737406"/>
              </a:cubicBezTo>
              <a:close/>
              <a:moveTo>
                <a:pt x="9599418" y="5737406"/>
              </a:moveTo>
              <a:cubicBezTo>
                <a:pt x="9580190" y="5737406"/>
                <a:pt x="9564593" y="5721815"/>
                <a:pt x="9564593" y="5702587"/>
              </a:cubicBezTo>
              <a:cubicBezTo>
                <a:pt x="9564593" y="5683359"/>
                <a:pt x="9580190" y="5667768"/>
                <a:pt x="9599418" y="5667768"/>
              </a:cubicBezTo>
              <a:cubicBezTo>
                <a:pt x="9618646" y="5667768"/>
                <a:pt x="9634230" y="5683359"/>
                <a:pt x="9634230" y="5702587"/>
              </a:cubicBezTo>
              <a:cubicBezTo>
                <a:pt x="9634230" y="5721815"/>
                <a:pt x="9618646" y="5737406"/>
                <a:pt x="9599418" y="5737406"/>
              </a:cubicBezTo>
              <a:close/>
              <a:moveTo>
                <a:pt x="9684310" y="5737406"/>
              </a:moveTo>
              <a:cubicBezTo>
                <a:pt x="9665083" y="5737406"/>
                <a:pt x="9649485" y="5721815"/>
                <a:pt x="9649485" y="5702587"/>
              </a:cubicBezTo>
              <a:cubicBezTo>
                <a:pt x="9649485" y="5683359"/>
                <a:pt x="9665083" y="5667768"/>
                <a:pt x="9684310" y="5667768"/>
              </a:cubicBezTo>
              <a:cubicBezTo>
                <a:pt x="9703538" y="5667768"/>
                <a:pt x="9719123" y="5683359"/>
                <a:pt x="9719123" y="5702587"/>
              </a:cubicBezTo>
              <a:cubicBezTo>
                <a:pt x="9719123" y="5721815"/>
                <a:pt x="9703538" y="5737406"/>
                <a:pt x="9684310" y="5737406"/>
              </a:cubicBezTo>
              <a:close/>
              <a:moveTo>
                <a:pt x="9769203" y="5737406"/>
              </a:moveTo>
              <a:cubicBezTo>
                <a:pt x="9749975" y="5737406"/>
                <a:pt x="9734377" y="5721815"/>
                <a:pt x="9734377" y="5702587"/>
              </a:cubicBezTo>
              <a:cubicBezTo>
                <a:pt x="9734377" y="5683359"/>
                <a:pt x="9749975" y="5667768"/>
                <a:pt x="9769203" y="5667768"/>
              </a:cubicBezTo>
              <a:cubicBezTo>
                <a:pt x="9788430" y="5667768"/>
                <a:pt x="9804015" y="5683359"/>
                <a:pt x="9804015" y="5702587"/>
              </a:cubicBezTo>
              <a:cubicBezTo>
                <a:pt x="9804015" y="5721815"/>
                <a:pt x="9788430" y="5737406"/>
                <a:pt x="9769203" y="5737406"/>
              </a:cubicBezTo>
              <a:close/>
              <a:moveTo>
                <a:pt x="9854095" y="5737406"/>
              </a:moveTo>
              <a:cubicBezTo>
                <a:pt x="9834867" y="5737406"/>
                <a:pt x="9819269" y="5721815"/>
                <a:pt x="9819269" y="5702587"/>
              </a:cubicBezTo>
              <a:cubicBezTo>
                <a:pt x="9819269" y="5683359"/>
                <a:pt x="9834867" y="5667768"/>
                <a:pt x="9854095" y="5667768"/>
              </a:cubicBezTo>
              <a:cubicBezTo>
                <a:pt x="9873323" y="5667768"/>
                <a:pt x="9888907" y="5683359"/>
                <a:pt x="9888907" y="5702587"/>
              </a:cubicBezTo>
              <a:cubicBezTo>
                <a:pt x="9888907" y="5721815"/>
                <a:pt x="9873323" y="5737406"/>
                <a:pt x="9854095" y="5737406"/>
              </a:cubicBezTo>
              <a:close/>
              <a:moveTo>
                <a:pt x="9938988" y="5737406"/>
              </a:moveTo>
              <a:cubicBezTo>
                <a:pt x="9919760" y="5737406"/>
                <a:pt x="9904163" y="5721815"/>
                <a:pt x="9904163" y="5702587"/>
              </a:cubicBezTo>
              <a:cubicBezTo>
                <a:pt x="9904163" y="5683359"/>
                <a:pt x="9919760" y="5667768"/>
                <a:pt x="9938988" y="5667768"/>
              </a:cubicBezTo>
              <a:cubicBezTo>
                <a:pt x="9958216" y="5667768"/>
                <a:pt x="9973800" y="5683359"/>
                <a:pt x="9973800" y="5702587"/>
              </a:cubicBezTo>
              <a:cubicBezTo>
                <a:pt x="9973800" y="5721815"/>
                <a:pt x="9958216" y="5737406"/>
                <a:pt x="9938988" y="5737406"/>
              </a:cubicBezTo>
              <a:close/>
              <a:moveTo>
                <a:pt x="10023880" y="5737406"/>
              </a:moveTo>
              <a:cubicBezTo>
                <a:pt x="10004653" y="5737406"/>
                <a:pt x="9989055" y="5721815"/>
                <a:pt x="9989055" y="5702587"/>
              </a:cubicBezTo>
              <a:cubicBezTo>
                <a:pt x="9989055" y="5683359"/>
                <a:pt x="10004653" y="5667768"/>
                <a:pt x="10023880" y="5667768"/>
              </a:cubicBezTo>
              <a:cubicBezTo>
                <a:pt x="10043108" y="5667768"/>
                <a:pt x="10058693" y="5683359"/>
                <a:pt x="10058693" y="5702587"/>
              </a:cubicBezTo>
              <a:cubicBezTo>
                <a:pt x="10058693" y="5721815"/>
                <a:pt x="10043108" y="5737406"/>
                <a:pt x="10023880" y="5737406"/>
              </a:cubicBezTo>
              <a:close/>
              <a:moveTo>
                <a:pt x="10108773" y="5737406"/>
              </a:moveTo>
              <a:cubicBezTo>
                <a:pt x="10089545" y="5737406"/>
                <a:pt x="10073947" y="5721815"/>
                <a:pt x="10073947" y="5702587"/>
              </a:cubicBezTo>
              <a:cubicBezTo>
                <a:pt x="10073947" y="5683359"/>
                <a:pt x="10089545" y="5667768"/>
                <a:pt x="10108773" y="5667768"/>
              </a:cubicBezTo>
              <a:cubicBezTo>
                <a:pt x="10128000" y="5667768"/>
                <a:pt x="10143585" y="5683359"/>
                <a:pt x="10143585" y="5702587"/>
              </a:cubicBezTo>
              <a:cubicBezTo>
                <a:pt x="10143585" y="5721815"/>
                <a:pt x="10128000" y="5737406"/>
                <a:pt x="10108773" y="5737406"/>
              </a:cubicBezTo>
              <a:close/>
              <a:moveTo>
                <a:pt x="10193665" y="5737406"/>
              </a:moveTo>
              <a:cubicBezTo>
                <a:pt x="10174437" y="5737406"/>
                <a:pt x="10158839" y="5721815"/>
                <a:pt x="10158839" y="5702587"/>
              </a:cubicBezTo>
              <a:cubicBezTo>
                <a:pt x="10158839" y="5683359"/>
                <a:pt x="10174437" y="5667768"/>
                <a:pt x="10193665" y="5667768"/>
              </a:cubicBezTo>
              <a:cubicBezTo>
                <a:pt x="10212893" y="5667768"/>
                <a:pt x="10228477" y="5683359"/>
                <a:pt x="10228477" y="5702587"/>
              </a:cubicBezTo>
              <a:cubicBezTo>
                <a:pt x="10228477" y="5721815"/>
                <a:pt x="10212893" y="5737406"/>
                <a:pt x="10193665" y="5737406"/>
              </a:cubicBezTo>
              <a:close/>
              <a:moveTo>
                <a:pt x="10278558" y="5737406"/>
              </a:moveTo>
              <a:cubicBezTo>
                <a:pt x="10259330" y="5737406"/>
                <a:pt x="10243733" y="5721815"/>
                <a:pt x="10243733" y="5702587"/>
              </a:cubicBezTo>
              <a:cubicBezTo>
                <a:pt x="10243733" y="5683359"/>
                <a:pt x="10259330" y="5667768"/>
                <a:pt x="10278558" y="5667768"/>
              </a:cubicBezTo>
              <a:cubicBezTo>
                <a:pt x="10297786" y="5667768"/>
                <a:pt x="10313370" y="5683359"/>
                <a:pt x="10313370" y="5702587"/>
              </a:cubicBezTo>
              <a:cubicBezTo>
                <a:pt x="10313370" y="5721815"/>
                <a:pt x="10297786" y="5737406"/>
                <a:pt x="10278558" y="5737406"/>
              </a:cubicBezTo>
              <a:close/>
              <a:moveTo>
                <a:pt x="10363450" y="5737406"/>
              </a:moveTo>
              <a:cubicBezTo>
                <a:pt x="10344223" y="5737406"/>
                <a:pt x="10328625" y="5721815"/>
                <a:pt x="10328625" y="5702587"/>
              </a:cubicBezTo>
              <a:cubicBezTo>
                <a:pt x="10328625" y="5683359"/>
                <a:pt x="10344223" y="5667768"/>
                <a:pt x="10363450" y="5667768"/>
              </a:cubicBezTo>
              <a:cubicBezTo>
                <a:pt x="10382678" y="5667768"/>
                <a:pt x="10398263" y="5683359"/>
                <a:pt x="10398263" y="5702587"/>
              </a:cubicBezTo>
              <a:cubicBezTo>
                <a:pt x="10398263" y="5721815"/>
                <a:pt x="10382678" y="5737406"/>
                <a:pt x="10363450" y="5737406"/>
              </a:cubicBezTo>
              <a:close/>
              <a:moveTo>
                <a:pt x="10448343" y="5737406"/>
              </a:moveTo>
              <a:cubicBezTo>
                <a:pt x="10429115" y="5737406"/>
                <a:pt x="10413517" y="5721815"/>
                <a:pt x="10413517" y="5702587"/>
              </a:cubicBezTo>
              <a:cubicBezTo>
                <a:pt x="10413517" y="5683359"/>
                <a:pt x="10429115" y="5667768"/>
                <a:pt x="10448343" y="5667768"/>
              </a:cubicBezTo>
              <a:cubicBezTo>
                <a:pt x="10467570" y="5667768"/>
                <a:pt x="10483155" y="5683359"/>
                <a:pt x="10483155" y="5702587"/>
              </a:cubicBezTo>
              <a:cubicBezTo>
                <a:pt x="10483155" y="5721815"/>
                <a:pt x="10467570" y="5737406"/>
                <a:pt x="10448343" y="5737406"/>
              </a:cubicBezTo>
              <a:close/>
              <a:moveTo>
                <a:pt x="1534629" y="5652545"/>
              </a:moveTo>
              <a:cubicBezTo>
                <a:pt x="1515401" y="5652545"/>
                <a:pt x="1499810" y="5636954"/>
                <a:pt x="1499810" y="5617726"/>
              </a:cubicBezTo>
              <a:cubicBezTo>
                <a:pt x="1499810" y="5598499"/>
                <a:pt x="1515401" y="5582908"/>
                <a:pt x="1534629" y="5582908"/>
              </a:cubicBezTo>
              <a:cubicBezTo>
                <a:pt x="1553857" y="5582908"/>
                <a:pt x="1569448" y="5598499"/>
                <a:pt x="1569448" y="5617726"/>
              </a:cubicBezTo>
              <a:cubicBezTo>
                <a:pt x="1569448" y="5636954"/>
                <a:pt x="1553857" y="5652545"/>
                <a:pt x="1534629" y="5652545"/>
              </a:cubicBezTo>
              <a:close/>
              <a:moveTo>
                <a:pt x="1619521" y="5652545"/>
              </a:moveTo>
              <a:cubicBezTo>
                <a:pt x="1600293" y="5652545"/>
                <a:pt x="1584702" y="5636954"/>
                <a:pt x="1584702" y="5617726"/>
              </a:cubicBezTo>
              <a:cubicBezTo>
                <a:pt x="1584702" y="5598499"/>
                <a:pt x="1600293" y="5582908"/>
                <a:pt x="1619521" y="5582908"/>
              </a:cubicBezTo>
              <a:cubicBezTo>
                <a:pt x="1638749" y="5582908"/>
                <a:pt x="1654340" y="5598499"/>
                <a:pt x="1654340" y="5617726"/>
              </a:cubicBezTo>
              <a:cubicBezTo>
                <a:pt x="1654340" y="5636954"/>
                <a:pt x="1638749" y="5652545"/>
                <a:pt x="1619521" y="5652545"/>
              </a:cubicBezTo>
              <a:close/>
              <a:moveTo>
                <a:pt x="1704413" y="5652545"/>
              </a:moveTo>
              <a:cubicBezTo>
                <a:pt x="1685186" y="5652545"/>
                <a:pt x="1669594" y="5636954"/>
                <a:pt x="1669594" y="5617726"/>
              </a:cubicBezTo>
              <a:cubicBezTo>
                <a:pt x="1669594" y="5598499"/>
                <a:pt x="1685186" y="5582908"/>
                <a:pt x="1704413" y="5582908"/>
              </a:cubicBezTo>
              <a:cubicBezTo>
                <a:pt x="1723641" y="5582908"/>
                <a:pt x="1739232" y="5598499"/>
                <a:pt x="1739232" y="5617726"/>
              </a:cubicBezTo>
              <a:cubicBezTo>
                <a:pt x="1739232" y="5636954"/>
                <a:pt x="1723641" y="5652545"/>
                <a:pt x="1704413" y="5652545"/>
              </a:cubicBezTo>
              <a:close/>
              <a:moveTo>
                <a:pt x="1789306" y="5652545"/>
              </a:moveTo>
              <a:cubicBezTo>
                <a:pt x="1770078" y="5652545"/>
                <a:pt x="1754487" y="5636954"/>
                <a:pt x="1754487" y="5617726"/>
              </a:cubicBezTo>
              <a:cubicBezTo>
                <a:pt x="1754487" y="5598499"/>
                <a:pt x="1770078" y="5582908"/>
                <a:pt x="1789306" y="5582908"/>
              </a:cubicBezTo>
              <a:cubicBezTo>
                <a:pt x="1808533" y="5582908"/>
                <a:pt x="1824124" y="5598499"/>
                <a:pt x="1824124" y="5617726"/>
              </a:cubicBezTo>
              <a:cubicBezTo>
                <a:pt x="1824124" y="5636954"/>
                <a:pt x="1808533" y="5652545"/>
                <a:pt x="1789306" y="5652545"/>
              </a:cubicBezTo>
              <a:close/>
              <a:moveTo>
                <a:pt x="1874199" y="5652545"/>
              </a:moveTo>
              <a:cubicBezTo>
                <a:pt x="1854971" y="5652545"/>
                <a:pt x="1839380" y="5636954"/>
                <a:pt x="1839380" y="5617726"/>
              </a:cubicBezTo>
              <a:cubicBezTo>
                <a:pt x="1839380" y="5598499"/>
                <a:pt x="1854971" y="5582908"/>
                <a:pt x="1874199" y="5582908"/>
              </a:cubicBezTo>
              <a:cubicBezTo>
                <a:pt x="1893427" y="5582908"/>
                <a:pt x="1909018" y="5598499"/>
                <a:pt x="1909018" y="5617726"/>
              </a:cubicBezTo>
              <a:cubicBezTo>
                <a:pt x="1909018" y="5636954"/>
                <a:pt x="1893427" y="5652545"/>
                <a:pt x="1874199" y="5652545"/>
              </a:cubicBezTo>
              <a:close/>
              <a:moveTo>
                <a:pt x="1959091" y="5652545"/>
              </a:moveTo>
              <a:cubicBezTo>
                <a:pt x="1939863" y="5652545"/>
                <a:pt x="1924272" y="5636954"/>
                <a:pt x="1924272" y="5617726"/>
              </a:cubicBezTo>
              <a:cubicBezTo>
                <a:pt x="1924272" y="5598499"/>
                <a:pt x="1939863" y="5582908"/>
                <a:pt x="1959091" y="5582908"/>
              </a:cubicBezTo>
              <a:cubicBezTo>
                <a:pt x="1978319" y="5582908"/>
                <a:pt x="1993910" y="5598499"/>
                <a:pt x="1993910" y="5617726"/>
              </a:cubicBezTo>
              <a:cubicBezTo>
                <a:pt x="1993910" y="5636954"/>
                <a:pt x="1978319" y="5652545"/>
                <a:pt x="1959091" y="5652545"/>
              </a:cubicBezTo>
              <a:close/>
              <a:moveTo>
                <a:pt x="2043983" y="5652545"/>
              </a:moveTo>
              <a:cubicBezTo>
                <a:pt x="2024756" y="5652545"/>
                <a:pt x="2009164" y="5636954"/>
                <a:pt x="2009164" y="5617726"/>
              </a:cubicBezTo>
              <a:cubicBezTo>
                <a:pt x="2009164" y="5598499"/>
                <a:pt x="2024756" y="5582908"/>
                <a:pt x="2043983" y="5582908"/>
              </a:cubicBezTo>
              <a:cubicBezTo>
                <a:pt x="2063211" y="5582908"/>
                <a:pt x="2078802" y="5598499"/>
                <a:pt x="2078802" y="5617726"/>
              </a:cubicBezTo>
              <a:cubicBezTo>
                <a:pt x="2078802" y="5636954"/>
                <a:pt x="2063211" y="5652545"/>
                <a:pt x="2043983" y="5652545"/>
              </a:cubicBezTo>
              <a:close/>
              <a:moveTo>
                <a:pt x="2128876" y="5652545"/>
              </a:moveTo>
              <a:cubicBezTo>
                <a:pt x="2109648" y="5652545"/>
                <a:pt x="2094057" y="5636954"/>
                <a:pt x="2094057" y="5617726"/>
              </a:cubicBezTo>
              <a:cubicBezTo>
                <a:pt x="2094057" y="5598499"/>
                <a:pt x="2109648" y="5582908"/>
                <a:pt x="2128876" y="5582908"/>
              </a:cubicBezTo>
              <a:cubicBezTo>
                <a:pt x="2148103" y="5582908"/>
                <a:pt x="2163694" y="5598499"/>
                <a:pt x="2163694" y="5617726"/>
              </a:cubicBezTo>
              <a:cubicBezTo>
                <a:pt x="2163694" y="5636954"/>
                <a:pt x="2148103" y="5652545"/>
                <a:pt x="2128876" y="5652545"/>
              </a:cubicBezTo>
              <a:close/>
              <a:moveTo>
                <a:pt x="2213769" y="5652545"/>
              </a:moveTo>
              <a:cubicBezTo>
                <a:pt x="2194541" y="5652545"/>
                <a:pt x="2178950" y="5636954"/>
                <a:pt x="2178950" y="5617726"/>
              </a:cubicBezTo>
              <a:cubicBezTo>
                <a:pt x="2178950" y="5598499"/>
                <a:pt x="2194541" y="5582908"/>
                <a:pt x="2213769" y="5582908"/>
              </a:cubicBezTo>
              <a:cubicBezTo>
                <a:pt x="2232997" y="5582908"/>
                <a:pt x="2248588" y="5598499"/>
                <a:pt x="2248588" y="5617726"/>
              </a:cubicBezTo>
              <a:cubicBezTo>
                <a:pt x="2248588" y="5636954"/>
                <a:pt x="2232997" y="5652545"/>
                <a:pt x="2213769" y="5652545"/>
              </a:cubicBezTo>
              <a:close/>
              <a:moveTo>
                <a:pt x="2298661" y="5652545"/>
              </a:moveTo>
              <a:cubicBezTo>
                <a:pt x="2279433" y="5652545"/>
                <a:pt x="2263842" y="5636954"/>
                <a:pt x="2263842" y="5617726"/>
              </a:cubicBezTo>
              <a:cubicBezTo>
                <a:pt x="2263842" y="5598499"/>
                <a:pt x="2279433" y="5582908"/>
                <a:pt x="2298661" y="5582908"/>
              </a:cubicBezTo>
              <a:cubicBezTo>
                <a:pt x="2317889" y="5582908"/>
                <a:pt x="2333480" y="5598499"/>
                <a:pt x="2333480" y="5617726"/>
              </a:cubicBezTo>
              <a:cubicBezTo>
                <a:pt x="2333480" y="5636954"/>
                <a:pt x="2317889" y="5652545"/>
                <a:pt x="2298661" y="5652545"/>
              </a:cubicBezTo>
              <a:close/>
              <a:moveTo>
                <a:pt x="2383553" y="5652545"/>
              </a:moveTo>
              <a:cubicBezTo>
                <a:pt x="2364326" y="5652545"/>
                <a:pt x="2348734" y="5636954"/>
                <a:pt x="2348734" y="5617726"/>
              </a:cubicBezTo>
              <a:cubicBezTo>
                <a:pt x="2348734" y="5598499"/>
                <a:pt x="2364326" y="5582908"/>
                <a:pt x="2383553" y="5582908"/>
              </a:cubicBezTo>
              <a:cubicBezTo>
                <a:pt x="2402781" y="5582908"/>
                <a:pt x="2418372" y="5598499"/>
                <a:pt x="2418372" y="5617726"/>
              </a:cubicBezTo>
              <a:cubicBezTo>
                <a:pt x="2418372" y="5636954"/>
                <a:pt x="2402781" y="5652545"/>
                <a:pt x="2383553" y="5652545"/>
              </a:cubicBezTo>
              <a:close/>
              <a:moveTo>
                <a:pt x="2468446" y="5652545"/>
              </a:moveTo>
              <a:cubicBezTo>
                <a:pt x="2449218" y="5652545"/>
                <a:pt x="2433627" y="5636954"/>
                <a:pt x="2433627" y="5617726"/>
              </a:cubicBezTo>
              <a:cubicBezTo>
                <a:pt x="2433627" y="5598499"/>
                <a:pt x="2449218" y="5582908"/>
                <a:pt x="2468446" y="5582908"/>
              </a:cubicBezTo>
              <a:cubicBezTo>
                <a:pt x="2487673" y="5582908"/>
                <a:pt x="2503264" y="5598499"/>
                <a:pt x="2503264" y="5617726"/>
              </a:cubicBezTo>
              <a:cubicBezTo>
                <a:pt x="2503264" y="5636954"/>
                <a:pt x="2487673" y="5652545"/>
                <a:pt x="2468446" y="5652545"/>
              </a:cubicBezTo>
              <a:close/>
              <a:moveTo>
                <a:pt x="2553339" y="5652545"/>
              </a:moveTo>
              <a:cubicBezTo>
                <a:pt x="2534111" y="5652545"/>
                <a:pt x="2518520" y="5636954"/>
                <a:pt x="2518520" y="5617726"/>
              </a:cubicBezTo>
              <a:cubicBezTo>
                <a:pt x="2518520" y="5598499"/>
                <a:pt x="2534111" y="5582908"/>
                <a:pt x="2553339" y="5582908"/>
              </a:cubicBezTo>
              <a:cubicBezTo>
                <a:pt x="2572567" y="5582908"/>
                <a:pt x="2588158" y="5598499"/>
                <a:pt x="2588158" y="5617726"/>
              </a:cubicBezTo>
              <a:cubicBezTo>
                <a:pt x="2588158" y="5636954"/>
                <a:pt x="2572567" y="5652545"/>
                <a:pt x="2553339" y="5652545"/>
              </a:cubicBezTo>
              <a:close/>
              <a:moveTo>
                <a:pt x="2638231" y="5652545"/>
              </a:moveTo>
              <a:cubicBezTo>
                <a:pt x="2619003" y="5652545"/>
                <a:pt x="2603412" y="5636954"/>
                <a:pt x="2603412" y="5617726"/>
              </a:cubicBezTo>
              <a:cubicBezTo>
                <a:pt x="2603412" y="5598499"/>
                <a:pt x="2619003" y="5582908"/>
                <a:pt x="2638231" y="5582908"/>
              </a:cubicBezTo>
              <a:cubicBezTo>
                <a:pt x="2657459" y="5582908"/>
                <a:pt x="2673050" y="5598499"/>
                <a:pt x="2673050" y="5617726"/>
              </a:cubicBezTo>
              <a:cubicBezTo>
                <a:pt x="2673050" y="5636954"/>
                <a:pt x="2657459" y="5652545"/>
                <a:pt x="2638231" y="5652545"/>
              </a:cubicBezTo>
              <a:close/>
              <a:moveTo>
                <a:pt x="2723123" y="5652545"/>
              </a:moveTo>
              <a:cubicBezTo>
                <a:pt x="2703896" y="5652545"/>
                <a:pt x="2688304" y="5636954"/>
                <a:pt x="2688304" y="5617726"/>
              </a:cubicBezTo>
              <a:cubicBezTo>
                <a:pt x="2688304" y="5598499"/>
                <a:pt x="2703896" y="5582908"/>
                <a:pt x="2723123" y="5582908"/>
              </a:cubicBezTo>
              <a:cubicBezTo>
                <a:pt x="2742351" y="5582908"/>
                <a:pt x="2757942" y="5598499"/>
                <a:pt x="2757942" y="5617726"/>
              </a:cubicBezTo>
              <a:cubicBezTo>
                <a:pt x="2757942" y="5636954"/>
                <a:pt x="2742351" y="5652545"/>
                <a:pt x="2723123" y="5652545"/>
              </a:cubicBezTo>
              <a:close/>
              <a:moveTo>
                <a:pt x="2808016" y="5652545"/>
              </a:moveTo>
              <a:cubicBezTo>
                <a:pt x="2788788" y="5652545"/>
                <a:pt x="2773197" y="5636954"/>
                <a:pt x="2773197" y="5617726"/>
              </a:cubicBezTo>
              <a:cubicBezTo>
                <a:pt x="2773197" y="5598499"/>
                <a:pt x="2788788" y="5582908"/>
                <a:pt x="2808016" y="5582908"/>
              </a:cubicBezTo>
              <a:cubicBezTo>
                <a:pt x="2827243" y="5582908"/>
                <a:pt x="2842834" y="5598499"/>
                <a:pt x="2842834" y="5617726"/>
              </a:cubicBezTo>
              <a:cubicBezTo>
                <a:pt x="2842834" y="5636954"/>
                <a:pt x="2827243" y="5652545"/>
                <a:pt x="2808016" y="5652545"/>
              </a:cubicBezTo>
              <a:close/>
              <a:moveTo>
                <a:pt x="2977801" y="5652545"/>
              </a:moveTo>
              <a:cubicBezTo>
                <a:pt x="2958573" y="5652545"/>
                <a:pt x="2942982" y="5636954"/>
                <a:pt x="2942982" y="5617726"/>
              </a:cubicBezTo>
              <a:cubicBezTo>
                <a:pt x="2942982" y="5598499"/>
                <a:pt x="2958573" y="5582908"/>
                <a:pt x="2977801" y="5582908"/>
              </a:cubicBezTo>
              <a:cubicBezTo>
                <a:pt x="2997029" y="5582908"/>
                <a:pt x="3012620" y="5598499"/>
                <a:pt x="3012620" y="5617726"/>
              </a:cubicBezTo>
              <a:cubicBezTo>
                <a:pt x="3012620" y="5636954"/>
                <a:pt x="2997029" y="5652545"/>
                <a:pt x="2977801" y="5652545"/>
              </a:cubicBezTo>
              <a:close/>
              <a:moveTo>
                <a:pt x="3062693" y="5652545"/>
              </a:moveTo>
              <a:cubicBezTo>
                <a:pt x="3043466" y="5652545"/>
                <a:pt x="3027874" y="5636954"/>
                <a:pt x="3027874" y="5617726"/>
              </a:cubicBezTo>
              <a:cubicBezTo>
                <a:pt x="3027874" y="5598499"/>
                <a:pt x="3043466" y="5582908"/>
                <a:pt x="3062693" y="5582908"/>
              </a:cubicBezTo>
              <a:cubicBezTo>
                <a:pt x="3081921" y="5582908"/>
                <a:pt x="3097512" y="5598499"/>
                <a:pt x="3097512" y="5617726"/>
              </a:cubicBezTo>
              <a:cubicBezTo>
                <a:pt x="3097512" y="5636954"/>
                <a:pt x="3081921" y="5652545"/>
                <a:pt x="3062693" y="5652545"/>
              </a:cubicBezTo>
              <a:close/>
              <a:moveTo>
                <a:pt x="3147586" y="5652545"/>
              </a:moveTo>
              <a:cubicBezTo>
                <a:pt x="3128358" y="5652545"/>
                <a:pt x="3112767" y="5636954"/>
                <a:pt x="3112767" y="5617726"/>
              </a:cubicBezTo>
              <a:cubicBezTo>
                <a:pt x="3112767" y="5598499"/>
                <a:pt x="3128358" y="5582908"/>
                <a:pt x="3147586" y="5582908"/>
              </a:cubicBezTo>
              <a:cubicBezTo>
                <a:pt x="3166813" y="5582908"/>
                <a:pt x="3182404" y="5598499"/>
                <a:pt x="3182404" y="5617726"/>
              </a:cubicBezTo>
              <a:cubicBezTo>
                <a:pt x="3182404" y="5636954"/>
                <a:pt x="3166813" y="5652545"/>
                <a:pt x="3147586" y="5652545"/>
              </a:cubicBezTo>
              <a:close/>
              <a:moveTo>
                <a:pt x="3232478" y="5652545"/>
              </a:moveTo>
              <a:cubicBezTo>
                <a:pt x="3213250" y="5652545"/>
                <a:pt x="3197659" y="5636954"/>
                <a:pt x="3197659" y="5617726"/>
              </a:cubicBezTo>
              <a:cubicBezTo>
                <a:pt x="3197659" y="5598499"/>
                <a:pt x="3213250" y="5582908"/>
                <a:pt x="3232478" y="5582908"/>
              </a:cubicBezTo>
              <a:cubicBezTo>
                <a:pt x="3251706" y="5582908"/>
                <a:pt x="3267297" y="5598499"/>
                <a:pt x="3267297" y="5617726"/>
              </a:cubicBezTo>
              <a:cubicBezTo>
                <a:pt x="3267297" y="5636954"/>
                <a:pt x="3251706" y="5652545"/>
                <a:pt x="3232478" y="5652545"/>
              </a:cubicBezTo>
              <a:close/>
              <a:moveTo>
                <a:pt x="3572048" y="5652545"/>
              </a:moveTo>
              <a:cubicBezTo>
                <a:pt x="3552820" y="5652545"/>
                <a:pt x="3537229" y="5636954"/>
                <a:pt x="3537229" y="5617726"/>
              </a:cubicBezTo>
              <a:cubicBezTo>
                <a:pt x="3537229" y="5598499"/>
                <a:pt x="3552820" y="5582908"/>
                <a:pt x="3572048" y="5582908"/>
              </a:cubicBezTo>
              <a:cubicBezTo>
                <a:pt x="3591276" y="5582908"/>
                <a:pt x="3606867" y="5598499"/>
                <a:pt x="3606867" y="5617726"/>
              </a:cubicBezTo>
              <a:cubicBezTo>
                <a:pt x="3606867" y="5636954"/>
                <a:pt x="3591276" y="5652545"/>
                <a:pt x="3572048" y="5652545"/>
              </a:cubicBezTo>
              <a:close/>
              <a:moveTo>
                <a:pt x="3741833" y="5652545"/>
              </a:moveTo>
              <a:cubicBezTo>
                <a:pt x="3722606" y="5652545"/>
                <a:pt x="3707014" y="5636954"/>
                <a:pt x="3707014" y="5617726"/>
              </a:cubicBezTo>
              <a:cubicBezTo>
                <a:pt x="3707014" y="5598499"/>
                <a:pt x="3722606" y="5582908"/>
                <a:pt x="3741833" y="5582908"/>
              </a:cubicBezTo>
              <a:cubicBezTo>
                <a:pt x="3761061" y="5582908"/>
                <a:pt x="3776652" y="5598499"/>
                <a:pt x="3776652" y="5617726"/>
              </a:cubicBezTo>
              <a:cubicBezTo>
                <a:pt x="3776652" y="5636954"/>
                <a:pt x="3761061" y="5652545"/>
                <a:pt x="3741833" y="5652545"/>
              </a:cubicBezTo>
              <a:close/>
              <a:moveTo>
                <a:pt x="3911618" y="5652545"/>
              </a:moveTo>
              <a:cubicBezTo>
                <a:pt x="3892390" y="5652545"/>
                <a:pt x="3876799" y="5636954"/>
                <a:pt x="3876799" y="5617726"/>
              </a:cubicBezTo>
              <a:cubicBezTo>
                <a:pt x="3876799" y="5598499"/>
                <a:pt x="3892390" y="5582908"/>
                <a:pt x="3911618" y="5582908"/>
              </a:cubicBezTo>
              <a:cubicBezTo>
                <a:pt x="3930846" y="5582908"/>
                <a:pt x="3946437" y="5598499"/>
                <a:pt x="3946437" y="5617726"/>
              </a:cubicBezTo>
              <a:cubicBezTo>
                <a:pt x="3946437" y="5636954"/>
                <a:pt x="3930846" y="5652545"/>
                <a:pt x="3911618" y="5652545"/>
              </a:cubicBezTo>
              <a:close/>
              <a:moveTo>
                <a:pt x="3996511" y="5652545"/>
              </a:moveTo>
              <a:cubicBezTo>
                <a:pt x="3977283" y="5652545"/>
                <a:pt x="3961692" y="5636954"/>
                <a:pt x="3961692" y="5617726"/>
              </a:cubicBezTo>
              <a:cubicBezTo>
                <a:pt x="3961692" y="5598499"/>
                <a:pt x="3977283" y="5582908"/>
                <a:pt x="3996511" y="5582908"/>
              </a:cubicBezTo>
              <a:cubicBezTo>
                <a:pt x="4015739" y="5582908"/>
                <a:pt x="4031330" y="5598499"/>
                <a:pt x="4031330" y="5617726"/>
              </a:cubicBezTo>
              <a:cubicBezTo>
                <a:pt x="4031330" y="5636954"/>
                <a:pt x="4015739" y="5652545"/>
                <a:pt x="3996511" y="5652545"/>
              </a:cubicBezTo>
              <a:close/>
              <a:moveTo>
                <a:pt x="4590758" y="5652545"/>
              </a:moveTo>
              <a:cubicBezTo>
                <a:pt x="4571530" y="5652545"/>
                <a:pt x="4555939" y="5636954"/>
                <a:pt x="4555939" y="5617726"/>
              </a:cubicBezTo>
              <a:cubicBezTo>
                <a:pt x="4555939" y="5598499"/>
                <a:pt x="4571530" y="5582908"/>
                <a:pt x="4590758" y="5582908"/>
              </a:cubicBezTo>
              <a:cubicBezTo>
                <a:pt x="4609986" y="5582908"/>
                <a:pt x="4625577" y="5598499"/>
                <a:pt x="4625577" y="5617726"/>
              </a:cubicBezTo>
              <a:cubicBezTo>
                <a:pt x="4625577" y="5636954"/>
                <a:pt x="4609986" y="5652545"/>
                <a:pt x="4590758" y="5652545"/>
              </a:cubicBezTo>
              <a:close/>
              <a:moveTo>
                <a:pt x="4675650" y="5652545"/>
              </a:moveTo>
              <a:cubicBezTo>
                <a:pt x="4656422" y="5652545"/>
                <a:pt x="4640831" y="5636954"/>
                <a:pt x="4640831" y="5617726"/>
              </a:cubicBezTo>
              <a:cubicBezTo>
                <a:pt x="4640831" y="5598499"/>
                <a:pt x="4656422" y="5582908"/>
                <a:pt x="4675650" y="5582908"/>
              </a:cubicBezTo>
              <a:cubicBezTo>
                <a:pt x="4694878" y="5582908"/>
                <a:pt x="4710469" y="5598499"/>
                <a:pt x="4710469" y="5617726"/>
              </a:cubicBezTo>
              <a:cubicBezTo>
                <a:pt x="4710469" y="5636954"/>
                <a:pt x="4694878" y="5652545"/>
                <a:pt x="4675650" y="5652545"/>
              </a:cubicBezTo>
              <a:close/>
              <a:moveTo>
                <a:pt x="4760543" y="5652545"/>
              </a:moveTo>
              <a:cubicBezTo>
                <a:pt x="4741316" y="5652545"/>
                <a:pt x="4725724" y="5636954"/>
                <a:pt x="4725724" y="5617726"/>
              </a:cubicBezTo>
              <a:cubicBezTo>
                <a:pt x="4725724" y="5598499"/>
                <a:pt x="4741316" y="5582908"/>
                <a:pt x="4760543" y="5582908"/>
              </a:cubicBezTo>
              <a:cubicBezTo>
                <a:pt x="4779771" y="5582908"/>
                <a:pt x="4795362" y="5598499"/>
                <a:pt x="4795362" y="5617726"/>
              </a:cubicBezTo>
              <a:cubicBezTo>
                <a:pt x="4795362" y="5636954"/>
                <a:pt x="4779771" y="5652545"/>
                <a:pt x="4760543" y="5652545"/>
              </a:cubicBezTo>
              <a:close/>
              <a:moveTo>
                <a:pt x="4845436" y="5652545"/>
              </a:moveTo>
              <a:cubicBezTo>
                <a:pt x="4826208" y="5652545"/>
                <a:pt x="4810617" y="5636954"/>
                <a:pt x="4810617" y="5617726"/>
              </a:cubicBezTo>
              <a:cubicBezTo>
                <a:pt x="4810617" y="5598499"/>
                <a:pt x="4826208" y="5582908"/>
                <a:pt x="4845436" y="5582908"/>
              </a:cubicBezTo>
              <a:cubicBezTo>
                <a:pt x="4864663" y="5582908"/>
                <a:pt x="4880254" y="5598499"/>
                <a:pt x="4880254" y="5617726"/>
              </a:cubicBezTo>
              <a:cubicBezTo>
                <a:pt x="4880254" y="5636954"/>
                <a:pt x="4864663" y="5652545"/>
                <a:pt x="4845436" y="5652545"/>
              </a:cubicBezTo>
              <a:close/>
              <a:moveTo>
                <a:pt x="4930328" y="5652545"/>
              </a:moveTo>
              <a:cubicBezTo>
                <a:pt x="4911100" y="5652545"/>
                <a:pt x="4895509" y="5636954"/>
                <a:pt x="4895509" y="5617726"/>
              </a:cubicBezTo>
              <a:cubicBezTo>
                <a:pt x="4895509" y="5598499"/>
                <a:pt x="4911100" y="5582908"/>
                <a:pt x="4930328" y="5582908"/>
              </a:cubicBezTo>
              <a:cubicBezTo>
                <a:pt x="4949556" y="5582908"/>
                <a:pt x="4965147" y="5598499"/>
                <a:pt x="4965147" y="5617726"/>
              </a:cubicBezTo>
              <a:cubicBezTo>
                <a:pt x="4965147" y="5636954"/>
                <a:pt x="4949556" y="5652545"/>
                <a:pt x="4930328" y="5652545"/>
              </a:cubicBezTo>
              <a:close/>
              <a:moveTo>
                <a:pt x="5015220" y="5652545"/>
              </a:moveTo>
              <a:cubicBezTo>
                <a:pt x="4995992" y="5652545"/>
                <a:pt x="4980401" y="5636954"/>
                <a:pt x="4980401" y="5617726"/>
              </a:cubicBezTo>
              <a:cubicBezTo>
                <a:pt x="4980401" y="5598499"/>
                <a:pt x="4995992" y="5582908"/>
                <a:pt x="5015220" y="5582908"/>
              </a:cubicBezTo>
              <a:cubicBezTo>
                <a:pt x="5034448" y="5582908"/>
                <a:pt x="5050039" y="5598499"/>
                <a:pt x="5050039" y="5617726"/>
              </a:cubicBezTo>
              <a:cubicBezTo>
                <a:pt x="5050039" y="5636954"/>
                <a:pt x="5034448" y="5652545"/>
                <a:pt x="5015220" y="5652545"/>
              </a:cubicBezTo>
              <a:close/>
              <a:moveTo>
                <a:pt x="5100113" y="5652545"/>
              </a:moveTo>
              <a:cubicBezTo>
                <a:pt x="5080886" y="5652545"/>
                <a:pt x="5065294" y="5636954"/>
                <a:pt x="5065294" y="5617726"/>
              </a:cubicBezTo>
              <a:cubicBezTo>
                <a:pt x="5065294" y="5598499"/>
                <a:pt x="5080886" y="5582908"/>
                <a:pt x="5100113" y="5582908"/>
              </a:cubicBezTo>
              <a:cubicBezTo>
                <a:pt x="5119341" y="5582908"/>
                <a:pt x="5134932" y="5598499"/>
                <a:pt x="5134932" y="5617726"/>
              </a:cubicBezTo>
              <a:cubicBezTo>
                <a:pt x="5134932" y="5636954"/>
                <a:pt x="5119341" y="5652545"/>
                <a:pt x="5100113" y="5652545"/>
              </a:cubicBezTo>
              <a:close/>
              <a:moveTo>
                <a:pt x="5185006" y="5652545"/>
              </a:moveTo>
              <a:cubicBezTo>
                <a:pt x="5165778" y="5652545"/>
                <a:pt x="5150187" y="5636954"/>
                <a:pt x="5150187" y="5617726"/>
              </a:cubicBezTo>
              <a:cubicBezTo>
                <a:pt x="5150187" y="5598499"/>
                <a:pt x="5165778" y="5582908"/>
                <a:pt x="5185006" y="5582908"/>
              </a:cubicBezTo>
              <a:cubicBezTo>
                <a:pt x="5204233" y="5582908"/>
                <a:pt x="5219824" y="5598499"/>
                <a:pt x="5219824" y="5617726"/>
              </a:cubicBezTo>
              <a:cubicBezTo>
                <a:pt x="5219824" y="5636954"/>
                <a:pt x="5204233" y="5652545"/>
                <a:pt x="5185006" y="5652545"/>
              </a:cubicBezTo>
              <a:close/>
              <a:moveTo>
                <a:pt x="5269898" y="5652545"/>
              </a:moveTo>
              <a:cubicBezTo>
                <a:pt x="5250670" y="5652545"/>
                <a:pt x="5235079" y="5636954"/>
                <a:pt x="5235079" y="5617726"/>
              </a:cubicBezTo>
              <a:cubicBezTo>
                <a:pt x="5235079" y="5598499"/>
                <a:pt x="5250670" y="5582908"/>
                <a:pt x="5269898" y="5582908"/>
              </a:cubicBezTo>
              <a:cubicBezTo>
                <a:pt x="5289126" y="5582908"/>
                <a:pt x="5304717" y="5598499"/>
                <a:pt x="5304717" y="5617726"/>
              </a:cubicBezTo>
              <a:cubicBezTo>
                <a:pt x="5304717" y="5636954"/>
                <a:pt x="5289126" y="5652545"/>
                <a:pt x="5269898" y="5652545"/>
              </a:cubicBezTo>
              <a:close/>
              <a:moveTo>
                <a:pt x="5354790" y="5652545"/>
              </a:moveTo>
              <a:cubicBezTo>
                <a:pt x="5335562" y="5652545"/>
                <a:pt x="5319971" y="5636954"/>
                <a:pt x="5319971" y="5617726"/>
              </a:cubicBezTo>
              <a:cubicBezTo>
                <a:pt x="5319971" y="5598499"/>
                <a:pt x="5335562" y="5582908"/>
                <a:pt x="5354790" y="5582908"/>
              </a:cubicBezTo>
              <a:cubicBezTo>
                <a:pt x="5374018" y="5582908"/>
                <a:pt x="5389609" y="5598499"/>
                <a:pt x="5389609" y="5617726"/>
              </a:cubicBezTo>
              <a:cubicBezTo>
                <a:pt x="5389609" y="5636954"/>
                <a:pt x="5374018" y="5652545"/>
                <a:pt x="5354790" y="5652545"/>
              </a:cubicBezTo>
              <a:close/>
              <a:moveTo>
                <a:pt x="7137536" y="5652545"/>
              </a:moveTo>
              <a:cubicBezTo>
                <a:pt x="7118308" y="5652545"/>
                <a:pt x="7102710" y="5636954"/>
                <a:pt x="7102710" y="5617726"/>
              </a:cubicBezTo>
              <a:cubicBezTo>
                <a:pt x="7102710" y="5598499"/>
                <a:pt x="7118308" y="5582908"/>
                <a:pt x="7137536" y="5582908"/>
              </a:cubicBezTo>
              <a:cubicBezTo>
                <a:pt x="7156764" y="5582908"/>
                <a:pt x="7172348" y="5598499"/>
                <a:pt x="7172348" y="5617726"/>
              </a:cubicBezTo>
              <a:cubicBezTo>
                <a:pt x="7172348" y="5636954"/>
                <a:pt x="7156764" y="5652545"/>
                <a:pt x="7137536" y="5652545"/>
              </a:cubicBezTo>
              <a:close/>
              <a:moveTo>
                <a:pt x="7477106" y="5652545"/>
              </a:moveTo>
              <a:cubicBezTo>
                <a:pt x="7457878" y="5652545"/>
                <a:pt x="7442280" y="5636954"/>
                <a:pt x="7442280" y="5617726"/>
              </a:cubicBezTo>
              <a:cubicBezTo>
                <a:pt x="7442280" y="5598499"/>
                <a:pt x="7457878" y="5582908"/>
                <a:pt x="7477106" y="5582908"/>
              </a:cubicBezTo>
              <a:cubicBezTo>
                <a:pt x="7496334" y="5582908"/>
                <a:pt x="7511918" y="5598499"/>
                <a:pt x="7511918" y="5617726"/>
              </a:cubicBezTo>
              <a:cubicBezTo>
                <a:pt x="7511918" y="5636954"/>
                <a:pt x="7496334" y="5652545"/>
                <a:pt x="7477106" y="5652545"/>
              </a:cubicBezTo>
              <a:close/>
              <a:moveTo>
                <a:pt x="7816676" y="5652545"/>
              </a:moveTo>
              <a:cubicBezTo>
                <a:pt x="7797448" y="5652545"/>
                <a:pt x="7781850" y="5636954"/>
                <a:pt x="7781850" y="5617726"/>
              </a:cubicBezTo>
              <a:cubicBezTo>
                <a:pt x="7781850" y="5598499"/>
                <a:pt x="7797448" y="5582908"/>
                <a:pt x="7816676" y="5582908"/>
              </a:cubicBezTo>
              <a:cubicBezTo>
                <a:pt x="7835904" y="5582908"/>
                <a:pt x="7851488" y="5598499"/>
                <a:pt x="7851488" y="5617726"/>
              </a:cubicBezTo>
              <a:cubicBezTo>
                <a:pt x="7851488" y="5636954"/>
                <a:pt x="7835904" y="5652545"/>
                <a:pt x="7816676" y="5652545"/>
              </a:cubicBezTo>
              <a:close/>
              <a:moveTo>
                <a:pt x="7901568" y="5652545"/>
              </a:moveTo>
              <a:cubicBezTo>
                <a:pt x="7882340" y="5652545"/>
                <a:pt x="7866743" y="5636954"/>
                <a:pt x="7866743" y="5617726"/>
              </a:cubicBezTo>
              <a:cubicBezTo>
                <a:pt x="7866743" y="5598499"/>
                <a:pt x="7882340" y="5582908"/>
                <a:pt x="7901568" y="5582908"/>
              </a:cubicBezTo>
              <a:cubicBezTo>
                <a:pt x="7920796" y="5582908"/>
                <a:pt x="7936380" y="5598499"/>
                <a:pt x="7936380" y="5617726"/>
              </a:cubicBezTo>
              <a:cubicBezTo>
                <a:pt x="7936380" y="5636954"/>
                <a:pt x="7920796" y="5652545"/>
                <a:pt x="7901568" y="5652545"/>
              </a:cubicBezTo>
              <a:close/>
              <a:moveTo>
                <a:pt x="7986460" y="5652545"/>
              </a:moveTo>
              <a:cubicBezTo>
                <a:pt x="7967233" y="5652545"/>
                <a:pt x="7951635" y="5636954"/>
                <a:pt x="7951635" y="5617726"/>
              </a:cubicBezTo>
              <a:cubicBezTo>
                <a:pt x="7951635" y="5598499"/>
                <a:pt x="7967233" y="5582908"/>
                <a:pt x="7986460" y="5582908"/>
              </a:cubicBezTo>
              <a:cubicBezTo>
                <a:pt x="8005688" y="5582908"/>
                <a:pt x="8021273" y="5598499"/>
                <a:pt x="8021273" y="5617726"/>
              </a:cubicBezTo>
              <a:cubicBezTo>
                <a:pt x="8021273" y="5636954"/>
                <a:pt x="8005688" y="5652545"/>
                <a:pt x="7986460" y="5652545"/>
              </a:cubicBezTo>
              <a:close/>
              <a:moveTo>
                <a:pt x="8071353" y="5652545"/>
              </a:moveTo>
              <a:cubicBezTo>
                <a:pt x="8052125" y="5652545"/>
                <a:pt x="8036527" y="5636954"/>
                <a:pt x="8036527" y="5617726"/>
              </a:cubicBezTo>
              <a:cubicBezTo>
                <a:pt x="8036527" y="5598499"/>
                <a:pt x="8052125" y="5582908"/>
                <a:pt x="8071353" y="5582908"/>
              </a:cubicBezTo>
              <a:cubicBezTo>
                <a:pt x="8090580" y="5582908"/>
                <a:pt x="8106165" y="5598499"/>
                <a:pt x="8106165" y="5617726"/>
              </a:cubicBezTo>
              <a:cubicBezTo>
                <a:pt x="8106165" y="5636954"/>
                <a:pt x="8090580" y="5652545"/>
                <a:pt x="8071353" y="5652545"/>
              </a:cubicBezTo>
              <a:close/>
              <a:moveTo>
                <a:pt x="8156246" y="5652545"/>
              </a:moveTo>
              <a:cubicBezTo>
                <a:pt x="8137018" y="5652545"/>
                <a:pt x="8121420" y="5636954"/>
                <a:pt x="8121420" y="5617726"/>
              </a:cubicBezTo>
              <a:cubicBezTo>
                <a:pt x="8121420" y="5598499"/>
                <a:pt x="8137018" y="5582908"/>
                <a:pt x="8156246" y="5582908"/>
              </a:cubicBezTo>
              <a:cubicBezTo>
                <a:pt x="8175474" y="5582908"/>
                <a:pt x="8191058" y="5598499"/>
                <a:pt x="8191058" y="5617726"/>
              </a:cubicBezTo>
              <a:cubicBezTo>
                <a:pt x="8191058" y="5636954"/>
                <a:pt x="8175474" y="5652545"/>
                <a:pt x="8156246" y="5652545"/>
              </a:cubicBezTo>
              <a:close/>
              <a:moveTo>
                <a:pt x="8241138" y="5652545"/>
              </a:moveTo>
              <a:cubicBezTo>
                <a:pt x="8221910" y="5652545"/>
                <a:pt x="8206313" y="5636954"/>
                <a:pt x="8206313" y="5617726"/>
              </a:cubicBezTo>
              <a:cubicBezTo>
                <a:pt x="8206313" y="5598499"/>
                <a:pt x="8221910" y="5582908"/>
                <a:pt x="8241138" y="5582908"/>
              </a:cubicBezTo>
              <a:cubicBezTo>
                <a:pt x="8260366" y="5582908"/>
                <a:pt x="8275950" y="5598499"/>
                <a:pt x="8275950" y="5617726"/>
              </a:cubicBezTo>
              <a:cubicBezTo>
                <a:pt x="8275950" y="5636954"/>
                <a:pt x="8260366" y="5652545"/>
                <a:pt x="8241138" y="5652545"/>
              </a:cubicBezTo>
              <a:close/>
              <a:moveTo>
                <a:pt x="8326030" y="5652545"/>
              </a:moveTo>
              <a:cubicBezTo>
                <a:pt x="8306803" y="5652545"/>
                <a:pt x="8291205" y="5636954"/>
                <a:pt x="8291205" y="5617726"/>
              </a:cubicBezTo>
              <a:cubicBezTo>
                <a:pt x="8291205" y="5598499"/>
                <a:pt x="8306803" y="5582908"/>
                <a:pt x="8326030" y="5582908"/>
              </a:cubicBezTo>
              <a:cubicBezTo>
                <a:pt x="8345258" y="5582908"/>
                <a:pt x="8360843" y="5598499"/>
                <a:pt x="8360843" y="5617726"/>
              </a:cubicBezTo>
              <a:cubicBezTo>
                <a:pt x="8360843" y="5636954"/>
                <a:pt x="8345258" y="5652545"/>
                <a:pt x="8326030" y="5652545"/>
              </a:cubicBezTo>
              <a:close/>
              <a:moveTo>
                <a:pt x="8410923" y="5652545"/>
              </a:moveTo>
              <a:cubicBezTo>
                <a:pt x="8391695" y="5652545"/>
                <a:pt x="8376097" y="5636954"/>
                <a:pt x="8376097" y="5617726"/>
              </a:cubicBezTo>
              <a:cubicBezTo>
                <a:pt x="8376097" y="5598499"/>
                <a:pt x="8391695" y="5582908"/>
                <a:pt x="8410923" y="5582908"/>
              </a:cubicBezTo>
              <a:cubicBezTo>
                <a:pt x="8430150" y="5582908"/>
                <a:pt x="8445735" y="5598499"/>
                <a:pt x="8445735" y="5617726"/>
              </a:cubicBezTo>
              <a:cubicBezTo>
                <a:pt x="8445735" y="5636954"/>
                <a:pt x="8430150" y="5652545"/>
                <a:pt x="8410923" y="5652545"/>
              </a:cubicBezTo>
              <a:close/>
              <a:moveTo>
                <a:pt x="8495816" y="5652545"/>
              </a:moveTo>
              <a:cubicBezTo>
                <a:pt x="8476588" y="5652545"/>
                <a:pt x="8460990" y="5636954"/>
                <a:pt x="8460990" y="5617726"/>
              </a:cubicBezTo>
              <a:cubicBezTo>
                <a:pt x="8460990" y="5598499"/>
                <a:pt x="8476588" y="5582908"/>
                <a:pt x="8495816" y="5582908"/>
              </a:cubicBezTo>
              <a:cubicBezTo>
                <a:pt x="8515044" y="5582908"/>
                <a:pt x="8530628" y="5598499"/>
                <a:pt x="8530628" y="5617726"/>
              </a:cubicBezTo>
              <a:cubicBezTo>
                <a:pt x="8530628" y="5636954"/>
                <a:pt x="8515044" y="5652545"/>
                <a:pt x="8495816" y="5652545"/>
              </a:cubicBezTo>
              <a:close/>
              <a:moveTo>
                <a:pt x="8580708" y="5652545"/>
              </a:moveTo>
              <a:cubicBezTo>
                <a:pt x="8561480" y="5652545"/>
                <a:pt x="8545883" y="5636954"/>
                <a:pt x="8545883" y="5617726"/>
              </a:cubicBezTo>
              <a:cubicBezTo>
                <a:pt x="8545883" y="5598499"/>
                <a:pt x="8561480" y="5582908"/>
                <a:pt x="8580708" y="5582908"/>
              </a:cubicBezTo>
              <a:cubicBezTo>
                <a:pt x="8599936" y="5582908"/>
                <a:pt x="8615520" y="5598499"/>
                <a:pt x="8615520" y="5617726"/>
              </a:cubicBezTo>
              <a:cubicBezTo>
                <a:pt x="8615520" y="5636954"/>
                <a:pt x="8599936" y="5652545"/>
                <a:pt x="8580708" y="5652545"/>
              </a:cubicBezTo>
              <a:close/>
              <a:moveTo>
                <a:pt x="8665600" y="5652545"/>
              </a:moveTo>
              <a:cubicBezTo>
                <a:pt x="8646373" y="5652545"/>
                <a:pt x="8630775" y="5636954"/>
                <a:pt x="8630775" y="5617726"/>
              </a:cubicBezTo>
              <a:cubicBezTo>
                <a:pt x="8630775" y="5598499"/>
                <a:pt x="8646373" y="5582908"/>
                <a:pt x="8665600" y="5582908"/>
              </a:cubicBezTo>
              <a:cubicBezTo>
                <a:pt x="8684828" y="5582908"/>
                <a:pt x="8700413" y="5598499"/>
                <a:pt x="8700413" y="5617726"/>
              </a:cubicBezTo>
              <a:cubicBezTo>
                <a:pt x="8700413" y="5636954"/>
                <a:pt x="8684828" y="5652545"/>
                <a:pt x="8665600" y="5652545"/>
              </a:cubicBezTo>
              <a:close/>
              <a:moveTo>
                <a:pt x="8750493" y="5652545"/>
              </a:moveTo>
              <a:cubicBezTo>
                <a:pt x="8731265" y="5652545"/>
                <a:pt x="8715667" y="5636954"/>
                <a:pt x="8715667" y="5617726"/>
              </a:cubicBezTo>
              <a:cubicBezTo>
                <a:pt x="8715667" y="5598499"/>
                <a:pt x="8731265" y="5582908"/>
                <a:pt x="8750493" y="5582908"/>
              </a:cubicBezTo>
              <a:cubicBezTo>
                <a:pt x="8769720" y="5582908"/>
                <a:pt x="8785305" y="5598499"/>
                <a:pt x="8785305" y="5617726"/>
              </a:cubicBezTo>
              <a:cubicBezTo>
                <a:pt x="8785305" y="5636954"/>
                <a:pt x="8769720" y="5652545"/>
                <a:pt x="8750493" y="5652545"/>
              </a:cubicBezTo>
              <a:close/>
              <a:moveTo>
                <a:pt x="8835386" y="5652545"/>
              </a:moveTo>
              <a:cubicBezTo>
                <a:pt x="8816158" y="5652545"/>
                <a:pt x="8800560" y="5636954"/>
                <a:pt x="8800560" y="5617726"/>
              </a:cubicBezTo>
              <a:cubicBezTo>
                <a:pt x="8800560" y="5598499"/>
                <a:pt x="8816158" y="5582908"/>
                <a:pt x="8835386" y="5582908"/>
              </a:cubicBezTo>
              <a:cubicBezTo>
                <a:pt x="8854614" y="5582908"/>
                <a:pt x="8870198" y="5598499"/>
                <a:pt x="8870198" y="5617726"/>
              </a:cubicBezTo>
              <a:cubicBezTo>
                <a:pt x="8870198" y="5636954"/>
                <a:pt x="8854614" y="5652545"/>
                <a:pt x="8835386" y="5652545"/>
              </a:cubicBezTo>
              <a:close/>
              <a:moveTo>
                <a:pt x="8920278" y="5652545"/>
              </a:moveTo>
              <a:cubicBezTo>
                <a:pt x="8901050" y="5652545"/>
                <a:pt x="8885453" y="5636954"/>
                <a:pt x="8885453" y="5617726"/>
              </a:cubicBezTo>
              <a:cubicBezTo>
                <a:pt x="8885453" y="5598499"/>
                <a:pt x="8901050" y="5582908"/>
                <a:pt x="8920278" y="5582908"/>
              </a:cubicBezTo>
              <a:cubicBezTo>
                <a:pt x="8939506" y="5582908"/>
                <a:pt x="8955090" y="5598499"/>
                <a:pt x="8955090" y="5617726"/>
              </a:cubicBezTo>
              <a:cubicBezTo>
                <a:pt x="8955090" y="5636954"/>
                <a:pt x="8939506" y="5652545"/>
                <a:pt x="8920278" y="5652545"/>
              </a:cubicBezTo>
              <a:close/>
              <a:moveTo>
                <a:pt x="9005170" y="5652545"/>
              </a:moveTo>
              <a:cubicBezTo>
                <a:pt x="8985943" y="5652545"/>
                <a:pt x="8970345" y="5636954"/>
                <a:pt x="8970345" y="5617726"/>
              </a:cubicBezTo>
              <a:cubicBezTo>
                <a:pt x="8970345" y="5598499"/>
                <a:pt x="8985943" y="5582908"/>
                <a:pt x="9005170" y="5582908"/>
              </a:cubicBezTo>
              <a:cubicBezTo>
                <a:pt x="9024398" y="5582908"/>
                <a:pt x="9039983" y="5598499"/>
                <a:pt x="9039983" y="5617726"/>
              </a:cubicBezTo>
              <a:cubicBezTo>
                <a:pt x="9039983" y="5636954"/>
                <a:pt x="9024398" y="5652545"/>
                <a:pt x="9005170" y="5652545"/>
              </a:cubicBezTo>
              <a:close/>
              <a:moveTo>
                <a:pt x="9090063" y="5652545"/>
              </a:moveTo>
              <a:cubicBezTo>
                <a:pt x="9070835" y="5652545"/>
                <a:pt x="9055237" y="5636954"/>
                <a:pt x="9055237" y="5617726"/>
              </a:cubicBezTo>
              <a:cubicBezTo>
                <a:pt x="9055237" y="5598499"/>
                <a:pt x="9070835" y="5582908"/>
                <a:pt x="9090063" y="5582908"/>
              </a:cubicBezTo>
              <a:cubicBezTo>
                <a:pt x="9109290" y="5582908"/>
                <a:pt x="9124875" y="5598499"/>
                <a:pt x="9124875" y="5617726"/>
              </a:cubicBezTo>
              <a:cubicBezTo>
                <a:pt x="9124875" y="5636954"/>
                <a:pt x="9109290" y="5652545"/>
                <a:pt x="9090063" y="5652545"/>
              </a:cubicBezTo>
              <a:close/>
              <a:moveTo>
                <a:pt x="9174956" y="5652545"/>
              </a:moveTo>
              <a:cubicBezTo>
                <a:pt x="9155728" y="5652545"/>
                <a:pt x="9140130" y="5636954"/>
                <a:pt x="9140130" y="5617726"/>
              </a:cubicBezTo>
              <a:cubicBezTo>
                <a:pt x="9140130" y="5598499"/>
                <a:pt x="9155728" y="5582908"/>
                <a:pt x="9174956" y="5582908"/>
              </a:cubicBezTo>
              <a:cubicBezTo>
                <a:pt x="9194184" y="5582908"/>
                <a:pt x="9209768" y="5598499"/>
                <a:pt x="9209768" y="5617726"/>
              </a:cubicBezTo>
              <a:cubicBezTo>
                <a:pt x="9209768" y="5636954"/>
                <a:pt x="9194184" y="5652545"/>
                <a:pt x="9174956" y="5652545"/>
              </a:cubicBezTo>
              <a:close/>
              <a:moveTo>
                <a:pt x="9259848" y="5652545"/>
              </a:moveTo>
              <a:cubicBezTo>
                <a:pt x="9240620" y="5652545"/>
                <a:pt x="9225023" y="5636954"/>
                <a:pt x="9225023" y="5617726"/>
              </a:cubicBezTo>
              <a:cubicBezTo>
                <a:pt x="9225023" y="5598499"/>
                <a:pt x="9240620" y="5582908"/>
                <a:pt x="9259848" y="5582908"/>
              </a:cubicBezTo>
              <a:cubicBezTo>
                <a:pt x="9279076" y="5582908"/>
                <a:pt x="9294660" y="5598499"/>
                <a:pt x="9294660" y="5617726"/>
              </a:cubicBezTo>
              <a:cubicBezTo>
                <a:pt x="9294660" y="5636954"/>
                <a:pt x="9279076" y="5652545"/>
                <a:pt x="9259848" y="5652545"/>
              </a:cubicBezTo>
              <a:close/>
              <a:moveTo>
                <a:pt x="9344740" y="5652545"/>
              </a:moveTo>
              <a:cubicBezTo>
                <a:pt x="9325513" y="5652545"/>
                <a:pt x="9309915" y="5636954"/>
                <a:pt x="9309915" y="5617726"/>
              </a:cubicBezTo>
              <a:cubicBezTo>
                <a:pt x="9309915" y="5598499"/>
                <a:pt x="9325513" y="5582908"/>
                <a:pt x="9344740" y="5582908"/>
              </a:cubicBezTo>
              <a:cubicBezTo>
                <a:pt x="9363968" y="5582908"/>
                <a:pt x="9379553" y="5598499"/>
                <a:pt x="9379553" y="5617726"/>
              </a:cubicBezTo>
              <a:cubicBezTo>
                <a:pt x="9379553" y="5636954"/>
                <a:pt x="9363968" y="5652545"/>
                <a:pt x="9344740" y="5652545"/>
              </a:cubicBezTo>
              <a:close/>
              <a:moveTo>
                <a:pt x="9429633" y="5652545"/>
              </a:moveTo>
              <a:cubicBezTo>
                <a:pt x="9410405" y="5652545"/>
                <a:pt x="9394807" y="5636954"/>
                <a:pt x="9394807" y="5617726"/>
              </a:cubicBezTo>
              <a:cubicBezTo>
                <a:pt x="9394807" y="5598499"/>
                <a:pt x="9410405" y="5582908"/>
                <a:pt x="9429633" y="5582908"/>
              </a:cubicBezTo>
              <a:cubicBezTo>
                <a:pt x="9448860" y="5582908"/>
                <a:pt x="9464445" y="5598499"/>
                <a:pt x="9464445" y="5617726"/>
              </a:cubicBezTo>
              <a:cubicBezTo>
                <a:pt x="9464445" y="5636954"/>
                <a:pt x="9448860" y="5652545"/>
                <a:pt x="9429633" y="5652545"/>
              </a:cubicBezTo>
              <a:close/>
              <a:moveTo>
                <a:pt x="9514525" y="5652545"/>
              </a:moveTo>
              <a:cubicBezTo>
                <a:pt x="9495297" y="5652545"/>
                <a:pt x="9479699" y="5636954"/>
                <a:pt x="9479699" y="5617726"/>
              </a:cubicBezTo>
              <a:cubicBezTo>
                <a:pt x="9479699" y="5598499"/>
                <a:pt x="9495297" y="5582908"/>
                <a:pt x="9514525" y="5582908"/>
              </a:cubicBezTo>
              <a:cubicBezTo>
                <a:pt x="9533753" y="5582908"/>
                <a:pt x="9549337" y="5598499"/>
                <a:pt x="9549337" y="5617726"/>
              </a:cubicBezTo>
              <a:cubicBezTo>
                <a:pt x="9549337" y="5636954"/>
                <a:pt x="9533753" y="5652545"/>
                <a:pt x="9514525" y="5652545"/>
              </a:cubicBezTo>
              <a:close/>
              <a:moveTo>
                <a:pt x="9599418" y="5652545"/>
              </a:moveTo>
              <a:cubicBezTo>
                <a:pt x="9580190" y="5652545"/>
                <a:pt x="9564593" y="5636954"/>
                <a:pt x="9564593" y="5617726"/>
              </a:cubicBezTo>
              <a:cubicBezTo>
                <a:pt x="9564593" y="5598499"/>
                <a:pt x="9580190" y="5582908"/>
                <a:pt x="9599418" y="5582908"/>
              </a:cubicBezTo>
              <a:cubicBezTo>
                <a:pt x="9618646" y="5582908"/>
                <a:pt x="9634230" y="5598499"/>
                <a:pt x="9634230" y="5617726"/>
              </a:cubicBezTo>
              <a:cubicBezTo>
                <a:pt x="9634230" y="5636954"/>
                <a:pt x="9618646" y="5652545"/>
                <a:pt x="9599418" y="5652545"/>
              </a:cubicBezTo>
              <a:close/>
              <a:moveTo>
                <a:pt x="9684310" y="5652545"/>
              </a:moveTo>
              <a:cubicBezTo>
                <a:pt x="9665083" y="5652545"/>
                <a:pt x="9649485" y="5636954"/>
                <a:pt x="9649485" y="5617726"/>
              </a:cubicBezTo>
              <a:cubicBezTo>
                <a:pt x="9649485" y="5598499"/>
                <a:pt x="9665083" y="5582908"/>
                <a:pt x="9684310" y="5582908"/>
              </a:cubicBezTo>
              <a:cubicBezTo>
                <a:pt x="9703538" y="5582908"/>
                <a:pt x="9719123" y="5598499"/>
                <a:pt x="9719123" y="5617726"/>
              </a:cubicBezTo>
              <a:cubicBezTo>
                <a:pt x="9719123" y="5636954"/>
                <a:pt x="9703538" y="5652545"/>
                <a:pt x="9684310" y="5652545"/>
              </a:cubicBezTo>
              <a:close/>
              <a:moveTo>
                <a:pt x="9769203" y="5652545"/>
              </a:moveTo>
              <a:cubicBezTo>
                <a:pt x="9749975" y="5652545"/>
                <a:pt x="9734377" y="5636954"/>
                <a:pt x="9734377" y="5617726"/>
              </a:cubicBezTo>
              <a:cubicBezTo>
                <a:pt x="9734377" y="5598499"/>
                <a:pt x="9749975" y="5582908"/>
                <a:pt x="9769203" y="5582908"/>
              </a:cubicBezTo>
              <a:cubicBezTo>
                <a:pt x="9788430" y="5582908"/>
                <a:pt x="9804015" y="5598499"/>
                <a:pt x="9804015" y="5617726"/>
              </a:cubicBezTo>
              <a:cubicBezTo>
                <a:pt x="9804015" y="5636954"/>
                <a:pt x="9788430" y="5652545"/>
                <a:pt x="9769203" y="5652545"/>
              </a:cubicBezTo>
              <a:close/>
              <a:moveTo>
                <a:pt x="9854095" y="5652545"/>
              </a:moveTo>
              <a:cubicBezTo>
                <a:pt x="9834867" y="5652545"/>
                <a:pt x="9819269" y="5636954"/>
                <a:pt x="9819269" y="5617726"/>
              </a:cubicBezTo>
              <a:cubicBezTo>
                <a:pt x="9819269" y="5598499"/>
                <a:pt x="9834867" y="5582908"/>
                <a:pt x="9854095" y="5582908"/>
              </a:cubicBezTo>
              <a:cubicBezTo>
                <a:pt x="9873323" y="5582908"/>
                <a:pt x="9888907" y="5598499"/>
                <a:pt x="9888907" y="5617726"/>
              </a:cubicBezTo>
              <a:cubicBezTo>
                <a:pt x="9888907" y="5636954"/>
                <a:pt x="9873323" y="5652545"/>
                <a:pt x="9854095" y="5652545"/>
              </a:cubicBezTo>
              <a:close/>
              <a:moveTo>
                <a:pt x="9938988" y="5652545"/>
              </a:moveTo>
              <a:cubicBezTo>
                <a:pt x="9919760" y="5652545"/>
                <a:pt x="9904163" y="5636954"/>
                <a:pt x="9904163" y="5617726"/>
              </a:cubicBezTo>
              <a:cubicBezTo>
                <a:pt x="9904163" y="5598499"/>
                <a:pt x="9919760" y="5582908"/>
                <a:pt x="9938988" y="5582908"/>
              </a:cubicBezTo>
              <a:cubicBezTo>
                <a:pt x="9958216" y="5582908"/>
                <a:pt x="9973800" y="5598499"/>
                <a:pt x="9973800" y="5617726"/>
              </a:cubicBezTo>
              <a:cubicBezTo>
                <a:pt x="9973800" y="5636954"/>
                <a:pt x="9958216" y="5652545"/>
                <a:pt x="9938988" y="5652545"/>
              </a:cubicBezTo>
              <a:close/>
              <a:moveTo>
                <a:pt x="10023880" y="5652545"/>
              </a:moveTo>
              <a:cubicBezTo>
                <a:pt x="10004653" y="5652545"/>
                <a:pt x="9989055" y="5636954"/>
                <a:pt x="9989055" y="5617726"/>
              </a:cubicBezTo>
              <a:cubicBezTo>
                <a:pt x="9989055" y="5598499"/>
                <a:pt x="10004653" y="5582908"/>
                <a:pt x="10023880" y="5582908"/>
              </a:cubicBezTo>
              <a:cubicBezTo>
                <a:pt x="10043108" y="5582908"/>
                <a:pt x="10058693" y="5598499"/>
                <a:pt x="10058693" y="5617726"/>
              </a:cubicBezTo>
              <a:cubicBezTo>
                <a:pt x="10058693" y="5636954"/>
                <a:pt x="10043108" y="5652545"/>
                <a:pt x="10023880" y="5652545"/>
              </a:cubicBezTo>
              <a:close/>
              <a:moveTo>
                <a:pt x="10108773" y="5652545"/>
              </a:moveTo>
              <a:cubicBezTo>
                <a:pt x="10089545" y="5652545"/>
                <a:pt x="10073947" y="5636954"/>
                <a:pt x="10073947" y="5617726"/>
              </a:cubicBezTo>
              <a:cubicBezTo>
                <a:pt x="10073947" y="5598499"/>
                <a:pt x="10089545" y="5582908"/>
                <a:pt x="10108773" y="5582908"/>
              </a:cubicBezTo>
              <a:cubicBezTo>
                <a:pt x="10128000" y="5582908"/>
                <a:pt x="10143585" y="5598499"/>
                <a:pt x="10143585" y="5617726"/>
              </a:cubicBezTo>
              <a:cubicBezTo>
                <a:pt x="10143585" y="5636954"/>
                <a:pt x="10128000" y="5652545"/>
                <a:pt x="10108773" y="5652545"/>
              </a:cubicBezTo>
              <a:close/>
              <a:moveTo>
                <a:pt x="10193665" y="5652545"/>
              </a:moveTo>
              <a:cubicBezTo>
                <a:pt x="10174437" y="5652545"/>
                <a:pt x="10158839" y="5636954"/>
                <a:pt x="10158839" y="5617726"/>
              </a:cubicBezTo>
              <a:cubicBezTo>
                <a:pt x="10158839" y="5598499"/>
                <a:pt x="10174437" y="5582908"/>
                <a:pt x="10193665" y="5582908"/>
              </a:cubicBezTo>
              <a:cubicBezTo>
                <a:pt x="10212893" y="5582908"/>
                <a:pt x="10228477" y="5598499"/>
                <a:pt x="10228477" y="5617726"/>
              </a:cubicBezTo>
              <a:cubicBezTo>
                <a:pt x="10228477" y="5636954"/>
                <a:pt x="10212893" y="5652545"/>
                <a:pt x="10193665" y="5652545"/>
              </a:cubicBezTo>
              <a:close/>
              <a:moveTo>
                <a:pt x="10278558" y="5652545"/>
              </a:moveTo>
              <a:cubicBezTo>
                <a:pt x="10259330" y="5652545"/>
                <a:pt x="10243733" y="5636954"/>
                <a:pt x="10243733" y="5617726"/>
              </a:cubicBezTo>
              <a:cubicBezTo>
                <a:pt x="10243733" y="5598499"/>
                <a:pt x="10259330" y="5582908"/>
                <a:pt x="10278558" y="5582908"/>
              </a:cubicBezTo>
              <a:cubicBezTo>
                <a:pt x="10297786" y="5582908"/>
                <a:pt x="10313370" y="5598499"/>
                <a:pt x="10313370" y="5617726"/>
              </a:cubicBezTo>
              <a:cubicBezTo>
                <a:pt x="10313370" y="5636954"/>
                <a:pt x="10297786" y="5652545"/>
                <a:pt x="10278558" y="5652545"/>
              </a:cubicBezTo>
              <a:close/>
              <a:moveTo>
                <a:pt x="10363450" y="5652545"/>
              </a:moveTo>
              <a:cubicBezTo>
                <a:pt x="10344223" y="5652545"/>
                <a:pt x="10328625" y="5636954"/>
                <a:pt x="10328625" y="5617726"/>
              </a:cubicBezTo>
              <a:cubicBezTo>
                <a:pt x="10328625" y="5598499"/>
                <a:pt x="10344223" y="5582908"/>
                <a:pt x="10363450" y="5582908"/>
              </a:cubicBezTo>
              <a:cubicBezTo>
                <a:pt x="10382678" y="5582908"/>
                <a:pt x="10398263" y="5598499"/>
                <a:pt x="10398263" y="5617726"/>
              </a:cubicBezTo>
              <a:cubicBezTo>
                <a:pt x="10398263" y="5636954"/>
                <a:pt x="10382678" y="5652545"/>
                <a:pt x="10363450" y="5652545"/>
              </a:cubicBezTo>
              <a:close/>
              <a:moveTo>
                <a:pt x="10448343" y="5652545"/>
              </a:moveTo>
              <a:cubicBezTo>
                <a:pt x="10429115" y="5652545"/>
                <a:pt x="10413517" y="5636954"/>
                <a:pt x="10413517" y="5617726"/>
              </a:cubicBezTo>
              <a:cubicBezTo>
                <a:pt x="10413517" y="5598499"/>
                <a:pt x="10429115" y="5582908"/>
                <a:pt x="10448343" y="5582908"/>
              </a:cubicBezTo>
              <a:cubicBezTo>
                <a:pt x="10467570" y="5582908"/>
                <a:pt x="10483155" y="5598499"/>
                <a:pt x="10483155" y="5617726"/>
              </a:cubicBezTo>
              <a:cubicBezTo>
                <a:pt x="10483155" y="5636954"/>
                <a:pt x="10467570" y="5652545"/>
                <a:pt x="10448343" y="5652545"/>
              </a:cubicBezTo>
              <a:close/>
              <a:moveTo>
                <a:pt x="10533235" y="5652545"/>
              </a:moveTo>
              <a:cubicBezTo>
                <a:pt x="10514007" y="5652545"/>
                <a:pt x="10498409" y="5636954"/>
                <a:pt x="10498409" y="5617726"/>
              </a:cubicBezTo>
              <a:cubicBezTo>
                <a:pt x="10498409" y="5598499"/>
                <a:pt x="10514007" y="5582908"/>
                <a:pt x="10533235" y="5582908"/>
              </a:cubicBezTo>
              <a:cubicBezTo>
                <a:pt x="10552463" y="5582908"/>
                <a:pt x="10568047" y="5598499"/>
                <a:pt x="10568047" y="5617726"/>
              </a:cubicBezTo>
              <a:cubicBezTo>
                <a:pt x="10568047" y="5636954"/>
                <a:pt x="10552463" y="5652545"/>
                <a:pt x="10533235" y="5652545"/>
              </a:cubicBezTo>
              <a:close/>
              <a:moveTo>
                <a:pt x="1364843" y="5567685"/>
              </a:moveTo>
              <a:cubicBezTo>
                <a:pt x="1345616" y="5567685"/>
                <a:pt x="1330024" y="5552094"/>
                <a:pt x="1330024" y="5532867"/>
              </a:cubicBezTo>
              <a:cubicBezTo>
                <a:pt x="1330024" y="5513639"/>
                <a:pt x="1345616" y="5498048"/>
                <a:pt x="1364843" y="5498048"/>
              </a:cubicBezTo>
              <a:cubicBezTo>
                <a:pt x="1384071" y="5498048"/>
                <a:pt x="1399662" y="5513639"/>
                <a:pt x="1399662" y="5532867"/>
              </a:cubicBezTo>
              <a:cubicBezTo>
                <a:pt x="1399662" y="5552094"/>
                <a:pt x="1384071" y="5567685"/>
                <a:pt x="1364843" y="5567685"/>
              </a:cubicBezTo>
              <a:close/>
              <a:moveTo>
                <a:pt x="1704413" y="5567685"/>
              </a:moveTo>
              <a:cubicBezTo>
                <a:pt x="1685186" y="5567685"/>
                <a:pt x="1669594" y="5552094"/>
                <a:pt x="1669594" y="5532867"/>
              </a:cubicBezTo>
              <a:cubicBezTo>
                <a:pt x="1669594" y="5513639"/>
                <a:pt x="1685186" y="5498048"/>
                <a:pt x="1704413" y="5498048"/>
              </a:cubicBezTo>
              <a:cubicBezTo>
                <a:pt x="1723641" y="5498048"/>
                <a:pt x="1739232" y="5513639"/>
                <a:pt x="1739232" y="5532867"/>
              </a:cubicBezTo>
              <a:cubicBezTo>
                <a:pt x="1739232" y="5552094"/>
                <a:pt x="1723641" y="5567685"/>
                <a:pt x="1704413" y="5567685"/>
              </a:cubicBezTo>
              <a:close/>
              <a:moveTo>
                <a:pt x="1789306" y="5567685"/>
              </a:moveTo>
              <a:cubicBezTo>
                <a:pt x="1770078" y="5567685"/>
                <a:pt x="1754487" y="5552094"/>
                <a:pt x="1754487" y="5532867"/>
              </a:cubicBezTo>
              <a:cubicBezTo>
                <a:pt x="1754487" y="5513639"/>
                <a:pt x="1770078" y="5498048"/>
                <a:pt x="1789306" y="5498048"/>
              </a:cubicBezTo>
              <a:cubicBezTo>
                <a:pt x="1808533" y="5498048"/>
                <a:pt x="1824124" y="5513639"/>
                <a:pt x="1824124" y="5532867"/>
              </a:cubicBezTo>
              <a:cubicBezTo>
                <a:pt x="1824124" y="5552094"/>
                <a:pt x="1808533" y="5567685"/>
                <a:pt x="1789306" y="5567685"/>
              </a:cubicBezTo>
              <a:close/>
              <a:moveTo>
                <a:pt x="1874199" y="5567685"/>
              </a:moveTo>
              <a:cubicBezTo>
                <a:pt x="1854971" y="5567685"/>
                <a:pt x="1839380" y="5552094"/>
                <a:pt x="1839380" y="5532867"/>
              </a:cubicBezTo>
              <a:cubicBezTo>
                <a:pt x="1839380" y="5513639"/>
                <a:pt x="1854971" y="5498048"/>
                <a:pt x="1874199" y="5498048"/>
              </a:cubicBezTo>
              <a:cubicBezTo>
                <a:pt x="1893427" y="5498048"/>
                <a:pt x="1909018" y="5513639"/>
                <a:pt x="1909018" y="5532867"/>
              </a:cubicBezTo>
              <a:cubicBezTo>
                <a:pt x="1909018" y="5552094"/>
                <a:pt x="1893427" y="5567685"/>
                <a:pt x="1874199" y="5567685"/>
              </a:cubicBezTo>
              <a:close/>
              <a:moveTo>
                <a:pt x="1959091" y="5567685"/>
              </a:moveTo>
              <a:cubicBezTo>
                <a:pt x="1939863" y="5567685"/>
                <a:pt x="1924272" y="5552094"/>
                <a:pt x="1924272" y="5532867"/>
              </a:cubicBezTo>
              <a:cubicBezTo>
                <a:pt x="1924272" y="5513639"/>
                <a:pt x="1939863" y="5498048"/>
                <a:pt x="1959091" y="5498048"/>
              </a:cubicBezTo>
              <a:cubicBezTo>
                <a:pt x="1978319" y="5498048"/>
                <a:pt x="1993910" y="5513639"/>
                <a:pt x="1993910" y="5532867"/>
              </a:cubicBezTo>
              <a:cubicBezTo>
                <a:pt x="1993910" y="5552094"/>
                <a:pt x="1978319" y="5567685"/>
                <a:pt x="1959091" y="5567685"/>
              </a:cubicBezTo>
              <a:close/>
              <a:moveTo>
                <a:pt x="2043983" y="5567685"/>
              </a:moveTo>
              <a:cubicBezTo>
                <a:pt x="2024756" y="5567685"/>
                <a:pt x="2009164" y="5552094"/>
                <a:pt x="2009164" y="5532867"/>
              </a:cubicBezTo>
              <a:cubicBezTo>
                <a:pt x="2009164" y="5513639"/>
                <a:pt x="2024756" y="5498048"/>
                <a:pt x="2043983" y="5498048"/>
              </a:cubicBezTo>
              <a:cubicBezTo>
                <a:pt x="2063211" y="5498048"/>
                <a:pt x="2078802" y="5513639"/>
                <a:pt x="2078802" y="5532867"/>
              </a:cubicBezTo>
              <a:cubicBezTo>
                <a:pt x="2078802" y="5552094"/>
                <a:pt x="2063211" y="5567685"/>
                <a:pt x="2043983" y="5567685"/>
              </a:cubicBezTo>
              <a:close/>
              <a:moveTo>
                <a:pt x="2128876" y="5567685"/>
              </a:moveTo>
              <a:cubicBezTo>
                <a:pt x="2109648" y="5567685"/>
                <a:pt x="2094057" y="5552094"/>
                <a:pt x="2094057" y="5532867"/>
              </a:cubicBezTo>
              <a:cubicBezTo>
                <a:pt x="2094057" y="5513639"/>
                <a:pt x="2109648" y="5498048"/>
                <a:pt x="2128876" y="5498048"/>
              </a:cubicBezTo>
              <a:cubicBezTo>
                <a:pt x="2148103" y="5498048"/>
                <a:pt x="2163694" y="5513639"/>
                <a:pt x="2163694" y="5532867"/>
              </a:cubicBezTo>
              <a:cubicBezTo>
                <a:pt x="2163694" y="5552094"/>
                <a:pt x="2148103" y="5567685"/>
                <a:pt x="2128876" y="5567685"/>
              </a:cubicBezTo>
              <a:close/>
              <a:moveTo>
                <a:pt x="2213769" y="5567685"/>
              </a:moveTo>
              <a:cubicBezTo>
                <a:pt x="2194541" y="5567685"/>
                <a:pt x="2178950" y="5552094"/>
                <a:pt x="2178950" y="5532867"/>
              </a:cubicBezTo>
              <a:cubicBezTo>
                <a:pt x="2178950" y="5513639"/>
                <a:pt x="2194541" y="5498048"/>
                <a:pt x="2213769" y="5498048"/>
              </a:cubicBezTo>
              <a:cubicBezTo>
                <a:pt x="2232997" y="5498048"/>
                <a:pt x="2248588" y="5513639"/>
                <a:pt x="2248588" y="5532867"/>
              </a:cubicBezTo>
              <a:cubicBezTo>
                <a:pt x="2248588" y="5552094"/>
                <a:pt x="2232997" y="5567685"/>
                <a:pt x="2213769" y="5567685"/>
              </a:cubicBezTo>
              <a:close/>
              <a:moveTo>
                <a:pt x="2298661" y="5567685"/>
              </a:moveTo>
              <a:cubicBezTo>
                <a:pt x="2279433" y="5567685"/>
                <a:pt x="2263842" y="5552094"/>
                <a:pt x="2263842" y="5532867"/>
              </a:cubicBezTo>
              <a:cubicBezTo>
                <a:pt x="2263842" y="5513639"/>
                <a:pt x="2279433" y="5498048"/>
                <a:pt x="2298661" y="5498048"/>
              </a:cubicBezTo>
              <a:cubicBezTo>
                <a:pt x="2317889" y="5498048"/>
                <a:pt x="2333480" y="5513639"/>
                <a:pt x="2333480" y="5532867"/>
              </a:cubicBezTo>
              <a:cubicBezTo>
                <a:pt x="2333480" y="5552094"/>
                <a:pt x="2317889" y="5567685"/>
                <a:pt x="2298661" y="5567685"/>
              </a:cubicBezTo>
              <a:close/>
              <a:moveTo>
                <a:pt x="2383553" y="5567685"/>
              </a:moveTo>
              <a:cubicBezTo>
                <a:pt x="2364326" y="5567685"/>
                <a:pt x="2348734" y="5552094"/>
                <a:pt x="2348734" y="5532867"/>
              </a:cubicBezTo>
              <a:cubicBezTo>
                <a:pt x="2348734" y="5513639"/>
                <a:pt x="2364326" y="5498048"/>
                <a:pt x="2383553" y="5498048"/>
              </a:cubicBezTo>
              <a:cubicBezTo>
                <a:pt x="2402781" y="5498048"/>
                <a:pt x="2418372" y="5513639"/>
                <a:pt x="2418372" y="5532867"/>
              </a:cubicBezTo>
              <a:cubicBezTo>
                <a:pt x="2418372" y="5552094"/>
                <a:pt x="2402781" y="5567685"/>
                <a:pt x="2383553" y="5567685"/>
              </a:cubicBezTo>
              <a:close/>
              <a:moveTo>
                <a:pt x="2468446" y="5567685"/>
              </a:moveTo>
              <a:cubicBezTo>
                <a:pt x="2449218" y="5567685"/>
                <a:pt x="2433627" y="5552094"/>
                <a:pt x="2433627" y="5532867"/>
              </a:cubicBezTo>
              <a:cubicBezTo>
                <a:pt x="2433627" y="5513639"/>
                <a:pt x="2449218" y="5498048"/>
                <a:pt x="2468446" y="5498048"/>
              </a:cubicBezTo>
              <a:cubicBezTo>
                <a:pt x="2487673" y="5498048"/>
                <a:pt x="2503264" y="5513639"/>
                <a:pt x="2503264" y="5532867"/>
              </a:cubicBezTo>
              <a:cubicBezTo>
                <a:pt x="2503264" y="5552094"/>
                <a:pt x="2487673" y="5567685"/>
                <a:pt x="2468446" y="5567685"/>
              </a:cubicBezTo>
              <a:close/>
              <a:moveTo>
                <a:pt x="2553339" y="5567685"/>
              </a:moveTo>
              <a:cubicBezTo>
                <a:pt x="2534111" y="5567685"/>
                <a:pt x="2518520" y="5552094"/>
                <a:pt x="2518520" y="5532867"/>
              </a:cubicBezTo>
              <a:cubicBezTo>
                <a:pt x="2518520" y="5513639"/>
                <a:pt x="2534111" y="5498048"/>
                <a:pt x="2553339" y="5498048"/>
              </a:cubicBezTo>
              <a:cubicBezTo>
                <a:pt x="2572567" y="5498048"/>
                <a:pt x="2588158" y="5513639"/>
                <a:pt x="2588158" y="5532867"/>
              </a:cubicBezTo>
              <a:cubicBezTo>
                <a:pt x="2588158" y="5552094"/>
                <a:pt x="2572567" y="5567685"/>
                <a:pt x="2553339" y="5567685"/>
              </a:cubicBezTo>
              <a:close/>
              <a:moveTo>
                <a:pt x="2638231" y="5567685"/>
              </a:moveTo>
              <a:cubicBezTo>
                <a:pt x="2619003" y="5567685"/>
                <a:pt x="2603412" y="5552094"/>
                <a:pt x="2603412" y="5532867"/>
              </a:cubicBezTo>
              <a:cubicBezTo>
                <a:pt x="2603412" y="5513639"/>
                <a:pt x="2619003" y="5498048"/>
                <a:pt x="2638231" y="5498048"/>
              </a:cubicBezTo>
              <a:cubicBezTo>
                <a:pt x="2657459" y="5498048"/>
                <a:pt x="2673050" y="5513639"/>
                <a:pt x="2673050" y="5532867"/>
              </a:cubicBezTo>
              <a:cubicBezTo>
                <a:pt x="2673050" y="5552094"/>
                <a:pt x="2657459" y="5567685"/>
                <a:pt x="2638231" y="5567685"/>
              </a:cubicBezTo>
              <a:close/>
              <a:moveTo>
                <a:pt x="2723123" y="5567685"/>
              </a:moveTo>
              <a:cubicBezTo>
                <a:pt x="2703896" y="5567685"/>
                <a:pt x="2688304" y="5552094"/>
                <a:pt x="2688304" y="5532867"/>
              </a:cubicBezTo>
              <a:cubicBezTo>
                <a:pt x="2688304" y="5513639"/>
                <a:pt x="2703896" y="5498048"/>
                <a:pt x="2723123" y="5498048"/>
              </a:cubicBezTo>
              <a:cubicBezTo>
                <a:pt x="2742351" y="5498048"/>
                <a:pt x="2757942" y="5513639"/>
                <a:pt x="2757942" y="5532867"/>
              </a:cubicBezTo>
              <a:cubicBezTo>
                <a:pt x="2757942" y="5552094"/>
                <a:pt x="2742351" y="5567685"/>
                <a:pt x="2723123" y="5567685"/>
              </a:cubicBezTo>
              <a:close/>
              <a:moveTo>
                <a:pt x="2808016" y="5567685"/>
              </a:moveTo>
              <a:cubicBezTo>
                <a:pt x="2788788" y="5567685"/>
                <a:pt x="2773197" y="5552094"/>
                <a:pt x="2773197" y="5532867"/>
              </a:cubicBezTo>
              <a:cubicBezTo>
                <a:pt x="2773197" y="5513639"/>
                <a:pt x="2788788" y="5498048"/>
                <a:pt x="2808016" y="5498048"/>
              </a:cubicBezTo>
              <a:cubicBezTo>
                <a:pt x="2827243" y="5498048"/>
                <a:pt x="2842834" y="5513639"/>
                <a:pt x="2842834" y="5532867"/>
              </a:cubicBezTo>
              <a:cubicBezTo>
                <a:pt x="2842834" y="5552094"/>
                <a:pt x="2827243" y="5567685"/>
                <a:pt x="2808016" y="5567685"/>
              </a:cubicBezTo>
              <a:close/>
              <a:moveTo>
                <a:pt x="2892908" y="5567685"/>
              </a:moveTo>
              <a:cubicBezTo>
                <a:pt x="2873680" y="5567685"/>
                <a:pt x="2858089" y="5552094"/>
                <a:pt x="2858089" y="5532867"/>
              </a:cubicBezTo>
              <a:cubicBezTo>
                <a:pt x="2858089" y="5513639"/>
                <a:pt x="2873680" y="5498048"/>
                <a:pt x="2892908" y="5498048"/>
              </a:cubicBezTo>
              <a:cubicBezTo>
                <a:pt x="2912136" y="5498048"/>
                <a:pt x="2927727" y="5513639"/>
                <a:pt x="2927727" y="5532867"/>
              </a:cubicBezTo>
              <a:cubicBezTo>
                <a:pt x="2927727" y="5552094"/>
                <a:pt x="2912136" y="5567685"/>
                <a:pt x="2892908" y="5567685"/>
              </a:cubicBezTo>
              <a:close/>
              <a:moveTo>
                <a:pt x="3062693" y="5567685"/>
              </a:moveTo>
              <a:cubicBezTo>
                <a:pt x="3043466" y="5567685"/>
                <a:pt x="3027874" y="5552094"/>
                <a:pt x="3027874" y="5532867"/>
              </a:cubicBezTo>
              <a:cubicBezTo>
                <a:pt x="3027874" y="5513639"/>
                <a:pt x="3043466" y="5498048"/>
                <a:pt x="3062693" y="5498048"/>
              </a:cubicBezTo>
              <a:cubicBezTo>
                <a:pt x="3081921" y="5498048"/>
                <a:pt x="3097512" y="5513639"/>
                <a:pt x="3097512" y="5532867"/>
              </a:cubicBezTo>
              <a:cubicBezTo>
                <a:pt x="3097512" y="5552094"/>
                <a:pt x="3081921" y="5567685"/>
                <a:pt x="3062693" y="5567685"/>
              </a:cubicBezTo>
              <a:close/>
              <a:moveTo>
                <a:pt x="3147586" y="5567685"/>
              </a:moveTo>
              <a:cubicBezTo>
                <a:pt x="3128358" y="5567685"/>
                <a:pt x="3112767" y="5552094"/>
                <a:pt x="3112767" y="5532867"/>
              </a:cubicBezTo>
              <a:cubicBezTo>
                <a:pt x="3112767" y="5513639"/>
                <a:pt x="3128358" y="5498048"/>
                <a:pt x="3147586" y="5498048"/>
              </a:cubicBezTo>
              <a:cubicBezTo>
                <a:pt x="3166813" y="5498048"/>
                <a:pt x="3182404" y="5513639"/>
                <a:pt x="3182404" y="5532867"/>
              </a:cubicBezTo>
              <a:cubicBezTo>
                <a:pt x="3182404" y="5552094"/>
                <a:pt x="3166813" y="5567685"/>
                <a:pt x="3147586" y="5567685"/>
              </a:cubicBezTo>
              <a:close/>
              <a:moveTo>
                <a:pt x="3317371" y="5567685"/>
              </a:moveTo>
              <a:cubicBezTo>
                <a:pt x="3298143" y="5567685"/>
                <a:pt x="3282552" y="5552094"/>
                <a:pt x="3282552" y="5532867"/>
              </a:cubicBezTo>
              <a:cubicBezTo>
                <a:pt x="3282552" y="5513639"/>
                <a:pt x="3298143" y="5498048"/>
                <a:pt x="3317371" y="5498048"/>
              </a:cubicBezTo>
              <a:cubicBezTo>
                <a:pt x="3336599" y="5498048"/>
                <a:pt x="3352190" y="5513639"/>
                <a:pt x="3352190" y="5532867"/>
              </a:cubicBezTo>
              <a:cubicBezTo>
                <a:pt x="3352190" y="5552094"/>
                <a:pt x="3336599" y="5567685"/>
                <a:pt x="3317371" y="5567685"/>
              </a:cubicBezTo>
              <a:close/>
              <a:moveTo>
                <a:pt x="3572048" y="5567685"/>
              </a:moveTo>
              <a:cubicBezTo>
                <a:pt x="3552820" y="5567685"/>
                <a:pt x="3537229" y="5552094"/>
                <a:pt x="3537229" y="5532867"/>
              </a:cubicBezTo>
              <a:cubicBezTo>
                <a:pt x="3537229" y="5513639"/>
                <a:pt x="3552820" y="5498048"/>
                <a:pt x="3572048" y="5498048"/>
              </a:cubicBezTo>
              <a:cubicBezTo>
                <a:pt x="3591276" y="5498048"/>
                <a:pt x="3606867" y="5513639"/>
                <a:pt x="3606867" y="5532867"/>
              </a:cubicBezTo>
              <a:cubicBezTo>
                <a:pt x="3606867" y="5552094"/>
                <a:pt x="3591276" y="5567685"/>
                <a:pt x="3572048" y="5567685"/>
              </a:cubicBezTo>
              <a:close/>
              <a:moveTo>
                <a:pt x="3741833" y="5567685"/>
              </a:moveTo>
              <a:cubicBezTo>
                <a:pt x="3722606" y="5567685"/>
                <a:pt x="3707014" y="5552094"/>
                <a:pt x="3707014" y="5532867"/>
              </a:cubicBezTo>
              <a:cubicBezTo>
                <a:pt x="3707014" y="5513639"/>
                <a:pt x="3722606" y="5498048"/>
                <a:pt x="3741833" y="5498048"/>
              </a:cubicBezTo>
              <a:cubicBezTo>
                <a:pt x="3761061" y="5498048"/>
                <a:pt x="3776652" y="5513639"/>
                <a:pt x="3776652" y="5532867"/>
              </a:cubicBezTo>
              <a:cubicBezTo>
                <a:pt x="3776652" y="5552094"/>
                <a:pt x="3761061" y="5567685"/>
                <a:pt x="3741833" y="5567685"/>
              </a:cubicBezTo>
              <a:close/>
              <a:moveTo>
                <a:pt x="3826726" y="5567685"/>
              </a:moveTo>
              <a:cubicBezTo>
                <a:pt x="3807498" y="5567685"/>
                <a:pt x="3791907" y="5552094"/>
                <a:pt x="3791907" y="5532867"/>
              </a:cubicBezTo>
              <a:cubicBezTo>
                <a:pt x="3791907" y="5513639"/>
                <a:pt x="3807498" y="5498048"/>
                <a:pt x="3826726" y="5498048"/>
              </a:cubicBezTo>
              <a:cubicBezTo>
                <a:pt x="3845953" y="5498048"/>
                <a:pt x="3861544" y="5513639"/>
                <a:pt x="3861544" y="5532867"/>
              </a:cubicBezTo>
              <a:cubicBezTo>
                <a:pt x="3861544" y="5552094"/>
                <a:pt x="3845953" y="5567685"/>
                <a:pt x="3826726" y="5567685"/>
              </a:cubicBezTo>
              <a:close/>
              <a:moveTo>
                <a:pt x="3911618" y="5567685"/>
              </a:moveTo>
              <a:cubicBezTo>
                <a:pt x="3892390" y="5567685"/>
                <a:pt x="3876799" y="5552094"/>
                <a:pt x="3876799" y="5532867"/>
              </a:cubicBezTo>
              <a:cubicBezTo>
                <a:pt x="3876799" y="5513639"/>
                <a:pt x="3892390" y="5498048"/>
                <a:pt x="3911618" y="5498048"/>
              </a:cubicBezTo>
              <a:cubicBezTo>
                <a:pt x="3930846" y="5498048"/>
                <a:pt x="3946437" y="5513639"/>
                <a:pt x="3946437" y="5532867"/>
              </a:cubicBezTo>
              <a:cubicBezTo>
                <a:pt x="3946437" y="5552094"/>
                <a:pt x="3930846" y="5567685"/>
                <a:pt x="3911618" y="5567685"/>
              </a:cubicBezTo>
              <a:close/>
              <a:moveTo>
                <a:pt x="3996511" y="5567685"/>
              </a:moveTo>
              <a:cubicBezTo>
                <a:pt x="3977283" y="5567685"/>
                <a:pt x="3961692" y="5552094"/>
                <a:pt x="3961692" y="5532867"/>
              </a:cubicBezTo>
              <a:cubicBezTo>
                <a:pt x="3961692" y="5513639"/>
                <a:pt x="3977283" y="5498048"/>
                <a:pt x="3996511" y="5498048"/>
              </a:cubicBezTo>
              <a:cubicBezTo>
                <a:pt x="4015739" y="5498048"/>
                <a:pt x="4031330" y="5513639"/>
                <a:pt x="4031330" y="5532867"/>
              </a:cubicBezTo>
              <a:cubicBezTo>
                <a:pt x="4031330" y="5552094"/>
                <a:pt x="4015739" y="5567685"/>
                <a:pt x="3996511" y="5567685"/>
              </a:cubicBezTo>
              <a:close/>
              <a:moveTo>
                <a:pt x="4590758" y="5567685"/>
              </a:moveTo>
              <a:cubicBezTo>
                <a:pt x="4571530" y="5567685"/>
                <a:pt x="4555939" y="5552094"/>
                <a:pt x="4555939" y="5532867"/>
              </a:cubicBezTo>
              <a:cubicBezTo>
                <a:pt x="4555939" y="5513639"/>
                <a:pt x="4571530" y="5498048"/>
                <a:pt x="4590758" y="5498048"/>
              </a:cubicBezTo>
              <a:cubicBezTo>
                <a:pt x="4609986" y="5498048"/>
                <a:pt x="4625577" y="5513639"/>
                <a:pt x="4625577" y="5532867"/>
              </a:cubicBezTo>
              <a:cubicBezTo>
                <a:pt x="4625577" y="5552094"/>
                <a:pt x="4609986" y="5567685"/>
                <a:pt x="4590758" y="5567685"/>
              </a:cubicBezTo>
              <a:close/>
              <a:moveTo>
                <a:pt x="4675650" y="5567685"/>
              </a:moveTo>
              <a:cubicBezTo>
                <a:pt x="4656422" y="5567685"/>
                <a:pt x="4640831" y="5552094"/>
                <a:pt x="4640831" y="5532867"/>
              </a:cubicBezTo>
              <a:cubicBezTo>
                <a:pt x="4640831" y="5513639"/>
                <a:pt x="4656422" y="5498048"/>
                <a:pt x="4675650" y="5498048"/>
              </a:cubicBezTo>
              <a:cubicBezTo>
                <a:pt x="4694878" y="5498048"/>
                <a:pt x="4710469" y="5513639"/>
                <a:pt x="4710469" y="5532867"/>
              </a:cubicBezTo>
              <a:cubicBezTo>
                <a:pt x="4710469" y="5552094"/>
                <a:pt x="4694878" y="5567685"/>
                <a:pt x="4675650" y="5567685"/>
              </a:cubicBezTo>
              <a:close/>
              <a:moveTo>
                <a:pt x="4760543" y="5567685"/>
              </a:moveTo>
              <a:cubicBezTo>
                <a:pt x="4741316" y="5567685"/>
                <a:pt x="4725724" y="5552094"/>
                <a:pt x="4725724" y="5532867"/>
              </a:cubicBezTo>
              <a:cubicBezTo>
                <a:pt x="4725724" y="5513639"/>
                <a:pt x="4741316" y="5498048"/>
                <a:pt x="4760543" y="5498048"/>
              </a:cubicBezTo>
              <a:cubicBezTo>
                <a:pt x="4779771" y="5498048"/>
                <a:pt x="4795362" y="5513639"/>
                <a:pt x="4795362" y="5532867"/>
              </a:cubicBezTo>
              <a:cubicBezTo>
                <a:pt x="4795362" y="5552094"/>
                <a:pt x="4779771" y="5567685"/>
                <a:pt x="4760543" y="5567685"/>
              </a:cubicBezTo>
              <a:close/>
              <a:moveTo>
                <a:pt x="4845436" y="5567685"/>
              </a:moveTo>
              <a:cubicBezTo>
                <a:pt x="4826208" y="5567685"/>
                <a:pt x="4810617" y="5552094"/>
                <a:pt x="4810617" y="5532867"/>
              </a:cubicBezTo>
              <a:cubicBezTo>
                <a:pt x="4810617" y="5513639"/>
                <a:pt x="4826208" y="5498048"/>
                <a:pt x="4845436" y="5498048"/>
              </a:cubicBezTo>
              <a:cubicBezTo>
                <a:pt x="4864663" y="5498048"/>
                <a:pt x="4880254" y="5513639"/>
                <a:pt x="4880254" y="5532867"/>
              </a:cubicBezTo>
              <a:cubicBezTo>
                <a:pt x="4880254" y="5552094"/>
                <a:pt x="4864663" y="5567685"/>
                <a:pt x="4845436" y="5567685"/>
              </a:cubicBezTo>
              <a:close/>
              <a:moveTo>
                <a:pt x="4930328" y="5567685"/>
              </a:moveTo>
              <a:cubicBezTo>
                <a:pt x="4911100" y="5567685"/>
                <a:pt x="4895509" y="5552094"/>
                <a:pt x="4895509" y="5532867"/>
              </a:cubicBezTo>
              <a:cubicBezTo>
                <a:pt x="4895509" y="5513639"/>
                <a:pt x="4911100" y="5498048"/>
                <a:pt x="4930328" y="5498048"/>
              </a:cubicBezTo>
              <a:cubicBezTo>
                <a:pt x="4949556" y="5498048"/>
                <a:pt x="4965147" y="5513639"/>
                <a:pt x="4965147" y="5532867"/>
              </a:cubicBezTo>
              <a:cubicBezTo>
                <a:pt x="4965147" y="5552094"/>
                <a:pt x="4949556" y="5567685"/>
                <a:pt x="4930328" y="5567685"/>
              </a:cubicBezTo>
              <a:close/>
              <a:moveTo>
                <a:pt x="5015220" y="5567685"/>
              </a:moveTo>
              <a:cubicBezTo>
                <a:pt x="4995992" y="5567685"/>
                <a:pt x="4980401" y="5552094"/>
                <a:pt x="4980401" y="5532867"/>
              </a:cubicBezTo>
              <a:cubicBezTo>
                <a:pt x="4980401" y="5513639"/>
                <a:pt x="4995992" y="5498048"/>
                <a:pt x="5015220" y="5498048"/>
              </a:cubicBezTo>
              <a:cubicBezTo>
                <a:pt x="5034448" y="5498048"/>
                <a:pt x="5050039" y="5513639"/>
                <a:pt x="5050039" y="5532867"/>
              </a:cubicBezTo>
              <a:cubicBezTo>
                <a:pt x="5050039" y="5552094"/>
                <a:pt x="5034448" y="5567685"/>
                <a:pt x="5015220" y="5567685"/>
              </a:cubicBezTo>
              <a:close/>
              <a:moveTo>
                <a:pt x="5100113" y="5567685"/>
              </a:moveTo>
              <a:cubicBezTo>
                <a:pt x="5080886" y="5567685"/>
                <a:pt x="5065294" y="5552094"/>
                <a:pt x="5065294" y="5532867"/>
              </a:cubicBezTo>
              <a:cubicBezTo>
                <a:pt x="5065294" y="5513639"/>
                <a:pt x="5080886" y="5498048"/>
                <a:pt x="5100113" y="5498048"/>
              </a:cubicBezTo>
              <a:cubicBezTo>
                <a:pt x="5119341" y="5498048"/>
                <a:pt x="5134932" y="5513639"/>
                <a:pt x="5134932" y="5532867"/>
              </a:cubicBezTo>
              <a:cubicBezTo>
                <a:pt x="5134932" y="5552094"/>
                <a:pt x="5119341" y="5567685"/>
                <a:pt x="5100113" y="5567685"/>
              </a:cubicBezTo>
              <a:close/>
              <a:moveTo>
                <a:pt x="5185006" y="5567685"/>
              </a:moveTo>
              <a:cubicBezTo>
                <a:pt x="5165778" y="5567685"/>
                <a:pt x="5150187" y="5552094"/>
                <a:pt x="5150187" y="5532867"/>
              </a:cubicBezTo>
              <a:cubicBezTo>
                <a:pt x="5150187" y="5513639"/>
                <a:pt x="5165778" y="5498048"/>
                <a:pt x="5185006" y="5498048"/>
              </a:cubicBezTo>
              <a:cubicBezTo>
                <a:pt x="5204233" y="5498048"/>
                <a:pt x="5219824" y="5513639"/>
                <a:pt x="5219824" y="5532867"/>
              </a:cubicBezTo>
              <a:cubicBezTo>
                <a:pt x="5219824" y="5552094"/>
                <a:pt x="5204233" y="5567685"/>
                <a:pt x="5185006" y="5567685"/>
              </a:cubicBezTo>
              <a:close/>
              <a:moveTo>
                <a:pt x="7137536" y="5567685"/>
              </a:moveTo>
              <a:cubicBezTo>
                <a:pt x="7118308" y="5567685"/>
                <a:pt x="7102710" y="5552094"/>
                <a:pt x="7102710" y="5532867"/>
              </a:cubicBezTo>
              <a:cubicBezTo>
                <a:pt x="7102710" y="5513639"/>
                <a:pt x="7118308" y="5498048"/>
                <a:pt x="7137536" y="5498048"/>
              </a:cubicBezTo>
              <a:cubicBezTo>
                <a:pt x="7156764" y="5498048"/>
                <a:pt x="7172348" y="5513639"/>
                <a:pt x="7172348" y="5532867"/>
              </a:cubicBezTo>
              <a:cubicBezTo>
                <a:pt x="7172348" y="5552094"/>
                <a:pt x="7156764" y="5567685"/>
                <a:pt x="7137536" y="5567685"/>
              </a:cubicBezTo>
              <a:close/>
              <a:moveTo>
                <a:pt x="7561998" y="5567685"/>
              </a:moveTo>
              <a:cubicBezTo>
                <a:pt x="7542770" y="5567685"/>
                <a:pt x="7527173" y="5552094"/>
                <a:pt x="7527173" y="5532867"/>
              </a:cubicBezTo>
              <a:cubicBezTo>
                <a:pt x="7527173" y="5513639"/>
                <a:pt x="7542770" y="5498048"/>
                <a:pt x="7561998" y="5498048"/>
              </a:cubicBezTo>
              <a:cubicBezTo>
                <a:pt x="7581226" y="5498048"/>
                <a:pt x="7596810" y="5513639"/>
                <a:pt x="7596810" y="5532867"/>
              </a:cubicBezTo>
              <a:cubicBezTo>
                <a:pt x="7596810" y="5552094"/>
                <a:pt x="7581226" y="5567685"/>
                <a:pt x="7561998" y="5567685"/>
              </a:cubicBezTo>
              <a:close/>
              <a:moveTo>
                <a:pt x="7646890" y="5567685"/>
              </a:moveTo>
              <a:cubicBezTo>
                <a:pt x="7627663" y="5567685"/>
                <a:pt x="7612065" y="5552094"/>
                <a:pt x="7612065" y="5532867"/>
              </a:cubicBezTo>
              <a:cubicBezTo>
                <a:pt x="7612065" y="5513639"/>
                <a:pt x="7627663" y="5498048"/>
                <a:pt x="7646890" y="5498048"/>
              </a:cubicBezTo>
              <a:cubicBezTo>
                <a:pt x="7666118" y="5498048"/>
                <a:pt x="7681703" y="5513639"/>
                <a:pt x="7681703" y="5532867"/>
              </a:cubicBezTo>
              <a:cubicBezTo>
                <a:pt x="7681703" y="5552094"/>
                <a:pt x="7666118" y="5567685"/>
                <a:pt x="7646890" y="5567685"/>
              </a:cubicBezTo>
              <a:close/>
              <a:moveTo>
                <a:pt x="7731784" y="5567685"/>
              </a:moveTo>
              <a:cubicBezTo>
                <a:pt x="7712556" y="5567685"/>
                <a:pt x="7696958" y="5552094"/>
                <a:pt x="7696958" y="5532867"/>
              </a:cubicBezTo>
              <a:cubicBezTo>
                <a:pt x="7696958" y="5513639"/>
                <a:pt x="7712556" y="5498048"/>
                <a:pt x="7731784" y="5498048"/>
              </a:cubicBezTo>
              <a:cubicBezTo>
                <a:pt x="7751011" y="5498048"/>
                <a:pt x="7766596" y="5513639"/>
                <a:pt x="7766596" y="5532867"/>
              </a:cubicBezTo>
              <a:cubicBezTo>
                <a:pt x="7766596" y="5552094"/>
                <a:pt x="7751011" y="5567685"/>
                <a:pt x="7731784" y="5567685"/>
              </a:cubicBezTo>
              <a:close/>
              <a:moveTo>
                <a:pt x="7901568" y="5567685"/>
              </a:moveTo>
              <a:cubicBezTo>
                <a:pt x="7882340" y="5567685"/>
                <a:pt x="7866743" y="5552094"/>
                <a:pt x="7866743" y="5532867"/>
              </a:cubicBezTo>
              <a:cubicBezTo>
                <a:pt x="7866743" y="5513639"/>
                <a:pt x="7882340" y="5498048"/>
                <a:pt x="7901568" y="5498048"/>
              </a:cubicBezTo>
              <a:cubicBezTo>
                <a:pt x="7920796" y="5498048"/>
                <a:pt x="7936380" y="5513639"/>
                <a:pt x="7936380" y="5532867"/>
              </a:cubicBezTo>
              <a:cubicBezTo>
                <a:pt x="7936380" y="5552094"/>
                <a:pt x="7920796" y="5567685"/>
                <a:pt x="7901568" y="5567685"/>
              </a:cubicBezTo>
              <a:close/>
              <a:moveTo>
                <a:pt x="7986460" y="5567685"/>
              </a:moveTo>
              <a:cubicBezTo>
                <a:pt x="7967233" y="5567685"/>
                <a:pt x="7951635" y="5552094"/>
                <a:pt x="7951635" y="5532867"/>
              </a:cubicBezTo>
              <a:cubicBezTo>
                <a:pt x="7951635" y="5513639"/>
                <a:pt x="7967233" y="5498048"/>
                <a:pt x="7986460" y="5498048"/>
              </a:cubicBezTo>
              <a:cubicBezTo>
                <a:pt x="8005688" y="5498048"/>
                <a:pt x="8021273" y="5513639"/>
                <a:pt x="8021273" y="5532867"/>
              </a:cubicBezTo>
              <a:cubicBezTo>
                <a:pt x="8021273" y="5552094"/>
                <a:pt x="8005688" y="5567685"/>
                <a:pt x="7986460" y="5567685"/>
              </a:cubicBezTo>
              <a:close/>
              <a:moveTo>
                <a:pt x="8071353" y="5567685"/>
              </a:moveTo>
              <a:cubicBezTo>
                <a:pt x="8052125" y="5567685"/>
                <a:pt x="8036527" y="5552094"/>
                <a:pt x="8036527" y="5532867"/>
              </a:cubicBezTo>
              <a:cubicBezTo>
                <a:pt x="8036527" y="5513639"/>
                <a:pt x="8052125" y="5498048"/>
                <a:pt x="8071353" y="5498048"/>
              </a:cubicBezTo>
              <a:cubicBezTo>
                <a:pt x="8090580" y="5498048"/>
                <a:pt x="8106165" y="5513639"/>
                <a:pt x="8106165" y="5532867"/>
              </a:cubicBezTo>
              <a:cubicBezTo>
                <a:pt x="8106165" y="5552094"/>
                <a:pt x="8090580" y="5567685"/>
                <a:pt x="8071353" y="5567685"/>
              </a:cubicBezTo>
              <a:close/>
              <a:moveTo>
                <a:pt x="8156246" y="5567685"/>
              </a:moveTo>
              <a:cubicBezTo>
                <a:pt x="8137018" y="5567685"/>
                <a:pt x="8121420" y="5552094"/>
                <a:pt x="8121420" y="5532867"/>
              </a:cubicBezTo>
              <a:cubicBezTo>
                <a:pt x="8121420" y="5513639"/>
                <a:pt x="8137018" y="5498048"/>
                <a:pt x="8156246" y="5498048"/>
              </a:cubicBezTo>
              <a:cubicBezTo>
                <a:pt x="8175474" y="5498048"/>
                <a:pt x="8191058" y="5513639"/>
                <a:pt x="8191058" y="5532867"/>
              </a:cubicBezTo>
              <a:cubicBezTo>
                <a:pt x="8191058" y="5552094"/>
                <a:pt x="8175474" y="5567685"/>
                <a:pt x="8156246" y="5567685"/>
              </a:cubicBezTo>
              <a:close/>
              <a:moveTo>
                <a:pt x="8241138" y="5567685"/>
              </a:moveTo>
              <a:cubicBezTo>
                <a:pt x="8221910" y="5567685"/>
                <a:pt x="8206313" y="5552094"/>
                <a:pt x="8206313" y="5532867"/>
              </a:cubicBezTo>
              <a:cubicBezTo>
                <a:pt x="8206313" y="5513639"/>
                <a:pt x="8221910" y="5498048"/>
                <a:pt x="8241138" y="5498048"/>
              </a:cubicBezTo>
              <a:cubicBezTo>
                <a:pt x="8260366" y="5498048"/>
                <a:pt x="8275950" y="5513639"/>
                <a:pt x="8275950" y="5532867"/>
              </a:cubicBezTo>
              <a:cubicBezTo>
                <a:pt x="8275950" y="5552094"/>
                <a:pt x="8260366" y="5567685"/>
                <a:pt x="8241138" y="5567685"/>
              </a:cubicBezTo>
              <a:close/>
              <a:moveTo>
                <a:pt x="8326030" y="5567685"/>
              </a:moveTo>
              <a:cubicBezTo>
                <a:pt x="8306803" y="5567685"/>
                <a:pt x="8291205" y="5552094"/>
                <a:pt x="8291205" y="5532867"/>
              </a:cubicBezTo>
              <a:cubicBezTo>
                <a:pt x="8291205" y="5513639"/>
                <a:pt x="8306803" y="5498048"/>
                <a:pt x="8326030" y="5498048"/>
              </a:cubicBezTo>
              <a:cubicBezTo>
                <a:pt x="8345258" y="5498048"/>
                <a:pt x="8360843" y="5513639"/>
                <a:pt x="8360843" y="5532867"/>
              </a:cubicBezTo>
              <a:cubicBezTo>
                <a:pt x="8360843" y="5552094"/>
                <a:pt x="8345258" y="5567685"/>
                <a:pt x="8326030" y="5567685"/>
              </a:cubicBezTo>
              <a:close/>
              <a:moveTo>
                <a:pt x="8410923" y="5567685"/>
              </a:moveTo>
              <a:cubicBezTo>
                <a:pt x="8391695" y="5567685"/>
                <a:pt x="8376097" y="5552094"/>
                <a:pt x="8376097" y="5532867"/>
              </a:cubicBezTo>
              <a:cubicBezTo>
                <a:pt x="8376097" y="5513639"/>
                <a:pt x="8391695" y="5498048"/>
                <a:pt x="8410923" y="5498048"/>
              </a:cubicBezTo>
              <a:cubicBezTo>
                <a:pt x="8430150" y="5498048"/>
                <a:pt x="8445735" y="5513639"/>
                <a:pt x="8445735" y="5532867"/>
              </a:cubicBezTo>
              <a:cubicBezTo>
                <a:pt x="8445735" y="5552094"/>
                <a:pt x="8430150" y="5567685"/>
                <a:pt x="8410923" y="5567685"/>
              </a:cubicBezTo>
              <a:close/>
              <a:moveTo>
                <a:pt x="8495816" y="5567685"/>
              </a:moveTo>
              <a:cubicBezTo>
                <a:pt x="8476588" y="5567685"/>
                <a:pt x="8460990" y="5552094"/>
                <a:pt x="8460990" y="5532867"/>
              </a:cubicBezTo>
              <a:cubicBezTo>
                <a:pt x="8460990" y="5513639"/>
                <a:pt x="8476588" y="5498048"/>
                <a:pt x="8495816" y="5498048"/>
              </a:cubicBezTo>
              <a:cubicBezTo>
                <a:pt x="8515044" y="5498048"/>
                <a:pt x="8530628" y="5513639"/>
                <a:pt x="8530628" y="5532867"/>
              </a:cubicBezTo>
              <a:cubicBezTo>
                <a:pt x="8530628" y="5552094"/>
                <a:pt x="8515044" y="5567685"/>
                <a:pt x="8495816" y="5567685"/>
              </a:cubicBezTo>
              <a:close/>
              <a:moveTo>
                <a:pt x="8580708" y="5567685"/>
              </a:moveTo>
              <a:cubicBezTo>
                <a:pt x="8561480" y="5567685"/>
                <a:pt x="8545883" y="5552094"/>
                <a:pt x="8545883" y="5532867"/>
              </a:cubicBezTo>
              <a:cubicBezTo>
                <a:pt x="8545883" y="5513639"/>
                <a:pt x="8561480" y="5498048"/>
                <a:pt x="8580708" y="5498048"/>
              </a:cubicBezTo>
              <a:cubicBezTo>
                <a:pt x="8599936" y="5498048"/>
                <a:pt x="8615520" y="5513639"/>
                <a:pt x="8615520" y="5532867"/>
              </a:cubicBezTo>
              <a:cubicBezTo>
                <a:pt x="8615520" y="5552094"/>
                <a:pt x="8599936" y="5567685"/>
                <a:pt x="8580708" y="5567685"/>
              </a:cubicBezTo>
              <a:close/>
              <a:moveTo>
                <a:pt x="8665600" y="5567685"/>
              </a:moveTo>
              <a:cubicBezTo>
                <a:pt x="8646373" y="5567685"/>
                <a:pt x="8630775" y="5552094"/>
                <a:pt x="8630775" y="5532867"/>
              </a:cubicBezTo>
              <a:cubicBezTo>
                <a:pt x="8630775" y="5513639"/>
                <a:pt x="8646373" y="5498048"/>
                <a:pt x="8665600" y="5498048"/>
              </a:cubicBezTo>
              <a:cubicBezTo>
                <a:pt x="8684828" y="5498048"/>
                <a:pt x="8700413" y="5513639"/>
                <a:pt x="8700413" y="5532867"/>
              </a:cubicBezTo>
              <a:cubicBezTo>
                <a:pt x="8700413" y="5552094"/>
                <a:pt x="8684828" y="5567685"/>
                <a:pt x="8665600" y="5567685"/>
              </a:cubicBezTo>
              <a:close/>
              <a:moveTo>
                <a:pt x="8750493" y="5567685"/>
              </a:moveTo>
              <a:cubicBezTo>
                <a:pt x="8731265" y="5567685"/>
                <a:pt x="8715667" y="5552094"/>
                <a:pt x="8715667" y="5532867"/>
              </a:cubicBezTo>
              <a:cubicBezTo>
                <a:pt x="8715667" y="5513639"/>
                <a:pt x="8731265" y="5498048"/>
                <a:pt x="8750493" y="5498048"/>
              </a:cubicBezTo>
              <a:cubicBezTo>
                <a:pt x="8769720" y="5498048"/>
                <a:pt x="8785305" y="5513639"/>
                <a:pt x="8785305" y="5532867"/>
              </a:cubicBezTo>
              <a:cubicBezTo>
                <a:pt x="8785305" y="5552094"/>
                <a:pt x="8769720" y="5567685"/>
                <a:pt x="8750493" y="5567685"/>
              </a:cubicBezTo>
              <a:close/>
              <a:moveTo>
                <a:pt x="8835386" y="5567685"/>
              </a:moveTo>
              <a:cubicBezTo>
                <a:pt x="8816158" y="5567685"/>
                <a:pt x="8800560" y="5552094"/>
                <a:pt x="8800560" y="5532867"/>
              </a:cubicBezTo>
              <a:cubicBezTo>
                <a:pt x="8800560" y="5513639"/>
                <a:pt x="8816158" y="5498048"/>
                <a:pt x="8835386" y="5498048"/>
              </a:cubicBezTo>
              <a:cubicBezTo>
                <a:pt x="8854614" y="5498048"/>
                <a:pt x="8870198" y="5513639"/>
                <a:pt x="8870198" y="5532867"/>
              </a:cubicBezTo>
              <a:cubicBezTo>
                <a:pt x="8870198" y="5552094"/>
                <a:pt x="8854614" y="5567685"/>
                <a:pt x="8835386" y="5567685"/>
              </a:cubicBezTo>
              <a:close/>
              <a:moveTo>
                <a:pt x="8920278" y="5567685"/>
              </a:moveTo>
              <a:cubicBezTo>
                <a:pt x="8901050" y="5567685"/>
                <a:pt x="8885453" y="5552094"/>
                <a:pt x="8885453" y="5532867"/>
              </a:cubicBezTo>
              <a:cubicBezTo>
                <a:pt x="8885453" y="5513639"/>
                <a:pt x="8901050" y="5498048"/>
                <a:pt x="8920278" y="5498048"/>
              </a:cubicBezTo>
              <a:cubicBezTo>
                <a:pt x="8939506" y="5498048"/>
                <a:pt x="8955090" y="5513639"/>
                <a:pt x="8955090" y="5532867"/>
              </a:cubicBezTo>
              <a:cubicBezTo>
                <a:pt x="8955090" y="5552094"/>
                <a:pt x="8939506" y="5567685"/>
                <a:pt x="8920278" y="5567685"/>
              </a:cubicBezTo>
              <a:close/>
              <a:moveTo>
                <a:pt x="9005170" y="5567685"/>
              </a:moveTo>
              <a:cubicBezTo>
                <a:pt x="8985943" y="5567685"/>
                <a:pt x="8970345" y="5552094"/>
                <a:pt x="8970345" y="5532867"/>
              </a:cubicBezTo>
              <a:cubicBezTo>
                <a:pt x="8970345" y="5513639"/>
                <a:pt x="8985943" y="5498048"/>
                <a:pt x="9005170" y="5498048"/>
              </a:cubicBezTo>
              <a:cubicBezTo>
                <a:pt x="9024398" y="5498048"/>
                <a:pt x="9039983" y="5513639"/>
                <a:pt x="9039983" y="5532867"/>
              </a:cubicBezTo>
              <a:cubicBezTo>
                <a:pt x="9039983" y="5552094"/>
                <a:pt x="9024398" y="5567685"/>
                <a:pt x="9005170" y="5567685"/>
              </a:cubicBezTo>
              <a:close/>
              <a:moveTo>
                <a:pt x="9090063" y="5567685"/>
              </a:moveTo>
              <a:cubicBezTo>
                <a:pt x="9070835" y="5567685"/>
                <a:pt x="9055237" y="5552094"/>
                <a:pt x="9055237" y="5532867"/>
              </a:cubicBezTo>
              <a:cubicBezTo>
                <a:pt x="9055237" y="5513639"/>
                <a:pt x="9070835" y="5498048"/>
                <a:pt x="9090063" y="5498048"/>
              </a:cubicBezTo>
              <a:cubicBezTo>
                <a:pt x="9109290" y="5498048"/>
                <a:pt x="9124875" y="5513639"/>
                <a:pt x="9124875" y="5532867"/>
              </a:cubicBezTo>
              <a:cubicBezTo>
                <a:pt x="9124875" y="5552094"/>
                <a:pt x="9109290" y="5567685"/>
                <a:pt x="9090063" y="5567685"/>
              </a:cubicBezTo>
              <a:close/>
              <a:moveTo>
                <a:pt x="9174956" y="5567685"/>
              </a:moveTo>
              <a:cubicBezTo>
                <a:pt x="9155728" y="5567685"/>
                <a:pt x="9140130" y="5552094"/>
                <a:pt x="9140130" y="5532867"/>
              </a:cubicBezTo>
              <a:cubicBezTo>
                <a:pt x="9140130" y="5513639"/>
                <a:pt x="9155728" y="5498048"/>
                <a:pt x="9174956" y="5498048"/>
              </a:cubicBezTo>
              <a:cubicBezTo>
                <a:pt x="9194184" y="5498048"/>
                <a:pt x="9209768" y="5513639"/>
                <a:pt x="9209768" y="5532867"/>
              </a:cubicBezTo>
              <a:cubicBezTo>
                <a:pt x="9209768" y="5552094"/>
                <a:pt x="9194184" y="5567685"/>
                <a:pt x="9174956" y="5567685"/>
              </a:cubicBezTo>
              <a:close/>
              <a:moveTo>
                <a:pt x="9259848" y="5567685"/>
              </a:moveTo>
              <a:cubicBezTo>
                <a:pt x="9240620" y="5567685"/>
                <a:pt x="9225023" y="5552094"/>
                <a:pt x="9225023" y="5532867"/>
              </a:cubicBezTo>
              <a:cubicBezTo>
                <a:pt x="9225023" y="5513639"/>
                <a:pt x="9240620" y="5498048"/>
                <a:pt x="9259848" y="5498048"/>
              </a:cubicBezTo>
              <a:cubicBezTo>
                <a:pt x="9279076" y="5498048"/>
                <a:pt x="9294660" y="5513639"/>
                <a:pt x="9294660" y="5532867"/>
              </a:cubicBezTo>
              <a:cubicBezTo>
                <a:pt x="9294660" y="5552094"/>
                <a:pt x="9279076" y="5567685"/>
                <a:pt x="9259848" y="5567685"/>
              </a:cubicBezTo>
              <a:close/>
              <a:moveTo>
                <a:pt x="9344740" y="5567685"/>
              </a:moveTo>
              <a:cubicBezTo>
                <a:pt x="9325513" y="5567685"/>
                <a:pt x="9309915" y="5552094"/>
                <a:pt x="9309915" y="5532867"/>
              </a:cubicBezTo>
              <a:cubicBezTo>
                <a:pt x="9309915" y="5513639"/>
                <a:pt x="9325513" y="5498048"/>
                <a:pt x="9344740" y="5498048"/>
              </a:cubicBezTo>
              <a:cubicBezTo>
                <a:pt x="9363968" y="5498048"/>
                <a:pt x="9379553" y="5513639"/>
                <a:pt x="9379553" y="5532867"/>
              </a:cubicBezTo>
              <a:cubicBezTo>
                <a:pt x="9379553" y="5552094"/>
                <a:pt x="9363968" y="5567685"/>
                <a:pt x="9344740" y="5567685"/>
              </a:cubicBezTo>
              <a:close/>
              <a:moveTo>
                <a:pt x="9429633" y="5567685"/>
              </a:moveTo>
              <a:cubicBezTo>
                <a:pt x="9410405" y="5567685"/>
                <a:pt x="9394807" y="5552094"/>
                <a:pt x="9394807" y="5532867"/>
              </a:cubicBezTo>
              <a:cubicBezTo>
                <a:pt x="9394807" y="5513639"/>
                <a:pt x="9410405" y="5498048"/>
                <a:pt x="9429633" y="5498048"/>
              </a:cubicBezTo>
              <a:cubicBezTo>
                <a:pt x="9448860" y="5498048"/>
                <a:pt x="9464445" y="5513639"/>
                <a:pt x="9464445" y="5532867"/>
              </a:cubicBezTo>
              <a:cubicBezTo>
                <a:pt x="9464445" y="5552094"/>
                <a:pt x="9448860" y="5567685"/>
                <a:pt x="9429633" y="5567685"/>
              </a:cubicBezTo>
              <a:close/>
              <a:moveTo>
                <a:pt x="9514525" y="5567685"/>
              </a:moveTo>
              <a:cubicBezTo>
                <a:pt x="9495297" y="5567685"/>
                <a:pt x="9479699" y="5552094"/>
                <a:pt x="9479699" y="5532867"/>
              </a:cubicBezTo>
              <a:cubicBezTo>
                <a:pt x="9479699" y="5513639"/>
                <a:pt x="9495297" y="5498048"/>
                <a:pt x="9514525" y="5498048"/>
              </a:cubicBezTo>
              <a:cubicBezTo>
                <a:pt x="9533753" y="5498048"/>
                <a:pt x="9549337" y="5513639"/>
                <a:pt x="9549337" y="5532867"/>
              </a:cubicBezTo>
              <a:cubicBezTo>
                <a:pt x="9549337" y="5552094"/>
                <a:pt x="9533753" y="5567685"/>
                <a:pt x="9514525" y="5567685"/>
              </a:cubicBezTo>
              <a:close/>
              <a:moveTo>
                <a:pt x="9599418" y="5567685"/>
              </a:moveTo>
              <a:cubicBezTo>
                <a:pt x="9580190" y="5567685"/>
                <a:pt x="9564593" y="5552094"/>
                <a:pt x="9564593" y="5532867"/>
              </a:cubicBezTo>
              <a:cubicBezTo>
                <a:pt x="9564593" y="5513639"/>
                <a:pt x="9580190" y="5498048"/>
                <a:pt x="9599418" y="5498048"/>
              </a:cubicBezTo>
              <a:cubicBezTo>
                <a:pt x="9618646" y="5498048"/>
                <a:pt x="9634230" y="5513639"/>
                <a:pt x="9634230" y="5532867"/>
              </a:cubicBezTo>
              <a:cubicBezTo>
                <a:pt x="9634230" y="5552094"/>
                <a:pt x="9618646" y="5567685"/>
                <a:pt x="9599418" y="5567685"/>
              </a:cubicBezTo>
              <a:close/>
              <a:moveTo>
                <a:pt x="9684310" y="5567685"/>
              </a:moveTo>
              <a:cubicBezTo>
                <a:pt x="9665083" y="5567685"/>
                <a:pt x="9649485" y="5552094"/>
                <a:pt x="9649485" y="5532867"/>
              </a:cubicBezTo>
              <a:cubicBezTo>
                <a:pt x="9649485" y="5513639"/>
                <a:pt x="9665083" y="5498048"/>
                <a:pt x="9684310" y="5498048"/>
              </a:cubicBezTo>
              <a:cubicBezTo>
                <a:pt x="9703538" y="5498048"/>
                <a:pt x="9719123" y="5513639"/>
                <a:pt x="9719123" y="5532867"/>
              </a:cubicBezTo>
              <a:cubicBezTo>
                <a:pt x="9719123" y="5552094"/>
                <a:pt x="9703538" y="5567685"/>
                <a:pt x="9684310" y="5567685"/>
              </a:cubicBezTo>
              <a:close/>
              <a:moveTo>
                <a:pt x="9769203" y="5567685"/>
              </a:moveTo>
              <a:cubicBezTo>
                <a:pt x="9749975" y="5567685"/>
                <a:pt x="9734377" y="5552094"/>
                <a:pt x="9734377" y="5532867"/>
              </a:cubicBezTo>
              <a:cubicBezTo>
                <a:pt x="9734377" y="5513639"/>
                <a:pt x="9749975" y="5498048"/>
                <a:pt x="9769203" y="5498048"/>
              </a:cubicBezTo>
              <a:cubicBezTo>
                <a:pt x="9788430" y="5498048"/>
                <a:pt x="9804015" y="5513639"/>
                <a:pt x="9804015" y="5532867"/>
              </a:cubicBezTo>
              <a:cubicBezTo>
                <a:pt x="9804015" y="5552094"/>
                <a:pt x="9788430" y="5567685"/>
                <a:pt x="9769203" y="5567685"/>
              </a:cubicBezTo>
              <a:close/>
              <a:moveTo>
                <a:pt x="9854095" y="5567685"/>
              </a:moveTo>
              <a:cubicBezTo>
                <a:pt x="9834867" y="5567685"/>
                <a:pt x="9819269" y="5552094"/>
                <a:pt x="9819269" y="5532867"/>
              </a:cubicBezTo>
              <a:cubicBezTo>
                <a:pt x="9819269" y="5513639"/>
                <a:pt x="9834867" y="5498048"/>
                <a:pt x="9854095" y="5498048"/>
              </a:cubicBezTo>
              <a:cubicBezTo>
                <a:pt x="9873323" y="5498048"/>
                <a:pt x="9888907" y="5513639"/>
                <a:pt x="9888907" y="5532867"/>
              </a:cubicBezTo>
              <a:cubicBezTo>
                <a:pt x="9888907" y="5552094"/>
                <a:pt x="9873323" y="5567685"/>
                <a:pt x="9854095" y="5567685"/>
              </a:cubicBezTo>
              <a:close/>
              <a:moveTo>
                <a:pt x="9938988" y="5567685"/>
              </a:moveTo>
              <a:cubicBezTo>
                <a:pt x="9919760" y="5567685"/>
                <a:pt x="9904163" y="5552094"/>
                <a:pt x="9904163" y="5532867"/>
              </a:cubicBezTo>
              <a:cubicBezTo>
                <a:pt x="9904163" y="5513639"/>
                <a:pt x="9919760" y="5498048"/>
                <a:pt x="9938988" y="5498048"/>
              </a:cubicBezTo>
              <a:cubicBezTo>
                <a:pt x="9958216" y="5498048"/>
                <a:pt x="9973800" y="5513639"/>
                <a:pt x="9973800" y="5532867"/>
              </a:cubicBezTo>
              <a:cubicBezTo>
                <a:pt x="9973800" y="5552094"/>
                <a:pt x="9958216" y="5567685"/>
                <a:pt x="9938988" y="5567685"/>
              </a:cubicBezTo>
              <a:close/>
              <a:moveTo>
                <a:pt x="10023880" y="5567685"/>
              </a:moveTo>
              <a:cubicBezTo>
                <a:pt x="10004653" y="5567685"/>
                <a:pt x="9989055" y="5552094"/>
                <a:pt x="9989055" y="5532867"/>
              </a:cubicBezTo>
              <a:cubicBezTo>
                <a:pt x="9989055" y="5513639"/>
                <a:pt x="10004653" y="5498048"/>
                <a:pt x="10023880" y="5498048"/>
              </a:cubicBezTo>
              <a:cubicBezTo>
                <a:pt x="10043108" y="5498048"/>
                <a:pt x="10058693" y="5513639"/>
                <a:pt x="10058693" y="5532867"/>
              </a:cubicBezTo>
              <a:cubicBezTo>
                <a:pt x="10058693" y="5552094"/>
                <a:pt x="10043108" y="5567685"/>
                <a:pt x="10023880" y="5567685"/>
              </a:cubicBezTo>
              <a:close/>
              <a:moveTo>
                <a:pt x="10108773" y="5567685"/>
              </a:moveTo>
              <a:cubicBezTo>
                <a:pt x="10089545" y="5567685"/>
                <a:pt x="10073947" y="5552094"/>
                <a:pt x="10073947" y="5532867"/>
              </a:cubicBezTo>
              <a:cubicBezTo>
                <a:pt x="10073947" y="5513639"/>
                <a:pt x="10089545" y="5498048"/>
                <a:pt x="10108773" y="5498048"/>
              </a:cubicBezTo>
              <a:cubicBezTo>
                <a:pt x="10128000" y="5498048"/>
                <a:pt x="10143585" y="5513639"/>
                <a:pt x="10143585" y="5532867"/>
              </a:cubicBezTo>
              <a:cubicBezTo>
                <a:pt x="10143585" y="5552094"/>
                <a:pt x="10128000" y="5567685"/>
                <a:pt x="10108773" y="5567685"/>
              </a:cubicBezTo>
              <a:close/>
              <a:moveTo>
                <a:pt x="10193665" y="5567685"/>
              </a:moveTo>
              <a:cubicBezTo>
                <a:pt x="10174437" y="5567685"/>
                <a:pt x="10158839" y="5552094"/>
                <a:pt x="10158839" y="5532867"/>
              </a:cubicBezTo>
              <a:cubicBezTo>
                <a:pt x="10158839" y="5513639"/>
                <a:pt x="10174437" y="5498048"/>
                <a:pt x="10193665" y="5498048"/>
              </a:cubicBezTo>
              <a:cubicBezTo>
                <a:pt x="10212893" y="5498048"/>
                <a:pt x="10228477" y="5513639"/>
                <a:pt x="10228477" y="5532867"/>
              </a:cubicBezTo>
              <a:cubicBezTo>
                <a:pt x="10228477" y="5552094"/>
                <a:pt x="10212893" y="5567685"/>
                <a:pt x="10193665" y="5567685"/>
              </a:cubicBezTo>
              <a:close/>
              <a:moveTo>
                <a:pt x="10278558" y="5567685"/>
              </a:moveTo>
              <a:cubicBezTo>
                <a:pt x="10259330" y="5567685"/>
                <a:pt x="10243733" y="5552094"/>
                <a:pt x="10243733" y="5532867"/>
              </a:cubicBezTo>
              <a:cubicBezTo>
                <a:pt x="10243733" y="5513639"/>
                <a:pt x="10259330" y="5498048"/>
                <a:pt x="10278558" y="5498048"/>
              </a:cubicBezTo>
              <a:cubicBezTo>
                <a:pt x="10297786" y="5498048"/>
                <a:pt x="10313370" y="5513639"/>
                <a:pt x="10313370" y="5532867"/>
              </a:cubicBezTo>
              <a:cubicBezTo>
                <a:pt x="10313370" y="5552094"/>
                <a:pt x="10297786" y="5567685"/>
                <a:pt x="10278558" y="5567685"/>
              </a:cubicBezTo>
              <a:close/>
              <a:moveTo>
                <a:pt x="10363450" y="5567685"/>
              </a:moveTo>
              <a:cubicBezTo>
                <a:pt x="10344223" y="5567685"/>
                <a:pt x="10328625" y="5552094"/>
                <a:pt x="10328625" y="5532867"/>
              </a:cubicBezTo>
              <a:cubicBezTo>
                <a:pt x="10328625" y="5513639"/>
                <a:pt x="10344223" y="5498048"/>
                <a:pt x="10363450" y="5498048"/>
              </a:cubicBezTo>
              <a:cubicBezTo>
                <a:pt x="10382678" y="5498048"/>
                <a:pt x="10398263" y="5513639"/>
                <a:pt x="10398263" y="5532867"/>
              </a:cubicBezTo>
              <a:cubicBezTo>
                <a:pt x="10398263" y="5552094"/>
                <a:pt x="10382678" y="5567685"/>
                <a:pt x="10363450" y="5567685"/>
              </a:cubicBezTo>
              <a:close/>
              <a:moveTo>
                <a:pt x="10448343" y="5567685"/>
              </a:moveTo>
              <a:cubicBezTo>
                <a:pt x="10429115" y="5567685"/>
                <a:pt x="10413517" y="5552094"/>
                <a:pt x="10413517" y="5532867"/>
              </a:cubicBezTo>
              <a:cubicBezTo>
                <a:pt x="10413517" y="5513639"/>
                <a:pt x="10429115" y="5498048"/>
                <a:pt x="10448343" y="5498048"/>
              </a:cubicBezTo>
              <a:cubicBezTo>
                <a:pt x="10467570" y="5498048"/>
                <a:pt x="10483155" y="5513639"/>
                <a:pt x="10483155" y="5532867"/>
              </a:cubicBezTo>
              <a:cubicBezTo>
                <a:pt x="10483155" y="5552094"/>
                <a:pt x="10467570" y="5567685"/>
                <a:pt x="10448343" y="5567685"/>
              </a:cubicBezTo>
              <a:close/>
              <a:moveTo>
                <a:pt x="10533235" y="5567685"/>
              </a:moveTo>
              <a:cubicBezTo>
                <a:pt x="10514007" y="5567685"/>
                <a:pt x="10498409" y="5552094"/>
                <a:pt x="10498409" y="5532867"/>
              </a:cubicBezTo>
              <a:cubicBezTo>
                <a:pt x="10498409" y="5513639"/>
                <a:pt x="10514007" y="5498048"/>
                <a:pt x="10533235" y="5498048"/>
              </a:cubicBezTo>
              <a:cubicBezTo>
                <a:pt x="10552463" y="5498048"/>
                <a:pt x="10568047" y="5513639"/>
                <a:pt x="10568047" y="5532867"/>
              </a:cubicBezTo>
              <a:cubicBezTo>
                <a:pt x="10568047" y="5552094"/>
                <a:pt x="10552463" y="5567685"/>
                <a:pt x="10533235" y="5567685"/>
              </a:cubicBezTo>
              <a:close/>
              <a:moveTo>
                <a:pt x="10618128" y="5567685"/>
              </a:moveTo>
              <a:cubicBezTo>
                <a:pt x="10598900" y="5567685"/>
                <a:pt x="10583303" y="5552094"/>
                <a:pt x="10583303" y="5532867"/>
              </a:cubicBezTo>
              <a:cubicBezTo>
                <a:pt x="10583303" y="5513639"/>
                <a:pt x="10598900" y="5498048"/>
                <a:pt x="10618128" y="5498048"/>
              </a:cubicBezTo>
              <a:cubicBezTo>
                <a:pt x="10637356" y="5498048"/>
                <a:pt x="10652940" y="5513639"/>
                <a:pt x="10652940" y="5532867"/>
              </a:cubicBezTo>
              <a:cubicBezTo>
                <a:pt x="10652940" y="5552094"/>
                <a:pt x="10637356" y="5567685"/>
                <a:pt x="10618128" y="5567685"/>
              </a:cubicBezTo>
              <a:close/>
              <a:moveTo>
                <a:pt x="1534629" y="5482826"/>
              </a:moveTo>
              <a:cubicBezTo>
                <a:pt x="1515401" y="5482826"/>
                <a:pt x="1499810" y="5467235"/>
                <a:pt x="1499810" y="5448007"/>
              </a:cubicBezTo>
              <a:cubicBezTo>
                <a:pt x="1499810" y="5428779"/>
                <a:pt x="1515401" y="5413188"/>
                <a:pt x="1534629" y="5413188"/>
              </a:cubicBezTo>
              <a:cubicBezTo>
                <a:pt x="1553857" y="5413188"/>
                <a:pt x="1569448" y="5428779"/>
                <a:pt x="1569448" y="5448007"/>
              </a:cubicBezTo>
              <a:cubicBezTo>
                <a:pt x="1569448" y="5467235"/>
                <a:pt x="1553857" y="5482826"/>
                <a:pt x="1534629" y="5482826"/>
              </a:cubicBezTo>
              <a:close/>
              <a:moveTo>
                <a:pt x="1619521" y="5482826"/>
              </a:moveTo>
              <a:cubicBezTo>
                <a:pt x="1600293" y="5482826"/>
                <a:pt x="1584702" y="5467235"/>
                <a:pt x="1584702" y="5448007"/>
              </a:cubicBezTo>
              <a:cubicBezTo>
                <a:pt x="1584702" y="5428779"/>
                <a:pt x="1600293" y="5413188"/>
                <a:pt x="1619521" y="5413188"/>
              </a:cubicBezTo>
              <a:cubicBezTo>
                <a:pt x="1638749" y="5413188"/>
                <a:pt x="1654340" y="5428779"/>
                <a:pt x="1654340" y="5448007"/>
              </a:cubicBezTo>
              <a:cubicBezTo>
                <a:pt x="1654340" y="5467235"/>
                <a:pt x="1638749" y="5482826"/>
                <a:pt x="1619521" y="5482826"/>
              </a:cubicBezTo>
              <a:close/>
              <a:moveTo>
                <a:pt x="1704413" y="5482826"/>
              </a:moveTo>
              <a:cubicBezTo>
                <a:pt x="1685186" y="5482826"/>
                <a:pt x="1669594" y="5467235"/>
                <a:pt x="1669594" y="5448007"/>
              </a:cubicBezTo>
              <a:cubicBezTo>
                <a:pt x="1669594" y="5428779"/>
                <a:pt x="1685186" y="5413188"/>
                <a:pt x="1704413" y="5413188"/>
              </a:cubicBezTo>
              <a:cubicBezTo>
                <a:pt x="1723641" y="5413188"/>
                <a:pt x="1739232" y="5428779"/>
                <a:pt x="1739232" y="5448007"/>
              </a:cubicBezTo>
              <a:cubicBezTo>
                <a:pt x="1739232" y="5467235"/>
                <a:pt x="1723641" y="5482826"/>
                <a:pt x="1704413" y="5482826"/>
              </a:cubicBezTo>
              <a:close/>
              <a:moveTo>
                <a:pt x="1789306" y="5482826"/>
              </a:moveTo>
              <a:cubicBezTo>
                <a:pt x="1770078" y="5482826"/>
                <a:pt x="1754487" y="5467235"/>
                <a:pt x="1754487" y="5448007"/>
              </a:cubicBezTo>
              <a:cubicBezTo>
                <a:pt x="1754487" y="5428779"/>
                <a:pt x="1770078" y="5413188"/>
                <a:pt x="1789306" y="5413188"/>
              </a:cubicBezTo>
              <a:cubicBezTo>
                <a:pt x="1808533" y="5413188"/>
                <a:pt x="1824124" y="5428779"/>
                <a:pt x="1824124" y="5448007"/>
              </a:cubicBezTo>
              <a:cubicBezTo>
                <a:pt x="1824124" y="5467235"/>
                <a:pt x="1808533" y="5482826"/>
                <a:pt x="1789306" y="5482826"/>
              </a:cubicBezTo>
              <a:close/>
              <a:moveTo>
                <a:pt x="1874199" y="5482826"/>
              </a:moveTo>
              <a:cubicBezTo>
                <a:pt x="1854971" y="5482826"/>
                <a:pt x="1839380" y="5467235"/>
                <a:pt x="1839380" y="5448007"/>
              </a:cubicBezTo>
              <a:cubicBezTo>
                <a:pt x="1839380" y="5428779"/>
                <a:pt x="1854971" y="5413188"/>
                <a:pt x="1874199" y="5413188"/>
              </a:cubicBezTo>
              <a:cubicBezTo>
                <a:pt x="1893427" y="5413188"/>
                <a:pt x="1909018" y="5428779"/>
                <a:pt x="1909018" y="5448007"/>
              </a:cubicBezTo>
              <a:cubicBezTo>
                <a:pt x="1909018" y="5467235"/>
                <a:pt x="1893427" y="5482826"/>
                <a:pt x="1874199" y="5482826"/>
              </a:cubicBezTo>
              <a:close/>
              <a:moveTo>
                <a:pt x="1959091" y="5482826"/>
              </a:moveTo>
              <a:cubicBezTo>
                <a:pt x="1939863" y="5482826"/>
                <a:pt x="1924272" y="5467235"/>
                <a:pt x="1924272" y="5448007"/>
              </a:cubicBezTo>
              <a:cubicBezTo>
                <a:pt x="1924272" y="5428779"/>
                <a:pt x="1939863" y="5413188"/>
                <a:pt x="1959091" y="5413188"/>
              </a:cubicBezTo>
              <a:cubicBezTo>
                <a:pt x="1978319" y="5413188"/>
                <a:pt x="1993910" y="5428779"/>
                <a:pt x="1993910" y="5448007"/>
              </a:cubicBezTo>
              <a:cubicBezTo>
                <a:pt x="1993910" y="5467235"/>
                <a:pt x="1978319" y="5482826"/>
                <a:pt x="1959091" y="5482826"/>
              </a:cubicBezTo>
              <a:close/>
              <a:moveTo>
                <a:pt x="2043983" y="5482826"/>
              </a:moveTo>
              <a:cubicBezTo>
                <a:pt x="2024756" y="5482826"/>
                <a:pt x="2009164" y="5467235"/>
                <a:pt x="2009164" y="5448007"/>
              </a:cubicBezTo>
              <a:cubicBezTo>
                <a:pt x="2009164" y="5428779"/>
                <a:pt x="2024756" y="5413188"/>
                <a:pt x="2043983" y="5413188"/>
              </a:cubicBezTo>
              <a:cubicBezTo>
                <a:pt x="2063211" y="5413188"/>
                <a:pt x="2078802" y="5428779"/>
                <a:pt x="2078802" y="5448007"/>
              </a:cubicBezTo>
              <a:cubicBezTo>
                <a:pt x="2078802" y="5467235"/>
                <a:pt x="2063211" y="5482826"/>
                <a:pt x="2043983" y="5482826"/>
              </a:cubicBezTo>
              <a:close/>
              <a:moveTo>
                <a:pt x="2128876" y="5482826"/>
              </a:moveTo>
              <a:cubicBezTo>
                <a:pt x="2109648" y="5482826"/>
                <a:pt x="2094057" y="5467235"/>
                <a:pt x="2094057" y="5448007"/>
              </a:cubicBezTo>
              <a:cubicBezTo>
                <a:pt x="2094057" y="5428779"/>
                <a:pt x="2109648" y="5413188"/>
                <a:pt x="2128876" y="5413188"/>
              </a:cubicBezTo>
              <a:cubicBezTo>
                <a:pt x="2148103" y="5413188"/>
                <a:pt x="2163694" y="5428779"/>
                <a:pt x="2163694" y="5448007"/>
              </a:cubicBezTo>
              <a:cubicBezTo>
                <a:pt x="2163694" y="5467235"/>
                <a:pt x="2148103" y="5482826"/>
                <a:pt x="2128876" y="5482826"/>
              </a:cubicBezTo>
              <a:close/>
              <a:moveTo>
                <a:pt x="2213769" y="5482826"/>
              </a:moveTo>
              <a:cubicBezTo>
                <a:pt x="2194541" y="5482826"/>
                <a:pt x="2178950" y="5467235"/>
                <a:pt x="2178950" y="5448007"/>
              </a:cubicBezTo>
              <a:cubicBezTo>
                <a:pt x="2178950" y="5428779"/>
                <a:pt x="2194541" y="5413188"/>
                <a:pt x="2213769" y="5413188"/>
              </a:cubicBezTo>
              <a:cubicBezTo>
                <a:pt x="2232997" y="5413188"/>
                <a:pt x="2248588" y="5428779"/>
                <a:pt x="2248588" y="5448007"/>
              </a:cubicBezTo>
              <a:cubicBezTo>
                <a:pt x="2248588" y="5467235"/>
                <a:pt x="2232997" y="5482826"/>
                <a:pt x="2213769" y="5482826"/>
              </a:cubicBezTo>
              <a:close/>
              <a:moveTo>
                <a:pt x="2298661" y="5482826"/>
              </a:moveTo>
              <a:cubicBezTo>
                <a:pt x="2279433" y="5482826"/>
                <a:pt x="2263842" y="5467235"/>
                <a:pt x="2263842" y="5448007"/>
              </a:cubicBezTo>
              <a:cubicBezTo>
                <a:pt x="2263842" y="5428779"/>
                <a:pt x="2279433" y="5413188"/>
                <a:pt x="2298661" y="5413188"/>
              </a:cubicBezTo>
              <a:cubicBezTo>
                <a:pt x="2317889" y="5413188"/>
                <a:pt x="2333480" y="5428779"/>
                <a:pt x="2333480" y="5448007"/>
              </a:cubicBezTo>
              <a:cubicBezTo>
                <a:pt x="2333480" y="5467235"/>
                <a:pt x="2317889" y="5482826"/>
                <a:pt x="2298661" y="5482826"/>
              </a:cubicBezTo>
              <a:close/>
              <a:moveTo>
                <a:pt x="2383553" y="5482826"/>
              </a:moveTo>
              <a:cubicBezTo>
                <a:pt x="2364326" y="5482826"/>
                <a:pt x="2348734" y="5467235"/>
                <a:pt x="2348734" y="5448007"/>
              </a:cubicBezTo>
              <a:cubicBezTo>
                <a:pt x="2348734" y="5428779"/>
                <a:pt x="2364326" y="5413188"/>
                <a:pt x="2383553" y="5413188"/>
              </a:cubicBezTo>
              <a:cubicBezTo>
                <a:pt x="2402781" y="5413188"/>
                <a:pt x="2418372" y="5428779"/>
                <a:pt x="2418372" y="5448007"/>
              </a:cubicBezTo>
              <a:cubicBezTo>
                <a:pt x="2418372" y="5467235"/>
                <a:pt x="2402781" y="5482826"/>
                <a:pt x="2383553" y="5482826"/>
              </a:cubicBezTo>
              <a:close/>
              <a:moveTo>
                <a:pt x="2468446" y="5482826"/>
              </a:moveTo>
              <a:cubicBezTo>
                <a:pt x="2449218" y="5482826"/>
                <a:pt x="2433627" y="5467235"/>
                <a:pt x="2433627" y="5448007"/>
              </a:cubicBezTo>
              <a:cubicBezTo>
                <a:pt x="2433627" y="5428779"/>
                <a:pt x="2449218" y="5413188"/>
                <a:pt x="2468446" y="5413188"/>
              </a:cubicBezTo>
              <a:cubicBezTo>
                <a:pt x="2487673" y="5413188"/>
                <a:pt x="2503264" y="5428779"/>
                <a:pt x="2503264" y="5448007"/>
              </a:cubicBezTo>
              <a:cubicBezTo>
                <a:pt x="2503264" y="5467235"/>
                <a:pt x="2487673" y="5482826"/>
                <a:pt x="2468446" y="5482826"/>
              </a:cubicBezTo>
              <a:close/>
              <a:moveTo>
                <a:pt x="2553339" y="5482826"/>
              </a:moveTo>
              <a:cubicBezTo>
                <a:pt x="2534111" y="5482826"/>
                <a:pt x="2518520" y="5467235"/>
                <a:pt x="2518520" y="5448007"/>
              </a:cubicBezTo>
              <a:cubicBezTo>
                <a:pt x="2518520" y="5428779"/>
                <a:pt x="2534111" y="5413188"/>
                <a:pt x="2553339" y="5413188"/>
              </a:cubicBezTo>
              <a:cubicBezTo>
                <a:pt x="2572567" y="5413188"/>
                <a:pt x="2588158" y="5428779"/>
                <a:pt x="2588158" y="5448007"/>
              </a:cubicBezTo>
              <a:cubicBezTo>
                <a:pt x="2588158" y="5467235"/>
                <a:pt x="2572567" y="5482826"/>
                <a:pt x="2553339" y="5482826"/>
              </a:cubicBezTo>
              <a:close/>
              <a:moveTo>
                <a:pt x="2723123" y="5482826"/>
              </a:moveTo>
              <a:cubicBezTo>
                <a:pt x="2703896" y="5482826"/>
                <a:pt x="2688304" y="5467235"/>
                <a:pt x="2688304" y="5448007"/>
              </a:cubicBezTo>
              <a:cubicBezTo>
                <a:pt x="2688304" y="5428779"/>
                <a:pt x="2703896" y="5413188"/>
                <a:pt x="2723123" y="5413188"/>
              </a:cubicBezTo>
              <a:cubicBezTo>
                <a:pt x="2742351" y="5413188"/>
                <a:pt x="2757942" y="5428779"/>
                <a:pt x="2757942" y="5448007"/>
              </a:cubicBezTo>
              <a:cubicBezTo>
                <a:pt x="2757942" y="5467235"/>
                <a:pt x="2742351" y="5482826"/>
                <a:pt x="2723123" y="5482826"/>
              </a:cubicBezTo>
              <a:close/>
              <a:moveTo>
                <a:pt x="2808016" y="5482826"/>
              </a:moveTo>
              <a:cubicBezTo>
                <a:pt x="2788788" y="5482826"/>
                <a:pt x="2773197" y="5467235"/>
                <a:pt x="2773197" y="5448007"/>
              </a:cubicBezTo>
              <a:cubicBezTo>
                <a:pt x="2773197" y="5428779"/>
                <a:pt x="2788788" y="5413188"/>
                <a:pt x="2808016" y="5413188"/>
              </a:cubicBezTo>
              <a:cubicBezTo>
                <a:pt x="2827243" y="5413188"/>
                <a:pt x="2842834" y="5428779"/>
                <a:pt x="2842834" y="5448007"/>
              </a:cubicBezTo>
              <a:cubicBezTo>
                <a:pt x="2842834" y="5467235"/>
                <a:pt x="2827243" y="5482826"/>
                <a:pt x="2808016" y="5482826"/>
              </a:cubicBezTo>
              <a:close/>
              <a:moveTo>
                <a:pt x="2892908" y="5482826"/>
              </a:moveTo>
              <a:cubicBezTo>
                <a:pt x="2873680" y="5482826"/>
                <a:pt x="2858089" y="5467235"/>
                <a:pt x="2858089" y="5448007"/>
              </a:cubicBezTo>
              <a:cubicBezTo>
                <a:pt x="2858089" y="5428779"/>
                <a:pt x="2873680" y="5413188"/>
                <a:pt x="2892908" y="5413188"/>
              </a:cubicBezTo>
              <a:cubicBezTo>
                <a:pt x="2912136" y="5413188"/>
                <a:pt x="2927727" y="5428779"/>
                <a:pt x="2927727" y="5448007"/>
              </a:cubicBezTo>
              <a:cubicBezTo>
                <a:pt x="2927727" y="5467235"/>
                <a:pt x="2912136" y="5482826"/>
                <a:pt x="2892908" y="5482826"/>
              </a:cubicBezTo>
              <a:close/>
              <a:moveTo>
                <a:pt x="3062693" y="5482826"/>
              </a:moveTo>
              <a:cubicBezTo>
                <a:pt x="3043466" y="5482826"/>
                <a:pt x="3027874" y="5467235"/>
                <a:pt x="3027874" y="5448007"/>
              </a:cubicBezTo>
              <a:cubicBezTo>
                <a:pt x="3027874" y="5428779"/>
                <a:pt x="3043466" y="5413188"/>
                <a:pt x="3062693" y="5413188"/>
              </a:cubicBezTo>
              <a:cubicBezTo>
                <a:pt x="3081921" y="5413188"/>
                <a:pt x="3097512" y="5428779"/>
                <a:pt x="3097512" y="5448007"/>
              </a:cubicBezTo>
              <a:cubicBezTo>
                <a:pt x="3097512" y="5467235"/>
                <a:pt x="3081921" y="5482826"/>
                <a:pt x="3062693" y="5482826"/>
              </a:cubicBezTo>
              <a:close/>
              <a:moveTo>
                <a:pt x="3147586" y="5482826"/>
              </a:moveTo>
              <a:cubicBezTo>
                <a:pt x="3128358" y="5482826"/>
                <a:pt x="3112767" y="5467235"/>
                <a:pt x="3112767" y="5448007"/>
              </a:cubicBezTo>
              <a:cubicBezTo>
                <a:pt x="3112767" y="5428779"/>
                <a:pt x="3128358" y="5413188"/>
                <a:pt x="3147586" y="5413188"/>
              </a:cubicBezTo>
              <a:cubicBezTo>
                <a:pt x="3166813" y="5413188"/>
                <a:pt x="3182404" y="5428779"/>
                <a:pt x="3182404" y="5448007"/>
              </a:cubicBezTo>
              <a:cubicBezTo>
                <a:pt x="3182404" y="5467235"/>
                <a:pt x="3166813" y="5482826"/>
                <a:pt x="3147586" y="5482826"/>
              </a:cubicBezTo>
              <a:close/>
              <a:moveTo>
                <a:pt x="3402263" y="5482826"/>
              </a:moveTo>
              <a:cubicBezTo>
                <a:pt x="3383036" y="5482826"/>
                <a:pt x="3367444" y="5467235"/>
                <a:pt x="3367444" y="5448007"/>
              </a:cubicBezTo>
              <a:cubicBezTo>
                <a:pt x="3367444" y="5428779"/>
                <a:pt x="3383036" y="5413188"/>
                <a:pt x="3402263" y="5413188"/>
              </a:cubicBezTo>
              <a:cubicBezTo>
                <a:pt x="3421491" y="5413188"/>
                <a:pt x="3437082" y="5428779"/>
                <a:pt x="3437082" y="5448007"/>
              </a:cubicBezTo>
              <a:cubicBezTo>
                <a:pt x="3437082" y="5467235"/>
                <a:pt x="3421491" y="5482826"/>
                <a:pt x="3402263" y="5482826"/>
              </a:cubicBezTo>
              <a:close/>
              <a:moveTo>
                <a:pt x="3826726" y="5482826"/>
              </a:moveTo>
              <a:cubicBezTo>
                <a:pt x="3807498" y="5482826"/>
                <a:pt x="3791907" y="5467235"/>
                <a:pt x="3791907" y="5448007"/>
              </a:cubicBezTo>
              <a:cubicBezTo>
                <a:pt x="3791907" y="5428779"/>
                <a:pt x="3807498" y="5413188"/>
                <a:pt x="3826726" y="5413188"/>
              </a:cubicBezTo>
              <a:cubicBezTo>
                <a:pt x="3845953" y="5413188"/>
                <a:pt x="3861544" y="5428779"/>
                <a:pt x="3861544" y="5448007"/>
              </a:cubicBezTo>
              <a:cubicBezTo>
                <a:pt x="3861544" y="5467235"/>
                <a:pt x="3845953" y="5482826"/>
                <a:pt x="3826726" y="5482826"/>
              </a:cubicBezTo>
              <a:close/>
              <a:moveTo>
                <a:pt x="3996511" y="5482826"/>
              </a:moveTo>
              <a:cubicBezTo>
                <a:pt x="3977283" y="5482826"/>
                <a:pt x="3961692" y="5467235"/>
                <a:pt x="3961692" y="5448007"/>
              </a:cubicBezTo>
              <a:cubicBezTo>
                <a:pt x="3961692" y="5428779"/>
                <a:pt x="3977283" y="5413188"/>
                <a:pt x="3996511" y="5413188"/>
              </a:cubicBezTo>
              <a:cubicBezTo>
                <a:pt x="4015739" y="5413188"/>
                <a:pt x="4031330" y="5428779"/>
                <a:pt x="4031330" y="5448007"/>
              </a:cubicBezTo>
              <a:cubicBezTo>
                <a:pt x="4031330" y="5467235"/>
                <a:pt x="4015739" y="5482826"/>
                <a:pt x="3996511" y="5482826"/>
              </a:cubicBezTo>
              <a:close/>
              <a:moveTo>
                <a:pt x="4081403" y="5482826"/>
              </a:moveTo>
              <a:cubicBezTo>
                <a:pt x="4062176" y="5482826"/>
                <a:pt x="4046584" y="5467235"/>
                <a:pt x="4046584" y="5448007"/>
              </a:cubicBezTo>
              <a:cubicBezTo>
                <a:pt x="4046584" y="5428779"/>
                <a:pt x="4062176" y="5413188"/>
                <a:pt x="4081403" y="5413188"/>
              </a:cubicBezTo>
              <a:cubicBezTo>
                <a:pt x="4100631" y="5413188"/>
                <a:pt x="4116222" y="5428779"/>
                <a:pt x="4116222" y="5448007"/>
              </a:cubicBezTo>
              <a:cubicBezTo>
                <a:pt x="4116222" y="5467235"/>
                <a:pt x="4100631" y="5482826"/>
                <a:pt x="4081403" y="5482826"/>
              </a:cubicBezTo>
              <a:close/>
              <a:moveTo>
                <a:pt x="4590758" y="5482826"/>
              </a:moveTo>
              <a:cubicBezTo>
                <a:pt x="4571530" y="5482826"/>
                <a:pt x="4555939" y="5467235"/>
                <a:pt x="4555939" y="5448007"/>
              </a:cubicBezTo>
              <a:cubicBezTo>
                <a:pt x="4555939" y="5428779"/>
                <a:pt x="4571530" y="5413188"/>
                <a:pt x="4590758" y="5413188"/>
              </a:cubicBezTo>
              <a:cubicBezTo>
                <a:pt x="4609986" y="5413188"/>
                <a:pt x="4625577" y="5428779"/>
                <a:pt x="4625577" y="5448007"/>
              </a:cubicBezTo>
              <a:cubicBezTo>
                <a:pt x="4625577" y="5467235"/>
                <a:pt x="4609986" y="5482826"/>
                <a:pt x="4590758" y="5482826"/>
              </a:cubicBezTo>
              <a:close/>
              <a:moveTo>
                <a:pt x="4675650" y="5482826"/>
              </a:moveTo>
              <a:cubicBezTo>
                <a:pt x="4656422" y="5482826"/>
                <a:pt x="4640831" y="5467235"/>
                <a:pt x="4640831" y="5448007"/>
              </a:cubicBezTo>
              <a:cubicBezTo>
                <a:pt x="4640831" y="5428779"/>
                <a:pt x="4656422" y="5413188"/>
                <a:pt x="4675650" y="5413188"/>
              </a:cubicBezTo>
              <a:cubicBezTo>
                <a:pt x="4694878" y="5413188"/>
                <a:pt x="4710469" y="5428779"/>
                <a:pt x="4710469" y="5448007"/>
              </a:cubicBezTo>
              <a:cubicBezTo>
                <a:pt x="4710469" y="5467235"/>
                <a:pt x="4694878" y="5482826"/>
                <a:pt x="4675650" y="5482826"/>
              </a:cubicBezTo>
              <a:close/>
              <a:moveTo>
                <a:pt x="4760543" y="5482826"/>
              </a:moveTo>
              <a:cubicBezTo>
                <a:pt x="4741316" y="5482826"/>
                <a:pt x="4725724" y="5467235"/>
                <a:pt x="4725724" y="5448007"/>
              </a:cubicBezTo>
              <a:cubicBezTo>
                <a:pt x="4725724" y="5428779"/>
                <a:pt x="4741316" y="5413188"/>
                <a:pt x="4760543" y="5413188"/>
              </a:cubicBezTo>
              <a:cubicBezTo>
                <a:pt x="4779771" y="5413188"/>
                <a:pt x="4795362" y="5428779"/>
                <a:pt x="4795362" y="5448007"/>
              </a:cubicBezTo>
              <a:cubicBezTo>
                <a:pt x="4795362" y="5467235"/>
                <a:pt x="4779771" y="5482826"/>
                <a:pt x="4760543" y="5482826"/>
              </a:cubicBezTo>
              <a:close/>
              <a:moveTo>
                <a:pt x="4845436" y="5482826"/>
              </a:moveTo>
              <a:cubicBezTo>
                <a:pt x="4826208" y="5482826"/>
                <a:pt x="4810617" y="5467235"/>
                <a:pt x="4810617" y="5448007"/>
              </a:cubicBezTo>
              <a:cubicBezTo>
                <a:pt x="4810617" y="5428779"/>
                <a:pt x="4826208" y="5413188"/>
                <a:pt x="4845436" y="5413188"/>
              </a:cubicBezTo>
              <a:cubicBezTo>
                <a:pt x="4864663" y="5413188"/>
                <a:pt x="4880254" y="5428779"/>
                <a:pt x="4880254" y="5448007"/>
              </a:cubicBezTo>
              <a:cubicBezTo>
                <a:pt x="4880254" y="5467235"/>
                <a:pt x="4864663" y="5482826"/>
                <a:pt x="4845436" y="5482826"/>
              </a:cubicBezTo>
              <a:close/>
              <a:moveTo>
                <a:pt x="4930328" y="5482826"/>
              </a:moveTo>
              <a:cubicBezTo>
                <a:pt x="4911100" y="5482826"/>
                <a:pt x="4895509" y="5467235"/>
                <a:pt x="4895509" y="5448007"/>
              </a:cubicBezTo>
              <a:cubicBezTo>
                <a:pt x="4895509" y="5428779"/>
                <a:pt x="4911100" y="5413188"/>
                <a:pt x="4930328" y="5413188"/>
              </a:cubicBezTo>
              <a:cubicBezTo>
                <a:pt x="4949556" y="5413188"/>
                <a:pt x="4965147" y="5428779"/>
                <a:pt x="4965147" y="5448007"/>
              </a:cubicBezTo>
              <a:cubicBezTo>
                <a:pt x="4965147" y="5467235"/>
                <a:pt x="4949556" y="5482826"/>
                <a:pt x="4930328" y="5482826"/>
              </a:cubicBezTo>
              <a:close/>
              <a:moveTo>
                <a:pt x="5015220" y="5482826"/>
              </a:moveTo>
              <a:cubicBezTo>
                <a:pt x="4995992" y="5482826"/>
                <a:pt x="4980401" y="5467235"/>
                <a:pt x="4980401" y="5448007"/>
              </a:cubicBezTo>
              <a:cubicBezTo>
                <a:pt x="4980401" y="5428779"/>
                <a:pt x="4995992" y="5413188"/>
                <a:pt x="5015220" y="5413188"/>
              </a:cubicBezTo>
              <a:cubicBezTo>
                <a:pt x="5034448" y="5413188"/>
                <a:pt x="5050039" y="5428779"/>
                <a:pt x="5050039" y="5448007"/>
              </a:cubicBezTo>
              <a:cubicBezTo>
                <a:pt x="5050039" y="5467235"/>
                <a:pt x="5034448" y="5482826"/>
                <a:pt x="5015220" y="5482826"/>
              </a:cubicBezTo>
              <a:close/>
              <a:moveTo>
                <a:pt x="5100113" y="5482826"/>
              </a:moveTo>
              <a:cubicBezTo>
                <a:pt x="5080886" y="5482826"/>
                <a:pt x="5065294" y="5467235"/>
                <a:pt x="5065294" y="5448007"/>
              </a:cubicBezTo>
              <a:cubicBezTo>
                <a:pt x="5065294" y="5428779"/>
                <a:pt x="5080886" y="5413188"/>
                <a:pt x="5100113" y="5413188"/>
              </a:cubicBezTo>
              <a:cubicBezTo>
                <a:pt x="5119341" y="5413188"/>
                <a:pt x="5134932" y="5428779"/>
                <a:pt x="5134932" y="5448007"/>
              </a:cubicBezTo>
              <a:cubicBezTo>
                <a:pt x="5134932" y="5467235"/>
                <a:pt x="5119341" y="5482826"/>
                <a:pt x="5100113" y="5482826"/>
              </a:cubicBezTo>
              <a:close/>
              <a:moveTo>
                <a:pt x="5185006" y="5482826"/>
              </a:moveTo>
              <a:cubicBezTo>
                <a:pt x="5165778" y="5482826"/>
                <a:pt x="5150187" y="5467235"/>
                <a:pt x="5150187" y="5448007"/>
              </a:cubicBezTo>
              <a:cubicBezTo>
                <a:pt x="5150187" y="5428779"/>
                <a:pt x="5165778" y="5413188"/>
                <a:pt x="5185006" y="5413188"/>
              </a:cubicBezTo>
              <a:cubicBezTo>
                <a:pt x="5204233" y="5413188"/>
                <a:pt x="5219824" y="5428779"/>
                <a:pt x="5219824" y="5448007"/>
              </a:cubicBezTo>
              <a:cubicBezTo>
                <a:pt x="5219824" y="5467235"/>
                <a:pt x="5204233" y="5482826"/>
                <a:pt x="5185006" y="5482826"/>
              </a:cubicBezTo>
              <a:close/>
              <a:moveTo>
                <a:pt x="7137536" y="5482826"/>
              </a:moveTo>
              <a:cubicBezTo>
                <a:pt x="7118308" y="5482826"/>
                <a:pt x="7102710" y="5467235"/>
                <a:pt x="7102710" y="5448007"/>
              </a:cubicBezTo>
              <a:cubicBezTo>
                <a:pt x="7102710" y="5428779"/>
                <a:pt x="7118308" y="5413188"/>
                <a:pt x="7137536" y="5413188"/>
              </a:cubicBezTo>
              <a:cubicBezTo>
                <a:pt x="7156764" y="5413188"/>
                <a:pt x="7172348" y="5428779"/>
                <a:pt x="7172348" y="5448007"/>
              </a:cubicBezTo>
              <a:cubicBezTo>
                <a:pt x="7172348" y="5467235"/>
                <a:pt x="7156764" y="5482826"/>
                <a:pt x="7137536" y="5482826"/>
              </a:cubicBezTo>
              <a:close/>
              <a:moveTo>
                <a:pt x="7477106" y="5482826"/>
              </a:moveTo>
              <a:cubicBezTo>
                <a:pt x="7457878" y="5482826"/>
                <a:pt x="7442280" y="5467235"/>
                <a:pt x="7442280" y="5448007"/>
              </a:cubicBezTo>
              <a:cubicBezTo>
                <a:pt x="7442280" y="5428779"/>
                <a:pt x="7457878" y="5413188"/>
                <a:pt x="7477106" y="5413188"/>
              </a:cubicBezTo>
              <a:cubicBezTo>
                <a:pt x="7496334" y="5413188"/>
                <a:pt x="7511918" y="5428779"/>
                <a:pt x="7511918" y="5448007"/>
              </a:cubicBezTo>
              <a:cubicBezTo>
                <a:pt x="7511918" y="5467235"/>
                <a:pt x="7496334" y="5482826"/>
                <a:pt x="7477106" y="5482826"/>
              </a:cubicBezTo>
              <a:close/>
              <a:moveTo>
                <a:pt x="7561998" y="5482826"/>
              </a:moveTo>
              <a:cubicBezTo>
                <a:pt x="7542770" y="5482826"/>
                <a:pt x="7527173" y="5467235"/>
                <a:pt x="7527173" y="5448007"/>
              </a:cubicBezTo>
              <a:cubicBezTo>
                <a:pt x="7527173" y="5428779"/>
                <a:pt x="7542770" y="5413188"/>
                <a:pt x="7561998" y="5413188"/>
              </a:cubicBezTo>
              <a:cubicBezTo>
                <a:pt x="7581226" y="5413188"/>
                <a:pt x="7596810" y="5428779"/>
                <a:pt x="7596810" y="5448007"/>
              </a:cubicBezTo>
              <a:cubicBezTo>
                <a:pt x="7596810" y="5467235"/>
                <a:pt x="7581226" y="5482826"/>
                <a:pt x="7561998" y="5482826"/>
              </a:cubicBezTo>
              <a:close/>
              <a:moveTo>
                <a:pt x="7731784" y="5482826"/>
              </a:moveTo>
              <a:cubicBezTo>
                <a:pt x="7712556" y="5482826"/>
                <a:pt x="7696958" y="5467235"/>
                <a:pt x="7696958" y="5448007"/>
              </a:cubicBezTo>
              <a:cubicBezTo>
                <a:pt x="7696958" y="5428779"/>
                <a:pt x="7712556" y="5413188"/>
                <a:pt x="7731784" y="5413188"/>
              </a:cubicBezTo>
              <a:cubicBezTo>
                <a:pt x="7751011" y="5413188"/>
                <a:pt x="7766596" y="5428779"/>
                <a:pt x="7766596" y="5448007"/>
              </a:cubicBezTo>
              <a:cubicBezTo>
                <a:pt x="7766596" y="5467235"/>
                <a:pt x="7751011" y="5482826"/>
                <a:pt x="7731784" y="5482826"/>
              </a:cubicBezTo>
              <a:close/>
              <a:moveTo>
                <a:pt x="7816676" y="5482826"/>
              </a:moveTo>
              <a:cubicBezTo>
                <a:pt x="7797448" y="5482826"/>
                <a:pt x="7781850" y="5467235"/>
                <a:pt x="7781850" y="5448007"/>
              </a:cubicBezTo>
              <a:cubicBezTo>
                <a:pt x="7781850" y="5428779"/>
                <a:pt x="7797448" y="5413188"/>
                <a:pt x="7816676" y="5413188"/>
              </a:cubicBezTo>
              <a:cubicBezTo>
                <a:pt x="7835904" y="5413188"/>
                <a:pt x="7851488" y="5428779"/>
                <a:pt x="7851488" y="5448007"/>
              </a:cubicBezTo>
              <a:cubicBezTo>
                <a:pt x="7851488" y="5467235"/>
                <a:pt x="7835904" y="5482826"/>
                <a:pt x="7816676" y="5482826"/>
              </a:cubicBezTo>
              <a:close/>
              <a:moveTo>
                <a:pt x="7986460" y="5482826"/>
              </a:moveTo>
              <a:cubicBezTo>
                <a:pt x="7967233" y="5482826"/>
                <a:pt x="7951635" y="5467235"/>
                <a:pt x="7951635" y="5448007"/>
              </a:cubicBezTo>
              <a:cubicBezTo>
                <a:pt x="7951635" y="5428779"/>
                <a:pt x="7967233" y="5413188"/>
                <a:pt x="7986460" y="5413188"/>
              </a:cubicBezTo>
              <a:cubicBezTo>
                <a:pt x="8005688" y="5413188"/>
                <a:pt x="8021273" y="5428779"/>
                <a:pt x="8021273" y="5448007"/>
              </a:cubicBezTo>
              <a:cubicBezTo>
                <a:pt x="8021273" y="5467235"/>
                <a:pt x="8005688" y="5482826"/>
                <a:pt x="7986460" y="5482826"/>
              </a:cubicBezTo>
              <a:close/>
              <a:moveTo>
                <a:pt x="8071353" y="5482826"/>
              </a:moveTo>
              <a:cubicBezTo>
                <a:pt x="8052125" y="5482826"/>
                <a:pt x="8036527" y="5467235"/>
                <a:pt x="8036527" y="5448007"/>
              </a:cubicBezTo>
              <a:cubicBezTo>
                <a:pt x="8036527" y="5428779"/>
                <a:pt x="8052125" y="5413188"/>
                <a:pt x="8071353" y="5413188"/>
              </a:cubicBezTo>
              <a:cubicBezTo>
                <a:pt x="8090580" y="5413188"/>
                <a:pt x="8106165" y="5428779"/>
                <a:pt x="8106165" y="5448007"/>
              </a:cubicBezTo>
              <a:cubicBezTo>
                <a:pt x="8106165" y="5467235"/>
                <a:pt x="8090580" y="5482826"/>
                <a:pt x="8071353" y="5482826"/>
              </a:cubicBezTo>
              <a:close/>
              <a:moveTo>
                <a:pt x="8156246" y="5482826"/>
              </a:moveTo>
              <a:cubicBezTo>
                <a:pt x="8137018" y="5482826"/>
                <a:pt x="8121420" y="5467235"/>
                <a:pt x="8121420" y="5448007"/>
              </a:cubicBezTo>
              <a:cubicBezTo>
                <a:pt x="8121420" y="5428779"/>
                <a:pt x="8137018" y="5413188"/>
                <a:pt x="8156246" y="5413188"/>
              </a:cubicBezTo>
              <a:cubicBezTo>
                <a:pt x="8175474" y="5413188"/>
                <a:pt x="8191058" y="5428779"/>
                <a:pt x="8191058" y="5448007"/>
              </a:cubicBezTo>
              <a:cubicBezTo>
                <a:pt x="8191058" y="5467235"/>
                <a:pt x="8175474" y="5482826"/>
                <a:pt x="8156246" y="5482826"/>
              </a:cubicBezTo>
              <a:close/>
              <a:moveTo>
                <a:pt x="8241138" y="5482826"/>
              </a:moveTo>
              <a:cubicBezTo>
                <a:pt x="8221910" y="5482826"/>
                <a:pt x="8206313" y="5467235"/>
                <a:pt x="8206313" y="5448007"/>
              </a:cubicBezTo>
              <a:cubicBezTo>
                <a:pt x="8206313" y="5428779"/>
                <a:pt x="8221910" y="5413188"/>
                <a:pt x="8241138" y="5413188"/>
              </a:cubicBezTo>
              <a:cubicBezTo>
                <a:pt x="8260366" y="5413188"/>
                <a:pt x="8275950" y="5428779"/>
                <a:pt x="8275950" y="5448007"/>
              </a:cubicBezTo>
              <a:cubicBezTo>
                <a:pt x="8275950" y="5467235"/>
                <a:pt x="8260366" y="5482826"/>
                <a:pt x="8241138" y="5482826"/>
              </a:cubicBezTo>
              <a:close/>
              <a:moveTo>
                <a:pt x="8326030" y="5482826"/>
              </a:moveTo>
              <a:cubicBezTo>
                <a:pt x="8306803" y="5482826"/>
                <a:pt x="8291205" y="5467235"/>
                <a:pt x="8291205" y="5448007"/>
              </a:cubicBezTo>
              <a:cubicBezTo>
                <a:pt x="8291205" y="5428779"/>
                <a:pt x="8306803" y="5413188"/>
                <a:pt x="8326030" y="5413188"/>
              </a:cubicBezTo>
              <a:cubicBezTo>
                <a:pt x="8345258" y="5413188"/>
                <a:pt x="8360843" y="5428779"/>
                <a:pt x="8360843" y="5448007"/>
              </a:cubicBezTo>
              <a:cubicBezTo>
                <a:pt x="8360843" y="5467235"/>
                <a:pt x="8345258" y="5482826"/>
                <a:pt x="8326030" y="5482826"/>
              </a:cubicBezTo>
              <a:close/>
              <a:moveTo>
                <a:pt x="8410923" y="5482826"/>
              </a:moveTo>
              <a:cubicBezTo>
                <a:pt x="8391695" y="5482826"/>
                <a:pt x="8376097" y="5467235"/>
                <a:pt x="8376097" y="5448007"/>
              </a:cubicBezTo>
              <a:cubicBezTo>
                <a:pt x="8376097" y="5428779"/>
                <a:pt x="8391695" y="5413188"/>
                <a:pt x="8410923" y="5413188"/>
              </a:cubicBezTo>
              <a:cubicBezTo>
                <a:pt x="8430150" y="5413188"/>
                <a:pt x="8445735" y="5428779"/>
                <a:pt x="8445735" y="5448007"/>
              </a:cubicBezTo>
              <a:cubicBezTo>
                <a:pt x="8445735" y="5467235"/>
                <a:pt x="8430150" y="5482826"/>
                <a:pt x="8410923" y="5482826"/>
              </a:cubicBezTo>
              <a:close/>
              <a:moveTo>
                <a:pt x="8495816" y="5482826"/>
              </a:moveTo>
              <a:cubicBezTo>
                <a:pt x="8476588" y="5482826"/>
                <a:pt x="8460990" y="5467235"/>
                <a:pt x="8460990" y="5448007"/>
              </a:cubicBezTo>
              <a:cubicBezTo>
                <a:pt x="8460990" y="5428779"/>
                <a:pt x="8476588" y="5413188"/>
                <a:pt x="8495816" y="5413188"/>
              </a:cubicBezTo>
              <a:cubicBezTo>
                <a:pt x="8515044" y="5413188"/>
                <a:pt x="8530628" y="5428779"/>
                <a:pt x="8530628" y="5448007"/>
              </a:cubicBezTo>
              <a:cubicBezTo>
                <a:pt x="8530628" y="5467235"/>
                <a:pt x="8515044" y="5482826"/>
                <a:pt x="8495816" y="5482826"/>
              </a:cubicBezTo>
              <a:close/>
              <a:moveTo>
                <a:pt x="8580708" y="5482826"/>
              </a:moveTo>
              <a:cubicBezTo>
                <a:pt x="8561480" y="5482826"/>
                <a:pt x="8545883" y="5467235"/>
                <a:pt x="8545883" y="5448007"/>
              </a:cubicBezTo>
              <a:cubicBezTo>
                <a:pt x="8545883" y="5428779"/>
                <a:pt x="8561480" y="5413188"/>
                <a:pt x="8580708" y="5413188"/>
              </a:cubicBezTo>
              <a:cubicBezTo>
                <a:pt x="8599936" y="5413188"/>
                <a:pt x="8615520" y="5428779"/>
                <a:pt x="8615520" y="5448007"/>
              </a:cubicBezTo>
              <a:cubicBezTo>
                <a:pt x="8615520" y="5467235"/>
                <a:pt x="8599936" y="5482826"/>
                <a:pt x="8580708" y="5482826"/>
              </a:cubicBezTo>
              <a:close/>
              <a:moveTo>
                <a:pt x="8665600" y="5482826"/>
              </a:moveTo>
              <a:cubicBezTo>
                <a:pt x="8646373" y="5482826"/>
                <a:pt x="8630775" y="5467235"/>
                <a:pt x="8630775" y="5448007"/>
              </a:cubicBezTo>
              <a:cubicBezTo>
                <a:pt x="8630775" y="5428779"/>
                <a:pt x="8646373" y="5413188"/>
                <a:pt x="8665600" y="5413188"/>
              </a:cubicBezTo>
              <a:cubicBezTo>
                <a:pt x="8684828" y="5413188"/>
                <a:pt x="8700413" y="5428779"/>
                <a:pt x="8700413" y="5448007"/>
              </a:cubicBezTo>
              <a:cubicBezTo>
                <a:pt x="8700413" y="5467235"/>
                <a:pt x="8684828" y="5482826"/>
                <a:pt x="8665600" y="5482826"/>
              </a:cubicBezTo>
              <a:close/>
              <a:moveTo>
                <a:pt x="8750493" y="5482826"/>
              </a:moveTo>
              <a:cubicBezTo>
                <a:pt x="8731265" y="5482826"/>
                <a:pt x="8715667" y="5467235"/>
                <a:pt x="8715667" y="5448007"/>
              </a:cubicBezTo>
              <a:cubicBezTo>
                <a:pt x="8715667" y="5428779"/>
                <a:pt x="8731265" y="5413188"/>
                <a:pt x="8750493" y="5413188"/>
              </a:cubicBezTo>
              <a:cubicBezTo>
                <a:pt x="8769720" y="5413188"/>
                <a:pt x="8785305" y="5428779"/>
                <a:pt x="8785305" y="5448007"/>
              </a:cubicBezTo>
              <a:cubicBezTo>
                <a:pt x="8785305" y="5467235"/>
                <a:pt x="8769720" y="5482826"/>
                <a:pt x="8750493" y="5482826"/>
              </a:cubicBezTo>
              <a:close/>
              <a:moveTo>
                <a:pt x="8835386" y="5482826"/>
              </a:moveTo>
              <a:cubicBezTo>
                <a:pt x="8816158" y="5482826"/>
                <a:pt x="8800560" y="5467235"/>
                <a:pt x="8800560" y="5448007"/>
              </a:cubicBezTo>
              <a:cubicBezTo>
                <a:pt x="8800560" y="5428779"/>
                <a:pt x="8816158" y="5413188"/>
                <a:pt x="8835386" y="5413188"/>
              </a:cubicBezTo>
              <a:cubicBezTo>
                <a:pt x="8854614" y="5413188"/>
                <a:pt x="8870198" y="5428779"/>
                <a:pt x="8870198" y="5448007"/>
              </a:cubicBezTo>
              <a:cubicBezTo>
                <a:pt x="8870198" y="5467235"/>
                <a:pt x="8854614" y="5482826"/>
                <a:pt x="8835386" y="5482826"/>
              </a:cubicBezTo>
              <a:close/>
              <a:moveTo>
                <a:pt x="8920278" y="5482826"/>
              </a:moveTo>
              <a:cubicBezTo>
                <a:pt x="8901050" y="5482826"/>
                <a:pt x="8885453" y="5467235"/>
                <a:pt x="8885453" y="5448007"/>
              </a:cubicBezTo>
              <a:cubicBezTo>
                <a:pt x="8885453" y="5428779"/>
                <a:pt x="8901050" y="5413188"/>
                <a:pt x="8920278" y="5413188"/>
              </a:cubicBezTo>
              <a:cubicBezTo>
                <a:pt x="8939506" y="5413188"/>
                <a:pt x="8955090" y="5428779"/>
                <a:pt x="8955090" y="5448007"/>
              </a:cubicBezTo>
              <a:cubicBezTo>
                <a:pt x="8955090" y="5467235"/>
                <a:pt x="8939506" y="5482826"/>
                <a:pt x="8920278" y="5482826"/>
              </a:cubicBezTo>
              <a:close/>
              <a:moveTo>
                <a:pt x="9005170" y="5482826"/>
              </a:moveTo>
              <a:cubicBezTo>
                <a:pt x="8985943" y="5482826"/>
                <a:pt x="8970345" y="5467235"/>
                <a:pt x="8970345" y="5448007"/>
              </a:cubicBezTo>
              <a:cubicBezTo>
                <a:pt x="8970345" y="5428779"/>
                <a:pt x="8985943" y="5413188"/>
                <a:pt x="9005170" y="5413188"/>
              </a:cubicBezTo>
              <a:cubicBezTo>
                <a:pt x="9024398" y="5413188"/>
                <a:pt x="9039983" y="5428779"/>
                <a:pt x="9039983" y="5448007"/>
              </a:cubicBezTo>
              <a:cubicBezTo>
                <a:pt x="9039983" y="5467235"/>
                <a:pt x="9024398" y="5482826"/>
                <a:pt x="9005170" y="5482826"/>
              </a:cubicBezTo>
              <a:close/>
              <a:moveTo>
                <a:pt x="9090063" y="5482826"/>
              </a:moveTo>
              <a:cubicBezTo>
                <a:pt x="9070835" y="5482826"/>
                <a:pt x="9055237" y="5467235"/>
                <a:pt x="9055237" y="5448007"/>
              </a:cubicBezTo>
              <a:cubicBezTo>
                <a:pt x="9055237" y="5428779"/>
                <a:pt x="9070835" y="5413188"/>
                <a:pt x="9090063" y="5413188"/>
              </a:cubicBezTo>
              <a:cubicBezTo>
                <a:pt x="9109290" y="5413188"/>
                <a:pt x="9124875" y="5428779"/>
                <a:pt x="9124875" y="5448007"/>
              </a:cubicBezTo>
              <a:cubicBezTo>
                <a:pt x="9124875" y="5467235"/>
                <a:pt x="9109290" y="5482826"/>
                <a:pt x="9090063" y="5482826"/>
              </a:cubicBezTo>
              <a:close/>
              <a:moveTo>
                <a:pt x="9174956" y="5482826"/>
              </a:moveTo>
              <a:cubicBezTo>
                <a:pt x="9155728" y="5482826"/>
                <a:pt x="9140130" y="5467235"/>
                <a:pt x="9140130" y="5448007"/>
              </a:cubicBezTo>
              <a:cubicBezTo>
                <a:pt x="9140130" y="5428779"/>
                <a:pt x="9155728" y="5413188"/>
                <a:pt x="9174956" y="5413188"/>
              </a:cubicBezTo>
              <a:cubicBezTo>
                <a:pt x="9194184" y="5413188"/>
                <a:pt x="9209768" y="5428779"/>
                <a:pt x="9209768" y="5448007"/>
              </a:cubicBezTo>
              <a:cubicBezTo>
                <a:pt x="9209768" y="5467235"/>
                <a:pt x="9194184" y="5482826"/>
                <a:pt x="9174956" y="5482826"/>
              </a:cubicBezTo>
              <a:close/>
              <a:moveTo>
                <a:pt x="9259848" y="5482826"/>
              </a:moveTo>
              <a:cubicBezTo>
                <a:pt x="9240620" y="5482826"/>
                <a:pt x="9225023" y="5467235"/>
                <a:pt x="9225023" y="5448007"/>
              </a:cubicBezTo>
              <a:cubicBezTo>
                <a:pt x="9225023" y="5428779"/>
                <a:pt x="9240620" y="5413188"/>
                <a:pt x="9259848" y="5413188"/>
              </a:cubicBezTo>
              <a:cubicBezTo>
                <a:pt x="9279076" y="5413188"/>
                <a:pt x="9294660" y="5428779"/>
                <a:pt x="9294660" y="5448007"/>
              </a:cubicBezTo>
              <a:cubicBezTo>
                <a:pt x="9294660" y="5467235"/>
                <a:pt x="9279076" y="5482826"/>
                <a:pt x="9259848" y="5482826"/>
              </a:cubicBezTo>
              <a:close/>
              <a:moveTo>
                <a:pt x="9344740" y="5482826"/>
              </a:moveTo>
              <a:cubicBezTo>
                <a:pt x="9325513" y="5482826"/>
                <a:pt x="9309915" y="5467235"/>
                <a:pt x="9309915" y="5448007"/>
              </a:cubicBezTo>
              <a:cubicBezTo>
                <a:pt x="9309915" y="5428779"/>
                <a:pt x="9325513" y="5413188"/>
                <a:pt x="9344740" y="5413188"/>
              </a:cubicBezTo>
              <a:cubicBezTo>
                <a:pt x="9363968" y="5413188"/>
                <a:pt x="9379553" y="5428779"/>
                <a:pt x="9379553" y="5448007"/>
              </a:cubicBezTo>
              <a:cubicBezTo>
                <a:pt x="9379553" y="5467235"/>
                <a:pt x="9363968" y="5482826"/>
                <a:pt x="9344740" y="5482826"/>
              </a:cubicBezTo>
              <a:close/>
              <a:moveTo>
                <a:pt x="9429633" y="5482826"/>
              </a:moveTo>
              <a:cubicBezTo>
                <a:pt x="9410405" y="5482826"/>
                <a:pt x="9394807" y="5467235"/>
                <a:pt x="9394807" y="5448007"/>
              </a:cubicBezTo>
              <a:cubicBezTo>
                <a:pt x="9394807" y="5428779"/>
                <a:pt x="9410405" y="5413188"/>
                <a:pt x="9429633" y="5413188"/>
              </a:cubicBezTo>
              <a:cubicBezTo>
                <a:pt x="9448860" y="5413188"/>
                <a:pt x="9464445" y="5428779"/>
                <a:pt x="9464445" y="5448007"/>
              </a:cubicBezTo>
              <a:cubicBezTo>
                <a:pt x="9464445" y="5467235"/>
                <a:pt x="9448860" y="5482826"/>
                <a:pt x="9429633" y="5482826"/>
              </a:cubicBezTo>
              <a:close/>
              <a:moveTo>
                <a:pt x="9514525" y="5482826"/>
              </a:moveTo>
              <a:cubicBezTo>
                <a:pt x="9495297" y="5482826"/>
                <a:pt x="9479699" y="5467235"/>
                <a:pt x="9479699" y="5448007"/>
              </a:cubicBezTo>
              <a:cubicBezTo>
                <a:pt x="9479699" y="5428779"/>
                <a:pt x="9495297" y="5413188"/>
                <a:pt x="9514525" y="5413188"/>
              </a:cubicBezTo>
              <a:cubicBezTo>
                <a:pt x="9533753" y="5413188"/>
                <a:pt x="9549337" y="5428779"/>
                <a:pt x="9549337" y="5448007"/>
              </a:cubicBezTo>
              <a:cubicBezTo>
                <a:pt x="9549337" y="5467235"/>
                <a:pt x="9533753" y="5482826"/>
                <a:pt x="9514525" y="5482826"/>
              </a:cubicBezTo>
              <a:close/>
              <a:moveTo>
                <a:pt x="9599418" y="5482826"/>
              </a:moveTo>
              <a:cubicBezTo>
                <a:pt x="9580190" y="5482826"/>
                <a:pt x="9564593" y="5467235"/>
                <a:pt x="9564593" y="5448007"/>
              </a:cubicBezTo>
              <a:cubicBezTo>
                <a:pt x="9564593" y="5428779"/>
                <a:pt x="9580190" y="5413188"/>
                <a:pt x="9599418" y="5413188"/>
              </a:cubicBezTo>
              <a:cubicBezTo>
                <a:pt x="9618646" y="5413188"/>
                <a:pt x="9634230" y="5428779"/>
                <a:pt x="9634230" y="5448007"/>
              </a:cubicBezTo>
              <a:cubicBezTo>
                <a:pt x="9634230" y="5467235"/>
                <a:pt x="9618646" y="5482826"/>
                <a:pt x="9599418" y="5482826"/>
              </a:cubicBezTo>
              <a:close/>
              <a:moveTo>
                <a:pt x="9684310" y="5482826"/>
              </a:moveTo>
              <a:cubicBezTo>
                <a:pt x="9665083" y="5482826"/>
                <a:pt x="9649485" y="5467235"/>
                <a:pt x="9649485" y="5448007"/>
              </a:cubicBezTo>
              <a:cubicBezTo>
                <a:pt x="9649485" y="5428779"/>
                <a:pt x="9665083" y="5413188"/>
                <a:pt x="9684310" y="5413188"/>
              </a:cubicBezTo>
              <a:cubicBezTo>
                <a:pt x="9703538" y="5413188"/>
                <a:pt x="9719123" y="5428779"/>
                <a:pt x="9719123" y="5448007"/>
              </a:cubicBezTo>
              <a:cubicBezTo>
                <a:pt x="9719123" y="5467235"/>
                <a:pt x="9703538" y="5482826"/>
                <a:pt x="9684310" y="5482826"/>
              </a:cubicBezTo>
              <a:close/>
              <a:moveTo>
                <a:pt x="9769203" y="5482826"/>
              </a:moveTo>
              <a:cubicBezTo>
                <a:pt x="9749975" y="5482826"/>
                <a:pt x="9734377" y="5467235"/>
                <a:pt x="9734377" y="5448007"/>
              </a:cubicBezTo>
              <a:cubicBezTo>
                <a:pt x="9734377" y="5428779"/>
                <a:pt x="9749975" y="5413188"/>
                <a:pt x="9769203" y="5413188"/>
              </a:cubicBezTo>
              <a:cubicBezTo>
                <a:pt x="9788430" y="5413188"/>
                <a:pt x="9804015" y="5428779"/>
                <a:pt x="9804015" y="5448007"/>
              </a:cubicBezTo>
              <a:cubicBezTo>
                <a:pt x="9804015" y="5467235"/>
                <a:pt x="9788430" y="5482826"/>
                <a:pt x="9769203" y="5482826"/>
              </a:cubicBezTo>
              <a:close/>
              <a:moveTo>
                <a:pt x="9854095" y="5482826"/>
              </a:moveTo>
              <a:cubicBezTo>
                <a:pt x="9834867" y="5482826"/>
                <a:pt x="9819269" y="5467235"/>
                <a:pt x="9819269" y="5448007"/>
              </a:cubicBezTo>
              <a:cubicBezTo>
                <a:pt x="9819269" y="5428779"/>
                <a:pt x="9834867" y="5413188"/>
                <a:pt x="9854095" y="5413188"/>
              </a:cubicBezTo>
              <a:cubicBezTo>
                <a:pt x="9873323" y="5413188"/>
                <a:pt x="9888907" y="5428779"/>
                <a:pt x="9888907" y="5448007"/>
              </a:cubicBezTo>
              <a:cubicBezTo>
                <a:pt x="9888907" y="5467235"/>
                <a:pt x="9873323" y="5482826"/>
                <a:pt x="9854095" y="5482826"/>
              </a:cubicBezTo>
              <a:close/>
              <a:moveTo>
                <a:pt x="9938988" y="5482826"/>
              </a:moveTo>
              <a:cubicBezTo>
                <a:pt x="9919760" y="5482826"/>
                <a:pt x="9904163" y="5467235"/>
                <a:pt x="9904163" y="5448007"/>
              </a:cubicBezTo>
              <a:cubicBezTo>
                <a:pt x="9904163" y="5428779"/>
                <a:pt x="9919760" y="5413188"/>
                <a:pt x="9938988" y="5413188"/>
              </a:cubicBezTo>
              <a:cubicBezTo>
                <a:pt x="9958216" y="5413188"/>
                <a:pt x="9973800" y="5428779"/>
                <a:pt x="9973800" y="5448007"/>
              </a:cubicBezTo>
              <a:cubicBezTo>
                <a:pt x="9973800" y="5467235"/>
                <a:pt x="9958216" y="5482826"/>
                <a:pt x="9938988" y="5482826"/>
              </a:cubicBezTo>
              <a:close/>
              <a:moveTo>
                <a:pt x="10023880" y="5482826"/>
              </a:moveTo>
              <a:cubicBezTo>
                <a:pt x="10004653" y="5482826"/>
                <a:pt x="9989055" y="5467235"/>
                <a:pt x="9989055" y="5448007"/>
              </a:cubicBezTo>
              <a:cubicBezTo>
                <a:pt x="9989055" y="5428779"/>
                <a:pt x="10004653" y="5413188"/>
                <a:pt x="10023880" y="5413188"/>
              </a:cubicBezTo>
              <a:cubicBezTo>
                <a:pt x="10043108" y="5413188"/>
                <a:pt x="10058693" y="5428779"/>
                <a:pt x="10058693" y="5448007"/>
              </a:cubicBezTo>
              <a:cubicBezTo>
                <a:pt x="10058693" y="5467235"/>
                <a:pt x="10043108" y="5482826"/>
                <a:pt x="10023880" y="5482826"/>
              </a:cubicBezTo>
              <a:close/>
              <a:moveTo>
                <a:pt x="10108773" y="5482826"/>
              </a:moveTo>
              <a:cubicBezTo>
                <a:pt x="10089545" y="5482826"/>
                <a:pt x="10073947" y="5467235"/>
                <a:pt x="10073947" y="5448007"/>
              </a:cubicBezTo>
              <a:cubicBezTo>
                <a:pt x="10073947" y="5428779"/>
                <a:pt x="10089545" y="5413188"/>
                <a:pt x="10108773" y="5413188"/>
              </a:cubicBezTo>
              <a:cubicBezTo>
                <a:pt x="10128000" y="5413188"/>
                <a:pt x="10143585" y="5428779"/>
                <a:pt x="10143585" y="5448007"/>
              </a:cubicBezTo>
              <a:cubicBezTo>
                <a:pt x="10143585" y="5467235"/>
                <a:pt x="10128000" y="5482826"/>
                <a:pt x="10108773" y="5482826"/>
              </a:cubicBezTo>
              <a:close/>
              <a:moveTo>
                <a:pt x="10193665" y="5482826"/>
              </a:moveTo>
              <a:cubicBezTo>
                <a:pt x="10174437" y="5482826"/>
                <a:pt x="10158839" y="5467235"/>
                <a:pt x="10158839" y="5448007"/>
              </a:cubicBezTo>
              <a:cubicBezTo>
                <a:pt x="10158839" y="5428779"/>
                <a:pt x="10174437" y="5413188"/>
                <a:pt x="10193665" y="5413188"/>
              </a:cubicBezTo>
              <a:cubicBezTo>
                <a:pt x="10212893" y="5413188"/>
                <a:pt x="10228477" y="5428779"/>
                <a:pt x="10228477" y="5448007"/>
              </a:cubicBezTo>
              <a:cubicBezTo>
                <a:pt x="10228477" y="5467235"/>
                <a:pt x="10212893" y="5482826"/>
                <a:pt x="10193665" y="5482826"/>
              </a:cubicBezTo>
              <a:close/>
              <a:moveTo>
                <a:pt x="10278558" y="5482826"/>
              </a:moveTo>
              <a:cubicBezTo>
                <a:pt x="10259330" y="5482826"/>
                <a:pt x="10243733" y="5467235"/>
                <a:pt x="10243733" y="5448007"/>
              </a:cubicBezTo>
              <a:cubicBezTo>
                <a:pt x="10243733" y="5428779"/>
                <a:pt x="10259330" y="5413188"/>
                <a:pt x="10278558" y="5413188"/>
              </a:cubicBezTo>
              <a:cubicBezTo>
                <a:pt x="10297786" y="5413188"/>
                <a:pt x="10313370" y="5428779"/>
                <a:pt x="10313370" y="5448007"/>
              </a:cubicBezTo>
              <a:cubicBezTo>
                <a:pt x="10313370" y="5467235"/>
                <a:pt x="10297786" y="5482826"/>
                <a:pt x="10278558" y="5482826"/>
              </a:cubicBezTo>
              <a:close/>
              <a:moveTo>
                <a:pt x="10363450" y="5482826"/>
              </a:moveTo>
              <a:cubicBezTo>
                <a:pt x="10344223" y="5482826"/>
                <a:pt x="10328625" y="5467235"/>
                <a:pt x="10328625" y="5448007"/>
              </a:cubicBezTo>
              <a:cubicBezTo>
                <a:pt x="10328625" y="5428779"/>
                <a:pt x="10344223" y="5413188"/>
                <a:pt x="10363450" y="5413188"/>
              </a:cubicBezTo>
              <a:cubicBezTo>
                <a:pt x="10382678" y="5413188"/>
                <a:pt x="10398263" y="5428779"/>
                <a:pt x="10398263" y="5448007"/>
              </a:cubicBezTo>
              <a:cubicBezTo>
                <a:pt x="10398263" y="5467235"/>
                <a:pt x="10382678" y="5482826"/>
                <a:pt x="10363450" y="5482826"/>
              </a:cubicBezTo>
              <a:close/>
              <a:moveTo>
                <a:pt x="10448343" y="5482826"/>
              </a:moveTo>
              <a:cubicBezTo>
                <a:pt x="10429115" y="5482826"/>
                <a:pt x="10413517" y="5467235"/>
                <a:pt x="10413517" y="5448007"/>
              </a:cubicBezTo>
              <a:cubicBezTo>
                <a:pt x="10413517" y="5428779"/>
                <a:pt x="10429115" y="5413188"/>
                <a:pt x="10448343" y="5413188"/>
              </a:cubicBezTo>
              <a:cubicBezTo>
                <a:pt x="10467570" y="5413188"/>
                <a:pt x="10483155" y="5428779"/>
                <a:pt x="10483155" y="5448007"/>
              </a:cubicBezTo>
              <a:cubicBezTo>
                <a:pt x="10483155" y="5467235"/>
                <a:pt x="10467570" y="5482826"/>
                <a:pt x="10448343" y="5482826"/>
              </a:cubicBezTo>
              <a:close/>
              <a:moveTo>
                <a:pt x="1449737" y="5397966"/>
              </a:moveTo>
              <a:cubicBezTo>
                <a:pt x="1430509" y="5397966"/>
                <a:pt x="1414918" y="5382375"/>
                <a:pt x="1414918" y="5363147"/>
              </a:cubicBezTo>
              <a:cubicBezTo>
                <a:pt x="1414918" y="5343919"/>
                <a:pt x="1430509" y="5328328"/>
                <a:pt x="1449737" y="5328328"/>
              </a:cubicBezTo>
              <a:cubicBezTo>
                <a:pt x="1468964" y="5328328"/>
                <a:pt x="1484555" y="5343919"/>
                <a:pt x="1484555" y="5363147"/>
              </a:cubicBezTo>
              <a:cubicBezTo>
                <a:pt x="1484555" y="5382375"/>
                <a:pt x="1468964" y="5397966"/>
                <a:pt x="1449737" y="5397966"/>
              </a:cubicBezTo>
              <a:close/>
              <a:moveTo>
                <a:pt x="1534629" y="5397966"/>
              </a:moveTo>
              <a:cubicBezTo>
                <a:pt x="1515401" y="5397966"/>
                <a:pt x="1499810" y="5382375"/>
                <a:pt x="1499810" y="5363147"/>
              </a:cubicBezTo>
              <a:cubicBezTo>
                <a:pt x="1499810" y="5343919"/>
                <a:pt x="1515401" y="5328328"/>
                <a:pt x="1534629" y="5328328"/>
              </a:cubicBezTo>
              <a:cubicBezTo>
                <a:pt x="1553857" y="5328328"/>
                <a:pt x="1569448" y="5343919"/>
                <a:pt x="1569448" y="5363147"/>
              </a:cubicBezTo>
              <a:cubicBezTo>
                <a:pt x="1569448" y="5382375"/>
                <a:pt x="1553857" y="5397966"/>
                <a:pt x="1534629" y="5397966"/>
              </a:cubicBezTo>
              <a:close/>
              <a:moveTo>
                <a:pt x="1619521" y="5397966"/>
              </a:moveTo>
              <a:cubicBezTo>
                <a:pt x="1600293" y="5397966"/>
                <a:pt x="1584702" y="5382375"/>
                <a:pt x="1584702" y="5363147"/>
              </a:cubicBezTo>
              <a:cubicBezTo>
                <a:pt x="1584702" y="5343919"/>
                <a:pt x="1600293" y="5328328"/>
                <a:pt x="1619521" y="5328328"/>
              </a:cubicBezTo>
              <a:cubicBezTo>
                <a:pt x="1638749" y="5328328"/>
                <a:pt x="1654340" y="5343919"/>
                <a:pt x="1654340" y="5363147"/>
              </a:cubicBezTo>
              <a:cubicBezTo>
                <a:pt x="1654340" y="5382375"/>
                <a:pt x="1638749" y="5397966"/>
                <a:pt x="1619521" y="5397966"/>
              </a:cubicBezTo>
              <a:close/>
              <a:moveTo>
                <a:pt x="1704413" y="5397966"/>
              </a:moveTo>
              <a:cubicBezTo>
                <a:pt x="1685186" y="5397966"/>
                <a:pt x="1669594" y="5382375"/>
                <a:pt x="1669594" y="5363147"/>
              </a:cubicBezTo>
              <a:cubicBezTo>
                <a:pt x="1669594" y="5343919"/>
                <a:pt x="1685186" y="5328328"/>
                <a:pt x="1704413" y="5328328"/>
              </a:cubicBezTo>
              <a:cubicBezTo>
                <a:pt x="1723641" y="5328328"/>
                <a:pt x="1739232" y="5343919"/>
                <a:pt x="1739232" y="5363147"/>
              </a:cubicBezTo>
              <a:cubicBezTo>
                <a:pt x="1739232" y="5382375"/>
                <a:pt x="1723641" y="5397966"/>
                <a:pt x="1704413" y="5397966"/>
              </a:cubicBezTo>
              <a:close/>
              <a:moveTo>
                <a:pt x="1789306" y="5397966"/>
              </a:moveTo>
              <a:cubicBezTo>
                <a:pt x="1770078" y="5397966"/>
                <a:pt x="1754487" y="5382375"/>
                <a:pt x="1754487" y="5363147"/>
              </a:cubicBezTo>
              <a:cubicBezTo>
                <a:pt x="1754487" y="5343919"/>
                <a:pt x="1770078" y="5328328"/>
                <a:pt x="1789306" y="5328328"/>
              </a:cubicBezTo>
              <a:cubicBezTo>
                <a:pt x="1808533" y="5328328"/>
                <a:pt x="1824124" y="5343919"/>
                <a:pt x="1824124" y="5363147"/>
              </a:cubicBezTo>
              <a:cubicBezTo>
                <a:pt x="1824124" y="5382375"/>
                <a:pt x="1808533" y="5397966"/>
                <a:pt x="1789306" y="5397966"/>
              </a:cubicBezTo>
              <a:close/>
              <a:moveTo>
                <a:pt x="1874199" y="5397966"/>
              </a:moveTo>
              <a:cubicBezTo>
                <a:pt x="1854971" y="5397966"/>
                <a:pt x="1839380" y="5382375"/>
                <a:pt x="1839380" y="5363147"/>
              </a:cubicBezTo>
              <a:cubicBezTo>
                <a:pt x="1839380" y="5343919"/>
                <a:pt x="1854971" y="5328328"/>
                <a:pt x="1874199" y="5328328"/>
              </a:cubicBezTo>
              <a:cubicBezTo>
                <a:pt x="1893427" y="5328328"/>
                <a:pt x="1909018" y="5343919"/>
                <a:pt x="1909018" y="5363147"/>
              </a:cubicBezTo>
              <a:cubicBezTo>
                <a:pt x="1909018" y="5382375"/>
                <a:pt x="1893427" y="5397966"/>
                <a:pt x="1874199" y="5397966"/>
              </a:cubicBezTo>
              <a:close/>
              <a:moveTo>
                <a:pt x="1959091" y="5397966"/>
              </a:moveTo>
              <a:cubicBezTo>
                <a:pt x="1939863" y="5397966"/>
                <a:pt x="1924272" y="5382375"/>
                <a:pt x="1924272" y="5363147"/>
              </a:cubicBezTo>
              <a:cubicBezTo>
                <a:pt x="1924272" y="5343919"/>
                <a:pt x="1939863" y="5328328"/>
                <a:pt x="1959091" y="5328328"/>
              </a:cubicBezTo>
              <a:cubicBezTo>
                <a:pt x="1978319" y="5328328"/>
                <a:pt x="1993910" y="5343919"/>
                <a:pt x="1993910" y="5363147"/>
              </a:cubicBezTo>
              <a:cubicBezTo>
                <a:pt x="1993910" y="5382375"/>
                <a:pt x="1978319" y="5397966"/>
                <a:pt x="1959091" y="5397966"/>
              </a:cubicBezTo>
              <a:close/>
              <a:moveTo>
                <a:pt x="2043983" y="5397966"/>
              </a:moveTo>
              <a:cubicBezTo>
                <a:pt x="2024756" y="5397966"/>
                <a:pt x="2009164" y="5382375"/>
                <a:pt x="2009164" y="5363147"/>
              </a:cubicBezTo>
              <a:cubicBezTo>
                <a:pt x="2009164" y="5343919"/>
                <a:pt x="2024756" y="5328328"/>
                <a:pt x="2043983" y="5328328"/>
              </a:cubicBezTo>
              <a:cubicBezTo>
                <a:pt x="2063211" y="5328328"/>
                <a:pt x="2078802" y="5343919"/>
                <a:pt x="2078802" y="5363147"/>
              </a:cubicBezTo>
              <a:cubicBezTo>
                <a:pt x="2078802" y="5382375"/>
                <a:pt x="2063211" y="5397966"/>
                <a:pt x="2043983" y="5397966"/>
              </a:cubicBezTo>
              <a:close/>
              <a:moveTo>
                <a:pt x="2128876" y="5397966"/>
              </a:moveTo>
              <a:cubicBezTo>
                <a:pt x="2109648" y="5397966"/>
                <a:pt x="2094057" y="5382375"/>
                <a:pt x="2094057" y="5363147"/>
              </a:cubicBezTo>
              <a:cubicBezTo>
                <a:pt x="2094057" y="5343919"/>
                <a:pt x="2109648" y="5328328"/>
                <a:pt x="2128876" y="5328328"/>
              </a:cubicBezTo>
              <a:cubicBezTo>
                <a:pt x="2148103" y="5328328"/>
                <a:pt x="2163694" y="5343919"/>
                <a:pt x="2163694" y="5363147"/>
              </a:cubicBezTo>
              <a:cubicBezTo>
                <a:pt x="2163694" y="5382375"/>
                <a:pt x="2148103" y="5397966"/>
                <a:pt x="2128876" y="5397966"/>
              </a:cubicBezTo>
              <a:close/>
              <a:moveTo>
                <a:pt x="2213769" y="5397966"/>
              </a:moveTo>
              <a:cubicBezTo>
                <a:pt x="2194541" y="5397966"/>
                <a:pt x="2178950" y="5382375"/>
                <a:pt x="2178950" y="5363147"/>
              </a:cubicBezTo>
              <a:cubicBezTo>
                <a:pt x="2178950" y="5343919"/>
                <a:pt x="2194541" y="5328328"/>
                <a:pt x="2213769" y="5328328"/>
              </a:cubicBezTo>
              <a:cubicBezTo>
                <a:pt x="2232997" y="5328328"/>
                <a:pt x="2248588" y="5343919"/>
                <a:pt x="2248588" y="5363147"/>
              </a:cubicBezTo>
              <a:cubicBezTo>
                <a:pt x="2248588" y="5382375"/>
                <a:pt x="2232997" y="5397966"/>
                <a:pt x="2213769" y="5397966"/>
              </a:cubicBezTo>
              <a:close/>
              <a:moveTo>
                <a:pt x="2298661" y="5397966"/>
              </a:moveTo>
              <a:cubicBezTo>
                <a:pt x="2279433" y="5397966"/>
                <a:pt x="2263842" y="5382375"/>
                <a:pt x="2263842" y="5363147"/>
              </a:cubicBezTo>
              <a:cubicBezTo>
                <a:pt x="2263842" y="5343919"/>
                <a:pt x="2279433" y="5328328"/>
                <a:pt x="2298661" y="5328328"/>
              </a:cubicBezTo>
              <a:cubicBezTo>
                <a:pt x="2317889" y="5328328"/>
                <a:pt x="2333480" y="5343919"/>
                <a:pt x="2333480" y="5363147"/>
              </a:cubicBezTo>
              <a:cubicBezTo>
                <a:pt x="2333480" y="5382375"/>
                <a:pt x="2317889" y="5397966"/>
                <a:pt x="2298661" y="5397966"/>
              </a:cubicBezTo>
              <a:close/>
              <a:moveTo>
                <a:pt x="2383553" y="5397966"/>
              </a:moveTo>
              <a:cubicBezTo>
                <a:pt x="2364326" y="5397966"/>
                <a:pt x="2348734" y="5382375"/>
                <a:pt x="2348734" y="5363147"/>
              </a:cubicBezTo>
              <a:cubicBezTo>
                <a:pt x="2348734" y="5343919"/>
                <a:pt x="2364326" y="5328328"/>
                <a:pt x="2383553" y="5328328"/>
              </a:cubicBezTo>
              <a:cubicBezTo>
                <a:pt x="2402781" y="5328328"/>
                <a:pt x="2418372" y="5343919"/>
                <a:pt x="2418372" y="5363147"/>
              </a:cubicBezTo>
              <a:cubicBezTo>
                <a:pt x="2418372" y="5382375"/>
                <a:pt x="2402781" y="5397966"/>
                <a:pt x="2383553" y="5397966"/>
              </a:cubicBezTo>
              <a:close/>
              <a:moveTo>
                <a:pt x="2468446" y="5397966"/>
              </a:moveTo>
              <a:cubicBezTo>
                <a:pt x="2449218" y="5397966"/>
                <a:pt x="2433627" y="5382375"/>
                <a:pt x="2433627" y="5363147"/>
              </a:cubicBezTo>
              <a:cubicBezTo>
                <a:pt x="2433627" y="5343919"/>
                <a:pt x="2449218" y="5328328"/>
                <a:pt x="2468446" y="5328328"/>
              </a:cubicBezTo>
              <a:cubicBezTo>
                <a:pt x="2487673" y="5328328"/>
                <a:pt x="2503264" y="5343919"/>
                <a:pt x="2503264" y="5363147"/>
              </a:cubicBezTo>
              <a:cubicBezTo>
                <a:pt x="2503264" y="5382375"/>
                <a:pt x="2487673" y="5397966"/>
                <a:pt x="2468446" y="5397966"/>
              </a:cubicBezTo>
              <a:close/>
              <a:moveTo>
                <a:pt x="2553339" y="5397966"/>
              </a:moveTo>
              <a:cubicBezTo>
                <a:pt x="2534111" y="5397966"/>
                <a:pt x="2518520" y="5382375"/>
                <a:pt x="2518520" y="5363147"/>
              </a:cubicBezTo>
              <a:cubicBezTo>
                <a:pt x="2518520" y="5343919"/>
                <a:pt x="2534111" y="5328328"/>
                <a:pt x="2553339" y="5328328"/>
              </a:cubicBezTo>
              <a:cubicBezTo>
                <a:pt x="2572567" y="5328328"/>
                <a:pt x="2588158" y="5343919"/>
                <a:pt x="2588158" y="5363147"/>
              </a:cubicBezTo>
              <a:cubicBezTo>
                <a:pt x="2588158" y="5382375"/>
                <a:pt x="2572567" y="5397966"/>
                <a:pt x="2553339" y="5397966"/>
              </a:cubicBezTo>
              <a:close/>
              <a:moveTo>
                <a:pt x="2638231" y="5397966"/>
              </a:moveTo>
              <a:cubicBezTo>
                <a:pt x="2619003" y="5397966"/>
                <a:pt x="2603412" y="5382375"/>
                <a:pt x="2603412" y="5363147"/>
              </a:cubicBezTo>
              <a:cubicBezTo>
                <a:pt x="2603412" y="5343919"/>
                <a:pt x="2619003" y="5328328"/>
                <a:pt x="2638231" y="5328328"/>
              </a:cubicBezTo>
              <a:cubicBezTo>
                <a:pt x="2657459" y="5328328"/>
                <a:pt x="2673050" y="5343919"/>
                <a:pt x="2673050" y="5363147"/>
              </a:cubicBezTo>
              <a:cubicBezTo>
                <a:pt x="2673050" y="5382375"/>
                <a:pt x="2657459" y="5397966"/>
                <a:pt x="2638231" y="5397966"/>
              </a:cubicBezTo>
              <a:close/>
              <a:moveTo>
                <a:pt x="2892908" y="5397966"/>
              </a:moveTo>
              <a:cubicBezTo>
                <a:pt x="2873680" y="5397966"/>
                <a:pt x="2858089" y="5382375"/>
                <a:pt x="2858089" y="5363147"/>
              </a:cubicBezTo>
              <a:cubicBezTo>
                <a:pt x="2858089" y="5343919"/>
                <a:pt x="2873680" y="5328328"/>
                <a:pt x="2892908" y="5328328"/>
              </a:cubicBezTo>
              <a:cubicBezTo>
                <a:pt x="2912136" y="5328328"/>
                <a:pt x="2927727" y="5343919"/>
                <a:pt x="2927727" y="5363147"/>
              </a:cubicBezTo>
              <a:cubicBezTo>
                <a:pt x="2927727" y="5382375"/>
                <a:pt x="2912136" y="5397966"/>
                <a:pt x="2892908" y="5397966"/>
              </a:cubicBezTo>
              <a:close/>
              <a:moveTo>
                <a:pt x="2977801" y="5397966"/>
              </a:moveTo>
              <a:cubicBezTo>
                <a:pt x="2958573" y="5397966"/>
                <a:pt x="2942982" y="5382375"/>
                <a:pt x="2942982" y="5363147"/>
              </a:cubicBezTo>
              <a:cubicBezTo>
                <a:pt x="2942982" y="5343919"/>
                <a:pt x="2958573" y="5328328"/>
                <a:pt x="2977801" y="5328328"/>
              </a:cubicBezTo>
              <a:cubicBezTo>
                <a:pt x="2997029" y="5328328"/>
                <a:pt x="3012620" y="5343919"/>
                <a:pt x="3012620" y="5363147"/>
              </a:cubicBezTo>
              <a:cubicBezTo>
                <a:pt x="3012620" y="5382375"/>
                <a:pt x="2997029" y="5397966"/>
                <a:pt x="2977801" y="5397966"/>
              </a:cubicBezTo>
              <a:close/>
              <a:moveTo>
                <a:pt x="3062693" y="5397966"/>
              </a:moveTo>
              <a:cubicBezTo>
                <a:pt x="3043466" y="5397966"/>
                <a:pt x="3027874" y="5382375"/>
                <a:pt x="3027874" y="5363147"/>
              </a:cubicBezTo>
              <a:cubicBezTo>
                <a:pt x="3027874" y="5343919"/>
                <a:pt x="3043466" y="5328328"/>
                <a:pt x="3062693" y="5328328"/>
              </a:cubicBezTo>
              <a:cubicBezTo>
                <a:pt x="3081921" y="5328328"/>
                <a:pt x="3097512" y="5343919"/>
                <a:pt x="3097512" y="5363147"/>
              </a:cubicBezTo>
              <a:cubicBezTo>
                <a:pt x="3097512" y="5382375"/>
                <a:pt x="3081921" y="5397966"/>
                <a:pt x="3062693" y="5397966"/>
              </a:cubicBezTo>
              <a:close/>
              <a:moveTo>
                <a:pt x="3147586" y="5397966"/>
              </a:moveTo>
              <a:cubicBezTo>
                <a:pt x="3128358" y="5397966"/>
                <a:pt x="3112767" y="5382375"/>
                <a:pt x="3112767" y="5363147"/>
              </a:cubicBezTo>
              <a:cubicBezTo>
                <a:pt x="3112767" y="5343919"/>
                <a:pt x="3128358" y="5328328"/>
                <a:pt x="3147586" y="5328328"/>
              </a:cubicBezTo>
              <a:cubicBezTo>
                <a:pt x="3166813" y="5328328"/>
                <a:pt x="3182404" y="5343919"/>
                <a:pt x="3182404" y="5363147"/>
              </a:cubicBezTo>
              <a:cubicBezTo>
                <a:pt x="3182404" y="5382375"/>
                <a:pt x="3166813" y="5397966"/>
                <a:pt x="3147586" y="5397966"/>
              </a:cubicBezTo>
              <a:close/>
              <a:moveTo>
                <a:pt x="3232478" y="5397966"/>
              </a:moveTo>
              <a:cubicBezTo>
                <a:pt x="3213250" y="5397966"/>
                <a:pt x="3197659" y="5382375"/>
                <a:pt x="3197659" y="5363147"/>
              </a:cubicBezTo>
              <a:cubicBezTo>
                <a:pt x="3197659" y="5343919"/>
                <a:pt x="3213250" y="5328328"/>
                <a:pt x="3232478" y="5328328"/>
              </a:cubicBezTo>
              <a:cubicBezTo>
                <a:pt x="3251706" y="5328328"/>
                <a:pt x="3267297" y="5343919"/>
                <a:pt x="3267297" y="5363147"/>
              </a:cubicBezTo>
              <a:cubicBezTo>
                <a:pt x="3267297" y="5382375"/>
                <a:pt x="3251706" y="5397966"/>
                <a:pt x="3232478" y="5397966"/>
              </a:cubicBezTo>
              <a:close/>
              <a:moveTo>
                <a:pt x="3317371" y="5397966"/>
              </a:moveTo>
              <a:cubicBezTo>
                <a:pt x="3298143" y="5397966"/>
                <a:pt x="3282552" y="5382375"/>
                <a:pt x="3282552" y="5363147"/>
              </a:cubicBezTo>
              <a:cubicBezTo>
                <a:pt x="3282552" y="5343919"/>
                <a:pt x="3298143" y="5328328"/>
                <a:pt x="3317371" y="5328328"/>
              </a:cubicBezTo>
              <a:cubicBezTo>
                <a:pt x="3336599" y="5328328"/>
                <a:pt x="3352190" y="5343919"/>
                <a:pt x="3352190" y="5363147"/>
              </a:cubicBezTo>
              <a:cubicBezTo>
                <a:pt x="3352190" y="5382375"/>
                <a:pt x="3336599" y="5397966"/>
                <a:pt x="3317371" y="5397966"/>
              </a:cubicBezTo>
              <a:close/>
              <a:moveTo>
                <a:pt x="3402263" y="5397966"/>
              </a:moveTo>
              <a:cubicBezTo>
                <a:pt x="3383036" y="5397966"/>
                <a:pt x="3367444" y="5382375"/>
                <a:pt x="3367444" y="5363147"/>
              </a:cubicBezTo>
              <a:cubicBezTo>
                <a:pt x="3367444" y="5343919"/>
                <a:pt x="3383036" y="5328328"/>
                <a:pt x="3402263" y="5328328"/>
              </a:cubicBezTo>
              <a:cubicBezTo>
                <a:pt x="3421491" y="5328328"/>
                <a:pt x="3437082" y="5343919"/>
                <a:pt x="3437082" y="5363147"/>
              </a:cubicBezTo>
              <a:cubicBezTo>
                <a:pt x="3437082" y="5382375"/>
                <a:pt x="3421491" y="5397966"/>
                <a:pt x="3402263" y="5397966"/>
              </a:cubicBezTo>
              <a:close/>
              <a:moveTo>
                <a:pt x="3487156" y="5397966"/>
              </a:moveTo>
              <a:cubicBezTo>
                <a:pt x="3467928" y="5397966"/>
                <a:pt x="3452337" y="5382375"/>
                <a:pt x="3452337" y="5363147"/>
              </a:cubicBezTo>
              <a:cubicBezTo>
                <a:pt x="3452337" y="5343919"/>
                <a:pt x="3467928" y="5328328"/>
                <a:pt x="3487156" y="5328328"/>
              </a:cubicBezTo>
              <a:cubicBezTo>
                <a:pt x="3506383" y="5328328"/>
                <a:pt x="3521974" y="5343919"/>
                <a:pt x="3521974" y="5363147"/>
              </a:cubicBezTo>
              <a:cubicBezTo>
                <a:pt x="3521974" y="5382375"/>
                <a:pt x="3506383" y="5397966"/>
                <a:pt x="3487156" y="5397966"/>
              </a:cubicBezTo>
              <a:close/>
              <a:moveTo>
                <a:pt x="3572048" y="5397966"/>
              </a:moveTo>
              <a:cubicBezTo>
                <a:pt x="3552820" y="5397966"/>
                <a:pt x="3537229" y="5382375"/>
                <a:pt x="3537229" y="5363147"/>
              </a:cubicBezTo>
              <a:cubicBezTo>
                <a:pt x="3537229" y="5343919"/>
                <a:pt x="3552820" y="5328328"/>
                <a:pt x="3572048" y="5328328"/>
              </a:cubicBezTo>
              <a:cubicBezTo>
                <a:pt x="3591276" y="5328328"/>
                <a:pt x="3606867" y="5343919"/>
                <a:pt x="3606867" y="5363147"/>
              </a:cubicBezTo>
              <a:cubicBezTo>
                <a:pt x="3606867" y="5382375"/>
                <a:pt x="3591276" y="5397966"/>
                <a:pt x="3572048" y="5397966"/>
              </a:cubicBezTo>
              <a:close/>
              <a:moveTo>
                <a:pt x="3741833" y="5397966"/>
              </a:moveTo>
              <a:cubicBezTo>
                <a:pt x="3722606" y="5397966"/>
                <a:pt x="3707014" y="5382375"/>
                <a:pt x="3707014" y="5363147"/>
              </a:cubicBezTo>
              <a:cubicBezTo>
                <a:pt x="3707014" y="5343919"/>
                <a:pt x="3722606" y="5328328"/>
                <a:pt x="3741833" y="5328328"/>
              </a:cubicBezTo>
              <a:cubicBezTo>
                <a:pt x="3761061" y="5328328"/>
                <a:pt x="3776652" y="5343919"/>
                <a:pt x="3776652" y="5363147"/>
              </a:cubicBezTo>
              <a:cubicBezTo>
                <a:pt x="3776652" y="5382375"/>
                <a:pt x="3761061" y="5397966"/>
                <a:pt x="3741833" y="5397966"/>
              </a:cubicBezTo>
              <a:close/>
              <a:moveTo>
                <a:pt x="4081403" y="5397966"/>
              </a:moveTo>
              <a:cubicBezTo>
                <a:pt x="4062176" y="5397966"/>
                <a:pt x="4046584" y="5382375"/>
                <a:pt x="4046584" y="5363147"/>
              </a:cubicBezTo>
              <a:cubicBezTo>
                <a:pt x="4046584" y="5343919"/>
                <a:pt x="4062176" y="5328328"/>
                <a:pt x="4081403" y="5328328"/>
              </a:cubicBezTo>
              <a:cubicBezTo>
                <a:pt x="4100631" y="5328328"/>
                <a:pt x="4116222" y="5343919"/>
                <a:pt x="4116222" y="5363147"/>
              </a:cubicBezTo>
              <a:cubicBezTo>
                <a:pt x="4116222" y="5382375"/>
                <a:pt x="4100631" y="5397966"/>
                <a:pt x="4081403" y="5397966"/>
              </a:cubicBezTo>
              <a:close/>
              <a:moveTo>
                <a:pt x="4166296" y="5397966"/>
              </a:moveTo>
              <a:cubicBezTo>
                <a:pt x="4147068" y="5397966"/>
                <a:pt x="4131477" y="5382375"/>
                <a:pt x="4131477" y="5363147"/>
              </a:cubicBezTo>
              <a:cubicBezTo>
                <a:pt x="4131477" y="5343919"/>
                <a:pt x="4147068" y="5328328"/>
                <a:pt x="4166296" y="5328328"/>
              </a:cubicBezTo>
              <a:cubicBezTo>
                <a:pt x="4185523" y="5328328"/>
                <a:pt x="4201114" y="5343919"/>
                <a:pt x="4201114" y="5363147"/>
              </a:cubicBezTo>
              <a:cubicBezTo>
                <a:pt x="4201114" y="5382375"/>
                <a:pt x="4185523" y="5397966"/>
                <a:pt x="4166296" y="5397966"/>
              </a:cubicBezTo>
              <a:close/>
              <a:moveTo>
                <a:pt x="4505866" y="5397966"/>
              </a:moveTo>
              <a:cubicBezTo>
                <a:pt x="4486638" y="5397966"/>
                <a:pt x="4471047" y="5382375"/>
                <a:pt x="4471047" y="5363147"/>
              </a:cubicBezTo>
              <a:cubicBezTo>
                <a:pt x="4471047" y="5343919"/>
                <a:pt x="4486638" y="5328328"/>
                <a:pt x="4505866" y="5328328"/>
              </a:cubicBezTo>
              <a:cubicBezTo>
                <a:pt x="4525093" y="5328328"/>
                <a:pt x="4540684" y="5343919"/>
                <a:pt x="4540684" y="5363147"/>
              </a:cubicBezTo>
              <a:cubicBezTo>
                <a:pt x="4540684" y="5382375"/>
                <a:pt x="4525093" y="5397966"/>
                <a:pt x="4505866" y="5397966"/>
              </a:cubicBezTo>
              <a:close/>
              <a:moveTo>
                <a:pt x="4590758" y="5397966"/>
              </a:moveTo>
              <a:cubicBezTo>
                <a:pt x="4571530" y="5397966"/>
                <a:pt x="4555939" y="5382375"/>
                <a:pt x="4555939" y="5363147"/>
              </a:cubicBezTo>
              <a:cubicBezTo>
                <a:pt x="4555939" y="5343919"/>
                <a:pt x="4571530" y="5328328"/>
                <a:pt x="4590758" y="5328328"/>
              </a:cubicBezTo>
              <a:cubicBezTo>
                <a:pt x="4609986" y="5328328"/>
                <a:pt x="4625577" y="5343919"/>
                <a:pt x="4625577" y="5363147"/>
              </a:cubicBezTo>
              <a:cubicBezTo>
                <a:pt x="4625577" y="5382375"/>
                <a:pt x="4609986" y="5397966"/>
                <a:pt x="4590758" y="5397966"/>
              </a:cubicBezTo>
              <a:close/>
              <a:moveTo>
                <a:pt x="4675650" y="5397966"/>
              </a:moveTo>
              <a:cubicBezTo>
                <a:pt x="4656422" y="5397966"/>
                <a:pt x="4640831" y="5382375"/>
                <a:pt x="4640831" y="5363147"/>
              </a:cubicBezTo>
              <a:cubicBezTo>
                <a:pt x="4640831" y="5343919"/>
                <a:pt x="4656422" y="5328328"/>
                <a:pt x="4675650" y="5328328"/>
              </a:cubicBezTo>
              <a:cubicBezTo>
                <a:pt x="4694878" y="5328328"/>
                <a:pt x="4710469" y="5343919"/>
                <a:pt x="4710469" y="5363147"/>
              </a:cubicBezTo>
              <a:cubicBezTo>
                <a:pt x="4710469" y="5382375"/>
                <a:pt x="4694878" y="5397966"/>
                <a:pt x="4675650" y="5397966"/>
              </a:cubicBezTo>
              <a:close/>
              <a:moveTo>
                <a:pt x="4760543" y="5397966"/>
              </a:moveTo>
              <a:cubicBezTo>
                <a:pt x="4741316" y="5397966"/>
                <a:pt x="4725724" y="5382375"/>
                <a:pt x="4725724" y="5363147"/>
              </a:cubicBezTo>
              <a:cubicBezTo>
                <a:pt x="4725724" y="5343919"/>
                <a:pt x="4741316" y="5328328"/>
                <a:pt x="4760543" y="5328328"/>
              </a:cubicBezTo>
              <a:cubicBezTo>
                <a:pt x="4779771" y="5328328"/>
                <a:pt x="4795362" y="5343919"/>
                <a:pt x="4795362" y="5363147"/>
              </a:cubicBezTo>
              <a:cubicBezTo>
                <a:pt x="4795362" y="5382375"/>
                <a:pt x="4779771" y="5397966"/>
                <a:pt x="4760543" y="5397966"/>
              </a:cubicBezTo>
              <a:close/>
              <a:moveTo>
                <a:pt x="4845436" y="5397966"/>
              </a:moveTo>
              <a:cubicBezTo>
                <a:pt x="4826208" y="5397966"/>
                <a:pt x="4810617" y="5382375"/>
                <a:pt x="4810617" y="5363147"/>
              </a:cubicBezTo>
              <a:cubicBezTo>
                <a:pt x="4810617" y="5343919"/>
                <a:pt x="4826208" y="5328328"/>
                <a:pt x="4845436" y="5328328"/>
              </a:cubicBezTo>
              <a:cubicBezTo>
                <a:pt x="4864663" y="5328328"/>
                <a:pt x="4880254" y="5343919"/>
                <a:pt x="4880254" y="5363147"/>
              </a:cubicBezTo>
              <a:cubicBezTo>
                <a:pt x="4880254" y="5382375"/>
                <a:pt x="4864663" y="5397966"/>
                <a:pt x="4845436" y="5397966"/>
              </a:cubicBezTo>
              <a:close/>
              <a:moveTo>
                <a:pt x="4930328" y="5397966"/>
              </a:moveTo>
              <a:cubicBezTo>
                <a:pt x="4911100" y="5397966"/>
                <a:pt x="4895509" y="5382375"/>
                <a:pt x="4895509" y="5363147"/>
              </a:cubicBezTo>
              <a:cubicBezTo>
                <a:pt x="4895509" y="5343919"/>
                <a:pt x="4911100" y="5328328"/>
                <a:pt x="4930328" y="5328328"/>
              </a:cubicBezTo>
              <a:cubicBezTo>
                <a:pt x="4949556" y="5328328"/>
                <a:pt x="4965147" y="5343919"/>
                <a:pt x="4965147" y="5363147"/>
              </a:cubicBezTo>
              <a:cubicBezTo>
                <a:pt x="4965147" y="5382375"/>
                <a:pt x="4949556" y="5397966"/>
                <a:pt x="4930328" y="5397966"/>
              </a:cubicBezTo>
              <a:close/>
              <a:moveTo>
                <a:pt x="5015220" y="5397966"/>
              </a:moveTo>
              <a:cubicBezTo>
                <a:pt x="4995992" y="5397966"/>
                <a:pt x="4980401" y="5382375"/>
                <a:pt x="4980401" y="5363147"/>
              </a:cubicBezTo>
              <a:cubicBezTo>
                <a:pt x="4980401" y="5343919"/>
                <a:pt x="4995992" y="5328328"/>
                <a:pt x="5015220" y="5328328"/>
              </a:cubicBezTo>
              <a:cubicBezTo>
                <a:pt x="5034448" y="5328328"/>
                <a:pt x="5050039" y="5343919"/>
                <a:pt x="5050039" y="5363147"/>
              </a:cubicBezTo>
              <a:cubicBezTo>
                <a:pt x="5050039" y="5382375"/>
                <a:pt x="5034448" y="5397966"/>
                <a:pt x="5015220" y="5397966"/>
              </a:cubicBezTo>
              <a:close/>
              <a:moveTo>
                <a:pt x="5100113" y="5397966"/>
              </a:moveTo>
              <a:cubicBezTo>
                <a:pt x="5080886" y="5397966"/>
                <a:pt x="5065294" y="5382375"/>
                <a:pt x="5065294" y="5363147"/>
              </a:cubicBezTo>
              <a:cubicBezTo>
                <a:pt x="5065294" y="5343919"/>
                <a:pt x="5080886" y="5328328"/>
                <a:pt x="5100113" y="5328328"/>
              </a:cubicBezTo>
              <a:cubicBezTo>
                <a:pt x="5119341" y="5328328"/>
                <a:pt x="5134932" y="5343919"/>
                <a:pt x="5134932" y="5363147"/>
              </a:cubicBezTo>
              <a:cubicBezTo>
                <a:pt x="5134932" y="5382375"/>
                <a:pt x="5119341" y="5397966"/>
                <a:pt x="5100113" y="5397966"/>
              </a:cubicBezTo>
              <a:close/>
              <a:moveTo>
                <a:pt x="5269898" y="5397966"/>
              </a:moveTo>
              <a:cubicBezTo>
                <a:pt x="5250670" y="5397966"/>
                <a:pt x="5235079" y="5382375"/>
                <a:pt x="5235079" y="5363147"/>
              </a:cubicBezTo>
              <a:cubicBezTo>
                <a:pt x="5235079" y="5343919"/>
                <a:pt x="5250670" y="5328328"/>
                <a:pt x="5269898" y="5328328"/>
              </a:cubicBezTo>
              <a:cubicBezTo>
                <a:pt x="5289126" y="5328328"/>
                <a:pt x="5304717" y="5343919"/>
                <a:pt x="5304717" y="5363147"/>
              </a:cubicBezTo>
              <a:cubicBezTo>
                <a:pt x="5304717" y="5382375"/>
                <a:pt x="5289126" y="5397966"/>
                <a:pt x="5269898" y="5397966"/>
              </a:cubicBezTo>
              <a:close/>
              <a:moveTo>
                <a:pt x="7222428" y="5397966"/>
              </a:moveTo>
              <a:cubicBezTo>
                <a:pt x="7203200" y="5397966"/>
                <a:pt x="7187603" y="5382375"/>
                <a:pt x="7187603" y="5363147"/>
              </a:cubicBezTo>
              <a:cubicBezTo>
                <a:pt x="7187603" y="5343919"/>
                <a:pt x="7203200" y="5328328"/>
                <a:pt x="7222428" y="5328328"/>
              </a:cubicBezTo>
              <a:cubicBezTo>
                <a:pt x="7241656" y="5328328"/>
                <a:pt x="7257240" y="5343919"/>
                <a:pt x="7257240" y="5363147"/>
              </a:cubicBezTo>
              <a:cubicBezTo>
                <a:pt x="7257240" y="5382375"/>
                <a:pt x="7241656" y="5397966"/>
                <a:pt x="7222428" y="5397966"/>
              </a:cubicBezTo>
              <a:close/>
              <a:moveTo>
                <a:pt x="7561998" y="5397966"/>
              </a:moveTo>
              <a:cubicBezTo>
                <a:pt x="7542770" y="5397966"/>
                <a:pt x="7527173" y="5382375"/>
                <a:pt x="7527173" y="5363147"/>
              </a:cubicBezTo>
              <a:cubicBezTo>
                <a:pt x="7527173" y="5343919"/>
                <a:pt x="7542770" y="5328328"/>
                <a:pt x="7561998" y="5328328"/>
              </a:cubicBezTo>
              <a:cubicBezTo>
                <a:pt x="7581226" y="5328328"/>
                <a:pt x="7596810" y="5343919"/>
                <a:pt x="7596810" y="5363147"/>
              </a:cubicBezTo>
              <a:cubicBezTo>
                <a:pt x="7596810" y="5382375"/>
                <a:pt x="7581226" y="5397966"/>
                <a:pt x="7561998" y="5397966"/>
              </a:cubicBezTo>
              <a:close/>
              <a:moveTo>
                <a:pt x="7816676" y="5397966"/>
              </a:moveTo>
              <a:cubicBezTo>
                <a:pt x="7797448" y="5397966"/>
                <a:pt x="7781850" y="5382375"/>
                <a:pt x="7781850" y="5363147"/>
              </a:cubicBezTo>
              <a:cubicBezTo>
                <a:pt x="7781850" y="5343919"/>
                <a:pt x="7797448" y="5328328"/>
                <a:pt x="7816676" y="5328328"/>
              </a:cubicBezTo>
              <a:cubicBezTo>
                <a:pt x="7835904" y="5328328"/>
                <a:pt x="7851488" y="5343919"/>
                <a:pt x="7851488" y="5363147"/>
              </a:cubicBezTo>
              <a:cubicBezTo>
                <a:pt x="7851488" y="5382375"/>
                <a:pt x="7835904" y="5397966"/>
                <a:pt x="7816676" y="5397966"/>
              </a:cubicBezTo>
              <a:close/>
              <a:moveTo>
                <a:pt x="7901568" y="5397966"/>
              </a:moveTo>
              <a:cubicBezTo>
                <a:pt x="7882340" y="5397966"/>
                <a:pt x="7866743" y="5382375"/>
                <a:pt x="7866743" y="5363147"/>
              </a:cubicBezTo>
              <a:cubicBezTo>
                <a:pt x="7866743" y="5343919"/>
                <a:pt x="7882340" y="5328328"/>
                <a:pt x="7901568" y="5328328"/>
              </a:cubicBezTo>
              <a:cubicBezTo>
                <a:pt x="7920796" y="5328328"/>
                <a:pt x="7936380" y="5343919"/>
                <a:pt x="7936380" y="5363147"/>
              </a:cubicBezTo>
              <a:cubicBezTo>
                <a:pt x="7936380" y="5382375"/>
                <a:pt x="7920796" y="5397966"/>
                <a:pt x="7901568" y="5397966"/>
              </a:cubicBezTo>
              <a:close/>
              <a:moveTo>
                <a:pt x="7986460" y="5397966"/>
              </a:moveTo>
              <a:cubicBezTo>
                <a:pt x="7967233" y="5397966"/>
                <a:pt x="7951635" y="5382375"/>
                <a:pt x="7951635" y="5363147"/>
              </a:cubicBezTo>
              <a:cubicBezTo>
                <a:pt x="7951635" y="5343919"/>
                <a:pt x="7967233" y="5328328"/>
                <a:pt x="7986460" y="5328328"/>
              </a:cubicBezTo>
              <a:cubicBezTo>
                <a:pt x="8005688" y="5328328"/>
                <a:pt x="8021273" y="5343919"/>
                <a:pt x="8021273" y="5363147"/>
              </a:cubicBezTo>
              <a:cubicBezTo>
                <a:pt x="8021273" y="5382375"/>
                <a:pt x="8005688" y="5397966"/>
                <a:pt x="7986460" y="5397966"/>
              </a:cubicBezTo>
              <a:close/>
              <a:moveTo>
                <a:pt x="8071353" y="5397966"/>
              </a:moveTo>
              <a:cubicBezTo>
                <a:pt x="8052125" y="5397966"/>
                <a:pt x="8036527" y="5382375"/>
                <a:pt x="8036527" y="5363147"/>
              </a:cubicBezTo>
              <a:cubicBezTo>
                <a:pt x="8036527" y="5343919"/>
                <a:pt x="8052125" y="5328328"/>
                <a:pt x="8071353" y="5328328"/>
              </a:cubicBezTo>
              <a:cubicBezTo>
                <a:pt x="8090580" y="5328328"/>
                <a:pt x="8106165" y="5343919"/>
                <a:pt x="8106165" y="5363147"/>
              </a:cubicBezTo>
              <a:cubicBezTo>
                <a:pt x="8106165" y="5382375"/>
                <a:pt x="8090580" y="5397966"/>
                <a:pt x="8071353" y="5397966"/>
              </a:cubicBezTo>
              <a:close/>
              <a:moveTo>
                <a:pt x="8156246" y="5397966"/>
              </a:moveTo>
              <a:cubicBezTo>
                <a:pt x="8137018" y="5397966"/>
                <a:pt x="8121420" y="5382375"/>
                <a:pt x="8121420" y="5363147"/>
              </a:cubicBezTo>
              <a:cubicBezTo>
                <a:pt x="8121420" y="5343919"/>
                <a:pt x="8137018" y="5328328"/>
                <a:pt x="8156246" y="5328328"/>
              </a:cubicBezTo>
              <a:cubicBezTo>
                <a:pt x="8175474" y="5328328"/>
                <a:pt x="8191058" y="5343919"/>
                <a:pt x="8191058" y="5363147"/>
              </a:cubicBezTo>
              <a:cubicBezTo>
                <a:pt x="8191058" y="5382375"/>
                <a:pt x="8175474" y="5397966"/>
                <a:pt x="8156246" y="5397966"/>
              </a:cubicBezTo>
              <a:close/>
              <a:moveTo>
                <a:pt x="8241138" y="5397966"/>
              </a:moveTo>
              <a:cubicBezTo>
                <a:pt x="8221910" y="5397966"/>
                <a:pt x="8206313" y="5382375"/>
                <a:pt x="8206313" y="5363147"/>
              </a:cubicBezTo>
              <a:cubicBezTo>
                <a:pt x="8206313" y="5343919"/>
                <a:pt x="8221910" y="5328328"/>
                <a:pt x="8241138" y="5328328"/>
              </a:cubicBezTo>
              <a:cubicBezTo>
                <a:pt x="8260366" y="5328328"/>
                <a:pt x="8275950" y="5343919"/>
                <a:pt x="8275950" y="5363147"/>
              </a:cubicBezTo>
              <a:cubicBezTo>
                <a:pt x="8275950" y="5382375"/>
                <a:pt x="8260366" y="5397966"/>
                <a:pt x="8241138" y="5397966"/>
              </a:cubicBezTo>
              <a:close/>
              <a:moveTo>
                <a:pt x="8326030" y="5397966"/>
              </a:moveTo>
              <a:cubicBezTo>
                <a:pt x="8306803" y="5397966"/>
                <a:pt x="8291205" y="5382375"/>
                <a:pt x="8291205" y="5363147"/>
              </a:cubicBezTo>
              <a:cubicBezTo>
                <a:pt x="8291205" y="5343919"/>
                <a:pt x="8306803" y="5328328"/>
                <a:pt x="8326030" y="5328328"/>
              </a:cubicBezTo>
              <a:cubicBezTo>
                <a:pt x="8345258" y="5328328"/>
                <a:pt x="8360843" y="5343919"/>
                <a:pt x="8360843" y="5363147"/>
              </a:cubicBezTo>
              <a:cubicBezTo>
                <a:pt x="8360843" y="5382375"/>
                <a:pt x="8345258" y="5397966"/>
                <a:pt x="8326030" y="5397966"/>
              </a:cubicBezTo>
              <a:close/>
              <a:moveTo>
                <a:pt x="8410923" y="5397966"/>
              </a:moveTo>
              <a:cubicBezTo>
                <a:pt x="8391695" y="5397966"/>
                <a:pt x="8376097" y="5382375"/>
                <a:pt x="8376097" y="5363147"/>
              </a:cubicBezTo>
              <a:cubicBezTo>
                <a:pt x="8376097" y="5343919"/>
                <a:pt x="8391695" y="5328328"/>
                <a:pt x="8410923" y="5328328"/>
              </a:cubicBezTo>
              <a:cubicBezTo>
                <a:pt x="8430150" y="5328328"/>
                <a:pt x="8445735" y="5343919"/>
                <a:pt x="8445735" y="5363147"/>
              </a:cubicBezTo>
              <a:cubicBezTo>
                <a:pt x="8445735" y="5382375"/>
                <a:pt x="8430150" y="5397966"/>
                <a:pt x="8410923" y="5397966"/>
              </a:cubicBezTo>
              <a:close/>
              <a:moveTo>
                <a:pt x="8495816" y="5397966"/>
              </a:moveTo>
              <a:cubicBezTo>
                <a:pt x="8476588" y="5397966"/>
                <a:pt x="8460990" y="5382375"/>
                <a:pt x="8460990" y="5363147"/>
              </a:cubicBezTo>
              <a:cubicBezTo>
                <a:pt x="8460990" y="5343919"/>
                <a:pt x="8476588" y="5328328"/>
                <a:pt x="8495816" y="5328328"/>
              </a:cubicBezTo>
              <a:cubicBezTo>
                <a:pt x="8515044" y="5328328"/>
                <a:pt x="8530628" y="5343919"/>
                <a:pt x="8530628" y="5363147"/>
              </a:cubicBezTo>
              <a:cubicBezTo>
                <a:pt x="8530628" y="5382375"/>
                <a:pt x="8515044" y="5397966"/>
                <a:pt x="8495816" y="5397966"/>
              </a:cubicBezTo>
              <a:close/>
              <a:moveTo>
                <a:pt x="8580708" y="5397966"/>
              </a:moveTo>
              <a:cubicBezTo>
                <a:pt x="8561480" y="5397966"/>
                <a:pt x="8545883" y="5382375"/>
                <a:pt x="8545883" y="5363147"/>
              </a:cubicBezTo>
              <a:cubicBezTo>
                <a:pt x="8545883" y="5343919"/>
                <a:pt x="8561480" y="5328328"/>
                <a:pt x="8580708" y="5328328"/>
              </a:cubicBezTo>
              <a:cubicBezTo>
                <a:pt x="8599936" y="5328328"/>
                <a:pt x="8615520" y="5343919"/>
                <a:pt x="8615520" y="5363147"/>
              </a:cubicBezTo>
              <a:cubicBezTo>
                <a:pt x="8615520" y="5382375"/>
                <a:pt x="8599936" y="5397966"/>
                <a:pt x="8580708" y="5397966"/>
              </a:cubicBezTo>
              <a:close/>
              <a:moveTo>
                <a:pt x="8665600" y="5397966"/>
              </a:moveTo>
              <a:cubicBezTo>
                <a:pt x="8646373" y="5397966"/>
                <a:pt x="8630775" y="5382375"/>
                <a:pt x="8630775" y="5363147"/>
              </a:cubicBezTo>
              <a:cubicBezTo>
                <a:pt x="8630775" y="5343919"/>
                <a:pt x="8646373" y="5328328"/>
                <a:pt x="8665600" y="5328328"/>
              </a:cubicBezTo>
              <a:cubicBezTo>
                <a:pt x="8684828" y="5328328"/>
                <a:pt x="8700413" y="5343919"/>
                <a:pt x="8700413" y="5363147"/>
              </a:cubicBezTo>
              <a:cubicBezTo>
                <a:pt x="8700413" y="5382375"/>
                <a:pt x="8684828" y="5397966"/>
                <a:pt x="8665600" y="5397966"/>
              </a:cubicBezTo>
              <a:close/>
              <a:moveTo>
                <a:pt x="8750493" y="5397966"/>
              </a:moveTo>
              <a:cubicBezTo>
                <a:pt x="8731265" y="5397966"/>
                <a:pt x="8715667" y="5382375"/>
                <a:pt x="8715667" y="5363147"/>
              </a:cubicBezTo>
              <a:cubicBezTo>
                <a:pt x="8715667" y="5343919"/>
                <a:pt x="8731265" y="5328328"/>
                <a:pt x="8750493" y="5328328"/>
              </a:cubicBezTo>
              <a:cubicBezTo>
                <a:pt x="8769720" y="5328328"/>
                <a:pt x="8785305" y="5343919"/>
                <a:pt x="8785305" y="5363147"/>
              </a:cubicBezTo>
              <a:cubicBezTo>
                <a:pt x="8785305" y="5382375"/>
                <a:pt x="8769720" y="5397966"/>
                <a:pt x="8750493" y="5397966"/>
              </a:cubicBezTo>
              <a:close/>
              <a:moveTo>
                <a:pt x="8835386" y="5397966"/>
              </a:moveTo>
              <a:cubicBezTo>
                <a:pt x="8816158" y="5397966"/>
                <a:pt x="8800560" y="5382375"/>
                <a:pt x="8800560" y="5363147"/>
              </a:cubicBezTo>
              <a:cubicBezTo>
                <a:pt x="8800560" y="5343919"/>
                <a:pt x="8816158" y="5328328"/>
                <a:pt x="8835386" y="5328328"/>
              </a:cubicBezTo>
              <a:cubicBezTo>
                <a:pt x="8854614" y="5328328"/>
                <a:pt x="8870198" y="5343919"/>
                <a:pt x="8870198" y="5363147"/>
              </a:cubicBezTo>
              <a:cubicBezTo>
                <a:pt x="8870198" y="5382375"/>
                <a:pt x="8854614" y="5397966"/>
                <a:pt x="8835386" y="5397966"/>
              </a:cubicBezTo>
              <a:close/>
              <a:moveTo>
                <a:pt x="8920278" y="5397966"/>
              </a:moveTo>
              <a:cubicBezTo>
                <a:pt x="8901050" y="5397966"/>
                <a:pt x="8885453" y="5382375"/>
                <a:pt x="8885453" y="5363147"/>
              </a:cubicBezTo>
              <a:cubicBezTo>
                <a:pt x="8885453" y="5343919"/>
                <a:pt x="8901050" y="5328328"/>
                <a:pt x="8920278" y="5328328"/>
              </a:cubicBezTo>
              <a:cubicBezTo>
                <a:pt x="8939506" y="5328328"/>
                <a:pt x="8955090" y="5343919"/>
                <a:pt x="8955090" y="5363147"/>
              </a:cubicBezTo>
              <a:cubicBezTo>
                <a:pt x="8955090" y="5382375"/>
                <a:pt x="8939506" y="5397966"/>
                <a:pt x="8920278" y="5397966"/>
              </a:cubicBezTo>
              <a:close/>
              <a:moveTo>
                <a:pt x="9005170" y="5397966"/>
              </a:moveTo>
              <a:cubicBezTo>
                <a:pt x="8985943" y="5397966"/>
                <a:pt x="8970345" y="5382375"/>
                <a:pt x="8970345" y="5363147"/>
              </a:cubicBezTo>
              <a:cubicBezTo>
                <a:pt x="8970345" y="5343919"/>
                <a:pt x="8985943" y="5328328"/>
                <a:pt x="9005170" y="5328328"/>
              </a:cubicBezTo>
              <a:cubicBezTo>
                <a:pt x="9024398" y="5328328"/>
                <a:pt x="9039983" y="5343919"/>
                <a:pt x="9039983" y="5363147"/>
              </a:cubicBezTo>
              <a:cubicBezTo>
                <a:pt x="9039983" y="5382375"/>
                <a:pt x="9024398" y="5397966"/>
                <a:pt x="9005170" y="5397966"/>
              </a:cubicBezTo>
              <a:close/>
              <a:moveTo>
                <a:pt x="9090063" y="5397966"/>
              </a:moveTo>
              <a:cubicBezTo>
                <a:pt x="9070835" y="5397966"/>
                <a:pt x="9055237" y="5382375"/>
                <a:pt x="9055237" y="5363147"/>
              </a:cubicBezTo>
              <a:cubicBezTo>
                <a:pt x="9055237" y="5343919"/>
                <a:pt x="9070835" y="5328328"/>
                <a:pt x="9090063" y="5328328"/>
              </a:cubicBezTo>
              <a:cubicBezTo>
                <a:pt x="9109290" y="5328328"/>
                <a:pt x="9124875" y="5343919"/>
                <a:pt x="9124875" y="5363147"/>
              </a:cubicBezTo>
              <a:cubicBezTo>
                <a:pt x="9124875" y="5382375"/>
                <a:pt x="9109290" y="5397966"/>
                <a:pt x="9090063" y="5397966"/>
              </a:cubicBezTo>
              <a:close/>
              <a:moveTo>
                <a:pt x="9174956" y="5397966"/>
              </a:moveTo>
              <a:cubicBezTo>
                <a:pt x="9155728" y="5397966"/>
                <a:pt x="9140130" y="5382375"/>
                <a:pt x="9140130" y="5363147"/>
              </a:cubicBezTo>
              <a:cubicBezTo>
                <a:pt x="9140130" y="5343919"/>
                <a:pt x="9155728" y="5328328"/>
                <a:pt x="9174956" y="5328328"/>
              </a:cubicBezTo>
              <a:cubicBezTo>
                <a:pt x="9194184" y="5328328"/>
                <a:pt x="9209768" y="5343919"/>
                <a:pt x="9209768" y="5363147"/>
              </a:cubicBezTo>
              <a:cubicBezTo>
                <a:pt x="9209768" y="5382375"/>
                <a:pt x="9194184" y="5397966"/>
                <a:pt x="9174956" y="5397966"/>
              </a:cubicBezTo>
              <a:close/>
              <a:moveTo>
                <a:pt x="9259848" y="5397966"/>
              </a:moveTo>
              <a:cubicBezTo>
                <a:pt x="9240620" y="5397966"/>
                <a:pt x="9225023" y="5382375"/>
                <a:pt x="9225023" y="5363147"/>
              </a:cubicBezTo>
              <a:cubicBezTo>
                <a:pt x="9225023" y="5343919"/>
                <a:pt x="9240620" y="5328328"/>
                <a:pt x="9259848" y="5328328"/>
              </a:cubicBezTo>
              <a:cubicBezTo>
                <a:pt x="9279076" y="5328328"/>
                <a:pt x="9294660" y="5343919"/>
                <a:pt x="9294660" y="5363147"/>
              </a:cubicBezTo>
              <a:cubicBezTo>
                <a:pt x="9294660" y="5382375"/>
                <a:pt x="9279076" y="5397966"/>
                <a:pt x="9259848" y="5397966"/>
              </a:cubicBezTo>
              <a:close/>
              <a:moveTo>
                <a:pt x="9344740" y="5397966"/>
              </a:moveTo>
              <a:cubicBezTo>
                <a:pt x="9325513" y="5397966"/>
                <a:pt x="9309915" y="5382375"/>
                <a:pt x="9309915" y="5363147"/>
              </a:cubicBezTo>
              <a:cubicBezTo>
                <a:pt x="9309915" y="5343919"/>
                <a:pt x="9325513" y="5328328"/>
                <a:pt x="9344740" y="5328328"/>
              </a:cubicBezTo>
              <a:cubicBezTo>
                <a:pt x="9363968" y="5328328"/>
                <a:pt x="9379553" y="5343919"/>
                <a:pt x="9379553" y="5363147"/>
              </a:cubicBezTo>
              <a:cubicBezTo>
                <a:pt x="9379553" y="5382375"/>
                <a:pt x="9363968" y="5397966"/>
                <a:pt x="9344740" y="5397966"/>
              </a:cubicBezTo>
              <a:close/>
              <a:moveTo>
                <a:pt x="9429633" y="5397966"/>
              </a:moveTo>
              <a:cubicBezTo>
                <a:pt x="9410405" y="5397966"/>
                <a:pt x="9394807" y="5382375"/>
                <a:pt x="9394807" y="5363147"/>
              </a:cubicBezTo>
              <a:cubicBezTo>
                <a:pt x="9394807" y="5343919"/>
                <a:pt x="9410405" y="5328328"/>
                <a:pt x="9429633" y="5328328"/>
              </a:cubicBezTo>
              <a:cubicBezTo>
                <a:pt x="9448860" y="5328328"/>
                <a:pt x="9464445" y="5343919"/>
                <a:pt x="9464445" y="5363147"/>
              </a:cubicBezTo>
              <a:cubicBezTo>
                <a:pt x="9464445" y="5382375"/>
                <a:pt x="9448860" y="5397966"/>
                <a:pt x="9429633" y="5397966"/>
              </a:cubicBezTo>
              <a:close/>
              <a:moveTo>
                <a:pt x="9514525" y="5397966"/>
              </a:moveTo>
              <a:cubicBezTo>
                <a:pt x="9495297" y="5397966"/>
                <a:pt x="9479699" y="5382375"/>
                <a:pt x="9479699" y="5363147"/>
              </a:cubicBezTo>
              <a:cubicBezTo>
                <a:pt x="9479699" y="5343919"/>
                <a:pt x="9495297" y="5328328"/>
                <a:pt x="9514525" y="5328328"/>
              </a:cubicBezTo>
              <a:cubicBezTo>
                <a:pt x="9533753" y="5328328"/>
                <a:pt x="9549337" y="5343919"/>
                <a:pt x="9549337" y="5363147"/>
              </a:cubicBezTo>
              <a:cubicBezTo>
                <a:pt x="9549337" y="5382375"/>
                <a:pt x="9533753" y="5397966"/>
                <a:pt x="9514525" y="5397966"/>
              </a:cubicBezTo>
              <a:close/>
              <a:moveTo>
                <a:pt x="9599418" y="5397966"/>
              </a:moveTo>
              <a:cubicBezTo>
                <a:pt x="9580190" y="5397966"/>
                <a:pt x="9564593" y="5382375"/>
                <a:pt x="9564593" y="5363147"/>
              </a:cubicBezTo>
              <a:cubicBezTo>
                <a:pt x="9564593" y="5343919"/>
                <a:pt x="9580190" y="5328328"/>
                <a:pt x="9599418" y="5328328"/>
              </a:cubicBezTo>
              <a:cubicBezTo>
                <a:pt x="9618646" y="5328328"/>
                <a:pt x="9634230" y="5343919"/>
                <a:pt x="9634230" y="5363147"/>
              </a:cubicBezTo>
              <a:cubicBezTo>
                <a:pt x="9634230" y="5382375"/>
                <a:pt x="9618646" y="5397966"/>
                <a:pt x="9599418" y="5397966"/>
              </a:cubicBezTo>
              <a:close/>
              <a:moveTo>
                <a:pt x="9684310" y="5397966"/>
              </a:moveTo>
              <a:cubicBezTo>
                <a:pt x="9665083" y="5397966"/>
                <a:pt x="9649485" y="5382375"/>
                <a:pt x="9649485" y="5363147"/>
              </a:cubicBezTo>
              <a:cubicBezTo>
                <a:pt x="9649485" y="5343919"/>
                <a:pt x="9665083" y="5328328"/>
                <a:pt x="9684310" y="5328328"/>
              </a:cubicBezTo>
              <a:cubicBezTo>
                <a:pt x="9703538" y="5328328"/>
                <a:pt x="9719123" y="5343919"/>
                <a:pt x="9719123" y="5363147"/>
              </a:cubicBezTo>
              <a:cubicBezTo>
                <a:pt x="9719123" y="5382375"/>
                <a:pt x="9703538" y="5397966"/>
                <a:pt x="9684310" y="5397966"/>
              </a:cubicBezTo>
              <a:close/>
              <a:moveTo>
                <a:pt x="9769203" y="5397966"/>
              </a:moveTo>
              <a:cubicBezTo>
                <a:pt x="9749975" y="5397966"/>
                <a:pt x="9734377" y="5382375"/>
                <a:pt x="9734377" y="5363147"/>
              </a:cubicBezTo>
              <a:cubicBezTo>
                <a:pt x="9734377" y="5343919"/>
                <a:pt x="9749975" y="5328328"/>
                <a:pt x="9769203" y="5328328"/>
              </a:cubicBezTo>
              <a:cubicBezTo>
                <a:pt x="9788430" y="5328328"/>
                <a:pt x="9804015" y="5343919"/>
                <a:pt x="9804015" y="5363147"/>
              </a:cubicBezTo>
              <a:cubicBezTo>
                <a:pt x="9804015" y="5382375"/>
                <a:pt x="9788430" y="5397966"/>
                <a:pt x="9769203" y="5397966"/>
              </a:cubicBezTo>
              <a:close/>
              <a:moveTo>
                <a:pt x="9854095" y="5397966"/>
              </a:moveTo>
              <a:cubicBezTo>
                <a:pt x="9834867" y="5397966"/>
                <a:pt x="9819269" y="5382375"/>
                <a:pt x="9819269" y="5363147"/>
              </a:cubicBezTo>
              <a:cubicBezTo>
                <a:pt x="9819269" y="5343919"/>
                <a:pt x="9834867" y="5328328"/>
                <a:pt x="9854095" y="5328328"/>
              </a:cubicBezTo>
              <a:cubicBezTo>
                <a:pt x="9873323" y="5328328"/>
                <a:pt x="9888907" y="5343919"/>
                <a:pt x="9888907" y="5363147"/>
              </a:cubicBezTo>
              <a:cubicBezTo>
                <a:pt x="9888907" y="5382375"/>
                <a:pt x="9873323" y="5397966"/>
                <a:pt x="9854095" y="5397966"/>
              </a:cubicBezTo>
              <a:close/>
              <a:moveTo>
                <a:pt x="9938988" y="5397966"/>
              </a:moveTo>
              <a:cubicBezTo>
                <a:pt x="9919760" y="5397966"/>
                <a:pt x="9904163" y="5382375"/>
                <a:pt x="9904163" y="5363147"/>
              </a:cubicBezTo>
              <a:cubicBezTo>
                <a:pt x="9904163" y="5343919"/>
                <a:pt x="9919760" y="5328328"/>
                <a:pt x="9938988" y="5328328"/>
              </a:cubicBezTo>
              <a:cubicBezTo>
                <a:pt x="9958216" y="5328328"/>
                <a:pt x="9973800" y="5343919"/>
                <a:pt x="9973800" y="5363147"/>
              </a:cubicBezTo>
              <a:cubicBezTo>
                <a:pt x="9973800" y="5382375"/>
                <a:pt x="9958216" y="5397966"/>
                <a:pt x="9938988" y="5397966"/>
              </a:cubicBezTo>
              <a:close/>
              <a:moveTo>
                <a:pt x="10023880" y="5397966"/>
              </a:moveTo>
              <a:cubicBezTo>
                <a:pt x="10004653" y="5397966"/>
                <a:pt x="9989055" y="5382375"/>
                <a:pt x="9989055" y="5363147"/>
              </a:cubicBezTo>
              <a:cubicBezTo>
                <a:pt x="9989055" y="5343919"/>
                <a:pt x="10004653" y="5328328"/>
                <a:pt x="10023880" y="5328328"/>
              </a:cubicBezTo>
              <a:cubicBezTo>
                <a:pt x="10043108" y="5328328"/>
                <a:pt x="10058693" y="5343919"/>
                <a:pt x="10058693" y="5363147"/>
              </a:cubicBezTo>
              <a:cubicBezTo>
                <a:pt x="10058693" y="5382375"/>
                <a:pt x="10043108" y="5397966"/>
                <a:pt x="10023880" y="5397966"/>
              </a:cubicBezTo>
              <a:close/>
              <a:moveTo>
                <a:pt x="10108773" y="5397966"/>
              </a:moveTo>
              <a:cubicBezTo>
                <a:pt x="10089545" y="5397966"/>
                <a:pt x="10073947" y="5382375"/>
                <a:pt x="10073947" y="5363147"/>
              </a:cubicBezTo>
              <a:cubicBezTo>
                <a:pt x="10073947" y="5343919"/>
                <a:pt x="10089545" y="5328328"/>
                <a:pt x="10108773" y="5328328"/>
              </a:cubicBezTo>
              <a:cubicBezTo>
                <a:pt x="10128000" y="5328328"/>
                <a:pt x="10143585" y="5343919"/>
                <a:pt x="10143585" y="5363147"/>
              </a:cubicBezTo>
              <a:cubicBezTo>
                <a:pt x="10143585" y="5382375"/>
                <a:pt x="10128000" y="5397966"/>
                <a:pt x="10108773" y="5397966"/>
              </a:cubicBezTo>
              <a:close/>
              <a:moveTo>
                <a:pt x="10193665" y="5397966"/>
              </a:moveTo>
              <a:cubicBezTo>
                <a:pt x="10174437" y="5397966"/>
                <a:pt x="10158839" y="5382375"/>
                <a:pt x="10158839" y="5363147"/>
              </a:cubicBezTo>
              <a:cubicBezTo>
                <a:pt x="10158839" y="5343919"/>
                <a:pt x="10174437" y="5328328"/>
                <a:pt x="10193665" y="5328328"/>
              </a:cubicBezTo>
              <a:cubicBezTo>
                <a:pt x="10212893" y="5328328"/>
                <a:pt x="10228477" y="5343919"/>
                <a:pt x="10228477" y="5363147"/>
              </a:cubicBezTo>
              <a:cubicBezTo>
                <a:pt x="10228477" y="5382375"/>
                <a:pt x="10212893" y="5397966"/>
                <a:pt x="10193665" y="5397966"/>
              </a:cubicBezTo>
              <a:close/>
              <a:moveTo>
                <a:pt x="10363450" y="5397966"/>
              </a:moveTo>
              <a:cubicBezTo>
                <a:pt x="10344223" y="5397966"/>
                <a:pt x="10328625" y="5382375"/>
                <a:pt x="10328625" y="5363147"/>
              </a:cubicBezTo>
              <a:cubicBezTo>
                <a:pt x="10328625" y="5343919"/>
                <a:pt x="10344223" y="5328328"/>
                <a:pt x="10363450" y="5328328"/>
              </a:cubicBezTo>
              <a:cubicBezTo>
                <a:pt x="10382678" y="5328328"/>
                <a:pt x="10398263" y="5343919"/>
                <a:pt x="10398263" y="5363147"/>
              </a:cubicBezTo>
              <a:cubicBezTo>
                <a:pt x="10398263" y="5382375"/>
                <a:pt x="10382678" y="5397966"/>
                <a:pt x="10363450" y="5397966"/>
              </a:cubicBezTo>
              <a:close/>
              <a:moveTo>
                <a:pt x="10448343" y="5397966"/>
              </a:moveTo>
              <a:cubicBezTo>
                <a:pt x="10429115" y="5397966"/>
                <a:pt x="10413517" y="5382375"/>
                <a:pt x="10413517" y="5363147"/>
              </a:cubicBezTo>
              <a:cubicBezTo>
                <a:pt x="10413517" y="5343919"/>
                <a:pt x="10429115" y="5328328"/>
                <a:pt x="10448343" y="5328328"/>
              </a:cubicBezTo>
              <a:cubicBezTo>
                <a:pt x="10467570" y="5328328"/>
                <a:pt x="10483155" y="5343919"/>
                <a:pt x="10483155" y="5363147"/>
              </a:cubicBezTo>
              <a:cubicBezTo>
                <a:pt x="10483155" y="5382375"/>
                <a:pt x="10467570" y="5397966"/>
                <a:pt x="10448343" y="5397966"/>
              </a:cubicBezTo>
              <a:close/>
              <a:moveTo>
                <a:pt x="1364843" y="5313105"/>
              </a:moveTo>
              <a:cubicBezTo>
                <a:pt x="1345616" y="5313105"/>
                <a:pt x="1330024" y="5297514"/>
                <a:pt x="1330024" y="5278286"/>
              </a:cubicBezTo>
              <a:cubicBezTo>
                <a:pt x="1330024" y="5259059"/>
                <a:pt x="1345616" y="5243468"/>
                <a:pt x="1364843" y="5243468"/>
              </a:cubicBezTo>
              <a:cubicBezTo>
                <a:pt x="1384071" y="5243468"/>
                <a:pt x="1399662" y="5259059"/>
                <a:pt x="1399662" y="5278286"/>
              </a:cubicBezTo>
              <a:cubicBezTo>
                <a:pt x="1399662" y="5297514"/>
                <a:pt x="1384071" y="5313105"/>
                <a:pt x="1364843" y="5313105"/>
              </a:cubicBezTo>
              <a:close/>
              <a:moveTo>
                <a:pt x="1449737" y="5313105"/>
              </a:moveTo>
              <a:cubicBezTo>
                <a:pt x="1430509" y="5313105"/>
                <a:pt x="1414918" y="5297514"/>
                <a:pt x="1414918" y="5278286"/>
              </a:cubicBezTo>
              <a:cubicBezTo>
                <a:pt x="1414918" y="5259059"/>
                <a:pt x="1430509" y="5243468"/>
                <a:pt x="1449737" y="5243468"/>
              </a:cubicBezTo>
              <a:cubicBezTo>
                <a:pt x="1468964" y="5243468"/>
                <a:pt x="1484555" y="5259059"/>
                <a:pt x="1484555" y="5278286"/>
              </a:cubicBezTo>
              <a:cubicBezTo>
                <a:pt x="1484555" y="5297514"/>
                <a:pt x="1468964" y="5313105"/>
                <a:pt x="1449737" y="5313105"/>
              </a:cubicBezTo>
              <a:close/>
              <a:moveTo>
                <a:pt x="1534629" y="5313105"/>
              </a:moveTo>
              <a:cubicBezTo>
                <a:pt x="1515401" y="5313105"/>
                <a:pt x="1499810" y="5297514"/>
                <a:pt x="1499810" y="5278286"/>
              </a:cubicBezTo>
              <a:cubicBezTo>
                <a:pt x="1499810" y="5259059"/>
                <a:pt x="1515401" y="5243468"/>
                <a:pt x="1534629" y="5243468"/>
              </a:cubicBezTo>
              <a:cubicBezTo>
                <a:pt x="1553857" y="5243468"/>
                <a:pt x="1569448" y="5259059"/>
                <a:pt x="1569448" y="5278286"/>
              </a:cubicBezTo>
              <a:cubicBezTo>
                <a:pt x="1569448" y="5297514"/>
                <a:pt x="1553857" y="5313105"/>
                <a:pt x="1534629" y="5313105"/>
              </a:cubicBezTo>
              <a:close/>
              <a:moveTo>
                <a:pt x="1619521" y="5313105"/>
              </a:moveTo>
              <a:cubicBezTo>
                <a:pt x="1600293" y="5313105"/>
                <a:pt x="1584702" y="5297514"/>
                <a:pt x="1584702" y="5278286"/>
              </a:cubicBezTo>
              <a:cubicBezTo>
                <a:pt x="1584702" y="5259059"/>
                <a:pt x="1600293" y="5243468"/>
                <a:pt x="1619521" y="5243468"/>
              </a:cubicBezTo>
              <a:cubicBezTo>
                <a:pt x="1638749" y="5243468"/>
                <a:pt x="1654340" y="5259059"/>
                <a:pt x="1654340" y="5278286"/>
              </a:cubicBezTo>
              <a:cubicBezTo>
                <a:pt x="1654340" y="5297514"/>
                <a:pt x="1638749" y="5313105"/>
                <a:pt x="1619521" y="5313105"/>
              </a:cubicBezTo>
              <a:close/>
              <a:moveTo>
                <a:pt x="1704413" y="5313105"/>
              </a:moveTo>
              <a:cubicBezTo>
                <a:pt x="1685186" y="5313105"/>
                <a:pt x="1669594" y="5297514"/>
                <a:pt x="1669594" y="5278286"/>
              </a:cubicBezTo>
              <a:cubicBezTo>
                <a:pt x="1669594" y="5259059"/>
                <a:pt x="1685186" y="5243468"/>
                <a:pt x="1704413" y="5243468"/>
              </a:cubicBezTo>
              <a:cubicBezTo>
                <a:pt x="1723641" y="5243468"/>
                <a:pt x="1739232" y="5259059"/>
                <a:pt x="1739232" y="5278286"/>
              </a:cubicBezTo>
              <a:cubicBezTo>
                <a:pt x="1739232" y="5297514"/>
                <a:pt x="1723641" y="5313105"/>
                <a:pt x="1704413" y="5313105"/>
              </a:cubicBezTo>
              <a:close/>
              <a:moveTo>
                <a:pt x="1789306" y="5313105"/>
              </a:moveTo>
              <a:cubicBezTo>
                <a:pt x="1770078" y="5313105"/>
                <a:pt x="1754487" y="5297514"/>
                <a:pt x="1754487" y="5278286"/>
              </a:cubicBezTo>
              <a:cubicBezTo>
                <a:pt x="1754487" y="5259059"/>
                <a:pt x="1770078" y="5243468"/>
                <a:pt x="1789306" y="5243468"/>
              </a:cubicBezTo>
              <a:cubicBezTo>
                <a:pt x="1808533" y="5243468"/>
                <a:pt x="1824124" y="5259059"/>
                <a:pt x="1824124" y="5278286"/>
              </a:cubicBezTo>
              <a:cubicBezTo>
                <a:pt x="1824124" y="5297514"/>
                <a:pt x="1808533" y="5313105"/>
                <a:pt x="1789306" y="5313105"/>
              </a:cubicBezTo>
              <a:close/>
              <a:moveTo>
                <a:pt x="1874199" y="5313105"/>
              </a:moveTo>
              <a:cubicBezTo>
                <a:pt x="1854971" y="5313105"/>
                <a:pt x="1839380" y="5297514"/>
                <a:pt x="1839380" y="5278286"/>
              </a:cubicBezTo>
              <a:cubicBezTo>
                <a:pt x="1839380" y="5259059"/>
                <a:pt x="1854971" y="5243468"/>
                <a:pt x="1874199" y="5243468"/>
              </a:cubicBezTo>
              <a:cubicBezTo>
                <a:pt x="1893427" y="5243468"/>
                <a:pt x="1909018" y="5259059"/>
                <a:pt x="1909018" y="5278286"/>
              </a:cubicBezTo>
              <a:cubicBezTo>
                <a:pt x="1909018" y="5297514"/>
                <a:pt x="1893427" y="5313105"/>
                <a:pt x="1874199" y="5313105"/>
              </a:cubicBezTo>
              <a:close/>
              <a:moveTo>
                <a:pt x="1959091" y="5313105"/>
              </a:moveTo>
              <a:cubicBezTo>
                <a:pt x="1939863" y="5313105"/>
                <a:pt x="1924272" y="5297514"/>
                <a:pt x="1924272" y="5278286"/>
              </a:cubicBezTo>
              <a:cubicBezTo>
                <a:pt x="1924272" y="5259059"/>
                <a:pt x="1939863" y="5243468"/>
                <a:pt x="1959091" y="5243468"/>
              </a:cubicBezTo>
              <a:cubicBezTo>
                <a:pt x="1978319" y="5243468"/>
                <a:pt x="1993910" y="5259059"/>
                <a:pt x="1993910" y="5278286"/>
              </a:cubicBezTo>
              <a:cubicBezTo>
                <a:pt x="1993910" y="5297514"/>
                <a:pt x="1978319" y="5313105"/>
                <a:pt x="1959091" y="5313105"/>
              </a:cubicBezTo>
              <a:close/>
              <a:moveTo>
                <a:pt x="2043983" y="5313105"/>
              </a:moveTo>
              <a:cubicBezTo>
                <a:pt x="2024756" y="5313105"/>
                <a:pt x="2009164" y="5297514"/>
                <a:pt x="2009164" y="5278286"/>
              </a:cubicBezTo>
              <a:cubicBezTo>
                <a:pt x="2009164" y="5259059"/>
                <a:pt x="2024756" y="5243468"/>
                <a:pt x="2043983" y="5243468"/>
              </a:cubicBezTo>
              <a:cubicBezTo>
                <a:pt x="2063211" y="5243468"/>
                <a:pt x="2078802" y="5259059"/>
                <a:pt x="2078802" y="5278286"/>
              </a:cubicBezTo>
              <a:cubicBezTo>
                <a:pt x="2078802" y="5297514"/>
                <a:pt x="2063211" y="5313105"/>
                <a:pt x="2043983" y="5313105"/>
              </a:cubicBezTo>
              <a:close/>
              <a:moveTo>
                <a:pt x="2128876" y="5313105"/>
              </a:moveTo>
              <a:cubicBezTo>
                <a:pt x="2109648" y="5313105"/>
                <a:pt x="2094057" y="5297514"/>
                <a:pt x="2094057" y="5278286"/>
              </a:cubicBezTo>
              <a:cubicBezTo>
                <a:pt x="2094057" y="5259059"/>
                <a:pt x="2109648" y="5243468"/>
                <a:pt x="2128876" y="5243468"/>
              </a:cubicBezTo>
              <a:cubicBezTo>
                <a:pt x="2148103" y="5243468"/>
                <a:pt x="2163694" y="5259059"/>
                <a:pt x="2163694" y="5278286"/>
              </a:cubicBezTo>
              <a:cubicBezTo>
                <a:pt x="2163694" y="5297514"/>
                <a:pt x="2148103" y="5313105"/>
                <a:pt x="2128876" y="5313105"/>
              </a:cubicBezTo>
              <a:close/>
              <a:moveTo>
                <a:pt x="2213769" y="5313105"/>
              </a:moveTo>
              <a:cubicBezTo>
                <a:pt x="2194541" y="5313105"/>
                <a:pt x="2178950" y="5297514"/>
                <a:pt x="2178950" y="5278286"/>
              </a:cubicBezTo>
              <a:cubicBezTo>
                <a:pt x="2178950" y="5259059"/>
                <a:pt x="2194541" y="5243468"/>
                <a:pt x="2213769" y="5243468"/>
              </a:cubicBezTo>
              <a:cubicBezTo>
                <a:pt x="2232997" y="5243468"/>
                <a:pt x="2248588" y="5259059"/>
                <a:pt x="2248588" y="5278286"/>
              </a:cubicBezTo>
              <a:cubicBezTo>
                <a:pt x="2248588" y="5297514"/>
                <a:pt x="2232997" y="5313105"/>
                <a:pt x="2213769" y="5313105"/>
              </a:cubicBezTo>
              <a:close/>
              <a:moveTo>
                <a:pt x="2298661" y="5313105"/>
              </a:moveTo>
              <a:cubicBezTo>
                <a:pt x="2279433" y="5313105"/>
                <a:pt x="2263842" y="5297514"/>
                <a:pt x="2263842" y="5278286"/>
              </a:cubicBezTo>
              <a:cubicBezTo>
                <a:pt x="2263842" y="5259059"/>
                <a:pt x="2279433" y="5243468"/>
                <a:pt x="2298661" y="5243468"/>
              </a:cubicBezTo>
              <a:cubicBezTo>
                <a:pt x="2317889" y="5243468"/>
                <a:pt x="2333480" y="5259059"/>
                <a:pt x="2333480" y="5278286"/>
              </a:cubicBezTo>
              <a:cubicBezTo>
                <a:pt x="2333480" y="5297514"/>
                <a:pt x="2317889" y="5313105"/>
                <a:pt x="2298661" y="5313105"/>
              </a:cubicBezTo>
              <a:close/>
              <a:moveTo>
                <a:pt x="2383553" y="5313105"/>
              </a:moveTo>
              <a:cubicBezTo>
                <a:pt x="2364326" y="5313105"/>
                <a:pt x="2348734" y="5297514"/>
                <a:pt x="2348734" y="5278286"/>
              </a:cubicBezTo>
              <a:cubicBezTo>
                <a:pt x="2348734" y="5259059"/>
                <a:pt x="2364326" y="5243468"/>
                <a:pt x="2383553" y="5243468"/>
              </a:cubicBezTo>
              <a:cubicBezTo>
                <a:pt x="2402781" y="5243468"/>
                <a:pt x="2418372" y="5259059"/>
                <a:pt x="2418372" y="5278286"/>
              </a:cubicBezTo>
              <a:cubicBezTo>
                <a:pt x="2418372" y="5297514"/>
                <a:pt x="2402781" y="5313105"/>
                <a:pt x="2383553" y="5313105"/>
              </a:cubicBezTo>
              <a:close/>
              <a:moveTo>
                <a:pt x="2468446" y="5313105"/>
              </a:moveTo>
              <a:cubicBezTo>
                <a:pt x="2449218" y="5313105"/>
                <a:pt x="2433627" y="5297514"/>
                <a:pt x="2433627" y="5278286"/>
              </a:cubicBezTo>
              <a:cubicBezTo>
                <a:pt x="2433627" y="5259059"/>
                <a:pt x="2449218" y="5243468"/>
                <a:pt x="2468446" y="5243468"/>
              </a:cubicBezTo>
              <a:cubicBezTo>
                <a:pt x="2487673" y="5243468"/>
                <a:pt x="2503264" y="5259059"/>
                <a:pt x="2503264" y="5278286"/>
              </a:cubicBezTo>
              <a:cubicBezTo>
                <a:pt x="2503264" y="5297514"/>
                <a:pt x="2487673" y="5313105"/>
                <a:pt x="2468446" y="5313105"/>
              </a:cubicBezTo>
              <a:close/>
              <a:moveTo>
                <a:pt x="2553339" y="5313105"/>
              </a:moveTo>
              <a:cubicBezTo>
                <a:pt x="2534111" y="5313105"/>
                <a:pt x="2518520" y="5297514"/>
                <a:pt x="2518520" y="5278286"/>
              </a:cubicBezTo>
              <a:cubicBezTo>
                <a:pt x="2518520" y="5259059"/>
                <a:pt x="2534111" y="5243468"/>
                <a:pt x="2553339" y="5243468"/>
              </a:cubicBezTo>
              <a:cubicBezTo>
                <a:pt x="2572567" y="5243468"/>
                <a:pt x="2588158" y="5259059"/>
                <a:pt x="2588158" y="5278286"/>
              </a:cubicBezTo>
              <a:cubicBezTo>
                <a:pt x="2588158" y="5297514"/>
                <a:pt x="2572567" y="5313105"/>
                <a:pt x="2553339" y="5313105"/>
              </a:cubicBezTo>
              <a:close/>
              <a:moveTo>
                <a:pt x="2638231" y="5313105"/>
              </a:moveTo>
              <a:cubicBezTo>
                <a:pt x="2619003" y="5313105"/>
                <a:pt x="2603412" y="5297514"/>
                <a:pt x="2603412" y="5278286"/>
              </a:cubicBezTo>
              <a:cubicBezTo>
                <a:pt x="2603412" y="5259059"/>
                <a:pt x="2619003" y="5243468"/>
                <a:pt x="2638231" y="5243468"/>
              </a:cubicBezTo>
              <a:cubicBezTo>
                <a:pt x="2657459" y="5243468"/>
                <a:pt x="2673050" y="5259059"/>
                <a:pt x="2673050" y="5278286"/>
              </a:cubicBezTo>
              <a:cubicBezTo>
                <a:pt x="2673050" y="5297514"/>
                <a:pt x="2657459" y="5313105"/>
                <a:pt x="2638231" y="5313105"/>
              </a:cubicBezTo>
              <a:close/>
              <a:moveTo>
                <a:pt x="2723123" y="5313105"/>
              </a:moveTo>
              <a:cubicBezTo>
                <a:pt x="2703896" y="5313105"/>
                <a:pt x="2688304" y="5297514"/>
                <a:pt x="2688304" y="5278286"/>
              </a:cubicBezTo>
              <a:cubicBezTo>
                <a:pt x="2688304" y="5259059"/>
                <a:pt x="2703896" y="5243468"/>
                <a:pt x="2723123" y="5243468"/>
              </a:cubicBezTo>
              <a:cubicBezTo>
                <a:pt x="2742351" y="5243468"/>
                <a:pt x="2757942" y="5259059"/>
                <a:pt x="2757942" y="5278286"/>
              </a:cubicBezTo>
              <a:cubicBezTo>
                <a:pt x="2757942" y="5297514"/>
                <a:pt x="2742351" y="5313105"/>
                <a:pt x="2723123" y="5313105"/>
              </a:cubicBezTo>
              <a:close/>
              <a:moveTo>
                <a:pt x="2808016" y="5313105"/>
              </a:moveTo>
              <a:cubicBezTo>
                <a:pt x="2788788" y="5313105"/>
                <a:pt x="2773197" y="5297514"/>
                <a:pt x="2773197" y="5278286"/>
              </a:cubicBezTo>
              <a:cubicBezTo>
                <a:pt x="2773197" y="5259059"/>
                <a:pt x="2788788" y="5243468"/>
                <a:pt x="2808016" y="5243468"/>
              </a:cubicBezTo>
              <a:cubicBezTo>
                <a:pt x="2827243" y="5243468"/>
                <a:pt x="2842834" y="5259059"/>
                <a:pt x="2842834" y="5278286"/>
              </a:cubicBezTo>
              <a:cubicBezTo>
                <a:pt x="2842834" y="5297514"/>
                <a:pt x="2827243" y="5313105"/>
                <a:pt x="2808016" y="5313105"/>
              </a:cubicBezTo>
              <a:close/>
              <a:moveTo>
                <a:pt x="2892908" y="5313105"/>
              </a:moveTo>
              <a:cubicBezTo>
                <a:pt x="2873680" y="5313105"/>
                <a:pt x="2858089" y="5297514"/>
                <a:pt x="2858089" y="5278286"/>
              </a:cubicBezTo>
              <a:cubicBezTo>
                <a:pt x="2858089" y="5259059"/>
                <a:pt x="2873680" y="5243468"/>
                <a:pt x="2892908" y="5243468"/>
              </a:cubicBezTo>
              <a:cubicBezTo>
                <a:pt x="2912136" y="5243468"/>
                <a:pt x="2927727" y="5259059"/>
                <a:pt x="2927727" y="5278286"/>
              </a:cubicBezTo>
              <a:cubicBezTo>
                <a:pt x="2927727" y="5297514"/>
                <a:pt x="2912136" y="5313105"/>
                <a:pt x="2892908" y="5313105"/>
              </a:cubicBezTo>
              <a:close/>
              <a:moveTo>
                <a:pt x="2977801" y="5313105"/>
              </a:moveTo>
              <a:cubicBezTo>
                <a:pt x="2958573" y="5313105"/>
                <a:pt x="2942982" y="5297514"/>
                <a:pt x="2942982" y="5278286"/>
              </a:cubicBezTo>
              <a:cubicBezTo>
                <a:pt x="2942982" y="5259059"/>
                <a:pt x="2958573" y="5243468"/>
                <a:pt x="2977801" y="5243468"/>
              </a:cubicBezTo>
              <a:cubicBezTo>
                <a:pt x="2997029" y="5243468"/>
                <a:pt x="3012620" y="5259059"/>
                <a:pt x="3012620" y="5278286"/>
              </a:cubicBezTo>
              <a:cubicBezTo>
                <a:pt x="3012620" y="5297514"/>
                <a:pt x="2997029" y="5313105"/>
                <a:pt x="2977801" y="5313105"/>
              </a:cubicBezTo>
              <a:close/>
              <a:moveTo>
                <a:pt x="3062693" y="5313105"/>
              </a:moveTo>
              <a:cubicBezTo>
                <a:pt x="3043466" y="5313105"/>
                <a:pt x="3027874" y="5297514"/>
                <a:pt x="3027874" y="5278286"/>
              </a:cubicBezTo>
              <a:cubicBezTo>
                <a:pt x="3027874" y="5259059"/>
                <a:pt x="3043466" y="5243468"/>
                <a:pt x="3062693" y="5243468"/>
              </a:cubicBezTo>
              <a:cubicBezTo>
                <a:pt x="3081921" y="5243468"/>
                <a:pt x="3097512" y="5259059"/>
                <a:pt x="3097512" y="5278286"/>
              </a:cubicBezTo>
              <a:cubicBezTo>
                <a:pt x="3097512" y="5297514"/>
                <a:pt x="3081921" y="5313105"/>
                <a:pt x="3062693" y="5313105"/>
              </a:cubicBezTo>
              <a:close/>
              <a:moveTo>
                <a:pt x="3147586" y="5313105"/>
              </a:moveTo>
              <a:cubicBezTo>
                <a:pt x="3128358" y="5313105"/>
                <a:pt x="3112767" y="5297514"/>
                <a:pt x="3112767" y="5278286"/>
              </a:cubicBezTo>
              <a:cubicBezTo>
                <a:pt x="3112767" y="5259059"/>
                <a:pt x="3128358" y="5243468"/>
                <a:pt x="3147586" y="5243468"/>
              </a:cubicBezTo>
              <a:cubicBezTo>
                <a:pt x="3166813" y="5243468"/>
                <a:pt x="3182404" y="5259059"/>
                <a:pt x="3182404" y="5278286"/>
              </a:cubicBezTo>
              <a:cubicBezTo>
                <a:pt x="3182404" y="5297514"/>
                <a:pt x="3166813" y="5313105"/>
                <a:pt x="3147586" y="5313105"/>
              </a:cubicBezTo>
              <a:close/>
              <a:moveTo>
                <a:pt x="3232478" y="5313105"/>
              </a:moveTo>
              <a:cubicBezTo>
                <a:pt x="3213250" y="5313105"/>
                <a:pt x="3197659" y="5297514"/>
                <a:pt x="3197659" y="5278286"/>
              </a:cubicBezTo>
              <a:cubicBezTo>
                <a:pt x="3197659" y="5259059"/>
                <a:pt x="3213250" y="5243468"/>
                <a:pt x="3232478" y="5243468"/>
              </a:cubicBezTo>
              <a:cubicBezTo>
                <a:pt x="3251706" y="5243468"/>
                <a:pt x="3267297" y="5259059"/>
                <a:pt x="3267297" y="5278286"/>
              </a:cubicBezTo>
              <a:cubicBezTo>
                <a:pt x="3267297" y="5297514"/>
                <a:pt x="3251706" y="5313105"/>
                <a:pt x="3232478" y="5313105"/>
              </a:cubicBezTo>
              <a:close/>
              <a:moveTo>
                <a:pt x="3317371" y="5313105"/>
              </a:moveTo>
              <a:cubicBezTo>
                <a:pt x="3298143" y="5313105"/>
                <a:pt x="3282552" y="5297514"/>
                <a:pt x="3282552" y="5278286"/>
              </a:cubicBezTo>
              <a:cubicBezTo>
                <a:pt x="3282552" y="5259059"/>
                <a:pt x="3298143" y="5243468"/>
                <a:pt x="3317371" y="5243468"/>
              </a:cubicBezTo>
              <a:cubicBezTo>
                <a:pt x="3336599" y="5243468"/>
                <a:pt x="3352190" y="5259059"/>
                <a:pt x="3352190" y="5278286"/>
              </a:cubicBezTo>
              <a:cubicBezTo>
                <a:pt x="3352190" y="5297514"/>
                <a:pt x="3336599" y="5313105"/>
                <a:pt x="3317371" y="5313105"/>
              </a:cubicBezTo>
              <a:close/>
              <a:moveTo>
                <a:pt x="3402263" y="5313105"/>
              </a:moveTo>
              <a:cubicBezTo>
                <a:pt x="3383036" y="5313105"/>
                <a:pt x="3367444" y="5297514"/>
                <a:pt x="3367444" y="5278286"/>
              </a:cubicBezTo>
              <a:cubicBezTo>
                <a:pt x="3367444" y="5259059"/>
                <a:pt x="3383036" y="5243468"/>
                <a:pt x="3402263" y="5243468"/>
              </a:cubicBezTo>
              <a:cubicBezTo>
                <a:pt x="3421491" y="5243468"/>
                <a:pt x="3437082" y="5259059"/>
                <a:pt x="3437082" y="5278286"/>
              </a:cubicBezTo>
              <a:cubicBezTo>
                <a:pt x="3437082" y="5297514"/>
                <a:pt x="3421491" y="5313105"/>
                <a:pt x="3402263" y="5313105"/>
              </a:cubicBezTo>
              <a:close/>
              <a:moveTo>
                <a:pt x="3487156" y="5313105"/>
              </a:moveTo>
              <a:cubicBezTo>
                <a:pt x="3467928" y="5313105"/>
                <a:pt x="3452337" y="5297514"/>
                <a:pt x="3452337" y="5278286"/>
              </a:cubicBezTo>
              <a:cubicBezTo>
                <a:pt x="3452337" y="5259059"/>
                <a:pt x="3467928" y="5243468"/>
                <a:pt x="3487156" y="5243468"/>
              </a:cubicBezTo>
              <a:cubicBezTo>
                <a:pt x="3506383" y="5243468"/>
                <a:pt x="3521974" y="5259059"/>
                <a:pt x="3521974" y="5278286"/>
              </a:cubicBezTo>
              <a:cubicBezTo>
                <a:pt x="3521974" y="5297514"/>
                <a:pt x="3506383" y="5313105"/>
                <a:pt x="3487156" y="5313105"/>
              </a:cubicBezTo>
              <a:close/>
              <a:moveTo>
                <a:pt x="3572048" y="5313105"/>
              </a:moveTo>
              <a:cubicBezTo>
                <a:pt x="3552820" y="5313105"/>
                <a:pt x="3537229" y="5297514"/>
                <a:pt x="3537229" y="5278286"/>
              </a:cubicBezTo>
              <a:cubicBezTo>
                <a:pt x="3537229" y="5259059"/>
                <a:pt x="3552820" y="5243468"/>
                <a:pt x="3572048" y="5243468"/>
              </a:cubicBezTo>
              <a:cubicBezTo>
                <a:pt x="3591276" y="5243468"/>
                <a:pt x="3606867" y="5259059"/>
                <a:pt x="3606867" y="5278286"/>
              </a:cubicBezTo>
              <a:cubicBezTo>
                <a:pt x="3606867" y="5297514"/>
                <a:pt x="3591276" y="5313105"/>
                <a:pt x="3572048" y="5313105"/>
              </a:cubicBezTo>
              <a:close/>
              <a:moveTo>
                <a:pt x="3656941" y="5313105"/>
              </a:moveTo>
              <a:cubicBezTo>
                <a:pt x="3637713" y="5313105"/>
                <a:pt x="3622122" y="5297514"/>
                <a:pt x="3622122" y="5278286"/>
              </a:cubicBezTo>
              <a:cubicBezTo>
                <a:pt x="3622122" y="5259059"/>
                <a:pt x="3637713" y="5243468"/>
                <a:pt x="3656941" y="5243468"/>
              </a:cubicBezTo>
              <a:cubicBezTo>
                <a:pt x="3676169" y="5243468"/>
                <a:pt x="3691760" y="5259059"/>
                <a:pt x="3691760" y="5278286"/>
              </a:cubicBezTo>
              <a:cubicBezTo>
                <a:pt x="3691760" y="5297514"/>
                <a:pt x="3676169" y="5313105"/>
                <a:pt x="3656941" y="5313105"/>
              </a:cubicBezTo>
              <a:close/>
              <a:moveTo>
                <a:pt x="3741833" y="5313105"/>
              </a:moveTo>
              <a:cubicBezTo>
                <a:pt x="3722606" y="5313105"/>
                <a:pt x="3707014" y="5297514"/>
                <a:pt x="3707014" y="5278286"/>
              </a:cubicBezTo>
              <a:cubicBezTo>
                <a:pt x="3707014" y="5259059"/>
                <a:pt x="3722606" y="5243468"/>
                <a:pt x="3741833" y="5243468"/>
              </a:cubicBezTo>
              <a:cubicBezTo>
                <a:pt x="3761061" y="5243468"/>
                <a:pt x="3776652" y="5259059"/>
                <a:pt x="3776652" y="5278286"/>
              </a:cubicBezTo>
              <a:cubicBezTo>
                <a:pt x="3776652" y="5297514"/>
                <a:pt x="3761061" y="5313105"/>
                <a:pt x="3741833" y="5313105"/>
              </a:cubicBezTo>
              <a:close/>
              <a:moveTo>
                <a:pt x="3911618" y="5313105"/>
              </a:moveTo>
              <a:cubicBezTo>
                <a:pt x="3892390" y="5313105"/>
                <a:pt x="3876799" y="5297514"/>
                <a:pt x="3876799" y="5278286"/>
              </a:cubicBezTo>
              <a:cubicBezTo>
                <a:pt x="3876799" y="5259059"/>
                <a:pt x="3892390" y="5243468"/>
                <a:pt x="3911618" y="5243468"/>
              </a:cubicBezTo>
              <a:cubicBezTo>
                <a:pt x="3930846" y="5243468"/>
                <a:pt x="3946437" y="5259059"/>
                <a:pt x="3946437" y="5278286"/>
              </a:cubicBezTo>
              <a:cubicBezTo>
                <a:pt x="3946437" y="5297514"/>
                <a:pt x="3930846" y="5313105"/>
                <a:pt x="3911618" y="5313105"/>
              </a:cubicBezTo>
              <a:close/>
              <a:moveTo>
                <a:pt x="4081403" y="5313105"/>
              </a:moveTo>
              <a:cubicBezTo>
                <a:pt x="4062176" y="5313105"/>
                <a:pt x="4046584" y="5297514"/>
                <a:pt x="4046584" y="5278286"/>
              </a:cubicBezTo>
              <a:cubicBezTo>
                <a:pt x="4046584" y="5259059"/>
                <a:pt x="4062176" y="5243468"/>
                <a:pt x="4081403" y="5243468"/>
              </a:cubicBezTo>
              <a:cubicBezTo>
                <a:pt x="4100631" y="5243468"/>
                <a:pt x="4116222" y="5259059"/>
                <a:pt x="4116222" y="5278286"/>
              </a:cubicBezTo>
              <a:cubicBezTo>
                <a:pt x="4116222" y="5297514"/>
                <a:pt x="4100631" y="5313105"/>
                <a:pt x="4081403" y="5313105"/>
              </a:cubicBezTo>
              <a:close/>
              <a:moveTo>
                <a:pt x="4675650" y="5313105"/>
              </a:moveTo>
              <a:cubicBezTo>
                <a:pt x="4656422" y="5313105"/>
                <a:pt x="4640831" y="5297514"/>
                <a:pt x="4640831" y="5278286"/>
              </a:cubicBezTo>
              <a:cubicBezTo>
                <a:pt x="4640831" y="5259059"/>
                <a:pt x="4656422" y="5243468"/>
                <a:pt x="4675650" y="5243468"/>
              </a:cubicBezTo>
              <a:cubicBezTo>
                <a:pt x="4694878" y="5243468"/>
                <a:pt x="4710469" y="5259059"/>
                <a:pt x="4710469" y="5278286"/>
              </a:cubicBezTo>
              <a:cubicBezTo>
                <a:pt x="4710469" y="5297514"/>
                <a:pt x="4694878" y="5313105"/>
                <a:pt x="4675650" y="5313105"/>
              </a:cubicBezTo>
              <a:close/>
              <a:moveTo>
                <a:pt x="4760543" y="5313105"/>
              </a:moveTo>
              <a:cubicBezTo>
                <a:pt x="4741316" y="5313105"/>
                <a:pt x="4725724" y="5297514"/>
                <a:pt x="4725724" y="5278286"/>
              </a:cubicBezTo>
              <a:cubicBezTo>
                <a:pt x="4725724" y="5259059"/>
                <a:pt x="4741316" y="5243468"/>
                <a:pt x="4760543" y="5243468"/>
              </a:cubicBezTo>
              <a:cubicBezTo>
                <a:pt x="4779771" y="5243468"/>
                <a:pt x="4795362" y="5259059"/>
                <a:pt x="4795362" y="5278286"/>
              </a:cubicBezTo>
              <a:cubicBezTo>
                <a:pt x="4795362" y="5297514"/>
                <a:pt x="4779771" y="5313105"/>
                <a:pt x="4760543" y="5313105"/>
              </a:cubicBezTo>
              <a:close/>
              <a:moveTo>
                <a:pt x="4845436" y="5313105"/>
              </a:moveTo>
              <a:cubicBezTo>
                <a:pt x="4826208" y="5313105"/>
                <a:pt x="4810617" y="5297514"/>
                <a:pt x="4810617" y="5278286"/>
              </a:cubicBezTo>
              <a:cubicBezTo>
                <a:pt x="4810617" y="5259059"/>
                <a:pt x="4826208" y="5243468"/>
                <a:pt x="4845436" y="5243468"/>
              </a:cubicBezTo>
              <a:cubicBezTo>
                <a:pt x="4864663" y="5243468"/>
                <a:pt x="4880254" y="5259059"/>
                <a:pt x="4880254" y="5278286"/>
              </a:cubicBezTo>
              <a:cubicBezTo>
                <a:pt x="4880254" y="5297514"/>
                <a:pt x="4864663" y="5313105"/>
                <a:pt x="4845436" y="5313105"/>
              </a:cubicBezTo>
              <a:close/>
              <a:moveTo>
                <a:pt x="4930328" y="5313105"/>
              </a:moveTo>
              <a:cubicBezTo>
                <a:pt x="4911100" y="5313105"/>
                <a:pt x="4895509" y="5297514"/>
                <a:pt x="4895509" y="5278286"/>
              </a:cubicBezTo>
              <a:cubicBezTo>
                <a:pt x="4895509" y="5259059"/>
                <a:pt x="4911100" y="5243468"/>
                <a:pt x="4930328" y="5243468"/>
              </a:cubicBezTo>
              <a:cubicBezTo>
                <a:pt x="4949556" y="5243468"/>
                <a:pt x="4965147" y="5259059"/>
                <a:pt x="4965147" y="5278286"/>
              </a:cubicBezTo>
              <a:cubicBezTo>
                <a:pt x="4965147" y="5297514"/>
                <a:pt x="4949556" y="5313105"/>
                <a:pt x="4930328" y="5313105"/>
              </a:cubicBezTo>
              <a:close/>
              <a:moveTo>
                <a:pt x="5015220" y="5313105"/>
              </a:moveTo>
              <a:cubicBezTo>
                <a:pt x="4995992" y="5313105"/>
                <a:pt x="4980401" y="5297514"/>
                <a:pt x="4980401" y="5278286"/>
              </a:cubicBezTo>
              <a:cubicBezTo>
                <a:pt x="4980401" y="5259059"/>
                <a:pt x="4995992" y="5243468"/>
                <a:pt x="5015220" y="5243468"/>
              </a:cubicBezTo>
              <a:cubicBezTo>
                <a:pt x="5034448" y="5243468"/>
                <a:pt x="5050039" y="5259059"/>
                <a:pt x="5050039" y="5278286"/>
              </a:cubicBezTo>
              <a:cubicBezTo>
                <a:pt x="5050039" y="5297514"/>
                <a:pt x="5034448" y="5313105"/>
                <a:pt x="5015220" y="5313105"/>
              </a:cubicBezTo>
              <a:close/>
              <a:moveTo>
                <a:pt x="5100113" y="5313105"/>
              </a:moveTo>
              <a:cubicBezTo>
                <a:pt x="5080886" y="5313105"/>
                <a:pt x="5065294" y="5297514"/>
                <a:pt x="5065294" y="5278286"/>
              </a:cubicBezTo>
              <a:cubicBezTo>
                <a:pt x="5065294" y="5259059"/>
                <a:pt x="5080886" y="5243468"/>
                <a:pt x="5100113" y="5243468"/>
              </a:cubicBezTo>
              <a:cubicBezTo>
                <a:pt x="5119341" y="5243468"/>
                <a:pt x="5134932" y="5259059"/>
                <a:pt x="5134932" y="5278286"/>
              </a:cubicBezTo>
              <a:cubicBezTo>
                <a:pt x="5134932" y="5297514"/>
                <a:pt x="5119341" y="5313105"/>
                <a:pt x="5100113" y="5313105"/>
              </a:cubicBezTo>
              <a:close/>
              <a:moveTo>
                <a:pt x="5185006" y="5313105"/>
              </a:moveTo>
              <a:cubicBezTo>
                <a:pt x="5165778" y="5313105"/>
                <a:pt x="5150187" y="5297514"/>
                <a:pt x="5150187" y="5278286"/>
              </a:cubicBezTo>
              <a:cubicBezTo>
                <a:pt x="5150187" y="5259059"/>
                <a:pt x="5165778" y="5243468"/>
                <a:pt x="5185006" y="5243468"/>
              </a:cubicBezTo>
              <a:cubicBezTo>
                <a:pt x="5204233" y="5243468"/>
                <a:pt x="5219824" y="5259059"/>
                <a:pt x="5219824" y="5278286"/>
              </a:cubicBezTo>
              <a:cubicBezTo>
                <a:pt x="5219824" y="5297514"/>
                <a:pt x="5204233" y="5313105"/>
                <a:pt x="5185006" y="5313105"/>
              </a:cubicBezTo>
              <a:close/>
              <a:moveTo>
                <a:pt x="6458396" y="5313105"/>
              </a:moveTo>
              <a:cubicBezTo>
                <a:pt x="6439168" y="5313105"/>
                <a:pt x="6423570" y="5297514"/>
                <a:pt x="6423570" y="5278286"/>
              </a:cubicBezTo>
              <a:cubicBezTo>
                <a:pt x="6423570" y="5259059"/>
                <a:pt x="6439168" y="5243468"/>
                <a:pt x="6458396" y="5243468"/>
              </a:cubicBezTo>
              <a:cubicBezTo>
                <a:pt x="6477624" y="5243468"/>
                <a:pt x="6493208" y="5259059"/>
                <a:pt x="6493208" y="5278286"/>
              </a:cubicBezTo>
              <a:cubicBezTo>
                <a:pt x="6493208" y="5297514"/>
                <a:pt x="6477624" y="5313105"/>
                <a:pt x="6458396" y="5313105"/>
              </a:cubicBezTo>
              <a:close/>
              <a:moveTo>
                <a:pt x="6543288" y="5313105"/>
              </a:moveTo>
              <a:cubicBezTo>
                <a:pt x="6524060" y="5313105"/>
                <a:pt x="6508463" y="5297514"/>
                <a:pt x="6508463" y="5278286"/>
              </a:cubicBezTo>
              <a:cubicBezTo>
                <a:pt x="6508463" y="5259059"/>
                <a:pt x="6524060" y="5243468"/>
                <a:pt x="6543288" y="5243468"/>
              </a:cubicBezTo>
              <a:cubicBezTo>
                <a:pt x="6562516" y="5243468"/>
                <a:pt x="6578100" y="5259059"/>
                <a:pt x="6578100" y="5278286"/>
              </a:cubicBezTo>
              <a:cubicBezTo>
                <a:pt x="6578100" y="5297514"/>
                <a:pt x="6562516" y="5313105"/>
                <a:pt x="6543288" y="5313105"/>
              </a:cubicBezTo>
              <a:close/>
              <a:moveTo>
                <a:pt x="7052644" y="5313105"/>
              </a:moveTo>
              <a:cubicBezTo>
                <a:pt x="7033416" y="5313105"/>
                <a:pt x="7017818" y="5297514"/>
                <a:pt x="7017818" y="5278286"/>
              </a:cubicBezTo>
              <a:cubicBezTo>
                <a:pt x="7017818" y="5259059"/>
                <a:pt x="7033416" y="5243468"/>
                <a:pt x="7052644" y="5243468"/>
              </a:cubicBezTo>
              <a:cubicBezTo>
                <a:pt x="7071871" y="5243468"/>
                <a:pt x="7087456" y="5259059"/>
                <a:pt x="7087456" y="5278286"/>
              </a:cubicBezTo>
              <a:cubicBezTo>
                <a:pt x="7087456" y="5297514"/>
                <a:pt x="7071871" y="5313105"/>
                <a:pt x="7052644" y="5313105"/>
              </a:cubicBezTo>
              <a:close/>
              <a:moveTo>
                <a:pt x="7392214" y="5313105"/>
              </a:moveTo>
              <a:cubicBezTo>
                <a:pt x="7372986" y="5313105"/>
                <a:pt x="7357388" y="5297514"/>
                <a:pt x="7357388" y="5278286"/>
              </a:cubicBezTo>
              <a:cubicBezTo>
                <a:pt x="7357388" y="5259059"/>
                <a:pt x="7372986" y="5243468"/>
                <a:pt x="7392214" y="5243468"/>
              </a:cubicBezTo>
              <a:cubicBezTo>
                <a:pt x="7411441" y="5243468"/>
                <a:pt x="7427026" y="5259059"/>
                <a:pt x="7427026" y="5278286"/>
              </a:cubicBezTo>
              <a:cubicBezTo>
                <a:pt x="7427026" y="5297514"/>
                <a:pt x="7411441" y="5313105"/>
                <a:pt x="7392214" y="5313105"/>
              </a:cubicBezTo>
              <a:close/>
              <a:moveTo>
                <a:pt x="7477106" y="5313105"/>
              </a:moveTo>
              <a:cubicBezTo>
                <a:pt x="7457878" y="5313105"/>
                <a:pt x="7442280" y="5297514"/>
                <a:pt x="7442280" y="5278286"/>
              </a:cubicBezTo>
              <a:cubicBezTo>
                <a:pt x="7442280" y="5259059"/>
                <a:pt x="7457878" y="5243468"/>
                <a:pt x="7477106" y="5243468"/>
              </a:cubicBezTo>
              <a:cubicBezTo>
                <a:pt x="7496334" y="5243468"/>
                <a:pt x="7511918" y="5259059"/>
                <a:pt x="7511918" y="5278286"/>
              </a:cubicBezTo>
              <a:cubicBezTo>
                <a:pt x="7511918" y="5297514"/>
                <a:pt x="7496334" y="5313105"/>
                <a:pt x="7477106" y="5313105"/>
              </a:cubicBezTo>
              <a:close/>
              <a:moveTo>
                <a:pt x="7646890" y="5313105"/>
              </a:moveTo>
              <a:cubicBezTo>
                <a:pt x="7627663" y="5313105"/>
                <a:pt x="7612065" y="5297514"/>
                <a:pt x="7612065" y="5278286"/>
              </a:cubicBezTo>
              <a:cubicBezTo>
                <a:pt x="7612065" y="5259059"/>
                <a:pt x="7627663" y="5243468"/>
                <a:pt x="7646890" y="5243468"/>
              </a:cubicBezTo>
              <a:cubicBezTo>
                <a:pt x="7666118" y="5243468"/>
                <a:pt x="7681703" y="5259059"/>
                <a:pt x="7681703" y="5278286"/>
              </a:cubicBezTo>
              <a:cubicBezTo>
                <a:pt x="7681703" y="5297514"/>
                <a:pt x="7666118" y="5313105"/>
                <a:pt x="7646890" y="5313105"/>
              </a:cubicBezTo>
              <a:close/>
              <a:moveTo>
                <a:pt x="7731784" y="5313105"/>
              </a:moveTo>
              <a:cubicBezTo>
                <a:pt x="7712556" y="5313105"/>
                <a:pt x="7696958" y="5297514"/>
                <a:pt x="7696958" y="5278286"/>
              </a:cubicBezTo>
              <a:cubicBezTo>
                <a:pt x="7696958" y="5259059"/>
                <a:pt x="7712556" y="5243468"/>
                <a:pt x="7731784" y="5243468"/>
              </a:cubicBezTo>
              <a:cubicBezTo>
                <a:pt x="7751011" y="5243468"/>
                <a:pt x="7766596" y="5259059"/>
                <a:pt x="7766596" y="5278286"/>
              </a:cubicBezTo>
              <a:cubicBezTo>
                <a:pt x="7766596" y="5297514"/>
                <a:pt x="7751011" y="5313105"/>
                <a:pt x="7731784" y="5313105"/>
              </a:cubicBezTo>
              <a:close/>
              <a:moveTo>
                <a:pt x="7901568" y="5313105"/>
              </a:moveTo>
              <a:cubicBezTo>
                <a:pt x="7882340" y="5313105"/>
                <a:pt x="7866743" y="5297514"/>
                <a:pt x="7866743" y="5278286"/>
              </a:cubicBezTo>
              <a:cubicBezTo>
                <a:pt x="7866743" y="5259059"/>
                <a:pt x="7882340" y="5243468"/>
                <a:pt x="7901568" y="5243468"/>
              </a:cubicBezTo>
              <a:cubicBezTo>
                <a:pt x="7920796" y="5243468"/>
                <a:pt x="7936380" y="5259059"/>
                <a:pt x="7936380" y="5278286"/>
              </a:cubicBezTo>
              <a:cubicBezTo>
                <a:pt x="7936380" y="5297514"/>
                <a:pt x="7920796" y="5313105"/>
                <a:pt x="7901568" y="5313105"/>
              </a:cubicBezTo>
              <a:close/>
              <a:moveTo>
                <a:pt x="7986460" y="5313105"/>
              </a:moveTo>
              <a:cubicBezTo>
                <a:pt x="7967233" y="5313105"/>
                <a:pt x="7951635" y="5297514"/>
                <a:pt x="7951635" y="5278286"/>
              </a:cubicBezTo>
              <a:cubicBezTo>
                <a:pt x="7951635" y="5259059"/>
                <a:pt x="7967233" y="5243468"/>
                <a:pt x="7986460" y="5243468"/>
              </a:cubicBezTo>
              <a:cubicBezTo>
                <a:pt x="8005688" y="5243468"/>
                <a:pt x="8021273" y="5259059"/>
                <a:pt x="8021273" y="5278286"/>
              </a:cubicBezTo>
              <a:cubicBezTo>
                <a:pt x="8021273" y="5297514"/>
                <a:pt x="8005688" y="5313105"/>
                <a:pt x="7986460" y="5313105"/>
              </a:cubicBezTo>
              <a:close/>
              <a:moveTo>
                <a:pt x="8071353" y="5313105"/>
              </a:moveTo>
              <a:cubicBezTo>
                <a:pt x="8052125" y="5313105"/>
                <a:pt x="8036527" y="5297514"/>
                <a:pt x="8036527" y="5278286"/>
              </a:cubicBezTo>
              <a:cubicBezTo>
                <a:pt x="8036527" y="5259059"/>
                <a:pt x="8052125" y="5243468"/>
                <a:pt x="8071353" y="5243468"/>
              </a:cubicBezTo>
              <a:cubicBezTo>
                <a:pt x="8090580" y="5243468"/>
                <a:pt x="8106165" y="5259059"/>
                <a:pt x="8106165" y="5278286"/>
              </a:cubicBezTo>
              <a:cubicBezTo>
                <a:pt x="8106165" y="5297514"/>
                <a:pt x="8090580" y="5313105"/>
                <a:pt x="8071353" y="5313105"/>
              </a:cubicBezTo>
              <a:close/>
              <a:moveTo>
                <a:pt x="8156246" y="5313105"/>
              </a:moveTo>
              <a:cubicBezTo>
                <a:pt x="8137018" y="5313105"/>
                <a:pt x="8121420" y="5297514"/>
                <a:pt x="8121420" y="5278286"/>
              </a:cubicBezTo>
              <a:cubicBezTo>
                <a:pt x="8121420" y="5259059"/>
                <a:pt x="8137018" y="5243468"/>
                <a:pt x="8156246" y="5243468"/>
              </a:cubicBezTo>
              <a:cubicBezTo>
                <a:pt x="8175474" y="5243468"/>
                <a:pt x="8191058" y="5259059"/>
                <a:pt x="8191058" y="5278286"/>
              </a:cubicBezTo>
              <a:cubicBezTo>
                <a:pt x="8191058" y="5297514"/>
                <a:pt x="8175474" y="5313105"/>
                <a:pt x="8156246" y="5313105"/>
              </a:cubicBezTo>
              <a:close/>
              <a:moveTo>
                <a:pt x="8241138" y="5313105"/>
              </a:moveTo>
              <a:cubicBezTo>
                <a:pt x="8221910" y="5313105"/>
                <a:pt x="8206313" y="5297514"/>
                <a:pt x="8206313" y="5278286"/>
              </a:cubicBezTo>
              <a:cubicBezTo>
                <a:pt x="8206313" y="5259059"/>
                <a:pt x="8221910" y="5243468"/>
                <a:pt x="8241138" y="5243468"/>
              </a:cubicBezTo>
              <a:cubicBezTo>
                <a:pt x="8260366" y="5243468"/>
                <a:pt x="8275950" y="5259059"/>
                <a:pt x="8275950" y="5278286"/>
              </a:cubicBezTo>
              <a:cubicBezTo>
                <a:pt x="8275950" y="5297514"/>
                <a:pt x="8260366" y="5313105"/>
                <a:pt x="8241138" y="5313105"/>
              </a:cubicBezTo>
              <a:close/>
              <a:moveTo>
                <a:pt x="8326030" y="5313105"/>
              </a:moveTo>
              <a:cubicBezTo>
                <a:pt x="8306803" y="5313105"/>
                <a:pt x="8291205" y="5297514"/>
                <a:pt x="8291205" y="5278286"/>
              </a:cubicBezTo>
              <a:cubicBezTo>
                <a:pt x="8291205" y="5259059"/>
                <a:pt x="8306803" y="5243468"/>
                <a:pt x="8326030" y="5243468"/>
              </a:cubicBezTo>
              <a:cubicBezTo>
                <a:pt x="8345258" y="5243468"/>
                <a:pt x="8360843" y="5259059"/>
                <a:pt x="8360843" y="5278286"/>
              </a:cubicBezTo>
              <a:cubicBezTo>
                <a:pt x="8360843" y="5297514"/>
                <a:pt x="8345258" y="5313105"/>
                <a:pt x="8326030" y="5313105"/>
              </a:cubicBezTo>
              <a:close/>
              <a:moveTo>
                <a:pt x="8410923" y="5313105"/>
              </a:moveTo>
              <a:cubicBezTo>
                <a:pt x="8391695" y="5313105"/>
                <a:pt x="8376097" y="5297514"/>
                <a:pt x="8376097" y="5278286"/>
              </a:cubicBezTo>
              <a:cubicBezTo>
                <a:pt x="8376097" y="5259059"/>
                <a:pt x="8391695" y="5243468"/>
                <a:pt x="8410923" y="5243468"/>
              </a:cubicBezTo>
              <a:cubicBezTo>
                <a:pt x="8430150" y="5243468"/>
                <a:pt x="8445735" y="5259059"/>
                <a:pt x="8445735" y="5278286"/>
              </a:cubicBezTo>
              <a:cubicBezTo>
                <a:pt x="8445735" y="5297514"/>
                <a:pt x="8430150" y="5313105"/>
                <a:pt x="8410923" y="5313105"/>
              </a:cubicBezTo>
              <a:close/>
              <a:moveTo>
                <a:pt x="8495816" y="5313105"/>
              </a:moveTo>
              <a:cubicBezTo>
                <a:pt x="8476588" y="5313105"/>
                <a:pt x="8460990" y="5297514"/>
                <a:pt x="8460990" y="5278286"/>
              </a:cubicBezTo>
              <a:cubicBezTo>
                <a:pt x="8460990" y="5259059"/>
                <a:pt x="8476588" y="5243468"/>
                <a:pt x="8495816" y="5243468"/>
              </a:cubicBezTo>
              <a:cubicBezTo>
                <a:pt x="8515044" y="5243468"/>
                <a:pt x="8530628" y="5259059"/>
                <a:pt x="8530628" y="5278286"/>
              </a:cubicBezTo>
              <a:cubicBezTo>
                <a:pt x="8530628" y="5297514"/>
                <a:pt x="8515044" y="5313105"/>
                <a:pt x="8495816" y="5313105"/>
              </a:cubicBezTo>
              <a:close/>
              <a:moveTo>
                <a:pt x="8580708" y="5313105"/>
              </a:moveTo>
              <a:cubicBezTo>
                <a:pt x="8561480" y="5313105"/>
                <a:pt x="8545883" y="5297514"/>
                <a:pt x="8545883" y="5278286"/>
              </a:cubicBezTo>
              <a:cubicBezTo>
                <a:pt x="8545883" y="5259059"/>
                <a:pt x="8561480" y="5243468"/>
                <a:pt x="8580708" y="5243468"/>
              </a:cubicBezTo>
              <a:cubicBezTo>
                <a:pt x="8599936" y="5243468"/>
                <a:pt x="8615520" y="5259059"/>
                <a:pt x="8615520" y="5278286"/>
              </a:cubicBezTo>
              <a:cubicBezTo>
                <a:pt x="8615520" y="5297514"/>
                <a:pt x="8599936" y="5313105"/>
                <a:pt x="8580708" y="5313105"/>
              </a:cubicBezTo>
              <a:close/>
              <a:moveTo>
                <a:pt x="8665600" y="5313105"/>
              </a:moveTo>
              <a:cubicBezTo>
                <a:pt x="8646373" y="5313105"/>
                <a:pt x="8630775" y="5297514"/>
                <a:pt x="8630775" y="5278286"/>
              </a:cubicBezTo>
              <a:cubicBezTo>
                <a:pt x="8630775" y="5259059"/>
                <a:pt x="8646373" y="5243468"/>
                <a:pt x="8665600" y="5243468"/>
              </a:cubicBezTo>
              <a:cubicBezTo>
                <a:pt x="8684828" y="5243468"/>
                <a:pt x="8700413" y="5259059"/>
                <a:pt x="8700413" y="5278286"/>
              </a:cubicBezTo>
              <a:cubicBezTo>
                <a:pt x="8700413" y="5297514"/>
                <a:pt x="8684828" y="5313105"/>
                <a:pt x="8665600" y="5313105"/>
              </a:cubicBezTo>
              <a:close/>
              <a:moveTo>
                <a:pt x="8750493" y="5313105"/>
              </a:moveTo>
              <a:cubicBezTo>
                <a:pt x="8731265" y="5313105"/>
                <a:pt x="8715667" y="5297514"/>
                <a:pt x="8715667" y="5278286"/>
              </a:cubicBezTo>
              <a:cubicBezTo>
                <a:pt x="8715667" y="5259059"/>
                <a:pt x="8731265" y="5243468"/>
                <a:pt x="8750493" y="5243468"/>
              </a:cubicBezTo>
              <a:cubicBezTo>
                <a:pt x="8769720" y="5243468"/>
                <a:pt x="8785305" y="5259059"/>
                <a:pt x="8785305" y="5278286"/>
              </a:cubicBezTo>
              <a:cubicBezTo>
                <a:pt x="8785305" y="5297514"/>
                <a:pt x="8769720" y="5313105"/>
                <a:pt x="8750493" y="5313105"/>
              </a:cubicBezTo>
              <a:close/>
              <a:moveTo>
                <a:pt x="8835386" y="5313105"/>
              </a:moveTo>
              <a:cubicBezTo>
                <a:pt x="8816158" y="5313105"/>
                <a:pt x="8800560" y="5297514"/>
                <a:pt x="8800560" y="5278286"/>
              </a:cubicBezTo>
              <a:cubicBezTo>
                <a:pt x="8800560" y="5259059"/>
                <a:pt x="8816158" y="5243468"/>
                <a:pt x="8835386" y="5243468"/>
              </a:cubicBezTo>
              <a:cubicBezTo>
                <a:pt x="8854614" y="5243468"/>
                <a:pt x="8870198" y="5259059"/>
                <a:pt x="8870198" y="5278286"/>
              </a:cubicBezTo>
              <a:cubicBezTo>
                <a:pt x="8870198" y="5297514"/>
                <a:pt x="8854614" y="5313105"/>
                <a:pt x="8835386" y="5313105"/>
              </a:cubicBezTo>
              <a:close/>
              <a:moveTo>
                <a:pt x="8920278" y="5313105"/>
              </a:moveTo>
              <a:cubicBezTo>
                <a:pt x="8901050" y="5313105"/>
                <a:pt x="8885453" y="5297514"/>
                <a:pt x="8885453" y="5278286"/>
              </a:cubicBezTo>
              <a:cubicBezTo>
                <a:pt x="8885453" y="5259059"/>
                <a:pt x="8901050" y="5243468"/>
                <a:pt x="8920278" y="5243468"/>
              </a:cubicBezTo>
              <a:cubicBezTo>
                <a:pt x="8939506" y="5243468"/>
                <a:pt x="8955090" y="5259059"/>
                <a:pt x="8955090" y="5278286"/>
              </a:cubicBezTo>
              <a:cubicBezTo>
                <a:pt x="8955090" y="5297514"/>
                <a:pt x="8939506" y="5313105"/>
                <a:pt x="8920278" y="5313105"/>
              </a:cubicBezTo>
              <a:close/>
              <a:moveTo>
                <a:pt x="9005170" y="5313105"/>
              </a:moveTo>
              <a:cubicBezTo>
                <a:pt x="8985943" y="5313105"/>
                <a:pt x="8970345" y="5297514"/>
                <a:pt x="8970345" y="5278286"/>
              </a:cubicBezTo>
              <a:cubicBezTo>
                <a:pt x="8970345" y="5259059"/>
                <a:pt x="8985943" y="5243468"/>
                <a:pt x="9005170" y="5243468"/>
              </a:cubicBezTo>
              <a:cubicBezTo>
                <a:pt x="9024398" y="5243468"/>
                <a:pt x="9039983" y="5259059"/>
                <a:pt x="9039983" y="5278286"/>
              </a:cubicBezTo>
              <a:cubicBezTo>
                <a:pt x="9039983" y="5297514"/>
                <a:pt x="9024398" y="5313105"/>
                <a:pt x="9005170" y="5313105"/>
              </a:cubicBezTo>
              <a:close/>
              <a:moveTo>
                <a:pt x="9090063" y="5313105"/>
              </a:moveTo>
              <a:cubicBezTo>
                <a:pt x="9070835" y="5313105"/>
                <a:pt x="9055237" y="5297514"/>
                <a:pt x="9055237" y="5278286"/>
              </a:cubicBezTo>
              <a:cubicBezTo>
                <a:pt x="9055237" y="5259059"/>
                <a:pt x="9070835" y="5243468"/>
                <a:pt x="9090063" y="5243468"/>
              </a:cubicBezTo>
              <a:cubicBezTo>
                <a:pt x="9109290" y="5243468"/>
                <a:pt x="9124875" y="5259059"/>
                <a:pt x="9124875" y="5278286"/>
              </a:cubicBezTo>
              <a:cubicBezTo>
                <a:pt x="9124875" y="5297514"/>
                <a:pt x="9109290" y="5313105"/>
                <a:pt x="9090063" y="5313105"/>
              </a:cubicBezTo>
              <a:close/>
              <a:moveTo>
                <a:pt x="9174956" y="5313105"/>
              </a:moveTo>
              <a:cubicBezTo>
                <a:pt x="9155728" y="5313105"/>
                <a:pt x="9140130" y="5297514"/>
                <a:pt x="9140130" y="5278286"/>
              </a:cubicBezTo>
              <a:cubicBezTo>
                <a:pt x="9140130" y="5259059"/>
                <a:pt x="9155728" y="5243468"/>
                <a:pt x="9174956" y="5243468"/>
              </a:cubicBezTo>
              <a:cubicBezTo>
                <a:pt x="9194184" y="5243468"/>
                <a:pt x="9209768" y="5259059"/>
                <a:pt x="9209768" y="5278286"/>
              </a:cubicBezTo>
              <a:cubicBezTo>
                <a:pt x="9209768" y="5297514"/>
                <a:pt x="9194184" y="5313105"/>
                <a:pt x="9174956" y="5313105"/>
              </a:cubicBezTo>
              <a:close/>
              <a:moveTo>
                <a:pt x="9259848" y="5313105"/>
              </a:moveTo>
              <a:cubicBezTo>
                <a:pt x="9240620" y="5313105"/>
                <a:pt x="9225023" y="5297514"/>
                <a:pt x="9225023" y="5278286"/>
              </a:cubicBezTo>
              <a:cubicBezTo>
                <a:pt x="9225023" y="5259059"/>
                <a:pt x="9240620" y="5243468"/>
                <a:pt x="9259848" y="5243468"/>
              </a:cubicBezTo>
              <a:cubicBezTo>
                <a:pt x="9279076" y="5243468"/>
                <a:pt x="9294660" y="5259059"/>
                <a:pt x="9294660" y="5278286"/>
              </a:cubicBezTo>
              <a:cubicBezTo>
                <a:pt x="9294660" y="5297514"/>
                <a:pt x="9279076" y="5313105"/>
                <a:pt x="9259848" y="5313105"/>
              </a:cubicBezTo>
              <a:close/>
              <a:moveTo>
                <a:pt x="9344740" y="5313105"/>
              </a:moveTo>
              <a:cubicBezTo>
                <a:pt x="9325513" y="5313105"/>
                <a:pt x="9309915" y="5297514"/>
                <a:pt x="9309915" y="5278286"/>
              </a:cubicBezTo>
              <a:cubicBezTo>
                <a:pt x="9309915" y="5259059"/>
                <a:pt x="9325513" y="5243468"/>
                <a:pt x="9344740" y="5243468"/>
              </a:cubicBezTo>
              <a:cubicBezTo>
                <a:pt x="9363968" y="5243468"/>
                <a:pt x="9379553" y="5259059"/>
                <a:pt x="9379553" y="5278286"/>
              </a:cubicBezTo>
              <a:cubicBezTo>
                <a:pt x="9379553" y="5297514"/>
                <a:pt x="9363968" y="5313105"/>
                <a:pt x="9344740" y="5313105"/>
              </a:cubicBezTo>
              <a:close/>
              <a:moveTo>
                <a:pt x="9429633" y="5313105"/>
              </a:moveTo>
              <a:cubicBezTo>
                <a:pt x="9410405" y="5313105"/>
                <a:pt x="9394807" y="5297514"/>
                <a:pt x="9394807" y="5278286"/>
              </a:cubicBezTo>
              <a:cubicBezTo>
                <a:pt x="9394807" y="5259059"/>
                <a:pt x="9410405" y="5243468"/>
                <a:pt x="9429633" y="5243468"/>
              </a:cubicBezTo>
              <a:cubicBezTo>
                <a:pt x="9448860" y="5243468"/>
                <a:pt x="9464445" y="5259059"/>
                <a:pt x="9464445" y="5278286"/>
              </a:cubicBezTo>
              <a:cubicBezTo>
                <a:pt x="9464445" y="5297514"/>
                <a:pt x="9448860" y="5313105"/>
                <a:pt x="9429633" y="5313105"/>
              </a:cubicBezTo>
              <a:close/>
              <a:moveTo>
                <a:pt x="9514525" y="5313105"/>
              </a:moveTo>
              <a:cubicBezTo>
                <a:pt x="9495297" y="5313105"/>
                <a:pt x="9479699" y="5297514"/>
                <a:pt x="9479699" y="5278286"/>
              </a:cubicBezTo>
              <a:cubicBezTo>
                <a:pt x="9479699" y="5259059"/>
                <a:pt x="9495297" y="5243468"/>
                <a:pt x="9514525" y="5243468"/>
              </a:cubicBezTo>
              <a:cubicBezTo>
                <a:pt x="9533753" y="5243468"/>
                <a:pt x="9549337" y="5259059"/>
                <a:pt x="9549337" y="5278286"/>
              </a:cubicBezTo>
              <a:cubicBezTo>
                <a:pt x="9549337" y="5297514"/>
                <a:pt x="9533753" y="5313105"/>
                <a:pt x="9514525" y="5313105"/>
              </a:cubicBezTo>
              <a:close/>
              <a:moveTo>
                <a:pt x="9599418" y="5313105"/>
              </a:moveTo>
              <a:cubicBezTo>
                <a:pt x="9580190" y="5313105"/>
                <a:pt x="9564593" y="5297514"/>
                <a:pt x="9564593" y="5278286"/>
              </a:cubicBezTo>
              <a:cubicBezTo>
                <a:pt x="9564593" y="5259059"/>
                <a:pt x="9580190" y="5243468"/>
                <a:pt x="9599418" y="5243468"/>
              </a:cubicBezTo>
              <a:cubicBezTo>
                <a:pt x="9618646" y="5243468"/>
                <a:pt x="9634230" y="5259059"/>
                <a:pt x="9634230" y="5278286"/>
              </a:cubicBezTo>
              <a:cubicBezTo>
                <a:pt x="9634230" y="5297514"/>
                <a:pt x="9618646" y="5313105"/>
                <a:pt x="9599418" y="5313105"/>
              </a:cubicBezTo>
              <a:close/>
              <a:moveTo>
                <a:pt x="9684310" y="5313105"/>
              </a:moveTo>
              <a:cubicBezTo>
                <a:pt x="9665083" y="5313105"/>
                <a:pt x="9649485" y="5297514"/>
                <a:pt x="9649485" y="5278286"/>
              </a:cubicBezTo>
              <a:cubicBezTo>
                <a:pt x="9649485" y="5259059"/>
                <a:pt x="9665083" y="5243468"/>
                <a:pt x="9684310" y="5243468"/>
              </a:cubicBezTo>
              <a:cubicBezTo>
                <a:pt x="9703538" y="5243468"/>
                <a:pt x="9719123" y="5259059"/>
                <a:pt x="9719123" y="5278286"/>
              </a:cubicBezTo>
              <a:cubicBezTo>
                <a:pt x="9719123" y="5297514"/>
                <a:pt x="9703538" y="5313105"/>
                <a:pt x="9684310" y="5313105"/>
              </a:cubicBezTo>
              <a:close/>
              <a:moveTo>
                <a:pt x="9769203" y="5313105"/>
              </a:moveTo>
              <a:cubicBezTo>
                <a:pt x="9749975" y="5313105"/>
                <a:pt x="9734377" y="5297514"/>
                <a:pt x="9734377" y="5278286"/>
              </a:cubicBezTo>
              <a:cubicBezTo>
                <a:pt x="9734377" y="5259059"/>
                <a:pt x="9749975" y="5243468"/>
                <a:pt x="9769203" y="5243468"/>
              </a:cubicBezTo>
              <a:cubicBezTo>
                <a:pt x="9788430" y="5243468"/>
                <a:pt x="9804015" y="5259059"/>
                <a:pt x="9804015" y="5278286"/>
              </a:cubicBezTo>
              <a:cubicBezTo>
                <a:pt x="9804015" y="5297514"/>
                <a:pt x="9788430" y="5313105"/>
                <a:pt x="9769203" y="5313105"/>
              </a:cubicBezTo>
              <a:close/>
              <a:moveTo>
                <a:pt x="9854095" y="5313105"/>
              </a:moveTo>
              <a:cubicBezTo>
                <a:pt x="9834867" y="5313105"/>
                <a:pt x="9819269" y="5297514"/>
                <a:pt x="9819269" y="5278286"/>
              </a:cubicBezTo>
              <a:cubicBezTo>
                <a:pt x="9819269" y="5259059"/>
                <a:pt x="9834867" y="5243468"/>
                <a:pt x="9854095" y="5243468"/>
              </a:cubicBezTo>
              <a:cubicBezTo>
                <a:pt x="9873323" y="5243468"/>
                <a:pt x="9888907" y="5259059"/>
                <a:pt x="9888907" y="5278286"/>
              </a:cubicBezTo>
              <a:cubicBezTo>
                <a:pt x="9888907" y="5297514"/>
                <a:pt x="9873323" y="5313105"/>
                <a:pt x="9854095" y="5313105"/>
              </a:cubicBezTo>
              <a:close/>
              <a:moveTo>
                <a:pt x="9938988" y="5313105"/>
              </a:moveTo>
              <a:cubicBezTo>
                <a:pt x="9919760" y="5313105"/>
                <a:pt x="9904163" y="5297514"/>
                <a:pt x="9904163" y="5278286"/>
              </a:cubicBezTo>
              <a:cubicBezTo>
                <a:pt x="9904163" y="5259059"/>
                <a:pt x="9919760" y="5243468"/>
                <a:pt x="9938988" y="5243468"/>
              </a:cubicBezTo>
              <a:cubicBezTo>
                <a:pt x="9958216" y="5243468"/>
                <a:pt x="9973800" y="5259059"/>
                <a:pt x="9973800" y="5278286"/>
              </a:cubicBezTo>
              <a:cubicBezTo>
                <a:pt x="9973800" y="5297514"/>
                <a:pt x="9958216" y="5313105"/>
                <a:pt x="9938988" y="5313105"/>
              </a:cubicBezTo>
              <a:close/>
              <a:moveTo>
                <a:pt x="10023880" y="5313105"/>
              </a:moveTo>
              <a:cubicBezTo>
                <a:pt x="10004653" y="5313105"/>
                <a:pt x="9989055" y="5297514"/>
                <a:pt x="9989055" y="5278286"/>
              </a:cubicBezTo>
              <a:cubicBezTo>
                <a:pt x="9989055" y="5259059"/>
                <a:pt x="10004653" y="5243468"/>
                <a:pt x="10023880" y="5243468"/>
              </a:cubicBezTo>
              <a:cubicBezTo>
                <a:pt x="10043108" y="5243468"/>
                <a:pt x="10058693" y="5259059"/>
                <a:pt x="10058693" y="5278286"/>
              </a:cubicBezTo>
              <a:cubicBezTo>
                <a:pt x="10058693" y="5297514"/>
                <a:pt x="10043108" y="5313105"/>
                <a:pt x="10023880" y="5313105"/>
              </a:cubicBezTo>
              <a:close/>
              <a:moveTo>
                <a:pt x="10278558" y="5313105"/>
              </a:moveTo>
              <a:cubicBezTo>
                <a:pt x="10259330" y="5313105"/>
                <a:pt x="10243733" y="5297514"/>
                <a:pt x="10243733" y="5278286"/>
              </a:cubicBezTo>
              <a:cubicBezTo>
                <a:pt x="10243733" y="5259059"/>
                <a:pt x="10259330" y="5243468"/>
                <a:pt x="10278558" y="5243468"/>
              </a:cubicBezTo>
              <a:cubicBezTo>
                <a:pt x="10297786" y="5243468"/>
                <a:pt x="10313370" y="5259059"/>
                <a:pt x="10313370" y="5278286"/>
              </a:cubicBezTo>
              <a:cubicBezTo>
                <a:pt x="10313370" y="5297514"/>
                <a:pt x="10297786" y="5313105"/>
                <a:pt x="10278558" y="5313105"/>
              </a:cubicBezTo>
              <a:close/>
              <a:moveTo>
                <a:pt x="1449737" y="5228245"/>
              </a:moveTo>
              <a:cubicBezTo>
                <a:pt x="1430509" y="5228245"/>
                <a:pt x="1414918" y="5212654"/>
                <a:pt x="1414918" y="5193427"/>
              </a:cubicBezTo>
              <a:cubicBezTo>
                <a:pt x="1414918" y="5174199"/>
                <a:pt x="1430509" y="5158608"/>
                <a:pt x="1449737" y="5158608"/>
              </a:cubicBezTo>
              <a:cubicBezTo>
                <a:pt x="1468964" y="5158608"/>
                <a:pt x="1484555" y="5174199"/>
                <a:pt x="1484555" y="5193427"/>
              </a:cubicBezTo>
              <a:cubicBezTo>
                <a:pt x="1484555" y="5212654"/>
                <a:pt x="1468964" y="5228245"/>
                <a:pt x="1449737" y="5228245"/>
              </a:cubicBezTo>
              <a:close/>
              <a:moveTo>
                <a:pt x="1534629" y="5228245"/>
              </a:moveTo>
              <a:cubicBezTo>
                <a:pt x="1515401" y="5228245"/>
                <a:pt x="1499810" y="5212654"/>
                <a:pt x="1499810" y="5193427"/>
              </a:cubicBezTo>
              <a:cubicBezTo>
                <a:pt x="1499810" y="5174199"/>
                <a:pt x="1515401" y="5158608"/>
                <a:pt x="1534629" y="5158608"/>
              </a:cubicBezTo>
              <a:cubicBezTo>
                <a:pt x="1553857" y="5158608"/>
                <a:pt x="1569448" y="5174199"/>
                <a:pt x="1569448" y="5193427"/>
              </a:cubicBezTo>
              <a:cubicBezTo>
                <a:pt x="1569448" y="5212654"/>
                <a:pt x="1553857" y="5228245"/>
                <a:pt x="1534629" y="5228245"/>
              </a:cubicBezTo>
              <a:close/>
              <a:moveTo>
                <a:pt x="1619521" y="5228245"/>
              </a:moveTo>
              <a:cubicBezTo>
                <a:pt x="1600293" y="5228245"/>
                <a:pt x="1584702" y="5212654"/>
                <a:pt x="1584702" y="5193427"/>
              </a:cubicBezTo>
              <a:cubicBezTo>
                <a:pt x="1584702" y="5174199"/>
                <a:pt x="1600293" y="5158608"/>
                <a:pt x="1619521" y="5158608"/>
              </a:cubicBezTo>
              <a:cubicBezTo>
                <a:pt x="1638749" y="5158608"/>
                <a:pt x="1654340" y="5174199"/>
                <a:pt x="1654340" y="5193427"/>
              </a:cubicBezTo>
              <a:cubicBezTo>
                <a:pt x="1654340" y="5212654"/>
                <a:pt x="1638749" y="5228245"/>
                <a:pt x="1619521" y="5228245"/>
              </a:cubicBezTo>
              <a:close/>
              <a:moveTo>
                <a:pt x="1704413" y="5228245"/>
              </a:moveTo>
              <a:cubicBezTo>
                <a:pt x="1685186" y="5228245"/>
                <a:pt x="1669594" y="5212654"/>
                <a:pt x="1669594" y="5193427"/>
              </a:cubicBezTo>
              <a:cubicBezTo>
                <a:pt x="1669594" y="5174199"/>
                <a:pt x="1685186" y="5158608"/>
                <a:pt x="1704413" y="5158608"/>
              </a:cubicBezTo>
              <a:cubicBezTo>
                <a:pt x="1723641" y="5158608"/>
                <a:pt x="1739232" y="5174199"/>
                <a:pt x="1739232" y="5193427"/>
              </a:cubicBezTo>
              <a:cubicBezTo>
                <a:pt x="1739232" y="5212654"/>
                <a:pt x="1723641" y="5228245"/>
                <a:pt x="1704413" y="5228245"/>
              </a:cubicBezTo>
              <a:close/>
              <a:moveTo>
                <a:pt x="1789306" y="5228245"/>
              </a:moveTo>
              <a:cubicBezTo>
                <a:pt x="1770078" y="5228245"/>
                <a:pt x="1754487" y="5212654"/>
                <a:pt x="1754487" y="5193427"/>
              </a:cubicBezTo>
              <a:cubicBezTo>
                <a:pt x="1754487" y="5174199"/>
                <a:pt x="1770078" y="5158608"/>
                <a:pt x="1789306" y="5158608"/>
              </a:cubicBezTo>
              <a:cubicBezTo>
                <a:pt x="1808533" y="5158608"/>
                <a:pt x="1824124" y="5174199"/>
                <a:pt x="1824124" y="5193427"/>
              </a:cubicBezTo>
              <a:cubicBezTo>
                <a:pt x="1824124" y="5212654"/>
                <a:pt x="1808533" y="5228245"/>
                <a:pt x="1789306" y="5228245"/>
              </a:cubicBezTo>
              <a:close/>
              <a:moveTo>
                <a:pt x="1959091" y="5228245"/>
              </a:moveTo>
              <a:cubicBezTo>
                <a:pt x="1939863" y="5228245"/>
                <a:pt x="1924272" y="5212654"/>
                <a:pt x="1924272" y="5193427"/>
              </a:cubicBezTo>
              <a:cubicBezTo>
                <a:pt x="1924272" y="5174199"/>
                <a:pt x="1939863" y="5158608"/>
                <a:pt x="1959091" y="5158608"/>
              </a:cubicBezTo>
              <a:cubicBezTo>
                <a:pt x="1978319" y="5158608"/>
                <a:pt x="1993910" y="5174199"/>
                <a:pt x="1993910" y="5193427"/>
              </a:cubicBezTo>
              <a:cubicBezTo>
                <a:pt x="1993910" y="5212654"/>
                <a:pt x="1978319" y="5228245"/>
                <a:pt x="1959091" y="5228245"/>
              </a:cubicBezTo>
              <a:close/>
              <a:moveTo>
                <a:pt x="2043983" y="5228245"/>
              </a:moveTo>
              <a:cubicBezTo>
                <a:pt x="2024756" y="5228245"/>
                <a:pt x="2009164" y="5212654"/>
                <a:pt x="2009164" y="5193427"/>
              </a:cubicBezTo>
              <a:cubicBezTo>
                <a:pt x="2009164" y="5174199"/>
                <a:pt x="2024756" y="5158608"/>
                <a:pt x="2043983" y="5158608"/>
              </a:cubicBezTo>
              <a:cubicBezTo>
                <a:pt x="2063211" y="5158608"/>
                <a:pt x="2078802" y="5174199"/>
                <a:pt x="2078802" y="5193427"/>
              </a:cubicBezTo>
              <a:cubicBezTo>
                <a:pt x="2078802" y="5212654"/>
                <a:pt x="2063211" y="5228245"/>
                <a:pt x="2043983" y="5228245"/>
              </a:cubicBezTo>
              <a:close/>
              <a:moveTo>
                <a:pt x="2128876" y="5228245"/>
              </a:moveTo>
              <a:cubicBezTo>
                <a:pt x="2109648" y="5228245"/>
                <a:pt x="2094057" y="5212654"/>
                <a:pt x="2094057" y="5193427"/>
              </a:cubicBezTo>
              <a:cubicBezTo>
                <a:pt x="2094057" y="5174199"/>
                <a:pt x="2109648" y="5158608"/>
                <a:pt x="2128876" y="5158608"/>
              </a:cubicBezTo>
              <a:cubicBezTo>
                <a:pt x="2148103" y="5158608"/>
                <a:pt x="2163694" y="5174199"/>
                <a:pt x="2163694" y="5193427"/>
              </a:cubicBezTo>
              <a:cubicBezTo>
                <a:pt x="2163694" y="5212654"/>
                <a:pt x="2148103" y="5228245"/>
                <a:pt x="2128876" y="5228245"/>
              </a:cubicBezTo>
              <a:close/>
              <a:moveTo>
                <a:pt x="2213769" y="5228245"/>
              </a:moveTo>
              <a:cubicBezTo>
                <a:pt x="2194541" y="5228245"/>
                <a:pt x="2178950" y="5212654"/>
                <a:pt x="2178950" y="5193427"/>
              </a:cubicBezTo>
              <a:cubicBezTo>
                <a:pt x="2178950" y="5174199"/>
                <a:pt x="2194541" y="5158608"/>
                <a:pt x="2213769" y="5158608"/>
              </a:cubicBezTo>
              <a:cubicBezTo>
                <a:pt x="2232997" y="5158608"/>
                <a:pt x="2248588" y="5174199"/>
                <a:pt x="2248588" y="5193427"/>
              </a:cubicBezTo>
              <a:cubicBezTo>
                <a:pt x="2248588" y="5212654"/>
                <a:pt x="2232997" y="5228245"/>
                <a:pt x="2213769" y="5228245"/>
              </a:cubicBezTo>
              <a:close/>
              <a:moveTo>
                <a:pt x="2298661" y="5228245"/>
              </a:moveTo>
              <a:cubicBezTo>
                <a:pt x="2279433" y="5228245"/>
                <a:pt x="2263842" y="5212654"/>
                <a:pt x="2263842" y="5193427"/>
              </a:cubicBezTo>
              <a:cubicBezTo>
                <a:pt x="2263842" y="5174199"/>
                <a:pt x="2279433" y="5158608"/>
                <a:pt x="2298661" y="5158608"/>
              </a:cubicBezTo>
              <a:cubicBezTo>
                <a:pt x="2317889" y="5158608"/>
                <a:pt x="2333480" y="5174199"/>
                <a:pt x="2333480" y="5193427"/>
              </a:cubicBezTo>
              <a:cubicBezTo>
                <a:pt x="2333480" y="5212654"/>
                <a:pt x="2317889" y="5228245"/>
                <a:pt x="2298661" y="5228245"/>
              </a:cubicBezTo>
              <a:close/>
              <a:moveTo>
                <a:pt x="2383553" y="5228245"/>
              </a:moveTo>
              <a:cubicBezTo>
                <a:pt x="2364326" y="5228245"/>
                <a:pt x="2348734" y="5212654"/>
                <a:pt x="2348734" y="5193427"/>
              </a:cubicBezTo>
              <a:cubicBezTo>
                <a:pt x="2348734" y="5174199"/>
                <a:pt x="2364326" y="5158608"/>
                <a:pt x="2383553" y="5158608"/>
              </a:cubicBezTo>
              <a:cubicBezTo>
                <a:pt x="2402781" y="5158608"/>
                <a:pt x="2418372" y="5174199"/>
                <a:pt x="2418372" y="5193427"/>
              </a:cubicBezTo>
              <a:cubicBezTo>
                <a:pt x="2418372" y="5212654"/>
                <a:pt x="2402781" y="5228245"/>
                <a:pt x="2383553" y="5228245"/>
              </a:cubicBezTo>
              <a:close/>
              <a:moveTo>
                <a:pt x="2468446" y="5228245"/>
              </a:moveTo>
              <a:cubicBezTo>
                <a:pt x="2449218" y="5228245"/>
                <a:pt x="2433627" y="5212654"/>
                <a:pt x="2433627" y="5193427"/>
              </a:cubicBezTo>
              <a:cubicBezTo>
                <a:pt x="2433627" y="5174199"/>
                <a:pt x="2449218" y="5158608"/>
                <a:pt x="2468446" y="5158608"/>
              </a:cubicBezTo>
              <a:cubicBezTo>
                <a:pt x="2487673" y="5158608"/>
                <a:pt x="2503264" y="5174199"/>
                <a:pt x="2503264" y="5193427"/>
              </a:cubicBezTo>
              <a:cubicBezTo>
                <a:pt x="2503264" y="5212654"/>
                <a:pt x="2487673" y="5228245"/>
                <a:pt x="2468446" y="5228245"/>
              </a:cubicBezTo>
              <a:close/>
              <a:moveTo>
                <a:pt x="2553339" y="5228245"/>
              </a:moveTo>
              <a:cubicBezTo>
                <a:pt x="2534111" y="5228245"/>
                <a:pt x="2518520" y="5212654"/>
                <a:pt x="2518520" y="5193427"/>
              </a:cubicBezTo>
              <a:cubicBezTo>
                <a:pt x="2518520" y="5174199"/>
                <a:pt x="2534111" y="5158608"/>
                <a:pt x="2553339" y="5158608"/>
              </a:cubicBezTo>
              <a:cubicBezTo>
                <a:pt x="2572567" y="5158608"/>
                <a:pt x="2588158" y="5174199"/>
                <a:pt x="2588158" y="5193427"/>
              </a:cubicBezTo>
              <a:cubicBezTo>
                <a:pt x="2588158" y="5212654"/>
                <a:pt x="2572567" y="5228245"/>
                <a:pt x="2553339" y="5228245"/>
              </a:cubicBezTo>
              <a:close/>
              <a:moveTo>
                <a:pt x="2638231" y="5228245"/>
              </a:moveTo>
              <a:cubicBezTo>
                <a:pt x="2619003" y="5228245"/>
                <a:pt x="2603412" y="5212654"/>
                <a:pt x="2603412" y="5193427"/>
              </a:cubicBezTo>
              <a:cubicBezTo>
                <a:pt x="2603412" y="5174199"/>
                <a:pt x="2619003" y="5158608"/>
                <a:pt x="2638231" y="5158608"/>
              </a:cubicBezTo>
              <a:cubicBezTo>
                <a:pt x="2657459" y="5158608"/>
                <a:pt x="2673050" y="5174199"/>
                <a:pt x="2673050" y="5193427"/>
              </a:cubicBezTo>
              <a:cubicBezTo>
                <a:pt x="2673050" y="5212654"/>
                <a:pt x="2657459" y="5228245"/>
                <a:pt x="2638231" y="5228245"/>
              </a:cubicBezTo>
              <a:close/>
              <a:moveTo>
                <a:pt x="2808016" y="5228245"/>
              </a:moveTo>
              <a:cubicBezTo>
                <a:pt x="2788788" y="5228245"/>
                <a:pt x="2773197" y="5212654"/>
                <a:pt x="2773197" y="5193427"/>
              </a:cubicBezTo>
              <a:cubicBezTo>
                <a:pt x="2773197" y="5174199"/>
                <a:pt x="2788788" y="5158608"/>
                <a:pt x="2808016" y="5158608"/>
              </a:cubicBezTo>
              <a:cubicBezTo>
                <a:pt x="2827243" y="5158608"/>
                <a:pt x="2842834" y="5174199"/>
                <a:pt x="2842834" y="5193427"/>
              </a:cubicBezTo>
              <a:cubicBezTo>
                <a:pt x="2842834" y="5212654"/>
                <a:pt x="2827243" y="5228245"/>
                <a:pt x="2808016" y="5228245"/>
              </a:cubicBezTo>
              <a:close/>
              <a:moveTo>
                <a:pt x="2892908" y="5228245"/>
              </a:moveTo>
              <a:cubicBezTo>
                <a:pt x="2873680" y="5228245"/>
                <a:pt x="2858089" y="5212654"/>
                <a:pt x="2858089" y="5193427"/>
              </a:cubicBezTo>
              <a:cubicBezTo>
                <a:pt x="2858089" y="5174199"/>
                <a:pt x="2873680" y="5158608"/>
                <a:pt x="2892908" y="5158608"/>
              </a:cubicBezTo>
              <a:cubicBezTo>
                <a:pt x="2912136" y="5158608"/>
                <a:pt x="2927727" y="5174199"/>
                <a:pt x="2927727" y="5193427"/>
              </a:cubicBezTo>
              <a:cubicBezTo>
                <a:pt x="2927727" y="5212654"/>
                <a:pt x="2912136" y="5228245"/>
                <a:pt x="2892908" y="5228245"/>
              </a:cubicBezTo>
              <a:close/>
              <a:moveTo>
                <a:pt x="3062693" y="5228245"/>
              </a:moveTo>
              <a:cubicBezTo>
                <a:pt x="3043466" y="5228245"/>
                <a:pt x="3027874" y="5212654"/>
                <a:pt x="3027874" y="5193427"/>
              </a:cubicBezTo>
              <a:cubicBezTo>
                <a:pt x="3027874" y="5174199"/>
                <a:pt x="3043466" y="5158608"/>
                <a:pt x="3062693" y="5158608"/>
              </a:cubicBezTo>
              <a:cubicBezTo>
                <a:pt x="3081921" y="5158608"/>
                <a:pt x="3097512" y="5174199"/>
                <a:pt x="3097512" y="5193427"/>
              </a:cubicBezTo>
              <a:cubicBezTo>
                <a:pt x="3097512" y="5212654"/>
                <a:pt x="3081921" y="5228245"/>
                <a:pt x="3062693" y="5228245"/>
              </a:cubicBezTo>
              <a:close/>
              <a:moveTo>
                <a:pt x="3147586" y="5228245"/>
              </a:moveTo>
              <a:cubicBezTo>
                <a:pt x="3128358" y="5228245"/>
                <a:pt x="3112767" y="5212654"/>
                <a:pt x="3112767" y="5193427"/>
              </a:cubicBezTo>
              <a:cubicBezTo>
                <a:pt x="3112767" y="5174199"/>
                <a:pt x="3128358" y="5158608"/>
                <a:pt x="3147586" y="5158608"/>
              </a:cubicBezTo>
              <a:cubicBezTo>
                <a:pt x="3166813" y="5158608"/>
                <a:pt x="3182404" y="5174199"/>
                <a:pt x="3182404" y="5193427"/>
              </a:cubicBezTo>
              <a:cubicBezTo>
                <a:pt x="3182404" y="5212654"/>
                <a:pt x="3166813" y="5228245"/>
                <a:pt x="3147586" y="5228245"/>
              </a:cubicBezTo>
              <a:close/>
              <a:moveTo>
                <a:pt x="3232478" y="5228245"/>
              </a:moveTo>
              <a:cubicBezTo>
                <a:pt x="3213250" y="5228245"/>
                <a:pt x="3197659" y="5212654"/>
                <a:pt x="3197659" y="5193427"/>
              </a:cubicBezTo>
              <a:cubicBezTo>
                <a:pt x="3197659" y="5174199"/>
                <a:pt x="3213250" y="5158608"/>
                <a:pt x="3232478" y="5158608"/>
              </a:cubicBezTo>
              <a:cubicBezTo>
                <a:pt x="3251706" y="5158608"/>
                <a:pt x="3267297" y="5174199"/>
                <a:pt x="3267297" y="5193427"/>
              </a:cubicBezTo>
              <a:cubicBezTo>
                <a:pt x="3267297" y="5212654"/>
                <a:pt x="3251706" y="5228245"/>
                <a:pt x="3232478" y="5228245"/>
              </a:cubicBezTo>
              <a:close/>
              <a:moveTo>
                <a:pt x="3402263" y="5228245"/>
              </a:moveTo>
              <a:cubicBezTo>
                <a:pt x="3383036" y="5228245"/>
                <a:pt x="3367444" y="5212654"/>
                <a:pt x="3367444" y="5193427"/>
              </a:cubicBezTo>
              <a:cubicBezTo>
                <a:pt x="3367444" y="5174199"/>
                <a:pt x="3383036" y="5158608"/>
                <a:pt x="3402263" y="5158608"/>
              </a:cubicBezTo>
              <a:cubicBezTo>
                <a:pt x="3421491" y="5158608"/>
                <a:pt x="3437082" y="5174199"/>
                <a:pt x="3437082" y="5193427"/>
              </a:cubicBezTo>
              <a:cubicBezTo>
                <a:pt x="3437082" y="5212654"/>
                <a:pt x="3421491" y="5228245"/>
                <a:pt x="3402263" y="5228245"/>
              </a:cubicBezTo>
              <a:close/>
              <a:moveTo>
                <a:pt x="3487156" y="5228245"/>
              </a:moveTo>
              <a:cubicBezTo>
                <a:pt x="3467928" y="5228245"/>
                <a:pt x="3452337" y="5212654"/>
                <a:pt x="3452337" y="5193427"/>
              </a:cubicBezTo>
              <a:cubicBezTo>
                <a:pt x="3452337" y="5174199"/>
                <a:pt x="3467928" y="5158608"/>
                <a:pt x="3487156" y="5158608"/>
              </a:cubicBezTo>
              <a:cubicBezTo>
                <a:pt x="3506383" y="5158608"/>
                <a:pt x="3521974" y="5174199"/>
                <a:pt x="3521974" y="5193427"/>
              </a:cubicBezTo>
              <a:cubicBezTo>
                <a:pt x="3521974" y="5212654"/>
                <a:pt x="3506383" y="5228245"/>
                <a:pt x="3487156" y="5228245"/>
              </a:cubicBezTo>
              <a:close/>
              <a:moveTo>
                <a:pt x="3996511" y="5228245"/>
              </a:moveTo>
              <a:cubicBezTo>
                <a:pt x="3977283" y="5228245"/>
                <a:pt x="3961692" y="5212654"/>
                <a:pt x="3961692" y="5193427"/>
              </a:cubicBezTo>
              <a:cubicBezTo>
                <a:pt x="3961692" y="5174199"/>
                <a:pt x="3977283" y="5158608"/>
                <a:pt x="3996511" y="5158608"/>
              </a:cubicBezTo>
              <a:cubicBezTo>
                <a:pt x="4015739" y="5158608"/>
                <a:pt x="4031330" y="5174199"/>
                <a:pt x="4031330" y="5193427"/>
              </a:cubicBezTo>
              <a:cubicBezTo>
                <a:pt x="4031330" y="5212654"/>
                <a:pt x="4015739" y="5228245"/>
                <a:pt x="3996511" y="5228245"/>
              </a:cubicBezTo>
              <a:close/>
              <a:moveTo>
                <a:pt x="4081403" y="5228245"/>
              </a:moveTo>
              <a:cubicBezTo>
                <a:pt x="4062176" y="5228245"/>
                <a:pt x="4046584" y="5212654"/>
                <a:pt x="4046584" y="5193427"/>
              </a:cubicBezTo>
              <a:cubicBezTo>
                <a:pt x="4046584" y="5174199"/>
                <a:pt x="4062176" y="5158608"/>
                <a:pt x="4081403" y="5158608"/>
              </a:cubicBezTo>
              <a:cubicBezTo>
                <a:pt x="4100631" y="5158608"/>
                <a:pt x="4116222" y="5174199"/>
                <a:pt x="4116222" y="5193427"/>
              </a:cubicBezTo>
              <a:cubicBezTo>
                <a:pt x="4116222" y="5212654"/>
                <a:pt x="4100631" y="5228245"/>
                <a:pt x="4081403" y="5228245"/>
              </a:cubicBezTo>
              <a:close/>
              <a:moveTo>
                <a:pt x="4166296" y="5228245"/>
              </a:moveTo>
              <a:cubicBezTo>
                <a:pt x="4147068" y="5228245"/>
                <a:pt x="4131477" y="5212654"/>
                <a:pt x="4131477" y="5193427"/>
              </a:cubicBezTo>
              <a:cubicBezTo>
                <a:pt x="4131477" y="5174199"/>
                <a:pt x="4147068" y="5158608"/>
                <a:pt x="4166296" y="5158608"/>
              </a:cubicBezTo>
              <a:cubicBezTo>
                <a:pt x="4185523" y="5158608"/>
                <a:pt x="4201114" y="5174199"/>
                <a:pt x="4201114" y="5193427"/>
              </a:cubicBezTo>
              <a:cubicBezTo>
                <a:pt x="4201114" y="5212654"/>
                <a:pt x="4185523" y="5228245"/>
                <a:pt x="4166296" y="5228245"/>
              </a:cubicBezTo>
              <a:close/>
              <a:moveTo>
                <a:pt x="4590758" y="5228245"/>
              </a:moveTo>
              <a:cubicBezTo>
                <a:pt x="4571530" y="5228245"/>
                <a:pt x="4555939" y="5212654"/>
                <a:pt x="4555939" y="5193427"/>
              </a:cubicBezTo>
              <a:cubicBezTo>
                <a:pt x="4555939" y="5174199"/>
                <a:pt x="4571530" y="5158608"/>
                <a:pt x="4590758" y="5158608"/>
              </a:cubicBezTo>
              <a:cubicBezTo>
                <a:pt x="4609986" y="5158608"/>
                <a:pt x="4625577" y="5174199"/>
                <a:pt x="4625577" y="5193427"/>
              </a:cubicBezTo>
              <a:cubicBezTo>
                <a:pt x="4625577" y="5212654"/>
                <a:pt x="4609986" y="5228245"/>
                <a:pt x="4590758" y="5228245"/>
              </a:cubicBezTo>
              <a:close/>
              <a:moveTo>
                <a:pt x="4675650" y="5228245"/>
              </a:moveTo>
              <a:cubicBezTo>
                <a:pt x="4656422" y="5228245"/>
                <a:pt x="4640831" y="5212654"/>
                <a:pt x="4640831" y="5193427"/>
              </a:cubicBezTo>
              <a:cubicBezTo>
                <a:pt x="4640831" y="5174199"/>
                <a:pt x="4656422" y="5158608"/>
                <a:pt x="4675650" y="5158608"/>
              </a:cubicBezTo>
              <a:cubicBezTo>
                <a:pt x="4694878" y="5158608"/>
                <a:pt x="4710469" y="5174199"/>
                <a:pt x="4710469" y="5193427"/>
              </a:cubicBezTo>
              <a:cubicBezTo>
                <a:pt x="4710469" y="5212654"/>
                <a:pt x="4694878" y="5228245"/>
                <a:pt x="4675650" y="5228245"/>
              </a:cubicBezTo>
              <a:close/>
              <a:moveTo>
                <a:pt x="4760543" y="5228245"/>
              </a:moveTo>
              <a:cubicBezTo>
                <a:pt x="4741316" y="5228245"/>
                <a:pt x="4725724" y="5212654"/>
                <a:pt x="4725724" y="5193427"/>
              </a:cubicBezTo>
              <a:cubicBezTo>
                <a:pt x="4725724" y="5174199"/>
                <a:pt x="4741316" y="5158608"/>
                <a:pt x="4760543" y="5158608"/>
              </a:cubicBezTo>
              <a:cubicBezTo>
                <a:pt x="4779771" y="5158608"/>
                <a:pt x="4795362" y="5174199"/>
                <a:pt x="4795362" y="5193427"/>
              </a:cubicBezTo>
              <a:cubicBezTo>
                <a:pt x="4795362" y="5212654"/>
                <a:pt x="4779771" y="5228245"/>
                <a:pt x="4760543" y="5228245"/>
              </a:cubicBezTo>
              <a:close/>
              <a:moveTo>
                <a:pt x="4845436" y="5228245"/>
              </a:moveTo>
              <a:cubicBezTo>
                <a:pt x="4826208" y="5228245"/>
                <a:pt x="4810617" y="5212654"/>
                <a:pt x="4810617" y="5193427"/>
              </a:cubicBezTo>
              <a:cubicBezTo>
                <a:pt x="4810617" y="5174199"/>
                <a:pt x="4826208" y="5158608"/>
                <a:pt x="4845436" y="5158608"/>
              </a:cubicBezTo>
              <a:cubicBezTo>
                <a:pt x="4864663" y="5158608"/>
                <a:pt x="4880254" y="5174199"/>
                <a:pt x="4880254" y="5193427"/>
              </a:cubicBezTo>
              <a:cubicBezTo>
                <a:pt x="4880254" y="5212654"/>
                <a:pt x="4864663" y="5228245"/>
                <a:pt x="4845436" y="5228245"/>
              </a:cubicBezTo>
              <a:close/>
              <a:moveTo>
                <a:pt x="4930328" y="5228245"/>
              </a:moveTo>
              <a:cubicBezTo>
                <a:pt x="4911100" y="5228245"/>
                <a:pt x="4895509" y="5212654"/>
                <a:pt x="4895509" y="5193427"/>
              </a:cubicBezTo>
              <a:cubicBezTo>
                <a:pt x="4895509" y="5174199"/>
                <a:pt x="4911100" y="5158608"/>
                <a:pt x="4930328" y="5158608"/>
              </a:cubicBezTo>
              <a:cubicBezTo>
                <a:pt x="4949556" y="5158608"/>
                <a:pt x="4965147" y="5174199"/>
                <a:pt x="4965147" y="5193427"/>
              </a:cubicBezTo>
              <a:cubicBezTo>
                <a:pt x="4965147" y="5212654"/>
                <a:pt x="4949556" y="5228245"/>
                <a:pt x="4930328" y="5228245"/>
              </a:cubicBezTo>
              <a:close/>
              <a:moveTo>
                <a:pt x="5015220" y="5228245"/>
              </a:moveTo>
              <a:cubicBezTo>
                <a:pt x="4995992" y="5228245"/>
                <a:pt x="4980401" y="5212654"/>
                <a:pt x="4980401" y="5193427"/>
              </a:cubicBezTo>
              <a:cubicBezTo>
                <a:pt x="4980401" y="5174199"/>
                <a:pt x="4995992" y="5158608"/>
                <a:pt x="5015220" y="5158608"/>
              </a:cubicBezTo>
              <a:cubicBezTo>
                <a:pt x="5034448" y="5158608"/>
                <a:pt x="5050039" y="5174199"/>
                <a:pt x="5050039" y="5193427"/>
              </a:cubicBezTo>
              <a:cubicBezTo>
                <a:pt x="5050039" y="5212654"/>
                <a:pt x="5034448" y="5228245"/>
                <a:pt x="5015220" y="5228245"/>
              </a:cubicBezTo>
              <a:close/>
              <a:moveTo>
                <a:pt x="6373504" y="5228245"/>
              </a:moveTo>
              <a:cubicBezTo>
                <a:pt x="6354276" y="5228245"/>
                <a:pt x="6338678" y="5212654"/>
                <a:pt x="6338678" y="5193427"/>
              </a:cubicBezTo>
              <a:cubicBezTo>
                <a:pt x="6338678" y="5174199"/>
                <a:pt x="6354276" y="5158608"/>
                <a:pt x="6373504" y="5158608"/>
              </a:cubicBezTo>
              <a:cubicBezTo>
                <a:pt x="6392731" y="5158608"/>
                <a:pt x="6408316" y="5174199"/>
                <a:pt x="6408316" y="5193427"/>
              </a:cubicBezTo>
              <a:cubicBezTo>
                <a:pt x="6408316" y="5212654"/>
                <a:pt x="6392731" y="5228245"/>
                <a:pt x="6373504" y="5228245"/>
              </a:cubicBezTo>
              <a:close/>
              <a:moveTo>
                <a:pt x="6458396" y="5228245"/>
              </a:moveTo>
              <a:cubicBezTo>
                <a:pt x="6439168" y="5228245"/>
                <a:pt x="6423570" y="5212654"/>
                <a:pt x="6423570" y="5193427"/>
              </a:cubicBezTo>
              <a:cubicBezTo>
                <a:pt x="6423570" y="5174199"/>
                <a:pt x="6439168" y="5158608"/>
                <a:pt x="6458396" y="5158608"/>
              </a:cubicBezTo>
              <a:cubicBezTo>
                <a:pt x="6477624" y="5158608"/>
                <a:pt x="6493208" y="5174199"/>
                <a:pt x="6493208" y="5193427"/>
              </a:cubicBezTo>
              <a:cubicBezTo>
                <a:pt x="6493208" y="5212654"/>
                <a:pt x="6477624" y="5228245"/>
                <a:pt x="6458396" y="5228245"/>
              </a:cubicBezTo>
              <a:close/>
              <a:moveTo>
                <a:pt x="6543288" y="5228245"/>
              </a:moveTo>
              <a:cubicBezTo>
                <a:pt x="6524060" y="5228245"/>
                <a:pt x="6508463" y="5212654"/>
                <a:pt x="6508463" y="5193427"/>
              </a:cubicBezTo>
              <a:cubicBezTo>
                <a:pt x="6508463" y="5174199"/>
                <a:pt x="6524060" y="5158608"/>
                <a:pt x="6543288" y="5158608"/>
              </a:cubicBezTo>
              <a:cubicBezTo>
                <a:pt x="6562516" y="5158608"/>
                <a:pt x="6578100" y="5174199"/>
                <a:pt x="6578100" y="5193427"/>
              </a:cubicBezTo>
              <a:cubicBezTo>
                <a:pt x="6578100" y="5212654"/>
                <a:pt x="6562516" y="5228245"/>
                <a:pt x="6543288" y="5228245"/>
              </a:cubicBezTo>
              <a:close/>
              <a:moveTo>
                <a:pt x="6628181" y="5228245"/>
              </a:moveTo>
              <a:cubicBezTo>
                <a:pt x="6608954" y="5228245"/>
                <a:pt x="6593356" y="5212654"/>
                <a:pt x="6593356" y="5193427"/>
              </a:cubicBezTo>
              <a:cubicBezTo>
                <a:pt x="6593356" y="5174199"/>
                <a:pt x="6608954" y="5158608"/>
                <a:pt x="6628181" y="5158608"/>
              </a:cubicBezTo>
              <a:cubicBezTo>
                <a:pt x="6647409" y="5158608"/>
                <a:pt x="6662994" y="5174199"/>
                <a:pt x="6662994" y="5193427"/>
              </a:cubicBezTo>
              <a:cubicBezTo>
                <a:pt x="6662994" y="5212654"/>
                <a:pt x="6647409" y="5228245"/>
                <a:pt x="6628181" y="5228245"/>
              </a:cubicBezTo>
              <a:close/>
              <a:moveTo>
                <a:pt x="6713074" y="5228245"/>
              </a:moveTo>
              <a:cubicBezTo>
                <a:pt x="6693846" y="5228245"/>
                <a:pt x="6678248" y="5212654"/>
                <a:pt x="6678248" y="5193427"/>
              </a:cubicBezTo>
              <a:cubicBezTo>
                <a:pt x="6678248" y="5174199"/>
                <a:pt x="6693846" y="5158608"/>
                <a:pt x="6713074" y="5158608"/>
              </a:cubicBezTo>
              <a:cubicBezTo>
                <a:pt x="6732301" y="5158608"/>
                <a:pt x="6747886" y="5174199"/>
                <a:pt x="6747886" y="5193427"/>
              </a:cubicBezTo>
              <a:cubicBezTo>
                <a:pt x="6747886" y="5212654"/>
                <a:pt x="6732301" y="5228245"/>
                <a:pt x="6713074" y="5228245"/>
              </a:cubicBezTo>
              <a:close/>
              <a:moveTo>
                <a:pt x="6967750" y="5228245"/>
              </a:moveTo>
              <a:cubicBezTo>
                <a:pt x="6948523" y="5228245"/>
                <a:pt x="6932925" y="5212654"/>
                <a:pt x="6932925" y="5193427"/>
              </a:cubicBezTo>
              <a:cubicBezTo>
                <a:pt x="6932925" y="5174199"/>
                <a:pt x="6948523" y="5158608"/>
                <a:pt x="6967750" y="5158608"/>
              </a:cubicBezTo>
              <a:cubicBezTo>
                <a:pt x="6986978" y="5158608"/>
                <a:pt x="7002563" y="5174199"/>
                <a:pt x="7002563" y="5193427"/>
              </a:cubicBezTo>
              <a:cubicBezTo>
                <a:pt x="7002563" y="5212654"/>
                <a:pt x="6986978" y="5228245"/>
                <a:pt x="6967750" y="5228245"/>
              </a:cubicBezTo>
              <a:close/>
              <a:moveTo>
                <a:pt x="7137536" y="5228245"/>
              </a:moveTo>
              <a:cubicBezTo>
                <a:pt x="7118308" y="5228245"/>
                <a:pt x="7102710" y="5212654"/>
                <a:pt x="7102710" y="5193427"/>
              </a:cubicBezTo>
              <a:cubicBezTo>
                <a:pt x="7102710" y="5174199"/>
                <a:pt x="7118308" y="5158608"/>
                <a:pt x="7137536" y="5158608"/>
              </a:cubicBezTo>
              <a:cubicBezTo>
                <a:pt x="7156764" y="5158608"/>
                <a:pt x="7172348" y="5174199"/>
                <a:pt x="7172348" y="5193427"/>
              </a:cubicBezTo>
              <a:cubicBezTo>
                <a:pt x="7172348" y="5212654"/>
                <a:pt x="7156764" y="5228245"/>
                <a:pt x="7137536" y="5228245"/>
              </a:cubicBezTo>
              <a:close/>
              <a:moveTo>
                <a:pt x="7222428" y="5228245"/>
              </a:moveTo>
              <a:cubicBezTo>
                <a:pt x="7203200" y="5228245"/>
                <a:pt x="7187603" y="5212654"/>
                <a:pt x="7187603" y="5193427"/>
              </a:cubicBezTo>
              <a:cubicBezTo>
                <a:pt x="7187603" y="5174199"/>
                <a:pt x="7203200" y="5158608"/>
                <a:pt x="7222428" y="5158608"/>
              </a:cubicBezTo>
              <a:cubicBezTo>
                <a:pt x="7241656" y="5158608"/>
                <a:pt x="7257240" y="5174199"/>
                <a:pt x="7257240" y="5193427"/>
              </a:cubicBezTo>
              <a:cubicBezTo>
                <a:pt x="7257240" y="5212654"/>
                <a:pt x="7241656" y="5228245"/>
                <a:pt x="7222428" y="5228245"/>
              </a:cubicBezTo>
              <a:close/>
              <a:moveTo>
                <a:pt x="7307320" y="5228245"/>
              </a:moveTo>
              <a:cubicBezTo>
                <a:pt x="7288093" y="5228245"/>
                <a:pt x="7272495" y="5212654"/>
                <a:pt x="7272495" y="5193427"/>
              </a:cubicBezTo>
              <a:cubicBezTo>
                <a:pt x="7272495" y="5174199"/>
                <a:pt x="7288093" y="5158608"/>
                <a:pt x="7307320" y="5158608"/>
              </a:cubicBezTo>
              <a:cubicBezTo>
                <a:pt x="7326548" y="5158608"/>
                <a:pt x="7342133" y="5174199"/>
                <a:pt x="7342133" y="5193427"/>
              </a:cubicBezTo>
              <a:cubicBezTo>
                <a:pt x="7342133" y="5212654"/>
                <a:pt x="7326548" y="5228245"/>
                <a:pt x="7307320" y="5228245"/>
              </a:cubicBezTo>
              <a:close/>
              <a:moveTo>
                <a:pt x="7392214" y="5228245"/>
              </a:moveTo>
              <a:cubicBezTo>
                <a:pt x="7372986" y="5228245"/>
                <a:pt x="7357388" y="5212654"/>
                <a:pt x="7357388" y="5193427"/>
              </a:cubicBezTo>
              <a:cubicBezTo>
                <a:pt x="7357388" y="5174199"/>
                <a:pt x="7372986" y="5158608"/>
                <a:pt x="7392214" y="5158608"/>
              </a:cubicBezTo>
              <a:cubicBezTo>
                <a:pt x="7411441" y="5158608"/>
                <a:pt x="7427026" y="5174199"/>
                <a:pt x="7427026" y="5193427"/>
              </a:cubicBezTo>
              <a:cubicBezTo>
                <a:pt x="7427026" y="5212654"/>
                <a:pt x="7411441" y="5228245"/>
                <a:pt x="7392214" y="5228245"/>
              </a:cubicBezTo>
              <a:close/>
              <a:moveTo>
                <a:pt x="7477106" y="5228245"/>
              </a:moveTo>
              <a:cubicBezTo>
                <a:pt x="7457878" y="5228245"/>
                <a:pt x="7442280" y="5212654"/>
                <a:pt x="7442280" y="5193427"/>
              </a:cubicBezTo>
              <a:cubicBezTo>
                <a:pt x="7442280" y="5174199"/>
                <a:pt x="7457878" y="5158608"/>
                <a:pt x="7477106" y="5158608"/>
              </a:cubicBezTo>
              <a:cubicBezTo>
                <a:pt x="7496334" y="5158608"/>
                <a:pt x="7511918" y="5174199"/>
                <a:pt x="7511918" y="5193427"/>
              </a:cubicBezTo>
              <a:cubicBezTo>
                <a:pt x="7511918" y="5212654"/>
                <a:pt x="7496334" y="5228245"/>
                <a:pt x="7477106" y="5228245"/>
              </a:cubicBezTo>
              <a:close/>
              <a:moveTo>
                <a:pt x="7561998" y="5228245"/>
              </a:moveTo>
              <a:cubicBezTo>
                <a:pt x="7542770" y="5228245"/>
                <a:pt x="7527173" y="5212654"/>
                <a:pt x="7527173" y="5193427"/>
              </a:cubicBezTo>
              <a:cubicBezTo>
                <a:pt x="7527173" y="5174199"/>
                <a:pt x="7542770" y="5158608"/>
                <a:pt x="7561998" y="5158608"/>
              </a:cubicBezTo>
              <a:cubicBezTo>
                <a:pt x="7581226" y="5158608"/>
                <a:pt x="7596810" y="5174199"/>
                <a:pt x="7596810" y="5193427"/>
              </a:cubicBezTo>
              <a:cubicBezTo>
                <a:pt x="7596810" y="5212654"/>
                <a:pt x="7581226" y="5228245"/>
                <a:pt x="7561998" y="5228245"/>
              </a:cubicBezTo>
              <a:close/>
              <a:moveTo>
                <a:pt x="7731784" y="5228245"/>
              </a:moveTo>
              <a:cubicBezTo>
                <a:pt x="7712556" y="5228245"/>
                <a:pt x="7696958" y="5212654"/>
                <a:pt x="7696958" y="5193427"/>
              </a:cubicBezTo>
              <a:cubicBezTo>
                <a:pt x="7696958" y="5174199"/>
                <a:pt x="7712556" y="5158608"/>
                <a:pt x="7731784" y="5158608"/>
              </a:cubicBezTo>
              <a:cubicBezTo>
                <a:pt x="7751011" y="5158608"/>
                <a:pt x="7766596" y="5174199"/>
                <a:pt x="7766596" y="5193427"/>
              </a:cubicBezTo>
              <a:cubicBezTo>
                <a:pt x="7766596" y="5212654"/>
                <a:pt x="7751011" y="5228245"/>
                <a:pt x="7731784" y="5228245"/>
              </a:cubicBezTo>
              <a:close/>
              <a:moveTo>
                <a:pt x="7816676" y="5228245"/>
              </a:moveTo>
              <a:cubicBezTo>
                <a:pt x="7797448" y="5228245"/>
                <a:pt x="7781850" y="5212654"/>
                <a:pt x="7781850" y="5193427"/>
              </a:cubicBezTo>
              <a:cubicBezTo>
                <a:pt x="7781850" y="5174199"/>
                <a:pt x="7797448" y="5158608"/>
                <a:pt x="7816676" y="5158608"/>
              </a:cubicBezTo>
              <a:cubicBezTo>
                <a:pt x="7835904" y="5158608"/>
                <a:pt x="7851488" y="5174199"/>
                <a:pt x="7851488" y="5193427"/>
              </a:cubicBezTo>
              <a:cubicBezTo>
                <a:pt x="7851488" y="5212654"/>
                <a:pt x="7835904" y="5228245"/>
                <a:pt x="7816676" y="5228245"/>
              </a:cubicBezTo>
              <a:close/>
              <a:moveTo>
                <a:pt x="7901568" y="5228245"/>
              </a:moveTo>
              <a:cubicBezTo>
                <a:pt x="7882340" y="5228245"/>
                <a:pt x="7866743" y="5212654"/>
                <a:pt x="7866743" y="5193427"/>
              </a:cubicBezTo>
              <a:cubicBezTo>
                <a:pt x="7866743" y="5174199"/>
                <a:pt x="7882340" y="5158608"/>
                <a:pt x="7901568" y="5158608"/>
              </a:cubicBezTo>
              <a:cubicBezTo>
                <a:pt x="7920796" y="5158608"/>
                <a:pt x="7936380" y="5174199"/>
                <a:pt x="7936380" y="5193427"/>
              </a:cubicBezTo>
              <a:cubicBezTo>
                <a:pt x="7936380" y="5212654"/>
                <a:pt x="7920796" y="5228245"/>
                <a:pt x="7901568" y="5228245"/>
              </a:cubicBezTo>
              <a:close/>
              <a:moveTo>
                <a:pt x="7986460" y="5228245"/>
              </a:moveTo>
              <a:cubicBezTo>
                <a:pt x="7967233" y="5228245"/>
                <a:pt x="7951635" y="5212654"/>
                <a:pt x="7951635" y="5193427"/>
              </a:cubicBezTo>
              <a:cubicBezTo>
                <a:pt x="7951635" y="5174199"/>
                <a:pt x="7967233" y="5158608"/>
                <a:pt x="7986460" y="5158608"/>
              </a:cubicBezTo>
              <a:cubicBezTo>
                <a:pt x="8005688" y="5158608"/>
                <a:pt x="8021273" y="5174199"/>
                <a:pt x="8021273" y="5193427"/>
              </a:cubicBezTo>
              <a:cubicBezTo>
                <a:pt x="8021273" y="5212654"/>
                <a:pt x="8005688" y="5228245"/>
                <a:pt x="7986460" y="5228245"/>
              </a:cubicBezTo>
              <a:close/>
              <a:moveTo>
                <a:pt x="8071353" y="5228245"/>
              </a:moveTo>
              <a:cubicBezTo>
                <a:pt x="8052125" y="5228245"/>
                <a:pt x="8036527" y="5212654"/>
                <a:pt x="8036527" y="5193427"/>
              </a:cubicBezTo>
              <a:cubicBezTo>
                <a:pt x="8036527" y="5174199"/>
                <a:pt x="8052125" y="5158608"/>
                <a:pt x="8071353" y="5158608"/>
              </a:cubicBezTo>
              <a:cubicBezTo>
                <a:pt x="8090580" y="5158608"/>
                <a:pt x="8106165" y="5174199"/>
                <a:pt x="8106165" y="5193427"/>
              </a:cubicBezTo>
              <a:cubicBezTo>
                <a:pt x="8106165" y="5212654"/>
                <a:pt x="8090580" y="5228245"/>
                <a:pt x="8071353" y="5228245"/>
              </a:cubicBezTo>
              <a:close/>
              <a:moveTo>
                <a:pt x="8156246" y="5228245"/>
              </a:moveTo>
              <a:cubicBezTo>
                <a:pt x="8137018" y="5228245"/>
                <a:pt x="8121420" y="5212654"/>
                <a:pt x="8121420" y="5193427"/>
              </a:cubicBezTo>
              <a:cubicBezTo>
                <a:pt x="8121420" y="5174199"/>
                <a:pt x="8137018" y="5158608"/>
                <a:pt x="8156246" y="5158608"/>
              </a:cubicBezTo>
              <a:cubicBezTo>
                <a:pt x="8175474" y="5158608"/>
                <a:pt x="8191058" y="5174199"/>
                <a:pt x="8191058" y="5193427"/>
              </a:cubicBezTo>
              <a:cubicBezTo>
                <a:pt x="8191058" y="5212654"/>
                <a:pt x="8175474" y="5228245"/>
                <a:pt x="8156246" y="5228245"/>
              </a:cubicBezTo>
              <a:close/>
              <a:moveTo>
                <a:pt x="8241138" y="5228245"/>
              </a:moveTo>
              <a:cubicBezTo>
                <a:pt x="8221910" y="5228245"/>
                <a:pt x="8206313" y="5212654"/>
                <a:pt x="8206313" y="5193427"/>
              </a:cubicBezTo>
              <a:cubicBezTo>
                <a:pt x="8206313" y="5174199"/>
                <a:pt x="8221910" y="5158608"/>
                <a:pt x="8241138" y="5158608"/>
              </a:cubicBezTo>
              <a:cubicBezTo>
                <a:pt x="8260366" y="5158608"/>
                <a:pt x="8275950" y="5174199"/>
                <a:pt x="8275950" y="5193427"/>
              </a:cubicBezTo>
              <a:cubicBezTo>
                <a:pt x="8275950" y="5212654"/>
                <a:pt x="8260366" y="5228245"/>
                <a:pt x="8241138" y="5228245"/>
              </a:cubicBezTo>
              <a:close/>
              <a:moveTo>
                <a:pt x="8326030" y="5228245"/>
              </a:moveTo>
              <a:cubicBezTo>
                <a:pt x="8306803" y="5228245"/>
                <a:pt x="8291205" y="5212654"/>
                <a:pt x="8291205" y="5193427"/>
              </a:cubicBezTo>
              <a:cubicBezTo>
                <a:pt x="8291205" y="5174199"/>
                <a:pt x="8306803" y="5158608"/>
                <a:pt x="8326030" y="5158608"/>
              </a:cubicBezTo>
              <a:cubicBezTo>
                <a:pt x="8345258" y="5158608"/>
                <a:pt x="8360843" y="5174199"/>
                <a:pt x="8360843" y="5193427"/>
              </a:cubicBezTo>
              <a:cubicBezTo>
                <a:pt x="8360843" y="5212654"/>
                <a:pt x="8345258" y="5228245"/>
                <a:pt x="8326030" y="5228245"/>
              </a:cubicBezTo>
              <a:close/>
              <a:moveTo>
                <a:pt x="8410923" y="5228245"/>
              </a:moveTo>
              <a:cubicBezTo>
                <a:pt x="8391695" y="5228245"/>
                <a:pt x="8376097" y="5212654"/>
                <a:pt x="8376097" y="5193427"/>
              </a:cubicBezTo>
              <a:cubicBezTo>
                <a:pt x="8376097" y="5174199"/>
                <a:pt x="8391695" y="5158608"/>
                <a:pt x="8410923" y="5158608"/>
              </a:cubicBezTo>
              <a:cubicBezTo>
                <a:pt x="8430150" y="5158608"/>
                <a:pt x="8445735" y="5174199"/>
                <a:pt x="8445735" y="5193427"/>
              </a:cubicBezTo>
              <a:cubicBezTo>
                <a:pt x="8445735" y="5212654"/>
                <a:pt x="8430150" y="5228245"/>
                <a:pt x="8410923" y="5228245"/>
              </a:cubicBezTo>
              <a:close/>
              <a:moveTo>
                <a:pt x="8495816" y="5228245"/>
              </a:moveTo>
              <a:cubicBezTo>
                <a:pt x="8476588" y="5228245"/>
                <a:pt x="8460990" y="5212654"/>
                <a:pt x="8460990" y="5193427"/>
              </a:cubicBezTo>
              <a:cubicBezTo>
                <a:pt x="8460990" y="5174199"/>
                <a:pt x="8476588" y="5158608"/>
                <a:pt x="8495816" y="5158608"/>
              </a:cubicBezTo>
              <a:cubicBezTo>
                <a:pt x="8515044" y="5158608"/>
                <a:pt x="8530628" y="5174199"/>
                <a:pt x="8530628" y="5193427"/>
              </a:cubicBezTo>
              <a:cubicBezTo>
                <a:pt x="8530628" y="5212654"/>
                <a:pt x="8515044" y="5228245"/>
                <a:pt x="8495816" y="5228245"/>
              </a:cubicBezTo>
              <a:close/>
              <a:moveTo>
                <a:pt x="8580708" y="5228245"/>
              </a:moveTo>
              <a:cubicBezTo>
                <a:pt x="8561480" y="5228245"/>
                <a:pt x="8545883" y="5212654"/>
                <a:pt x="8545883" y="5193427"/>
              </a:cubicBezTo>
              <a:cubicBezTo>
                <a:pt x="8545883" y="5174199"/>
                <a:pt x="8561480" y="5158608"/>
                <a:pt x="8580708" y="5158608"/>
              </a:cubicBezTo>
              <a:cubicBezTo>
                <a:pt x="8599936" y="5158608"/>
                <a:pt x="8615520" y="5174199"/>
                <a:pt x="8615520" y="5193427"/>
              </a:cubicBezTo>
              <a:cubicBezTo>
                <a:pt x="8615520" y="5212654"/>
                <a:pt x="8599936" y="5228245"/>
                <a:pt x="8580708" y="5228245"/>
              </a:cubicBezTo>
              <a:close/>
              <a:moveTo>
                <a:pt x="8665600" y="5228245"/>
              </a:moveTo>
              <a:cubicBezTo>
                <a:pt x="8646373" y="5228245"/>
                <a:pt x="8630775" y="5212654"/>
                <a:pt x="8630775" y="5193427"/>
              </a:cubicBezTo>
              <a:cubicBezTo>
                <a:pt x="8630775" y="5174199"/>
                <a:pt x="8646373" y="5158608"/>
                <a:pt x="8665600" y="5158608"/>
              </a:cubicBezTo>
              <a:cubicBezTo>
                <a:pt x="8684828" y="5158608"/>
                <a:pt x="8700413" y="5174199"/>
                <a:pt x="8700413" y="5193427"/>
              </a:cubicBezTo>
              <a:cubicBezTo>
                <a:pt x="8700413" y="5212654"/>
                <a:pt x="8684828" y="5228245"/>
                <a:pt x="8665600" y="5228245"/>
              </a:cubicBezTo>
              <a:close/>
              <a:moveTo>
                <a:pt x="8750493" y="5228245"/>
              </a:moveTo>
              <a:cubicBezTo>
                <a:pt x="8731265" y="5228245"/>
                <a:pt x="8715667" y="5212654"/>
                <a:pt x="8715667" y="5193427"/>
              </a:cubicBezTo>
              <a:cubicBezTo>
                <a:pt x="8715667" y="5174199"/>
                <a:pt x="8731265" y="5158608"/>
                <a:pt x="8750493" y="5158608"/>
              </a:cubicBezTo>
              <a:cubicBezTo>
                <a:pt x="8769720" y="5158608"/>
                <a:pt x="8785305" y="5174199"/>
                <a:pt x="8785305" y="5193427"/>
              </a:cubicBezTo>
              <a:cubicBezTo>
                <a:pt x="8785305" y="5212654"/>
                <a:pt x="8769720" y="5228245"/>
                <a:pt x="8750493" y="5228245"/>
              </a:cubicBezTo>
              <a:close/>
              <a:moveTo>
                <a:pt x="8835386" y="5228245"/>
              </a:moveTo>
              <a:cubicBezTo>
                <a:pt x="8816158" y="5228245"/>
                <a:pt x="8800560" y="5212654"/>
                <a:pt x="8800560" y="5193427"/>
              </a:cubicBezTo>
              <a:cubicBezTo>
                <a:pt x="8800560" y="5174199"/>
                <a:pt x="8816158" y="5158608"/>
                <a:pt x="8835386" y="5158608"/>
              </a:cubicBezTo>
              <a:cubicBezTo>
                <a:pt x="8854614" y="5158608"/>
                <a:pt x="8870198" y="5174199"/>
                <a:pt x="8870198" y="5193427"/>
              </a:cubicBezTo>
              <a:cubicBezTo>
                <a:pt x="8870198" y="5212654"/>
                <a:pt x="8854614" y="5228245"/>
                <a:pt x="8835386" y="5228245"/>
              </a:cubicBezTo>
              <a:close/>
              <a:moveTo>
                <a:pt x="8920278" y="5228245"/>
              </a:moveTo>
              <a:cubicBezTo>
                <a:pt x="8901050" y="5228245"/>
                <a:pt x="8885453" y="5212654"/>
                <a:pt x="8885453" y="5193427"/>
              </a:cubicBezTo>
              <a:cubicBezTo>
                <a:pt x="8885453" y="5174199"/>
                <a:pt x="8901050" y="5158608"/>
                <a:pt x="8920278" y="5158608"/>
              </a:cubicBezTo>
              <a:cubicBezTo>
                <a:pt x="8939506" y="5158608"/>
                <a:pt x="8955090" y="5174199"/>
                <a:pt x="8955090" y="5193427"/>
              </a:cubicBezTo>
              <a:cubicBezTo>
                <a:pt x="8955090" y="5212654"/>
                <a:pt x="8939506" y="5228245"/>
                <a:pt x="8920278" y="5228245"/>
              </a:cubicBezTo>
              <a:close/>
              <a:moveTo>
                <a:pt x="9005170" y="5228245"/>
              </a:moveTo>
              <a:cubicBezTo>
                <a:pt x="8985943" y="5228245"/>
                <a:pt x="8970345" y="5212654"/>
                <a:pt x="8970345" y="5193427"/>
              </a:cubicBezTo>
              <a:cubicBezTo>
                <a:pt x="8970345" y="5174199"/>
                <a:pt x="8985943" y="5158608"/>
                <a:pt x="9005170" y="5158608"/>
              </a:cubicBezTo>
              <a:cubicBezTo>
                <a:pt x="9024398" y="5158608"/>
                <a:pt x="9039983" y="5174199"/>
                <a:pt x="9039983" y="5193427"/>
              </a:cubicBezTo>
              <a:cubicBezTo>
                <a:pt x="9039983" y="5212654"/>
                <a:pt x="9024398" y="5228245"/>
                <a:pt x="9005170" y="5228245"/>
              </a:cubicBezTo>
              <a:close/>
              <a:moveTo>
                <a:pt x="9090063" y="5228245"/>
              </a:moveTo>
              <a:cubicBezTo>
                <a:pt x="9070835" y="5228245"/>
                <a:pt x="9055237" y="5212654"/>
                <a:pt x="9055237" y="5193427"/>
              </a:cubicBezTo>
              <a:cubicBezTo>
                <a:pt x="9055237" y="5174199"/>
                <a:pt x="9070835" y="5158608"/>
                <a:pt x="9090063" y="5158608"/>
              </a:cubicBezTo>
              <a:cubicBezTo>
                <a:pt x="9109290" y="5158608"/>
                <a:pt x="9124875" y="5174199"/>
                <a:pt x="9124875" y="5193427"/>
              </a:cubicBezTo>
              <a:cubicBezTo>
                <a:pt x="9124875" y="5212654"/>
                <a:pt x="9109290" y="5228245"/>
                <a:pt x="9090063" y="5228245"/>
              </a:cubicBezTo>
              <a:close/>
              <a:moveTo>
                <a:pt x="9174956" y="5228245"/>
              </a:moveTo>
              <a:cubicBezTo>
                <a:pt x="9155728" y="5228245"/>
                <a:pt x="9140130" y="5212654"/>
                <a:pt x="9140130" y="5193427"/>
              </a:cubicBezTo>
              <a:cubicBezTo>
                <a:pt x="9140130" y="5174199"/>
                <a:pt x="9155728" y="5158608"/>
                <a:pt x="9174956" y="5158608"/>
              </a:cubicBezTo>
              <a:cubicBezTo>
                <a:pt x="9194184" y="5158608"/>
                <a:pt x="9209768" y="5174199"/>
                <a:pt x="9209768" y="5193427"/>
              </a:cubicBezTo>
              <a:cubicBezTo>
                <a:pt x="9209768" y="5212654"/>
                <a:pt x="9194184" y="5228245"/>
                <a:pt x="9174956" y="5228245"/>
              </a:cubicBezTo>
              <a:close/>
              <a:moveTo>
                <a:pt x="9259848" y="5228245"/>
              </a:moveTo>
              <a:cubicBezTo>
                <a:pt x="9240620" y="5228245"/>
                <a:pt x="9225023" y="5212654"/>
                <a:pt x="9225023" y="5193427"/>
              </a:cubicBezTo>
              <a:cubicBezTo>
                <a:pt x="9225023" y="5174199"/>
                <a:pt x="9240620" y="5158608"/>
                <a:pt x="9259848" y="5158608"/>
              </a:cubicBezTo>
              <a:cubicBezTo>
                <a:pt x="9279076" y="5158608"/>
                <a:pt x="9294660" y="5174199"/>
                <a:pt x="9294660" y="5193427"/>
              </a:cubicBezTo>
              <a:cubicBezTo>
                <a:pt x="9294660" y="5212654"/>
                <a:pt x="9279076" y="5228245"/>
                <a:pt x="9259848" y="5228245"/>
              </a:cubicBezTo>
              <a:close/>
              <a:moveTo>
                <a:pt x="9344740" y="5228245"/>
              </a:moveTo>
              <a:cubicBezTo>
                <a:pt x="9325513" y="5228245"/>
                <a:pt x="9309915" y="5212654"/>
                <a:pt x="9309915" y="5193427"/>
              </a:cubicBezTo>
              <a:cubicBezTo>
                <a:pt x="9309915" y="5174199"/>
                <a:pt x="9325513" y="5158608"/>
                <a:pt x="9344740" y="5158608"/>
              </a:cubicBezTo>
              <a:cubicBezTo>
                <a:pt x="9363968" y="5158608"/>
                <a:pt x="9379553" y="5174199"/>
                <a:pt x="9379553" y="5193427"/>
              </a:cubicBezTo>
              <a:cubicBezTo>
                <a:pt x="9379553" y="5212654"/>
                <a:pt x="9363968" y="5228245"/>
                <a:pt x="9344740" y="5228245"/>
              </a:cubicBezTo>
              <a:close/>
              <a:moveTo>
                <a:pt x="9429633" y="5228245"/>
              </a:moveTo>
              <a:cubicBezTo>
                <a:pt x="9410405" y="5228245"/>
                <a:pt x="9394807" y="5212654"/>
                <a:pt x="9394807" y="5193427"/>
              </a:cubicBezTo>
              <a:cubicBezTo>
                <a:pt x="9394807" y="5174199"/>
                <a:pt x="9410405" y="5158608"/>
                <a:pt x="9429633" y="5158608"/>
              </a:cubicBezTo>
              <a:cubicBezTo>
                <a:pt x="9448860" y="5158608"/>
                <a:pt x="9464445" y="5174199"/>
                <a:pt x="9464445" y="5193427"/>
              </a:cubicBezTo>
              <a:cubicBezTo>
                <a:pt x="9464445" y="5212654"/>
                <a:pt x="9448860" y="5228245"/>
                <a:pt x="9429633" y="5228245"/>
              </a:cubicBezTo>
              <a:close/>
              <a:moveTo>
                <a:pt x="9514525" y="5228245"/>
              </a:moveTo>
              <a:cubicBezTo>
                <a:pt x="9495297" y="5228245"/>
                <a:pt x="9479699" y="5212654"/>
                <a:pt x="9479699" y="5193427"/>
              </a:cubicBezTo>
              <a:cubicBezTo>
                <a:pt x="9479699" y="5174199"/>
                <a:pt x="9495297" y="5158608"/>
                <a:pt x="9514525" y="5158608"/>
              </a:cubicBezTo>
              <a:cubicBezTo>
                <a:pt x="9533753" y="5158608"/>
                <a:pt x="9549337" y="5174199"/>
                <a:pt x="9549337" y="5193427"/>
              </a:cubicBezTo>
              <a:cubicBezTo>
                <a:pt x="9549337" y="5212654"/>
                <a:pt x="9533753" y="5228245"/>
                <a:pt x="9514525" y="5228245"/>
              </a:cubicBezTo>
              <a:close/>
              <a:moveTo>
                <a:pt x="9599418" y="5228245"/>
              </a:moveTo>
              <a:cubicBezTo>
                <a:pt x="9580190" y="5228245"/>
                <a:pt x="9564593" y="5212654"/>
                <a:pt x="9564593" y="5193427"/>
              </a:cubicBezTo>
              <a:cubicBezTo>
                <a:pt x="9564593" y="5174199"/>
                <a:pt x="9580190" y="5158608"/>
                <a:pt x="9599418" y="5158608"/>
              </a:cubicBezTo>
              <a:cubicBezTo>
                <a:pt x="9618646" y="5158608"/>
                <a:pt x="9634230" y="5174199"/>
                <a:pt x="9634230" y="5193427"/>
              </a:cubicBezTo>
              <a:cubicBezTo>
                <a:pt x="9634230" y="5212654"/>
                <a:pt x="9618646" y="5228245"/>
                <a:pt x="9599418" y="5228245"/>
              </a:cubicBezTo>
              <a:close/>
              <a:moveTo>
                <a:pt x="9684310" y="5228245"/>
              </a:moveTo>
              <a:cubicBezTo>
                <a:pt x="9665083" y="5228245"/>
                <a:pt x="9649485" y="5212654"/>
                <a:pt x="9649485" y="5193427"/>
              </a:cubicBezTo>
              <a:cubicBezTo>
                <a:pt x="9649485" y="5174199"/>
                <a:pt x="9665083" y="5158608"/>
                <a:pt x="9684310" y="5158608"/>
              </a:cubicBezTo>
              <a:cubicBezTo>
                <a:pt x="9703538" y="5158608"/>
                <a:pt x="9719123" y="5174199"/>
                <a:pt x="9719123" y="5193427"/>
              </a:cubicBezTo>
              <a:cubicBezTo>
                <a:pt x="9719123" y="5212654"/>
                <a:pt x="9703538" y="5228245"/>
                <a:pt x="9684310" y="5228245"/>
              </a:cubicBezTo>
              <a:close/>
              <a:moveTo>
                <a:pt x="9769203" y="5228245"/>
              </a:moveTo>
              <a:cubicBezTo>
                <a:pt x="9749975" y="5228245"/>
                <a:pt x="9734377" y="5212654"/>
                <a:pt x="9734377" y="5193427"/>
              </a:cubicBezTo>
              <a:cubicBezTo>
                <a:pt x="9734377" y="5174199"/>
                <a:pt x="9749975" y="5158608"/>
                <a:pt x="9769203" y="5158608"/>
              </a:cubicBezTo>
              <a:cubicBezTo>
                <a:pt x="9788430" y="5158608"/>
                <a:pt x="9804015" y="5174199"/>
                <a:pt x="9804015" y="5193427"/>
              </a:cubicBezTo>
              <a:cubicBezTo>
                <a:pt x="9804015" y="5212654"/>
                <a:pt x="9788430" y="5228245"/>
                <a:pt x="9769203" y="5228245"/>
              </a:cubicBezTo>
              <a:close/>
              <a:moveTo>
                <a:pt x="9854095" y="5228245"/>
              </a:moveTo>
              <a:cubicBezTo>
                <a:pt x="9834867" y="5228245"/>
                <a:pt x="9819269" y="5212654"/>
                <a:pt x="9819269" y="5193427"/>
              </a:cubicBezTo>
              <a:cubicBezTo>
                <a:pt x="9819269" y="5174199"/>
                <a:pt x="9834867" y="5158608"/>
                <a:pt x="9854095" y="5158608"/>
              </a:cubicBezTo>
              <a:cubicBezTo>
                <a:pt x="9873323" y="5158608"/>
                <a:pt x="9888907" y="5174199"/>
                <a:pt x="9888907" y="5193427"/>
              </a:cubicBezTo>
              <a:cubicBezTo>
                <a:pt x="9888907" y="5212654"/>
                <a:pt x="9873323" y="5228245"/>
                <a:pt x="9854095" y="5228245"/>
              </a:cubicBezTo>
              <a:close/>
              <a:moveTo>
                <a:pt x="9938988" y="5228245"/>
              </a:moveTo>
              <a:cubicBezTo>
                <a:pt x="9919760" y="5228245"/>
                <a:pt x="9904163" y="5212654"/>
                <a:pt x="9904163" y="5193427"/>
              </a:cubicBezTo>
              <a:cubicBezTo>
                <a:pt x="9904163" y="5174199"/>
                <a:pt x="9919760" y="5158608"/>
                <a:pt x="9938988" y="5158608"/>
              </a:cubicBezTo>
              <a:cubicBezTo>
                <a:pt x="9958216" y="5158608"/>
                <a:pt x="9973800" y="5174199"/>
                <a:pt x="9973800" y="5193427"/>
              </a:cubicBezTo>
              <a:cubicBezTo>
                <a:pt x="9973800" y="5212654"/>
                <a:pt x="9958216" y="5228245"/>
                <a:pt x="9938988" y="5228245"/>
              </a:cubicBezTo>
              <a:close/>
              <a:moveTo>
                <a:pt x="10023880" y="5228245"/>
              </a:moveTo>
              <a:cubicBezTo>
                <a:pt x="10004653" y="5228245"/>
                <a:pt x="9989055" y="5212654"/>
                <a:pt x="9989055" y="5193427"/>
              </a:cubicBezTo>
              <a:cubicBezTo>
                <a:pt x="9989055" y="5174199"/>
                <a:pt x="10004653" y="5158608"/>
                <a:pt x="10023880" y="5158608"/>
              </a:cubicBezTo>
              <a:cubicBezTo>
                <a:pt x="10043108" y="5158608"/>
                <a:pt x="10058693" y="5174199"/>
                <a:pt x="10058693" y="5193427"/>
              </a:cubicBezTo>
              <a:cubicBezTo>
                <a:pt x="10058693" y="5212654"/>
                <a:pt x="10043108" y="5228245"/>
                <a:pt x="10023880" y="5228245"/>
              </a:cubicBezTo>
              <a:close/>
              <a:moveTo>
                <a:pt x="10278558" y="5228245"/>
              </a:moveTo>
              <a:cubicBezTo>
                <a:pt x="10259330" y="5228245"/>
                <a:pt x="10243733" y="5212654"/>
                <a:pt x="10243733" y="5193427"/>
              </a:cubicBezTo>
              <a:cubicBezTo>
                <a:pt x="10243733" y="5174199"/>
                <a:pt x="10259330" y="5158608"/>
                <a:pt x="10278558" y="5158608"/>
              </a:cubicBezTo>
              <a:cubicBezTo>
                <a:pt x="10297786" y="5158608"/>
                <a:pt x="10313370" y="5174199"/>
                <a:pt x="10313370" y="5193427"/>
              </a:cubicBezTo>
              <a:cubicBezTo>
                <a:pt x="10313370" y="5212654"/>
                <a:pt x="10297786" y="5228245"/>
                <a:pt x="10278558" y="5228245"/>
              </a:cubicBezTo>
              <a:close/>
              <a:moveTo>
                <a:pt x="1534629" y="5143386"/>
              </a:moveTo>
              <a:cubicBezTo>
                <a:pt x="1515401" y="5143386"/>
                <a:pt x="1499810" y="5127795"/>
                <a:pt x="1499810" y="5108567"/>
              </a:cubicBezTo>
              <a:cubicBezTo>
                <a:pt x="1499810" y="5089339"/>
                <a:pt x="1515401" y="5073748"/>
                <a:pt x="1534629" y="5073748"/>
              </a:cubicBezTo>
              <a:cubicBezTo>
                <a:pt x="1553857" y="5073748"/>
                <a:pt x="1569448" y="5089339"/>
                <a:pt x="1569448" y="5108567"/>
              </a:cubicBezTo>
              <a:cubicBezTo>
                <a:pt x="1569448" y="5127795"/>
                <a:pt x="1553857" y="5143386"/>
                <a:pt x="1534629" y="5143386"/>
              </a:cubicBezTo>
              <a:close/>
              <a:moveTo>
                <a:pt x="2043983" y="5143386"/>
              </a:moveTo>
              <a:cubicBezTo>
                <a:pt x="2024756" y="5143386"/>
                <a:pt x="2009164" y="5127795"/>
                <a:pt x="2009164" y="5108567"/>
              </a:cubicBezTo>
              <a:cubicBezTo>
                <a:pt x="2009164" y="5089339"/>
                <a:pt x="2024756" y="5073748"/>
                <a:pt x="2043983" y="5073748"/>
              </a:cubicBezTo>
              <a:cubicBezTo>
                <a:pt x="2063211" y="5073748"/>
                <a:pt x="2078802" y="5089339"/>
                <a:pt x="2078802" y="5108567"/>
              </a:cubicBezTo>
              <a:cubicBezTo>
                <a:pt x="2078802" y="5127795"/>
                <a:pt x="2063211" y="5143386"/>
                <a:pt x="2043983" y="5143386"/>
              </a:cubicBezTo>
              <a:close/>
              <a:moveTo>
                <a:pt x="2128876" y="5143386"/>
              </a:moveTo>
              <a:cubicBezTo>
                <a:pt x="2109648" y="5143386"/>
                <a:pt x="2094057" y="5127795"/>
                <a:pt x="2094057" y="5108567"/>
              </a:cubicBezTo>
              <a:cubicBezTo>
                <a:pt x="2094057" y="5089339"/>
                <a:pt x="2109648" y="5073748"/>
                <a:pt x="2128876" y="5073748"/>
              </a:cubicBezTo>
              <a:cubicBezTo>
                <a:pt x="2148103" y="5073748"/>
                <a:pt x="2163694" y="5089339"/>
                <a:pt x="2163694" y="5108567"/>
              </a:cubicBezTo>
              <a:cubicBezTo>
                <a:pt x="2163694" y="5127795"/>
                <a:pt x="2148103" y="5143386"/>
                <a:pt x="2128876" y="5143386"/>
              </a:cubicBezTo>
              <a:close/>
              <a:moveTo>
                <a:pt x="2213769" y="5143386"/>
              </a:moveTo>
              <a:cubicBezTo>
                <a:pt x="2194541" y="5143386"/>
                <a:pt x="2178950" y="5127795"/>
                <a:pt x="2178950" y="5108567"/>
              </a:cubicBezTo>
              <a:cubicBezTo>
                <a:pt x="2178950" y="5089339"/>
                <a:pt x="2194541" y="5073748"/>
                <a:pt x="2213769" y="5073748"/>
              </a:cubicBezTo>
              <a:cubicBezTo>
                <a:pt x="2232997" y="5073748"/>
                <a:pt x="2248588" y="5089339"/>
                <a:pt x="2248588" y="5108567"/>
              </a:cubicBezTo>
              <a:cubicBezTo>
                <a:pt x="2248588" y="5127795"/>
                <a:pt x="2232997" y="5143386"/>
                <a:pt x="2213769" y="5143386"/>
              </a:cubicBezTo>
              <a:close/>
              <a:moveTo>
                <a:pt x="2298661" y="5143386"/>
              </a:moveTo>
              <a:cubicBezTo>
                <a:pt x="2279433" y="5143386"/>
                <a:pt x="2263842" y="5127795"/>
                <a:pt x="2263842" y="5108567"/>
              </a:cubicBezTo>
              <a:cubicBezTo>
                <a:pt x="2263842" y="5089339"/>
                <a:pt x="2279433" y="5073748"/>
                <a:pt x="2298661" y="5073748"/>
              </a:cubicBezTo>
              <a:cubicBezTo>
                <a:pt x="2317889" y="5073748"/>
                <a:pt x="2333480" y="5089339"/>
                <a:pt x="2333480" y="5108567"/>
              </a:cubicBezTo>
              <a:cubicBezTo>
                <a:pt x="2333480" y="5127795"/>
                <a:pt x="2317889" y="5143386"/>
                <a:pt x="2298661" y="5143386"/>
              </a:cubicBezTo>
              <a:close/>
              <a:moveTo>
                <a:pt x="2383553" y="5143386"/>
              </a:moveTo>
              <a:cubicBezTo>
                <a:pt x="2364326" y="5143386"/>
                <a:pt x="2348734" y="5127795"/>
                <a:pt x="2348734" y="5108567"/>
              </a:cubicBezTo>
              <a:cubicBezTo>
                <a:pt x="2348734" y="5089339"/>
                <a:pt x="2364326" y="5073748"/>
                <a:pt x="2383553" y="5073748"/>
              </a:cubicBezTo>
              <a:cubicBezTo>
                <a:pt x="2402781" y="5073748"/>
                <a:pt x="2418372" y="5089339"/>
                <a:pt x="2418372" y="5108567"/>
              </a:cubicBezTo>
              <a:cubicBezTo>
                <a:pt x="2418372" y="5127795"/>
                <a:pt x="2402781" y="5143386"/>
                <a:pt x="2383553" y="5143386"/>
              </a:cubicBezTo>
              <a:close/>
              <a:moveTo>
                <a:pt x="2468446" y="5143386"/>
              </a:moveTo>
              <a:cubicBezTo>
                <a:pt x="2449218" y="5143386"/>
                <a:pt x="2433627" y="5127795"/>
                <a:pt x="2433627" y="5108567"/>
              </a:cubicBezTo>
              <a:cubicBezTo>
                <a:pt x="2433627" y="5089339"/>
                <a:pt x="2449218" y="5073748"/>
                <a:pt x="2468446" y="5073748"/>
              </a:cubicBezTo>
              <a:cubicBezTo>
                <a:pt x="2487673" y="5073748"/>
                <a:pt x="2503264" y="5089339"/>
                <a:pt x="2503264" y="5108567"/>
              </a:cubicBezTo>
              <a:cubicBezTo>
                <a:pt x="2503264" y="5127795"/>
                <a:pt x="2487673" y="5143386"/>
                <a:pt x="2468446" y="5143386"/>
              </a:cubicBezTo>
              <a:close/>
              <a:moveTo>
                <a:pt x="2553339" y="5143386"/>
              </a:moveTo>
              <a:cubicBezTo>
                <a:pt x="2534111" y="5143386"/>
                <a:pt x="2518520" y="5127795"/>
                <a:pt x="2518520" y="5108567"/>
              </a:cubicBezTo>
              <a:cubicBezTo>
                <a:pt x="2518520" y="5089339"/>
                <a:pt x="2534111" y="5073748"/>
                <a:pt x="2553339" y="5073748"/>
              </a:cubicBezTo>
              <a:cubicBezTo>
                <a:pt x="2572567" y="5073748"/>
                <a:pt x="2588158" y="5089339"/>
                <a:pt x="2588158" y="5108567"/>
              </a:cubicBezTo>
              <a:cubicBezTo>
                <a:pt x="2588158" y="5127795"/>
                <a:pt x="2572567" y="5143386"/>
                <a:pt x="2553339" y="5143386"/>
              </a:cubicBezTo>
              <a:close/>
              <a:moveTo>
                <a:pt x="2638231" y="5143386"/>
              </a:moveTo>
              <a:cubicBezTo>
                <a:pt x="2619003" y="5143386"/>
                <a:pt x="2603412" y="5127795"/>
                <a:pt x="2603412" y="5108567"/>
              </a:cubicBezTo>
              <a:cubicBezTo>
                <a:pt x="2603412" y="5089339"/>
                <a:pt x="2619003" y="5073748"/>
                <a:pt x="2638231" y="5073748"/>
              </a:cubicBezTo>
              <a:cubicBezTo>
                <a:pt x="2657459" y="5073748"/>
                <a:pt x="2673050" y="5089339"/>
                <a:pt x="2673050" y="5108567"/>
              </a:cubicBezTo>
              <a:cubicBezTo>
                <a:pt x="2673050" y="5127795"/>
                <a:pt x="2657459" y="5143386"/>
                <a:pt x="2638231" y="5143386"/>
              </a:cubicBezTo>
              <a:close/>
              <a:moveTo>
                <a:pt x="2723123" y="5143386"/>
              </a:moveTo>
              <a:cubicBezTo>
                <a:pt x="2703896" y="5143386"/>
                <a:pt x="2688304" y="5127795"/>
                <a:pt x="2688304" y="5108567"/>
              </a:cubicBezTo>
              <a:cubicBezTo>
                <a:pt x="2688304" y="5089339"/>
                <a:pt x="2703896" y="5073748"/>
                <a:pt x="2723123" y="5073748"/>
              </a:cubicBezTo>
              <a:cubicBezTo>
                <a:pt x="2742351" y="5073748"/>
                <a:pt x="2757942" y="5089339"/>
                <a:pt x="2757942" y="5108567"/>
              </a:cubicBezTo>
              <a:cubicBezTo>
                <a:pt x="2757942" y="5127795"/>
                <a:pt x="2742351" y="5143386"/>
                <a:pt x="2723123" y="5143386"/>
              </a:cubicBezTo>
              <a:close/>
              <a:moveTo>
                <a:pt x="2977801" y="5143386"/>
              </a:moveTo>
              <a:cubicBezTo>
                <a:pt x="2958573" y="5143386"/>
                <a:pt x="2942982" y="5127795"/>
                <a:pt x="2942982" y="5108567"/>
              </a:cubicBezTo>
              <a:cubicBezTo>
                <a:pt x="2942982" y="5089339"/>
                <a:pt x="2958573" y="5073748"/>
                <a:pt x="2977801" y="5073748"/>
              </a:cubicBezTo>
              <a:cubicBezTo>
                <a:pt x="2997029" y="5073748"/>
                <a:pt x="3012620" y="5089339"/>
                <a:pt x="3012620" y="5108567"/>
              </a:cubicBezTo>
              <a:cubicBezTo>
                <a:pt x="3012620" y="5127795"/>
                <a:pt x="2997029" y="5143386"/>
                <a:pt x="2977801" y="5143386"/>
              </a:cubicBezTo>
              <a:close/>
              <a:moveTo>
                <a:pt x="3062693" y="5143386"/>
              </a:moveTo>
              <a:cubicBezTo>
                <a:pt x="3043466" y="5143386"/>
                <a:pt x="3027874" y="5127795"/>
                <a:pt x="3027874" y="5108567"/>
              </a:cubicBezTo>
              <a:cubicBezTo>
                <a:pt x="3027874" y="5089339"/>
                <a:pt x="3043466" y="5073748"/>
                <a:pt x="3062693" y="5073748"/>
              </a:cubicBezTo>
              <a:cubicBezTo>
                <a:pt x="3081921" y="5073748"/>
                <a:pt x="3097512" y="5089339"/>
                <a:pt x="3097512" y="5108567"/>
              </a:cubicBezTo>
              <a:cubicBezTo>
                <a:pt x="3097512" y="5127795"/>
                <a:pt x="3081921" y="5143386"/>
                <a:pt x="3062693" y="5143386"/>
              </a:cubicBezTo>
              <a:close/>
              <a:moveTo>
                <a:pt x="3147586" y="5143386"/>
              </a:moveTo>
              <a:cubicBezTo>
                <a:pt x="3128358" y="5143386"/>
                <a:pt x="3112767" y="5127795"/>
                <a:pt x="3112767" y="5108567"/>
              </a:cubicBezTo>
              <a:cubicBezTo>
                <a:pt x="3112767" y="5089339"/>
                <a:pt x="3128358" y="5073748"/>
                <a:pt x="3147586" y="5073748"/>
              </a:cubicBezTo>
              <a:cubicBezTo>
                <a:pt x="3166813" y="5073748"/>
                <a:pt x="3182404" y="5089339"/>
                <a:pt x="3182404" y="5108567"/>
              </a:cubicBezTo>
              <a:cubicBezTo>
                <a:pt x="3182404" y="5127795"/>
                <a:pt x="3166813" y="5143386"/>
                <a:pt x="3147586" y="5143386"/>
              </a:cubicBezTo>
              <a:close/>
              <a:moveTo>
                <a:pt x="3317371" y="5143386"/>
              </a:moveTo>
              <a:cubicBezTo>
                <a:pt x="3298143" y="5143386"/>
                <a:pt x="3282552" y="5127795"/>
                <a:pt x="3282552" y="5108567"/>
              </a:cubicBezTo>
              <a:cubicBezTo>
                <a:pt x="3282552" y="5089339"/>
                <a:pt x="3298143" y="5073748"/>
                <a:pt x="3317371" y="5073748"/>
              </a:cubicBezTo>
              <a:cubicBezTo>
                <a:pt x="3336599" y="5073748"/>
                <a:pt x="3352190" y="5089339"/>
                <a:pt x="3352190" y="5108567"/>
              </a:cubicBezTo>
              <a:cubicBezTo>
                <a:pt x="3352190" y="5127795"/>
                <a:pt x="3336599" y="5143386"/>
                <a:pt x="3317371" y="5143386"/>
              </a:cubicBezTo>
              <a:close/>
              <a:moveTo>
                <a:pt x="3402263" y="5143386"/>
              </a:moveTo>
              <a:cubicBezTo>
                <a:pt x="3383036" y="5143386"/>
                <a:pt x="3367444" y="5127795"/>
                <a:pt x="3367444" y="5108567"/>
              </a:cubicBezTo>
              <a:cubicBezTo>
                <a:pt x="3367444" y="5089339"/>
                <a:pt x="3383036" y="5073748"/>
                <a:pt x="3402263" y="5073748"/>
              </a:cubicBezTo>
              <a:cubicBezTo>
                <a:pt x="3421491" y="5073748"/>
                <a:pt x="3437082" y="5089339"/>
                <a:pt x="3437082" y="5108567"/>
              </a:cubicBezTo>
              <a:cubicBezTo>
                <a:pt x="3437082" y="5127795"/>
                <a:pt x="3421491" y="5143386"/>
                <a:pt x="3402263" y="5143386"/>
              </a:cubicBezTo>
              <a:close/>
              <a:moveTo>
                <a:pt x="3572048" y="5143386"/>
              </a:moveTo>
              <a:cubicBezTo>
                <a:pt x="3552820" y="5143386"/>
                <a:pt x="3537229" y="5127795"/>
                <a:pt x="3537229" y="5108567"/>
              </a:cubicBezTo>
              <a:cubicBezTo>
                <a:pt x="3537229" y="5089339"/>
                <a:pt x="3552820" y="5073748"/>
                <a:pt x="3572048" y="5073748"/>
              </a:cubicBezTo>
              <a:cubicBezTo>
                <a:pt x="3591276" y="5073748"/>
                <a:pt x="3606867" y="5089339"/>
                <a:pt x="3606867" y="5108567"/>
              </a:cubicBezTo>
              <a:cubicBezTo>
                <a:pt x="3606867" y="5127795"/>
                <a:pt x="3591276" y="5143386"/>
                <a:pt x="3572048" y="5143386"/>
              </a:cubicBezTo>
              <a:close/>
              <a:moveTo>
                <a:pt x="3656941" y="5143386"/>
              </a:moveTo>
              <a:cubicBezTo>
                <a:pt x="3637713" y="5143386"/>
                <a:pt x="3622122" y="5127795"/>
                <a:pt x="3622122" y="5108567"/>
              </a:cubicBezTo>
              <a:cubicBezTo>
                <a:pt x="3622122" y="5089339"/>
                <a:pt x="3637713" y="5073748"/>
                <a:pt x="3656941" y="5073748"/>
              </a:cubicBezTo>
              <a:cubicBezTo>
                <a:pt x="3676169" y="5073748"/>
                <a:pt x="3691760" y="5089339"/>
                <a:pt x="3691760" y="5108567"/>
              </a:cubicBezTo>
              <a:cubicBezTo>
                <a:pt x="3691760" y="5127795"/>
                <a:pt x="3676169" y="5143386"/>
                <a:pt x="3656941" y="5143386"/>
              </a:cubicBezTo>
              <a:close/>
              <a:moveTo>
                <a:pt x="3826726" y="5143386"/>
              </a:moveTo>
              <a:cubicBezTo>
                <a:pt x="3807498" y="5143386"/>
                <a:pt x="3791907" y="5127795"/>
                <a:pt x="3791907" y="5108567"/>
              </a:cubicBezTo>
              <a:cubicBezTo>
                <a:pt x="3791907" y="5089339"/>
                <a:pt x="3807498" y="5073748"/>
                <a:pt x="3826726" y="5073748"/>
              </a:cubicBezTo>
              <a:cubicBezTo>
                <a:pt x="3845953" y="5073748"/>
                <a:pt x="3861544" y="5089339"/>
                <a:pt x="3861544" y="5108567"/>
              </a:cubicBezTo>
              <a:cubicBezTo>
                <a:pt x="3861544" y="5127795"/>
                <a:pt x="3845953" y="5143386"/>
                <a:pt x="3826726" y="5143386"/>
              </a:cubicBezTo>
              <a:close/>
              <a:moveTo>
                <a:pt x="3911618" y="5143386"/>
              </a:moveTo>
              <a:cubicBezTo>
                <a:pt x="3892390" y="5143386"/>
                <a:pt x="3876799" y="5127795"/>
                <a:pt x="3876799" y="5108567"/>
              </a:cubicBezTo>
              <a:cubicBezTo>
                <a:pt x="3876799" y="5089339"/>
                <a:pt x="3892390" y="5073748"/>
                <a:pt x="3911618" y="5073748"/>
              </a:cubicBezTo>
              <a:cubicBezTo>
                <a:pt x="3930846" y="5073748"/>
                <a:pt x="3946437" y="5089339"/>
                <a:pt x="3946437" y="5108567"/>
              </a:cubicBezTo>
              <a:cubicBezTo>
                <a:pt x="3946437" y="5127795"/>
                <a:pt x="3930846" y="5143386"/>
                <a:pt x="3911618" y="5143386"/>
              </a:cubicBezTo>
              <a:close/>
              <a:moveTo>
                <a:pt x="3996511" y="5143386"/>
              </a:moveTo>
              <a:cubicBezTo>
                <a:pt x="3977283" y="5143386"/>
                <a:pt x="3961692" y="5127795"/>
                <a:pt x="3961692" y="5108567"/>
              </a:cubicBezTo>
              <a:cubicBezTo>
                <a:pt x="3961692" y="5089339"/>
                <a:pt x="3977283" y="5073748"/>
                <a:pt x="3996511" y="5073748"/>
              </a:cubicBezTo>
              <a:cubicBezTo>
                <a:pt x="4015739" y="5073748"/>
                <a:pt x="4031330" y="5089339"/>
                <a:pt x="4031330" y="5108567"/>
              </a:cubicBezTo>
              <a:cubicBezTo>
                <a:pt x="4031330" y="5127795"/>
                <a:pt x="4015739" y="5143386"/>
                <a:pt x="3996511" y="5143386"/>
              </a:cubicBezTo>
              <a:close/>
              <a:moveTo>
                <a:pt x="4081403" y="5143386"/>
              </a:moveTo>
              <a:cubicBezTo>
                <a:pt x="4062176" y="5143386"/>
                <a:pt x="4046584" y="5127795"/>
                <a:pt x="4046584" y="5108567"/>
              </a:cubicBezTo>
              <a:cubicBezTo>
                <a:pt x="4046584" y="5089339"/>
                <a:pt x="4062176" y="5073748"/>
                <a:pt x="4081403" y="5073748"/>
              </a:cubicBezTo>
              <a:cubicBezTo>
                <a:pt x="4100631" y="5073748"/>
                <a:pt x="4116222" y="5089339"/>
                <a:pt x="4116222" y="5108567"/>
              </a:cubicBezTo>
              <a:cubicBezTo>
                <a:pt x="4116222" y="5127795"/>
                <a:pt x="4100631" y="5143386"/>
                <a:pt x="4081403" y="5143386"/>
              </a:cubicBezTo>
              <a:close/>
              <a:moveTo>
                <a:pt x="4251188" y="5143386"/>
              </a:moveTo>
              <a:cubicBezTo>
                <a:pt x="4231960" y="5143386"/>
                <a:pt x="4216369" y="5127795"/>
                <a:pt x="4216369" y="5108567"/>
              </a:cubicBezTo>
              <a:cubicBezTo>
                <a:pt x="4216369" y="5089339"/>
                <a:pt x="4231960" y="5073748"/>
                <a:pt x="4251188" y="5073748"/>
              </a:cubicBezTo>
              <a:cubicBezTo>
                <a:pt x="4270416" y="5073748"/>
                <a:pt x="4286007" y="5089339"/>
                <a:pt x="4286007" y="5108567"/>
              </a:cubicBezTo>
              <a:cubicBezTo>
                <a:pt x="4286007" y="5127795"/>
                <a:pt x="4270416" y="5143386"/>
                <a:pt x="4251188" y="5143386"/>
              </a:cubicBezTo>
              <a:close/>
              <a:moveTo>
                <a:pt x="4505866" y="5143386"/>
              </a:moveTo>
              <a:cubicBezTo>
                <a:pt x="4486638" y="5143386"/>
                <a:pt x="4471047" y="5127795"/>
                <a:pt x="4471047" y="5108567"/>
              </a:cubicBezTo>
              <a:cubicBezTo>
                <a:pt x="4471047" y="5089339"/>
                <a:pt x="4486638" y="5073748"/>
                <a:pt x="4505866" y="5073748"/>
              </a:cubicBezTo>
              <a:cubicBezTo>
                <a:pt x="4525093" y="5073748"/>
                <a:pt x="4540684" y="5089339"/>
                <a:pt x="4540684" y="5108567"/>
              </a:cubicBezTo>
              <a:cubicBezTo>
                <a:pt x="4540684" y="5127795"/>
                <a:pt x="4525093" y="5143386"/>
                <a:pt x="4505866" y="5143386"/>
              </a:cubicBezTo>
              <a:close/>
              <a:moveTo>
                <a:pt x="4590758" y="5143386"/>
              </a:moveTo>
              <a:cubicBezTo>
                <a:pt x="4571530" y="5143386"/>
                <a:pt x="4555939" y="5127795"/>
                <a:pt x="4555939" y="5108567"/>
              </a:cubicBezTo>
              <a:cubicBezTo>
                <a:pt x="4555939" y="5089339"/>
                <a:pt x="4571530" y="5073748"/>
                <a:pt x="4590758" y="5073748"/>
              </a:cubicBezTo>
              <a:cubicBezTo>
                <a:pt x="4609986" y="5073748"/>
                <a:pt x="4625577" y="5089339"/>
                <a:pt x="4625577" y="5108567"/>
              </a:cubicBezTo>
              <a:cubicBezTo>
                <a:pt x="4625577" y="5127795"/>
                <a:pt x="4609986" y="5143386"/>
                <a:pt x="4590758" y="5143386"/>
              </a:cubicBezTo>
              <a:close/>
              <a:moveTo>
                <a:pt x="4675650" y="5143386"/>
              </a:moveTo>
              <a:cubicBezTo>
                <a:pt x="4656422" y="5143386"/>
                <a:pt x="4640831" y="5127795"/>
                <a:pt x="4640831" y="5108567"/>
              </a:cubicBezTo>
              <a:cubicBezTo>
                <a:pt x="4640831" y="5089339"/>
                <a:pt x="4656422" y="5073748"/>
                <a:pt x="4675650" y="5073748"/>
              </a:cubicBezTo>
              <a:cubicBezTo>
                <a:pt x="4694878" y="5073748"/>
                <a:pt x="4710469" y="5089339"/>
                <a:pt x="4710469" y="5108567"/>
              </a:cubicBezTo>
              <a:cubicBezTo>
                <a:pt x="4710469" y="5127795"/>
                <a:pt x="4694878" y="5143386"/>
                <a:pt x="4675650" y="5143386"/>
              </a:cubicBezTo>
              <a:close/>
              <a:moveTo>
                <a:pt x="4760543" y="5143386"/>
              </a:moveTo>
              <a:cubicBezTo>
                <a:pt x="4741316" y="5143386"/>
                <a:pt x="4725724" y="5127795"/>
                <a:pt x="4725724" y="5108567"/>
              </a:cubicBezTo>
              <a:cubicBezTo>
                <a:pt x="4725724" y="5089339"/>
                <a:pt x="4741316" y="5073748"/>
                <a:pt x="4760543" y="5073748"/>
              </a:cubicBezTo>
              <a:cubicBezTo>
                <a:pt x="4779771" y="5073748"/>
                <a:pt x="4795362" y="5089339"/>
                <a:pt x="4795362" y="5108567"/>
              </a:cubicBezTo>
              <a:cubicBezTo>
                <a:pt x="4795362" y="5127795"/>
                <a:pt x="4779771" y="5143386"/>
                <a:pt x="4760543" y="5143386"/>
              </a:cubicBezTo>
              <a:close/>
              <a:moveTo>
                <a:pt x="4845436" y="5143386"/>
              </a:moveTo>
              <a:cubicBezTo>
                <a:pt x="4826208" y="5143386"/>
                <a:pt x="4810617" y="5127795"/>
                <a:pt x="4810617" y="5108567"/>
              </a:cubicBezTo>
              <a:cubicBezTo>
                <a:pt x="4810617" y="5089339"/>
                <a:pt x="4826208" y="5073748"/>
                <a:pt x="4845436" y="5073748"/>
              </a:cubicBezTo>
              <a:cubicBezTo>
                <a:pt x="4864663" y="5073748"/>
                <a:pt x="4880254" y="5089339"/>
                <a:pt x="4880254" y="5108567"/>
              </a:cubicBezTo>
              <a:cubicBezTo>
                <a:pt x="4880254" y="5127795"/>
                <a:pt x="4864663" y="5143386"/>
                <a:pt x="4845436" y="5143386"/>
              </a:cubicBezTo>
              <a:close/>
              <a:moveTo>
                <a:pt x="4930328" y="5143386"/>
              </a:moveTo>
              <a:cubicBezTo>
                <a:pt x="4911100" y="5143386"/>
                <a:pt x="4895509" y="5127795"/>
                <a:pt x="4895509" y="5108567"/>
              </a:cubicBezTo>
              <a:cubicBezTo>
                <a:pt x="4895509" y="5089339"/>
                <a:pt x="4911100" y="5073748"/>
                <a:pt x="4930328" y="5073748"/>
              </a:cubicBezTo>
              <a:cubicBezTo>
                <a:pt x="4949556" y="5073748"/>
                <a:pt x="4965147" y="5089339"/>
                <a:pt x="4965147" y="5108567"/>
              </a:cubicBezTo>
              <a:cubicBezTo>
                <a:pt x="4965147" y="5127795"/>
                <a:pt x="4949556" y="5143386"/>
                <a:pt x="4930328" y="5143386"/>
              </a:cubicBezTo>
              <a:close/>
              <a:moveTo>
                <a:pt x="6288611" y="5143386"/>
              </a:moveTo>
              <a:cubicBezTo>
                <a:pt x="6269384" y="5143386"/>
                <a:pt x="6253786" y="5127795"/>
                <a:pt x="6253786" y="5108567"/>
              </a:cubicBezTo>
              <a:cubicBezTo>
                <a:pt x="6253786" y="5089339"/>
                <a:pt x="6269384" y="5073748"/>
                <a:pt x="6288611" y="5073748"/>
              </a:cubicBezTo>
              <a:cubicBezTo>
                <a:pt x="6307839" y="5073748"/>
                <a:pt x="6323424" y="5089339"/>
                <a:pt x="6323424" y="5108567"/>
              </a:cubicBezTo>
              <a:cubicBezTo>
                <a:pt x="6323424" y="5127795"/>
                <a:pt x="6307839" y="5143386"/>
                <a:pt x="6288611" y="5143386"/>
              </a:cubicBezTo>
              <a:close/>
              <a:moveTo>
                <a:pt x="6373504" y="5143386"/>
              </a:moveTo>
              <a:cubicBezTo>
                <a:pt x="6354276" y="5143386"/>
                <a:pt x="6338678" y="5127795"/>
                <a:pt x="6338678" y="5108567"/>
              </a:cubicBezTo>
              <a:cubicBezTo>
                <a:pt x="6338678" y="5089339"/>
                <a:pt x="6354276" y="5073748"/>
                <a:pt x="6373504" y="5073748"/>
              </a:cubicBezTo>
              <a:cubicBezTo>
                <a:pt x="6392731" y="5073748"/>
                <a:pt x="6408316" y="5089339"/>
                <a:pt x="6408316" y="5108567"/>
              </a:cubicBezTo>
              <a:cubicBezTo>
                <a:pt x="6408316" y="5127795"/>
                <a:pt x="6392731" y="5143386"/>
                <a:pt x="6373504" y="5143386"/>
              </a:cubicBezTo>
              <a:close/>
              <a:moveTo>
                <a:pt x="6458396" y="5143386"/>
              </a:moveTo>
              <a:cubicBezTo>
                <a:pt x="6439168" y="5143386"/>
                <a:pt x="6423570" y="5127795"/>
                <a:pt x="6423570" y="5108567"/>
              </a:cubicBezTo>
              <a:cubicBezTo>
                <a:pt x="6423570" y="5089339"/>
                <a:pt x="6439168" y="5073748"/>
                <a:pt x="6458396" y="5073748"/>
              </a:cubicBezTo>
              <a:cubicBezTo>
                <a:pt x="6477624" y="5073748"/>
                <a:pt x="6493208" y="5089339"/>
                <a:pt x="6493208" y="5108567"/>
              </a:cubicBezTo>
              <a:cubicBezTo>
                <a:pt x="6493208" y="5127795"/>
                <a:pt x="6477624" y="5143386"/>
                <a:pt x="6458396" y="5143386"/>
              </a:cubicBezTo>
              <a:close/>
              <a:moveTo>
                <a:pt x="6543288" y="5143386"/>
              </a:moveTo>
              <a:cubicBezTo>
                <a:pt x="6524060" y="5143386"/>
                <a:pt x="6508463" y="5127795"/>
                <a:pt x="6508463" y="5108567"/>
              </a:cubicBezTo>
              <a:cubicBezTo>
                <a:pt x="6508463" y="5089339"/>
                <a:pt x="6524060" y="5073748"/>
                <a:pt x="6543288" y="5073748"/>
              </a:cubicBezTo>
              <a:cubicBezTo>
                <a:pt x="6562516" y="5073748"/>
                <a:pt x="6578100" y="5089339"/>
                <a:pt x="6578100" y="5108567"/>
              </a:cubicBezTo>
              <a:cubicBezTo>
                <a:pt x="6578100" y="5127795"/>
                <a:pt x="6562516" y="5143386"/>
                <a:pt x="6543288" y="5143386"/>
              </a:cubicBezTo>
              <a:close/>
              <a:moveTo>
                <a:pt x="6628181" y="5143386"/>
              </a:moveTo>
              <a:cubicBezTo>
                <a:pt x="6608954" y="5143386"/>
                <a:pt x="6593356" y="5127795"/>
                <a:pt x="6593356" y="5108567"/>
              </a:cubicBezTo>
              <a:cubicBezTo>
                <a:pt x="6593356" y="5089339"/>
                <a:pt x="6608954" y="5073748"/>
                <a:pt x="6628181" y="5073748"/>
              </a:cubicBezTo>
              <a:cubicBezTo>
                <a:pt x="6647409" y="5073748"/>
                <a:pt x="6662994" y="5089339"/>
                <a:pt x="6662994" y="5108567"/>
              </a:cubicBezTo>
              <a:cubicBezTo>
                <a:pt x="6662994" y="5127795"/>
                <a:pt x="6647409" y="5143386"/>
                <a:pt x="6628181" y="5143386"/>
              </a:cubicBezTo>
              <a:close/>
              <a:moveTo>
                <a:pt x="6713074" y="5143386"/>
              </a:moveTo>
              <a:cubicBezTo>
                <a:pt x="6693846" y="5143386"/>
                <a:pt x="6678248" y="5127795"/>
                <a:pt x="6678248" y="5108567"/>
              </a:cubicBezTo>
              <a:cubicBezTo>
                <a:pt x="6678248" y="5089339"/>
                <a:pt x="6693846" y="5073748"/>
                <a:pt x="6713074" y="5073748"/>
              </a:cubicBezTo>
              <a:cubicBezTo>
                <a:pt x="6732301" y="5073748"/>
                <a:pt x="6747886" y="5089339"/>
                <a:pt x="6747886" y="5108567"/>
              </a:cubicBezTo>
              <a:cubicBezTo>
                <a:pt x="6747886" y="5127795"/>
                <a:pt x="6732301" y="5143386"/>
                <a:pt x="6713074" y="5143386"/>
              </a:cubicBezTo>
              <a:close/>
              <a:moveTo>
                <a:pt x="6797966" y="5143386"/>
              </a:moveTo>
              <a:cubicBezTo>
                <a:pt x="6778738" y="5143386"/>
                <a:pt x="6763140" y="5127795"/>
                <a:pt x="6763140" y="5108567"/>
              </a:cubicBezTo>
              <a:cubicBezTo>
                <a:pt x="6763140" y="5089339"/>
                <a:pt x="6778738" y="5073748"/>
                <a:pt x="6797966" y="5073748"/>
              </a:cubicBezTo>
              <a:cubicBezTo>
                <a:pt x="6817194" y="5073748"/>
                <a:pt x="6832778" y="5089339"/>
                <a:pt x="6832778" y="5108567"/>
              </a:cubicBezTo>
              <a:cubicBezTo>
                <a:pt x="6832778" y="5127795"/>
                <a:pt x="6817194" y="5143386"/>
                <a:pt x="6797966" y="5143386"/>
              </a:cubicBezTo>
              <a:close/>
              <a:moveTo>
                <a:pt x="7052644" y="5143386"/>
              </a:moveTo>
              <a:cubicBezTo>
                <a:pt x="7033416" y="5143386"/>
                <a:pt x="7017818" y="5127795"/>
                <a:pt x="7017818" y="5108567"/>
              </a:cubicBezTo>
              <a:cubicBezTo>
                <a:pt x="7017818" y="5089339"/>
                <a:pt x="7033416" y="5073748"/>
                <a:pt x="7052644" y="5073748"/>
              </a:cubicBezTo>
              <a:cubicBezTo>
                <a:pt x="7071871" y="5073748"/>
                <a:pt x="7087456" y="5089339"/>
                <a:pt x="7087456" y="5108567"/>
              </a:cubicBezTo>
              <a:cubicBezTo>
                <a:pt x="7087456" y="5127795"/>
                <a:pt x="7071871" y="5143386"/>
                <a:pt x="7052644" y="5143386"/>
              </a:cubicBezTo>
              <a:close/>
              <a:moveTo>
                <a:pt x="7137536" y="5143386"/>
              </a:moveTo>
              <a:cubicBezTo>
                <a:pt x="7118308" y="5143386"/>
                <a:pt x="7102710" y="5127795"/>
                <a:pt x="7102710" y="5108567"/>
              </a:cubicBezTo>
              <a:cubicBezTo>
                <a:pt x="7102710" y="5089339"/>
                <a:pt x="7118308" y="5073748"/>
                <a:pt x="7137536" y="5073748"/>
              </a:cubicBezTo>
              <a:cubicBezTo>
                <a:pt x="7156764" y="5073748"/>
                <a:pt x="7172348" y="5089339"/>
                <a:pt x="7172348" y="5108567"/>
              </a:cubicBezTo>
              <a:cubicBezTo>
                <a:pt x="7172348" y="5127795"/>
                <a:pt x="7156764" y="5143386"/>
                <a:pt x="7137536" y="5143386"/>
              </a:cubicBezTo>
              <a:close/>
              <a:moveTo>
                <a:pt x="7222428" y="5143386"/>
              </a:moveTo>
              <a:cubicBezTo>
                <a:pt x="7203200" y="5143386"/>
                <a:pt x="7187603" y="5127795"/>
                <a:pt x="7187603" y="5108567"/>
              </a:cubicBezTo>
              <a:cubicBezTo>
                <a:pt x="7187603" y="5089339"/>
                <a:pt x="7203200" y="5073748"/>
                <a:pt x="7222428" y="5073748"/>
              </a:cubicBezTo>
              <a:cubicBezTo>
                <a:pt x="7241656" y="5073748"/>
                <a:pt x="7257240" y="5089339"/>
                <a:pt x="7257240" y="5108567"/>
              </a:cubicBezTo>
              <a:cubicBezTo>
                <a:pt x="7257240" y="5127795"/>
                <a:pt x="7241656" y="5143386"/>
                <a:pt x="7222428" y="5143386"/>
              </a:cubicBezTo>
              <a:close/>
              <a:moveTo>
                <a:pt x="7307320" y="5143386"/>
              </a:moveTo>
              <a:cubicBezTo>
                <a:pt x="7288093" y="5143386"/>
                <a:pt x="7272495" y="5127795"/>
                <a:pt x="7272495" y="5108567"/>
              </a:cubicBezTo>
              <a:cubicBezTo>
                <a:pt x="7272495" y="5089339"/>
                <a:pt x="7288093" y="5073748"/>
                <a:pt x="7307320" y="5073748"/>
              </a:cubicBezTo>
              <a:cubicBezTo>
                <a:pt x="7326548" y="5073748"/>
                <a:pt x="7342133" y="5089339"/>
                <a:pt x="7342133" y="5108567"/>
              </a:cubicBezTo>
              <a:cubicBezTo>
                <a:pt x="7342133" y="5127795"/>
                <a:pt x="7326548" y="5143386"/>
                <a:pt x="7307320" y="5143386"/>
              </a:cubicBezTo>
              <a:close/>
              <a:moveTo>
                <a:pt x="7392214" y="5143386"/>
              </a:moveTo>
              <a:cubicBezTo>
                <a:pt x="7372986" y="5143386"/>
                <a:pt x="7357388" y="5127795"/>
                <a:pt x="7357388" y="5108567"/>
              </a:cubicBezTo>
              <a:cubicBezTo>
                <a:pt x="7357388" y="5089339"/>
                <a:pt x="7372986" y="5073748"/>
                <a:pt x="7392214" y="5073748"/>
              </a:cubicBezTo>
              <a:cubicBezTo>
                <a:pt x="7411441" y="5073748"/>
                <a:pt x="7427026" y="5089339"/>
                <a:pt x="7427026" y="5108567"/>
              </a:cubicBezTo>
              <a:cubicBezTo>
                <a:pt x="7427026" y="5127795"/>
                <a:pt x="7411441" y="5143386"/>
                <a:pt x="7392214" y="5143386"/>
              </a:cubicBezTo>
              <a:close/>
              <a:moveTo>
                <a:pt x="7477106" y="5143386"/>
              </a:moveTo>
              <a:cubicBezTo>
                <a:pt x="7457878" y="5143386"/>
                <a:pt x="7442280" y="5127795"/>
                <a:pt x="7442280" y="5108567"/>
              </a:cubicBezTo>
              <a:cubicBezTo>
                <a:pt x="7442280" y="5089339"/>
                <a:pt x="7457878" y="5073748"/>
                <a:pt x="7477106" y="5073748"/>
              </a:cubicBezTo>
              <a:cubicBezTo>
                <a:pt x="7496334" y="5073748"/>
                <a:pt x="7511918" y="5089339"/>
                <a:pt x="7511918" y="5108567"/>
              </a:cubicBezTo>
              <a:cubicBezTo>
                <a:pt x="7511918" y="5127795"/>
                <a:pt x="7496334" y="5143386"/>
                <a:pt x="7477106" y="5143386"/>
              </a:cubicBezTo>
              <a:close/>
              <a:moveTo>
                <a:pt x="7561998" y="5143386"/>
              </a:moveTo>
              <a:cubicBezTo>
                <a:pt x="7542770" y="5143386"/>
                <a:pt x="7527173" y="5127795"/>
                <a:pt x="7527173" y="5108567"/>
              </a:cubicBezTo>
              <a:cubicBezTo>
                <a:pt x="7527173" y="5089339"/>
                <a:pt x="7542770" y="5073748"/>
                <a:pt x="7561998" y="5073748"/>
              </a:cubicBezTo>
              <a:cubicBezTo>
                <a:pt x="7581226" y="5073748"/>
                <a:pt x="7596810" y="5089339"/>
                <a:pt x="7596810" y="5108567"/>
              </a:cubicBezTo>
              <a:cubicBezTo>
                <a:pt x="7596810" y="5127795"/>
                <a:pt x="7581226" y="5143386"/>
                <a:pt x="7561998" y="5143386"/>
              </a:cubicBezTo>
              <a:close/>
              <a:moveTo>
                <a:pt x="7646890" y="5143386"/>
              </a:moveTo>
              <a:cubicBezTo>
                <a:pt x="7627663" y="5143386"/>
                <a:pt x="7612065" y="5127795"/>
                <a:pt x="7612065" y="5108567"/>
              </a:cubicBezTo>
              <a:cubicBezTo>
                <a:pt x="7612065" y="5089339"/>
                <a:pt x="7627663" y="5073748"/>
                <a:pt x="7646890" y="5073748"/>
              </a:cubicBezTo>
              <a:cubicBezTo>
                <a:pt x="7666118" y="5073748"/>
                <a:pt x="7681703" y="5089339"/>
                <a:pt x="7681703" y="5108567"/>
              </a:cubicBezTo>
              <a:cubicBezTo>
                <a:pt x="7681703" y="5127795"/>
                <a:pt x="7666118" y="5143386"/>
                <a:pt x="7646890" y="5143386"/>
              </a:cubicBezTo>
              <a:close/>
              <a:moveTo>
                <a:pt x="7731784" y="5143386"/>
              </a:moveTo>
              <a:cubicBezTo>
                <a:pt x="7712556" y="5143386"/>
                <a:pt x="7696958" y="5127795"/>
                <a:pt x="7696958" y="5108567"/>
              </a:cubicBezTo>
              <a:cubicBezTo>
                <a:pt x="7696958" y="5089339"/>
                <a:pt x="7712556" y="5073748"/>
                <a:pt x="7731784" y="5073748"/>
              </a:cubicBezTo>
              <a:cubicBezTo>
                <a:pt x="7751011" y="5073748"/>
                <a:pt x="7766596" y="5089339"/>
                <a:pt x="7766596" y="5108567"/>
              </a:cubicBezTo>
              <a:cubicBezTo>
                <a:pt x="7766596" y="5127795"/>
                <a:pt x="7751011" y="5143386"/>
                <a:pt x="7731784" y="5143386"/>
              </a:cubicBezTo>
              <a:close/>
              <a:moveTo>
                <a:pt x="7816676" y="5143386"/>
              </a:moveTo>
              <a:cubicBezTo>
                <a:pt x="7797448" y="5143386"/>
                <a:pt x="7781850" y="5127795"/>
                <a:pt x="7781850" y="5108567"/>
              </a:cubicBezTo>
              <a:cubicBezTo>
                <a:pt x="7781850" y="5089339"/>
                <a:pt x="7797448" y="5073748"/>
                <a:pt x="7816676" y="5073748"/>
              </a:cubicBezTo>
              <a:cubicBezTo>
                <a:pt x="7835904" y="5073748"/>
                <a:pt x="7851488" y="5089339"/>
                <a:pt x="7851488" y="5108567"/>
              </a:cubicBezTo>
              <a:cubicBezTo>
                <a:pt x="7851488" y="5127795"/>
                <a:pt x="7835904" y="5143386"/>
                <a:pt x="7816676" y="5143386"/>
              </a:cubicBezTo>
              <a:close/>
              <a:moveTo>
                <a:pt x="7901568" y="5143386"/>
              </a:moveTo>
              <a:cubicBezTo>
                <a:pt x="7882340" y="5143386"/>
                <a:pt x="7866743" y="5127795"/>
                <a:pt x="7866743" y="5108567"/>
              </a:cubicBezTo>
              <a:cubicBezTo>
                <a:pt x="7866743" y="5089339"/>
                <a:pt x="7882340" y="5073748"/>
                <a:pt x="7901568" y="5073748"/>
              </a:cubicBezTo>
              <a:cubicBezTo>
                <a:pt x="7920796" y="5073748"/>
                <a:pt x="7936380" y="5089339"/>
                <a:pt x="7936380" y="5108567"/>
              </a:cubicBezTo>
              <a:cubicBezTo>
                <a:pt x="7936380" y="5127795"/>
                <a:pt x="7920796" y="5143386"/>
                <a:pt x="7901568" y="5143386"/>
              </a:cubicBezTo>
              <a:close/>
              <a:moveTo>
                <a:pt x="7986460" y="5143386"/>
              </a:moveTo>
              <a:cubicBezTo>
                <a:pt x="7967233" y="5143386"/>
                <a:pt x="7951635" y="5127795"/>
                <a:pt x="7951635" y="5108567"/>
              </a:cubicBezTo>
              <a:cubicBezTo>
                <a:pt x="7951635" y="5089339"/>
                <a:pt x="7967233" y="5073748"/>
                <a:pt x="7986460" y="5073748"/>
              </a:cubicBezTo>
              <a:cubicBezTo>
                <a:pt x="8005688" y="5073748"/>
                <a:pt x="8021273" y="5089339"/>
                <a:pt x="8021273" y="5108567"/>
              </a:cubicBezTo>
              <a:cubicBezTo>
                <a:pt x="8021273" y="5127795"/>
                <a:pt x="8005688" y="5143386"/>
                <a:pt x="7986460" y="5143386"/>
              </a:cubicBezTo>
              <a:close/>
              <a:moveTo>
                <a:pt x="8071353" y="5143386"/>
              </a:moveTo>
              <a:cubicBezTo>
                <a:pt x="8052125" y="5143386"/>
                <a:pt x="8036527" y="5127795"/>
                <a:pt x="8036527" y="5108567"/>
              </a:cubicBezTo>
              <a:cubicBezTo>
                <a:pt x="8036527" y="5089339"/>
                <a:pt x="8052125" y="5073748"/>
                <a:pt x="8071353" y="5073748"/>
              </a:cubicBezTo>
              <a:cubicBezTo>
                <a:pt x="8090580" y="5073748"/>
                <a:pt x="8106165" y="5089339"/>
                <a:pt x="8106165" y="5108567"/>
              </a:cubicBezTo>
              <a:cubicBezTo>
                <a:pt x="8106165" y="5127795"/>
                <a:pt x="8090580" y="5143386"/>
                <a:pt x="8071353" y="5143386"/>
              </a:cubicBezTo>
              <a:close/>
              <a:moveTo>
                <a:pt x="8156246" y="5143386"/>
              </a:moveTo>
              <a:cubicBezTo>
                <a:pt x="8137018" y="5143386"/>
                <a:pt x="8121420" y="5127795"/>
                <a:pt x="8121420" y="5108567"/>
              </a:cubicBezTo>
              <a:cubicBezTo>
                <a:pt x="8121420" y="5089339"/>
                <a:pt x="8137018" y="5073748"/>
                <a:pt x="8156246" y="5073748"/>
              </a:cubicBezTo>
              <a:cubicBezTo>
                <a:pt x="8175474" y="5073748"/>
                <a:pt x="8191058" y="5089339"/>
                <a:pt x="8191058" y="5108567"/>
              </a:cubicBezTo>
              <a:cubicBezTo>
                <a:pt x="8191058" y="5127795"/>
                <a:pt x="8175474" y="5143386"/>
                <a:pt x="8156246" y="5143386"/>
              </a:cubicBezTo>
              <a:close/>
              <a:moveTo>
                <a:pt x="8241138" y="5143386"/>
              </a:moveTo>
              <a:cubicBezTo>
                <a:pt x="8221910" y="5143386"/>
                <a:pt x="8206313" y="5127795"/>
                <a:pt x="8206313" y="5108567"/>
              </a:cubicBezTo>
              <a:cubicBezTo>
                <a:pt x="8206313" y="5089339"/>
                <a:pt x="8221910" y="5073748"/>
                <a:pt x="8241138" y="5073748"/>
              </a:cubicBezTo>
              <a:cubicBezTo>
                <a:pt x="8260366" y="5073748"/>
                <a:pt x="8275950" y="5089339"/>
                <a:pt x="8275950" y="5108567"/>
              </a:cubicBezTo>
              <a:cubicBezTo>
                <a:pt x="8275950" y="5127795"/>
                <a:pt x="8260366" y="5143386"/>
                <a:pt x="8241138" y="5143386"/>
              </a:cubicBezTo>
              <a:close/>
              <a:moveTo>
                <a:pt x="8326030" y="5143386"/>
              </a:moveTo>
              <a:cubicBezTo>
                <a:pt x="8306803" y="5143386"/>
                <a:pt x="8291205" y="5127795"/>
                <a:pt x="8291205" y="5108567"/>
              </a:cubicBezTo>
              <a:cubicBezTo>
                <a:pt x="8291205" y="5089339"/>
                <a:pt x="8306803" y="5073748"/>
                <a:pt x="8326030" y="5073748"/>
              </a:cubicBezTo>
              <a:cubicBezTo>
                <a:pt x="8345258" y="5073748"/>
                <a:pt x="8360843" y="5089339"/>
                <a:pt x="8360843" y="5108567"/>
              </a:cubicBezTo>
              <a:cubicBezTo>
                <a:pt x="8360843" y="5127795"/>
                <a:pt x="8345258" y="5143386"/>
                <a:pt x="8326030" y="5143386"/>
              </a:cubicBezTo>
              <a:close/>
              <a:moveTo>
                <a:pt x="8410923" y="5143386"/>
              </a:moveTo>
              <a:cubicBezTo>
                <a:pt x="8391695" y="5143386"/>
                <a:pt x="8376097" y="5127795"/>
                <a:pt x="8376097" y="5108567"/>
              </a:cubicBezTo>
              <a:cubicBezTo>
                <a:pt x="8376097" y="5089339"/>
                <a:pt x="8391695" y="5073748"/>
                <a:pt x="8410923" y="5073748"/>
              </a:cubicBezTo>
              <a:cubicBezTo>
                <a:pt x="8430150" y="5073748"/>
                <a:pt x="8445735" y="5089339"/>
                <a:pt x="8445735" y="5108567"/>
              </a:cubicBezTo>
              <a:cubicBezTo>
                <a:pt x="8445735" y="5127795"/>
                <a:pt x="8430150" y="5143386"/>
                <a:pt x="8410923" y="5143386"/>
              </a:cubicBezTo>
              <a:close/>
              <a:moveTo>
                <a:pt x="8495816" y="5143386"/>
              </a:moveTo>
              <a:cubicBezTo>
                <a:pt x="8476588" y="5143386"/>
                <a:pt x="8460990" y="5127795"/>
                <a:pt x="8460990" y="5108567"/>
              </a:cubicBezTo>
              <a:cubicBezTo>
                <a:pt x="8460990" y="5089339"/>
                <a:pt x="8476588" y="5073748"/>
                <a:pt x="8495816" y="5073748"/>
              </a:cubicBezTo>
              <a:cubicBezTo>
                <a:pt x="8515044" y="5073748"/>
                <a:pt x="8530628" y="5089339"/>
                <a:pt x="8530628" y="5108567"/>
              </a:cubicBezTo>
              <a:cubicBezTo>
                <a:pt x="8530628" y="5127795"/>
                <a:pt x="8515044" y="5143386"/>
                <a:pt x="8495816" y="5143386"/>
              </a:cubicBezTo>
              <a:close/>
              <a:moveTo>
                <a:pt x="8580708" y="5143386"/>
              </a:moveTo>
              <a:cubicBezTo>
                <a:pt x="8561480" y="5143386"/>
                <a:pt x="8545883" y="5127795"/>
                <a:pt x="8545883" y="5108567"/>
              </a:cubicBezTo>
              <a:cubicBezTo>
                <a:pt x="8545883" y="5089339"/>
                <a:pt x="8561480" y="5073748"/>
                <a:pt x="8580708" y="5073748"/>
              </a:cubicBezTo>
              <a:cubicBezTo>
                <a:pt x="8599936" y="5073748"/>
                <a:pt x="8615520" y="5089339"/>
                <a:pt x="8615520" y="5108567"/>
              </a:cubicBezTo>
              <a:cubicBezTo>
                <a:pt x="8615520" y="5127795"/>
                <a:pt x="8599936" y="5143386"/>
                <a:pt x="8580708" y="5143386"/>
              </a:cubicBezTo>
              <a:close/>
              <a:moveTo>
                <a:pt x="8665600" y="5143386"/>
              </a:moveTo>
              <a:cubicBezTo>
                <a:pt x="8646373" y="5143386"/>
                <a:pt x="8630775" y="5127795"/>
                <a:pt x="8630775" y="5108567"/>
              </a:cubicBezTo>
              <a:cubicBezTo>
                <a:pt x="8630775" y="5089339"/>
                <a:pt x="8646373" y="5073748"/>
                <a:pt x="8665600" y="5073748"/>
              </a:cubicBezTo>
              <a:cubicBezTo>
                <a:pt x="8684828" y="5073748"/>
                <a:pt x="8700413" y="5089339"/>
                <a:pt x="8700413" y="5108567"/>
              </a:cubicBezTo>
              <a:cubicBezTo>
                <a:pt x="8700413" y="5127795"/>
                <a:pt x="8684828" y="5143386"/>
                <a:pt x="8665600" y="5143386"/>
              </a:cubicBezTo>
              <a:close/>
              <a:moveTo>
                <a:pt x="8750493" y="5143386"/>
              </a:moveTo>
              <a:cubicBezTo>
                <a:pt x="8731265" y="5143386"/>
                <a:pt x="8715667" y="5127795"/>
                <a:pt x="8715667" y="5108567"/>
              </a:cubicBezTo>
              <a:cubicBezTo>
                <a:pt x="8715667" y="5089339"/>
                <a:pt x="8731265" y="5073748"/>
                <a:pt x="8750493" y="5073748"/>
              </a:cubicBezTo>
              <a:cubicBezTo>
                <a:pt x="8769720" y="5073748"/>
                <a:pt x="8785305" y="5089339"/>
                <a:pt x="8785305" y="5108567"/>
              </a:cubicBezTo>
              <a:cubicBezTo>
                <a:pt x="8785305" y="5127795"/>
                <a:pt x="8769720" y="5143386"/>
                <a:pt x="8750493" y="5143386"/>
              </a:cubicBezTo>
              <a:close/>
              <a:moveTo>
                <a:pt x="8835386" y="5143386"/>
              </a:moveTo>
              <a:cubicBezTo>
                <a:pt x="8816158" y="5143386"/>
                <a:pt x="8800560" y="5127795"/>
                <a:pt x="8800560" y="5108567"/>
              </a:cubicBezTo>
              <a:cubicBezTo>
                <a:pt x="8800560" y="5089339"/>
                <a:pt x="8816158" y="5073748"/>
                <a:pt x="8835386" y="5073748"/>
              </a:cubicBezTo>
              <a:cubicBezTo>
                <a:pt x="8854614" y="5073748"/>
                <a:pt x="8870198" y="5089339"/>
                <a:pt x="8870198" y="5108567"/>
              </a:cubicBezTo>
              <a:cubicBezTo>
                <a:pt x="8870198" y="5127795"/>
                <a:pt x="8854614" y="5143386"/>
                <a:pt x="8835386" y="5143386"/>
              </a:cubicBezTo>
              <a:close/>
              <a:moveTo>
                <a:pt x="8920278" y="5143386"/>
              </a:moveTo>
              <a:cubicBezTo>
                <a:pt x="8901050" y="5143386"/>
                <a:pt x="8885453" y="5127795"/>
                <a:pt x="8885453" y="5108567"/>
              </a:cubicBezTo>
              <a:cubicBezTo>
                <a:pt x="8885453" y="5089339"/>
                <a:pt x="8901050" y="5073748"/>
                <a:pt x="8920278" y="5073748"/>
              </a:cubicBezTo>
              <a:cubicBezTo>
                <a:pt x="8939506" y="5073748"/>
                <a:pt x="8955090" y="5089339"/>
                <a:pt x="8955090" y="5108567"/>
              </a:cubicBezTo>
              <a:cubicBezTo>
                <a:pt x="8955090" y="5127795"/>
                <a:pt x="8939506" y="5143386"/>
                <a:pt x="8920278" y="5143386"/>
              </a:cubicBezTo>
              <a:close/>
              <a:moveTo>
                <a:pt x="9005170" y="5143386"/>
              </a:moveTo>
              <a:cubicBezTo>
                <a:pt x="8985943" y="5143386"/>
                <a:pt x="8970345" y="5127795"/>
                <a:pt x="8970345" y="5108567"/>
              </a:cubicBezTo>
              <a:cubicBezTo>
                <a:pt x="8970345" y="5089339"/>
                <a:pt x="8985943" y="5073748"/>
                <a:pt x="9005170" y="5073748"/>
              </a:cubicBezTo>
              <a:cubicBezTo>
                <a:pt x="9024398" y="5073748"/>
                <a:pt x="9039983" y="5089339"/>
                <a:pt x="9039983" y="5108567"/>
              </a:cubicBezTo>
              <a:cubicBezTo>
                <a:pt x="9039983" y="5127795"/>
                <a:pt x="9024398" y="5143386"/>
                <a:pt x="9005170" y="5143386"/>
              </a:cubicBezTo>
              <a:close/>
              <a:moveTo>
                <a:pt x="9090063" y="5143386"/>
              </a:moveTo>
              <a:cubicBezTo>
                <a:pt x="9070835" y="5143386"/>
                <a:pt x="9055237" y="5127795"/>
                <a:pt x="9055237" y="5108567"/>
              </a:cubicBezTo>
              <a:cubicBezTo>
                <a:pt x="9055237" y="5089339"/>
                <a:pt x="9070835" y="5073748"/>
                <a:pt x="9090063" y="5073748"/>
              </a:cubicBezTo>
              <a:cubicBezTo>
                <a:pt x="9109290" y="5073748"/>
                <a:pt x="9124875" y="5089339"/>
                <a:pt x="9124875" y="5108567"/>
              </a:cubicBezTo>
              <a:cubicBezTo>
                <a:pt x="9124875" y="5127795"/>
                <a:pt x="9109290" y="5143386"/>
                <a:pt x="9090063" y="5143386"/>
              </a:cubicBezTo>
              <a:close/>
              <a:moveTo>
                <a:pt x="9174956" y="5143386"/>
              </a:moveTo>
              <a:cubicBezTo>
                <a:pt x="9155728" y="5143386"/>
                <a:pt x="9140130" y="5127795"/>
                <a:pt x="9140130" y="5108567"/>
              </a:cubicBezTo>
              <a:cubicBezTo>
                <a:pt x="9140130" y="5089339"/>
                <a:pt x="9155728" y="5073748"/>
                <a:pt x="9174956" y="5073748"/>
              </a:cubicBezTo>
              <a:cubicBezTo>
                <a:pt x="9194184" y="5073748"/>
                <a:pt x="9209768" y="5089339"/>
                <a:pt x="9209768" y="5108567"/>
              </a:cubicBezTo>
              <a:cubicBezTo>
                <a:pt x="9209768" y="5127795"/>
                <a:pt x="9194184" y="5143386"/>
                <a:pt x="9174956" y="5143386"/>
              </a:cubicBezTo>
              <a:close/>
              <a:moveTo>
                <a:pt x="9259848" y="5143386"/>
              </a:moveTo>
              <a:cubicBezTo>
                <a:pt x="9240620" y="5143386"/>
                <a:pt x="9225023" y="5127795"/>
                <a:pt x="9225023" y="5108567"/>
              </a:cubicBezTo>
              <a:cubicBezTo>
                <a:pt x="9225023" y="5089339"/>
                <a:pt x="9240620" y="5073748"/>
                <a:pt x="9259848" y="5073748"/>
              </a:cubicBezTo>
              <a:cubicBezTo>
                <a:pt x="9279076" y="5073748"/>
                <a:pt x="9294660" y="5089339"/>
                <a:pt x="9294660" y="5108567"/>
              </a:cubicBezTo>
              <a:cubicBezTo>
                <a:pt x="9294660" y="5127795"/>
                <a:pt x="9279076" y="5143386"/>
                <a:pt x="9259848" y="5143386"/>
              </a:cubicBezTo>
              <a:close/>
              <a:moveTo>
                <a:pt x="9344740" y="5143386"/>
              </a:moveTo>
              <a:cubicBezTo>
                <a:pt x="9325513" y="5143386"/>
                <a:pt x="9309915" y="5127795"/>
                <a:pt x="9309915" y="5108567"/>
              </a:cubicBezTo>
              <a:cubicBezTo>
                <a:pt x="9309915" y="5089339"/>
                <a:pt x="9325513" y="5073748"/>
                <a:pt x="9344740" y="5073748"/>
              </a:cubicBezTo>
              <a:cubicBezTo>
                <a:pt x="9363968" y="5073748"/>
                <a:pt x="9379553" y="5089339"/>
                <a:pt x="9379553" y="5108567"/>
              </a:cubicBezTo>
              <a:cubicBezTo>
                <a:pt x="9379553" y="5127795"/>
                <a:pt x="9363968" y="5143386"/>
                <a:pt x="9344740" y="5143386"/>
              </a:cubicBezTo>
              <a:close/>
              <a:moveTo>
                <a:pt x="9429633" y="5143386"/>
              </a:moveTo>
              <a:cubicBezTo>
                <a:pt x="9410405" y="5143386"/>
                <a:pt x="9394807" y="5127795"/>
                <a:pt x="9394807" y="5108567"/>
              </a:cubicBezTo>
              <a:cubicBezTo>
                <a:pt x="9394807" y="5089339"/>
                <a:pt x="9410405" y="5073748"/>
                <a:pt x="9429633" y="5073748"/>
              </a:cubicBezTo>
              <a:cubicBezTo>
                <a:pt x="9448860" y="5073748"/>
                <a:pt x="9464445" y="5089339"/>
                <a:pt x="9464445" y="5108567"/>
              </a:cubicBezTo>
              <a:cubicBezTo>
                <a:pt x="9464445" y="5127795"/>
                <a:pt x="9448860" y="5143386"/>
                <a:pt x="9429633" y="5143386"/>
              </a:cubicBezTo>
              <a:close/>
              <a:moveTo>
                <a:pt x="9514525" y="5143386"/>
              </a:moveTo>
              <a:cubicBezTo>
                <a:pt x="9495297" y="5143386"/>
                <a:pt x="9479699" y="5127795"/>
                <a:pt x="9479699" y="5108567"/>
              </a:cubicBezTo>
              <a:cubicBezTo>
                <a:pt x="9479699" y="5089339"/>
                <a:pt x="9495297" y="5073748"/>
                <a:pt x="9514525" y="5073748"/>
              </a:cubicBezTo>
              <a:cubicBezTo>
                <a:pt x="9533753" y="5073748"/>
                <a:pt x="9549337" y="5089339"/>
                <a:pt x="9549337" y="5108567"/>
              </a:cubicBezTo>
              <a:cubicBezTo>
                <a:pt x="9549337" y="5127795"/>
                <a:pt x="9533753" y="5143386"/>
                <a:pt x="9514525" y="5143386"/>
              </a:cubicBezTo>
              <a:close/>
              <a:moveTo>
                <a:pt x="9599418" y="5143386"/>
              </a:moveTo>
              <a:cubicBezTo>
                <a:pt x="9580190" y="5143386"/>
                <a:pt x="9564593" y="5127795"/>
                <a:pt x="9564593" y="5108567"/>
              </a:cubicBezTo>
              <a:cubicBezTo>
                <a:pt x="9564593" y="5089339"/>
                <a:pt x="9580190" y="5073748"/>
                <a:pt x="9599418" y="5073748"/>
              </a:cubicBezTo>
              <a:cubicBezTo>
                <a:pt x="9618646" y="5073748"/>
                <a:pt x="9634230" y="5089339"/>
                <a:pt x="9634230" y="5108567"/>
              </a:cubicBezTo>
              <a:cubicBezTo>
                <a:pt x="9634230" y="5127795"/>
                <a:pt x="9618646" y="5143386"/>
                <a:pt x="9599418" y="5143386"/>
              </a:cubicBezTo>
              <a:close/>
              <a:moveTo>
                <a:pt x="9684310" y="5143386"/>
              </a:moveTo>
              <a:cubicBezTo>
                <a:pt x="9665083" y="5143386"/>
                <a:pt x="9649485" y="5127795"/>
                <a:pt x="9649485" y="5108567"/>
              </a:cubicBezTo>
              <a:cubicBezTo>
                <a:pt x="9649485" y="5089339"/>
                <a:pt x="9665083" y="5073748"/>
                <a:pt x="9684310" y="5073748"/>
              </a:cubicBezTo>
              <a:cubicBezTo>
                <a:pt x="9703538" y="5073748"/>
                <a:pt x="9719123" y="5089339"/>
                <a:pt x="9719123" y="5108567"/>
              </a:cubicBezTo>
              <a:cubicBezTo>
                <a:pt x="9719123" y="5127795"/>
                <a:pt x="9703538" y="5143386"/>
                <a:pt x="9684310" y="5143386"/>
              </a:cubicBezTo>
              <a:close/>
              <a:moveTo>
                <a:pt x="9769203" y="5143386"/>
              </a:moveTo>
              <a:cubicBezTo>
                <a:pt x="9749975" y="5143386"/>
                <a:pt x="9734377" y="5127795"/>
                <a:pt x="9734377" y="5108567"/>
              </a:cubicBezTo>
              <a:cubicBezTo>
                <a:pt x="9734377" y="5089339"/>
                <a:pt x="9749975" y="5073748"/>
                <a:pt x="9769203" y="5073748"/>
              </a:cubicBezTo>
              <a:cubicBezTo>
                <a:pt x="9788430" y="5073748"/>
                <a:pt x="9804015" y="5089339"/>
                <a:pt x="9804015" y="5108567"/>
              </a:cubicBezTo>
              <a:cubicBezTo>
                <a:pt x="9804015" y="5127795"/>
                <a:pt x="9788430" y="5143386"/>
                <a:pt x="9769203" y="5143386"/>
              </a:cubicBezTo>
              <a:close/>
              <a:moveTo>
                <a:pt x="10278558" y="5143386"/>
              </a:moveTo>
              <a:cubicBezTo>
                <a:pt x="10259330" y="5143386"/>
                <a:pt x="10243733" y="5127795"/>
                <a:pt x="10243733" y="5108567"/>
              </a:cubicBezTo>
              <a:cubicBezTo>
                <a:pt x="10243733" y="5089339"/>
                <a:pt x="10259330" y="5073748"/>
                <a:pt x="10278558" y="5073748"/>
              </a:cubicBezTo>
              <a:cubicBezTo>
                <a:pt x="10297786" y="5073748"/>
                <a:pt x="10313370" y="5089339"/>
                <a:pt x="10313370" y="5108567"/>
              </a:cubicBezTo>
              <a:cubicBezTo>
                <a:pt x="10313370" y="5127795"/>
                <a:pt x="10297786" y="5143386"/>
                <a:pt x="10278558" y="5143386"/>
              </a:cubicBezTo>
              <a:close/>
              <a:moveTo>
                <a:pt x="10363450" y="5143386"/>
              </a:moveTo>
              <a:cubicBezTo>
                <a:pt x="10344223" y="5143386"/>
                <a:pt x="10328625" y="5127795"/>
                <a:pt x="10328625" y="5108567"/>
              </a:cubicBezTo>
              <a:cubicBezTo>
                <a:pt x="10328625" y="5089339"/>
                <a:pt x="10344223" y="5073748"/>
                <a:pt x="10363450" y="5073748"/>
              </a:cubicBezTo>
              <a:cubicBezTo>
                <a:pt x="10382678" y="5073748"/>
                <a:pt x="10398263" y="5089339"/>
                <a:pt x="10398263" y="5108567"/>
              </a:cubicBezTo>
              <a:cubicBezTo>
                <a:pt x="10398263" y="5127795"/>
                <a:pt x="10382678" y="5143386"/>
                <a:pt x="10363450" y="5143386"/>
              </a:cubicBezTo>
              <a:close/>
              <a:moveTo>
                <a:pt x="1364843" y="5058526"/>
              </a:moveTo>
              <a:cubicBezTo>
                <a:pt x="1345616" y="5058526"/>
                <a:pt x="1330024" y="5042935"/>
                <a:pt x="1330024" y="5023707"/>
              </a:cubicBezTo>
              <a:cubicBezTo>
                <a:pt x="1330024" y="5004479"/>
                <a:pt x="1345616" y="4988888"/>
                <a:pt x="1364843" y="4988888"/>
              </a:cubicBezTo>
              <a:cubicBezTo>
                <a:pt x="1384071" y="4988888"/>
                <a:pt x="1399662" y="5004479"/>
                <a:pt x="1399662" y="5023707"/>
              </a:cubicBezTo>
              <a:cubicBezTo>
                <a:pt x="1399662" y="5042935"/>
                <a:pt x="1384071" y="5058526"/>
                <a:pt x="1364843" y="5058526"/>
              </a:cubicBezTo>
              <a:close/>
              <a:moveTo>
                <a:pt x="1449737" y="5058526"/>
              </a:moveTo>
              <a:cubicBezTo>
                <a:pt x="1430509" y="5058526"/>
                <a:pt x="1414918" y="5042935"/>
                <a:pt x="1414918" y="5023707"/>
              </a:cubicBezTo>
              <a:cubicBezTo>
                <a:pt x="1414918" y="5004479"/>
                <a:pt x="1430509" y="4988888"/>
                <a:pt x="1449737" y="4988888"/>
              </a:cubicBezTo>
              <a:cubicBezTo>
                <a:pt x="1468964" y="4988888"/>
                <a:pt x="1484555" y="5004479"/>
                <a:pt x="1484555" y="5023707"/>
              </a:cubicBezTo>
              <a:cubicBezTo>
                <a:pt x="1484555" y="5042935"/>
                <a:pt x="1468964" y="5058526"/>
                <a:pt x="1449737" y="5058526"/>
              </a:cubicBezTo>
              <a:close/>
              <a:moveTo>
                <a:pt x="2128876" y="5058526"/>
              </a:moveTo>
              <a:cubicBezTo>
                <a:pt x="2109648" y="5058526"/>
                <a:pt x="2094057" y="5042935"/>
                <a:pt x="2094057" y="5023707"/>
              </a:cubicBezTo>
              <a:cubicBezTo>
                <a:pt x="2094057" y="5004479"/>
                <a:pt x="2109648" y="4988888"/>
                <a:pt x="2128876" y="4988888"/>
              </a:cubicBezTo>
              <a:cubicBezTo>
                <a:pt x="2148103" y="4988888"/>
                <a:pt x="2163694" y="5004479"/>
                <a:pt x="2163694" y="5023707"/>
              </a:cubicBezTo>
              <a:cubicBezTo>
                <a:pt x="2163694" y="5042935"/>
                <a:pt x="2148103" y="5058526"/>
                <a:pt x="2128876" y="5058526"/>
              </a:cubicBezTo>
              <a:close/>
              <a:moveTo>
                <a:pt x="2213769" y="5058526"/>
              </a:moveTo>
              <a:cubicBezTo>
                <a:pt x="2194541" y="5058526"/>
                <a:pt x="2178950" y="5042935"/>
                <a:pt x="2178950" y="5023707"/>
              </a:cubicBezTo>
              <a:cubicBezTo>
                <a:pt x="2178950" y="5004479"/>
                <a:pt x="2194541" y="4988888"/>
                <a:pt x="2213769" y="4988888"/>
              </a:cubicBezTo>
              <a:cubicBezTo>
                <a:pt x="2232997" y="4988888"/>
                <a:pt x="2248588" y="5004479"/>
                <a:pt x="2248588" y="5023707"/>
              </a:cubicBezTo>
              <a:cubicBezTo>
                <a:pt x="2248588" y="5042935"/>
                <a:pt x="2232997" y="5058526"/>
                <a:pt x="2213769" y="5058526"/>
              </a:cubicBezTo>
              <a:close/>
              <a:moveTo>
                <a:pt x="2298661" y="5058526"/>
              </a:moveTo>
              <a:cubicBezTo>
                <a:pt x="2279433" y="5058526"/>
                <a:pt x="2263842" y="5042935"/>
                <a:pt x="2263842" y="5023707"/>
              </a:cubicBezTo>
              <a:cubicBezTo>
                <a:pt x="2263842" y="5004479"/>
                <a:pt x="2279433" y="4988888"/>
                <a:pt x="2298661" y="4988888"/>
              </a:cubicBezTo>
              <a:cubicBezTo>
                <a:pt x="2317889" y="4988888"/>
                <a:pt x="2333480" y="5004479"/>
                <a:pt x="2333480" y="5023707"/>
              </a:cubicBezTo>
              <a:cubicBezTo>
                <a:pt x="2333480" y="5042935"/>
                <a:pt x="2317889" y="5058526"/>
                <a:pt x="2298661" y="5058526"/>
              </a:cubicBezTo>
              <a:close/>
              <a:moveTo>
                <a:pt x="2383553" y="5058526"/>
              </a:moveTo>
              <a:cubicBezTo>
                <a:pt x="2364326" y="5058526"/>
                <a:pt x="2348734" y="5042935"/>
                <a:pt x="2348734" y="5023707"/>
              </a:cubicBezTo>
              <a:cubicBezTo>
                <a:pt x="2348734" y="5004479"/>
                <a:pt x="2364326" y="4988888"/>
                <a:pt x="2383553" y="4988888"/>
              </a:cubicBezTo>
              <a:cubicBezTo>
                <a:pt x="2402781" y="4988888"/>
                <a:pt x="2418372" y="5004479"/>
                <a:pt x="2418372" y="5023707"/>
              </a:cubicBezTo>
              <a:cubicBezTo>
                <a:pt x="2418372" y="5042935"/>
                <a:pt x="2402781" y="5058526"/>
                <a:pt x="2383553" y="5058526"/>
              </a:cubicBezTo>
              <a:close/>
              <a:moveTo>
                <a:pt x="2468446" y="5058526"/>
              </a:moveTo>
              <a:cubicBezTo>
                <a:pt x="2449218" y="5058526"/>
                <a:pt x="2433627" y="5042935"/>
                <a:pt x="2433627" y="5023707"/>
              </a:cubicBezTo>
              <a:cubicBezTo>
                <a:pt x="2433627" y="5004479"/>
                <a:pt x="2449218" y="4988888"/>
                <a:pt x="2468446" y="4988888"/>
              </a:cubicBezTo>
              <a:cubicBezTo>
                <a:pt x="2487673" y="4988888"/>
                <a:pt x="2503264" y="5004479"/>
                <a:pt x="2503264" y="5023707"/>
              </a:cubicBezTo>
              <a:cubicBezTo>
                <a:pt x="2503264" y="5042935"/>
                <a:pt x="2487673" y="5058526"/>
                <a:pt x="2468446" y="5058526"/>
              </a:cubicBezTo>
              <a:close/>
              <a:moveTo>
                <a:pt x="2553339" y="5058526"/>
              </a:moveTo>
              <a:cubicBezTo>
                <a:pt x="2534111" y="5058526"/>
                <a:pt x="2518520" y="5042935"/>
                <a:pt x="2518520" y="5023707"/>
              </a:cubicBezTo>
              <a:cubicBezTo>
                <a:pt x="2518520" y="5004479"/>
                <a:pt x="2534111" y="4988888"/>
                <a:pt x="2553339" y="4988888"/>
              </a:cubicBezTo>
              <a:cubicBezTo>
                <a:pt x="2572567" y="4988888"/>
                <a:pt x="2588158" y="5004479"/>
                <a:pt x="2588158" y="5023707"/>
              </a:cubicBezTo>
              <a:cubicBezTo>
                <a:pt x="2588158" y="5042935"/>
                <a:pt x="2572567" y="5058526"/>
                <a:pt x="2553339" y="5058526"/>
              </a:cubicBezTo>
              <a:close/>
              <a:moveTo>
                <a:pt x="2638231" y="5058526"/>
              </a:moveTo>
              <a:cubicBezTo>
                <a:pt x="2619003" y="5058526"/>
                <a:pt x="2603412" y="5042935"/>
                <a:pt x="2603412" y="5023707"/>
              </a:cubicBezTo>
              <a:cubicBezTo>
                <a:pt x="2603412" y="5004479"/>
                <a:pt x="2619003" y="4988888"/>
                <a:pt x="2638231" y="4988888"/>
              </a:cubicBezTo>
              <a:cubicBezTo>
                <a:pt x="2657459" y="4988888"/>
                <a:pt x="2673050" y="5004479"/>
                <a:pt x="2673050" y="5023707"/>
              </a:cubicBezTo>
              <a:cubicBezTo>
                <a:pt x="2673050" y="5042935"/>
                <a:pt x="2657459" y="5058526"/>
                <a:pt x="2638231" y="5058526"/>
              </a:cubicBezTo>
              <a:close/>
              <a:moveTo>
                <a:pt x="2808016" y="5058526"/>
              </a:moveTo>
              <a:cubicBezTo>
                <a:pt x="2788788" y="5058526"/>
                <a:pt x="2773197" y="5042935"/>
                <a:pt x="2773197" y="5023707"/>
              </a:cubicBezTo>
              <a:cubicBezTo>
                <a:pt x="2773197" y="5004479"/>
                <a:pt x="2788788" y="4988888"/>
                <a:pt x="2808016" y="4988888"/>
              </a:cubicBezTo>
              <a:cubicBezTo>
                <a:pt x="2827243" y="4988888"/>
                <a:pt x="2842834" y="5004479"/>
                <a:pt x="2842834" y="5023707"/>
              </a:cubicBezTo>
              <a:cubicBezTo>
                <a:pt x="2842834" y="5042935"/>
                <a:pt x="2827243" y="5058526"/>
                <a:pt x="2808016" y="5058526"/>
              </a:cubicBezTo>
              <a:close/>
              <a:moveTo>
                <a:pt x="2892908" y="5058526"/>
              </a:moveTo>
              <a:cubicBezTo>
                <a:pt x="2873680" y="5058526"/>
                <a:pt x="2858089" y="5042935"/>
                <a:pt x="2858089" y="5023707"/>
              </a:cubicBezTo>
              <a:cubicBezTo>
                <a:pt x="2858089" y="5004479"/>
                <a:pt x="2873680" y="4988888"/>
                <a:pt x="2892908" y="4988888"/>
              </a:cubicBezTo>
              <a:cubicBezTo>
                <a:pt x="2912136" y="4988888"/>
                <a:pt x="2927727" y="5004479"/>
                <a:pt x="2927727" y="5023707"/>
              </a:cubicBezTo>
              <a:cubicBezTo>
                <a:pt x="2927727" y="5042935"/>
                <a:pt x="2912136" y="5058526"/>
                <a:pt x="2892908" y="5058526"/>
              </a:cubicBezTo>
              <a:close/>
              <a:moveTo>
                <a:pt x="2977801" y="5058526"/>
              </a:moveTo>
              <a:cubicBezTo>
                <a:pt x="2958573" y="5058526"/>
                <a:pt x="2942982" y="5042935"/>
                <a:pt x="2942982" y="5023707"/>
              </a:cubicBezTo>
              <a:cubicBezTo>
                <a:pt x="2942982" y="5004479"/>
                <a:pt x="2958573" y="4988888"/>
                <a:pt x="2977801" y="4988888"/>
              </a:cubicBezTo>
              <a:cubicBezTo>
                <a:pt x="2997029" y="4988888"/>
                <a:pt x="3012620" y="5004479"/>
                <a:pt x="3012620" y="5023707"/>
              </a:cubicBezTo>
              <a:cubicBezTo>
                <a:pt x="3012620" y="5042935"/>
                <a:pt x="2997029" y="5058526"/>
                <a:pt x="2977801" y="5058526"/>
              </a:cubicBezTo>
              <a:close/>
              <a:moveTo>
                <a:pt x="3062693" y="5058526"/>
              </a:moveTo>
              <a:cubicBezTo>
                <a:pt x="3043466" y="5058526"/>
                <a:pt x="3027874" y="5042935"/>
                <a:pt x="3027874" y="5023707"/>
              </a:cubicBezTo>
              <a:cubicBezTo>
                <a:pt x="3027874" y="5004479"/>
                <a:pt x="3043466" y="4988888"/>
                <a:pt x="3062693" y="4988888"/>
              </a:cubicBezTo>
              <a:cubicBezTo>
                <a:pt x="3081921" y="4988888"/>
                <a:pt x="3097512" y="5004479"/>
                <a:pt x="3097512" y="5023707"/>
              </a:cubicBezTo>
              <a:cubicBezTo>
                <a:pt x="3097512" y="5042935"/>
                <a:pt x="3081921" y="5058526"/>
                <a:pt x="3062693" y="5058526"/>
              </a:cubicBezTo>
              <a:close/>
              <a:moveTo>
                <a:pt x="3147586" y="5058526"/>
              </a:moveTo>
              <a:cubicBezTo>
                <a:pt x="3128358" y="5058526"/>
                <a:pt x="3112767" y="5042935"/>
                <a:pt x="3112767" y="5023707"/>
              </a:cubicBezTo>
              <a:cubicBezTo>
                <a:pt x="3112767" y="5004479"/>
                <a:pt x="3128358" y="4988888"/>
                <a:pt x="3147586" y="4988888"/>
              </a:cubicBezTo>
              <a:cubicBezTo>
                <a:pt x="3166813" y="4988888"/>
                <a:pt x="3182404" y="5004479"/>
                <a:pt x="3182404" y="5023707"/>
              </a:cubicBezTo>
              <a:cubicBezTo>
                <a:pt x="3182404" y="5042935"/>
                <a:pt x="3166813" y="5058526"/>
                <a:pt x="3147586" y="5058526"/>
              </a:cubicBezTo>
              <a:close/>
              <a:moveTo>
                <a:pt x="3232478" y="5058526"/>
              </a:moveTo>
              <a:cubicBezTo>
                <a:pt x="3213250" y="5058526"/>
                <a:pt x="3197659" y="5042935"/>
                <a:pt x="3197659" y="5023707"/>
              </a:cubicBezTo>
              <a:cubicBezTo>
                <a:pt x="3197659" y="5004479"/>
                <a:pt x="3213250" y="4988888"/>
                <a:pt x="3232478" y="4988888"/>
              </a:cubicBezTo>
              <a:cubicBezTo>
                <a:pt x="3251706" y="4988888"/>
                <a:pt x="3267297" y="5004479"/>
                <a:pt x="3267297" y="5023707"/>
              </a:cubicBezTo>
              <a:cubicBezTo>
                <a:pt x="3267297" y="5042935"/>
                <a:pt x="3251706" y="5058526"/>
                <a:pt x="3232478" y="5058526"/>
              </a:cubicBezTo>
              <a:close/>
              <a:moveTo>
                <a:pt x="3317371" y="5058526"/>
              </a:moveTo>
              <a:cubicBezTo>
                <a:pt x="3298143" y="5058526"/>
                <a:pt x="3282552" y="5042935"/>
                <a:pt x="3282552" y="5023707"/>
              </a:cubicBezTo>
              <a:cubicBezTo>
                <a:pt x="3282552" y="5004479"/>
                <a:pt x="3298143" y="4988888"/>
                <a:pt x="3317371" y="4988888"/>
              </a:cubicBezTo>
              <a:cubicBezTo>
                <a:pt x="3336599" y="4988888"/>
                <a:pt x="3352190" y="5004479"/>
                <a:pt x="3352190" y="5023707"/>
              </a:cubicBezTo>
              <a:cubicBezTo>
                <a:pt x="3352190" y="5042935"/>
                <a:pt x="3336599" y="5058526"/>
                <a:pt x="3317371" y="5058526"/>
              </a:cubicBezTo>
              <a:close/>
              <a:moveTo>
                <a:pt x="3656941" y="5058526"/>
              </a:moveTo>
              <a:cubicBezTo>
                <a:pt x="3637713" y="5058526"/>
                <a:pt x="3622122" y="5042935"/>
                <a:pt x="3622122" y="5023707"/>
              </a:cubicBezTo>
              <a:cubicBezTo>
                <a:pt x="3622122" y="5004479"/>
                <a:pt x="3637713" y="4988888"/>
                <a:pt x="3656941" y="4988888"/>
              </a:cubicBezTo>
              <a:cubicBezTo>
                <a:pt x="3676169" y="4988888"/>
                <a:pt x="3691760" y="5004479"/>
                <a:pt x="3691760" y="5023707"/>
              </a:cubicBezTo>
              <a:cubicBezTo>
                <a:pt x="3691760" y="5042935"/>
                <a:pt x="3676169" y="5058526"/>
                <a:pt x="3656941" y="5058526"/>
              </a:cubicBezTo>
              <a:close/>
              <a:moveTo>
                <a:pt x="3996511" y="5058526"/>
              </a:moveTo>
              <a:cubicBezTo>
                <a:pt x="3977283" y="5058526"/>
                <a:pt x="3961692" y="5042935"/>
                <a:pt x="3961692" y="5023707"/>
              </a:cubicBezTo>
              <a:cubicBezTo>
                <a:pt x="3961692" y="5004479"/>
                <a:pt x="3977283" y="4988888"/>
                <a:pt x="3996511" y="4988888"/>
              </a:cubicBezTo>
              <a:cubicBezTo>
                <a:pt x="4015739" y="4988888"/>
                <a:pt x="4031330" y="5004479"/>
                <a:pt x="4031330" y="5023707"/>
              </a:cubicBezTo>
              <a:cubicBezTo>
                <a:pt x="4031330" y="5042935"/>
                <a:pt x="4015739" y="5058526"/>
                <a:pt x="3996511" y="5058526"/>
              </a:cubicBezTo>
              <a:close/>
              <a:moveTo>
                <a:pt x="4081403" y="5058526"/>
              </a:moveTo>
              <a:cubicBezTo>
                <a:pt x="4062176" y="5058526"/>
                <a:pt x="4046584" y="5042935"/>
                <a:pt x="4046584" y="5023707"/>
              </a:cubicBezTo>
              <a:cubicBezTo>
                <a:pt x="4046584" y="5004479"/>
                <a:pt x="4062176" y="4988888"/>
                <a:pt x="4081403" y="4988888"/>
              </a:cubicBezTo>
              <a:cubicBezTo>
                <a:pt x="4100631" y="4988888"/>
                <a:pt x="4116222" y="5004479"/>
                <a:pt x="4116222" y="5023707"/>
              </a:cubicBezTo>
              <a:cubicBezTo>
                <a:pt x="4116222" y="5042935"/>
                <a:pt x="4100631" y="5058526"/>
                <a:pt x="4081403" y="5058526"/>
              </a:cubicBezTo>
              <a:close/>
              <a:moveTo>
                <a:pt x="4590758" y="5058526"/>
              </a:moveTo>
              <a:cubicBezTo>
                <a:pt x="4571530" y="5058526"/>
                <a:pt x="4555939" y="5042935"/>
                <a:pt x="4555939" y="5023707"/>
              </a:cubicBezTo>
              <a:cubicBezTo>
                <a:pt x="4555939" y="5004479"/>
                <a:pt x="4571530" y="4988888"/>
                <a:pt x="4590758" y="4988888"/>
              </a:cubicBezTo>
              <a:cubicBezTo>
                <a:pt x="4609986" y="4988888"/>
                <a:pt x="4625577" y="5004479"/>
                <a:pt x="4625577" y="5023707"/>
              </a:cubicBezTo>
              <a:cubicBezTo>
                <a:pt x="4625577" y="5042935"/>
                <a:pt x="4609986" y="5058526"/>
                <a:pt x="4590758" y="5058526"/>
              </a:cubicBezTo>
              <a:close/>
              <a:moveTo>
                <a:pt x="4675650" y="5058526"/>
              </a:moveTo>
              <a:cubicBezTo>
                <a:pt x="4656422" y="5058526"/>
                <a:pt x="4640831" y="5042935"/>
                <a:pt x="4640831" y="5023707"/>
              </a:cubicBezTo>
              <a:cubicBezTo>
                <a:pt x="4640831" y="5004479"/>
                <a:pt x="4656422" y="4988888"/>
                <a:pt x="4675650" y="4988888"/>
              </a:cubicBezTo>
              <a:cubicBezTo>
                <a:pt x="4694878" y="4988888"/>
                <a:pt x="4710469" y="5004479"/>
                <a:pt x="4710469" y="5023707"/>
              </a:cubicBezTo>
              <a:cubicBezTo>
                <a:pt x="4710469" y="5042935"/>
                <a:pt x="4694878" y="5058526"/>
                <a:pt x="4675650" y="5058526"/>
              </a:cubicBezTo>
              <a:close/>
              <a:moveTo>
                <a:pt x="4760543" y="5058526"/>
              </a:moveTo>
              <a:cubicBezTo>
                <a:pt x="4741316" y="5058526"/>
                <a:pt x="4725724" y="5042935"/>
                <a:pt x="4725724" y="5023707"/>
              </a:cubicBezTo>
              <a:cubicBezTo>
                <a:pt x="4725724" y="5004479"/>
                <a:pt x="4741316" y="4988888"/>
                <a:pt x="4760543" y="4988888"/>
              </a:cubicBezTo>
              <a:cubicBezTo>
                <a:pt x="4779771" y="4988888"/>
                <a:pt x="4795362" y="5004479"/>
                <a:pt x="4795362" y="5023707"/>
              </a:cubicBezTo>
              <a:cubicBezTo>
                <a:pt x="4795362" y="5042935"/>
                <a:pt x="4779771" y="5058526"/>
                <a:pt x="4760543" y="5058526"/>
              </a:cubicBezTo>
              <a:close/>
              <a:moveTo>
                <a:pt x="5269898" y="5058526"/>
              </a:moveTo>
              <a:cubicBezTo>
                <a:pt x="5250670" y="5058526"/>
                <a:pt x="5235079" y="5042935"/>
                <a:pt x="5235079" y="5023707"/>
              </a:cubicBezTo>
              <a:cubicBezTo>
                <a:pt x="5235079" y="5004479"/>
                <a:pt x="5250670" y="4988888"/>
                <a:pt x="5269898" y="4988888"/>
              </a:cubicBezTo>
              <a:cubicBezTo>
                <a:pt x="5289126" y="4988888"/>
                <a:pt x="5304717" y="5004479"/>
                <a:pt x="5304717" y="5023707"/>
              </a:cubicBezTo>
              <a:cubicBezTo>
                <a:pt x="5304717" y="5042935"/>
                <a:pt x="5289126" y="5058526"/>
                <a:pt x="5269898" y="5058526"/>
              </a:cubicBezTo>
              <a:close/>
              <a:moveTo>
                <a:pt x="5439683" y="5058526"/>
              </a:moveTo>
              <a:cubicBezTo>
                <a:pt x="5420456" y="5058526"/>
                <a:pt x="5404864" y="5042935"/>
                <a:pt x="5404864" y="5023707"/>
              </a:cubicBezTo>
              <a:cubicBezTo>
                <a:pt x="5404864" y="5004479"/>
                <a:pt x="5420456" y="4988888"/>
                <a:pt x="5439683" y="4988888"/>
              </a:cubicBezTo>
              <a:cubicBezTo>
                <a:pt x="5458911" y="4988888"/>
                <a:pt x="5474502" y="5004479"/>
                <a:pt x="5474502" y="5023707"/>
              </a:cubicBezTo>
              <a:cubicBezTo>
                <a:pt x="5474502" y="5042935"/>
                <a:pt x="5458911" y="5058526"/>
                <a:pt x="5439683" y="5058526"/>
              </a:cubicBezTo>
              <a:close/>
              <a:moveTo>
                <a:pt x="6203718" y="5058526"/>
              </a:moveTo>
              <a:cubicBezTo>
                <a:pt x="6184490" y="5058526"/>
                <a:pt x="6168893" y="5042935"/>
                <a:pt x="6168893" y="5023707"/>
              </a:cubicBezTo>
              <a:cubicBezTo>
                <a:pt x="6168893" y="5004479"/>
                <a:pt x="6184490" y="4988888"/>
                <a:pt x="6203718" y="4988888"/>
              </a:cubicBezTo>
              <a:cubicBezTo>
                <a:pt x="6222946" y="4988888"/>
                <a:pt x="6238530" y="5004479"/>
                <a:pt x="6238530" y="5023707"/>
              </a:cubicBezTo>
              <a:cubicBezTo>
                <a:pt x="6238530" y="5042935"/>
                <a:pt x="6222946" y="5058526"/>
                <a:pt x="6203718" y="5058526"/>
              </a:cubicBezTo>
              <a:close/>
              <a:moveTo>
                <a:pt x="6288611" y="5058526"/>
              </a:moveTo>
              <a:cubicBezTo>
                <a:pt x="6269384" y="5058526"/>
                <a:pt x="6253786" y="5042935"/>
                <a:pt x="6253786" y="5023707"/>
              </a:cubicBezTo>
              <a:cubicBezTo>
                <a:pt x="6253786" y="5004479"/>
                <a:pt x="6269384" y="4988888"/>
                <a:pt x="6288611" y="4988888"/>
              </a:cubicBezTo>
              <a:cubicBezTo>
                <a:pt x="6307839" y="4988888"/>
                <a:pt x="6323424" y="5004479"/>
                <a:pt x="6323424" y="5023707"/>
              </a:cubicBezTo>
              <a:cubicBezTo>
                <a:pt x="6323424" y="5042935"/>
                <a:pt x="6307839" y="5058526"/>
                <a:pt x="6288611" y="5058526"/>
              </a:cubicBezTo>
              <a:close/>
              <a:moveTo>
                <a:pt x="6373504" y="5058526"/>
              </a:moveTo>
              <a:cubicBezTo>
                <a:pt x="6354276" y="5058526"/>
                <a:pt x="6338678" y="5042935"/>
                <a:pt x="6338678" y="5023707"/>
              </a:cubicBezTo>
              <a:cubicBezTo>
                <a:pt x="6338678" y="5004479"/>
                <a:pt x="6354276" y="4988888"/>
                <a:pt x="6373504" y="4988888"/>
              </a:cubicBezTo>
              <a:cubicBezTo>
                <a:pt x="6392731" y="4988888"/>
                <a:pt x="6408316" y="5004479"/>
                <a:pt x="6408316" y="5023707"/>
              </a:cubicBezTo>
              <a:cubicBezTo>
                <a:pt x="6408316" y="5042935"/>
                <a:pt x="6392731" y="5058526"/>
                <a:pt x="6373504" y="5058526"/>
              </a:cubicBezTo>
              <a:close/>
              <a:moveTo>
                <a:pt x="6543288" y="5058526"/>
              </a:moveTo>
              <a:cubicBezTo>
                <a:pt x="6524060" y="5058526"/>
                <a:pt x="6508463" y="5042935"/>
                <a:pt x="6508463" y="5023707"/>
              </a:cubicBezTo>
              <a:cubicBezTo>
                <a:pt x="6508463" y="5004479"/>
                <a:pt x="6524060" y="4988888"/>
                <a:pt x="6543288" y="4988888"/>
              </a:cubicBezTo>
              <a:cubicBezTo>
                <a:pt x="6562516" y="4988888"/>
                <a:pt x="6578100" y="5004479"/>
                <a:pt x="6578100" y="5023707"/>
              </a:cubicBezTo>
              <a:cubicBezTo>
                <a:pt x="6578100" y="5042935"/>
                <a:pt x="6562516" y="5058526"/>
                <a:pt x="6543288" y="5058526"/>
              </a:cubicBezTo>
              <a:close/>
              <a:moveTo>
                <a:pt x="6628181" y="5058526"/>
              </a:moveTo>
              <a:cubicBezTo>
                <a:pt x="6608954" y="5058526"/>
                <a:pt x="6593356" y="5042935"/>
                <a:pt x="6593356" y="5023707"/>
              </a:cubicBezTo>
              <a:cubicBezTo>
                <a:pt x="6593356" y="5004479"/>
                <a:pt x="6608954" y="4988888"/>
                <a:pt x="6628181" y="4988888"/>
              </a:cubicBezTo>
              <a:cubicBezTo>
                <a:pt x="6647409" y="4988888"/>
                <a:pt x="6662994" y="5004479"/>
                <a:pt x="6662994" y="5023707"/>
              </a:cubicBezTo>
              <a:cubicBezTo>
                <a:pt x="6662994" y="5042935"/>
                <a:pt x="6647409" y="5058526"/>
                <a:pt x="6628181" y="5058526"/>
              </a:cubicBezTo>
              <a:close/>
              <a:moveTo>
                <a:pt x="6967750" y="5058526"/>
              </a:moveTo>
              <a:cubicBezTo>
                <a:pt x="6948523" y="5058526"/>
                <a:pt x="6932925" y="5042935"/>
                <a:pt x="6932925" y="5023707"/>
              </a:cubicBezTo>
              <a:cubicBezTo>
                <a:pt x="6932925" y="5004479"/>
                <a:pt x="6948523" y="4988888"/>
                <a:pt x="6967750" y="4988888"/>
              </a:cubicBezTo>
              <a:cubicBezTo>
                <a:pt x="6986978" y="4988888"/>
                <a:pt x="7002563" y="5004479"/>
                <a:pt x="7002563" y="5023707"/>
              </a:cubicBezTo>
              <a:cubicBezTo>
                <a:pt x="7002563" y="5042935"/>
                <a:pt x="6986978" y="5058526"/>
                <a:pt x="6967750" y="5058526"/>
              </a:cubicBezTo>
              <a:close/>
              <a:moveTo>
                <a:pt x="7052644" y="5058526"/>
              </a:moveTo>
              <a:cubicBezTo>
                <a:pt x="7033416" y="5058526"/>
                <a:pt x="7017818" y="5042935"/>
                <a:pt x="7017818" y="5023707"/>
              </a:cubicBezTo>
              <a:cubicBezTo>
                <a:pt x="7017818" y="5004479"/>
                <a:pt x="7033416" y="4988888"/>
                <a:pt x="7052644" y="4988888"/>
              </a:cubicBezTo>
              <a:cubicBezTo>
                <a:pt x="7071871" y="4988888"/>
                <a:pt x="7087456" y="5004479"/>
                <a:pt x="7087456" y="5023707"/>
              </a:cubicBezTo>
              <a:cubicBezTo>
                <a:pt x="7087456" y="5042935"/>
                <a:pt x="7071871" y="5058526"/>
                <a:pt x="7052644" y="5058526"/>
              </a:cubicBezTo>
              <a:close/>
              <a:moveTo>
                <a:pt x="7137536" y="5058526"/>
              </a:moveTo>
              <a:cubicBezTo>
                <a:pt x="7118308" y="5058526"/>
                <a:pt x="7102710" y="5042935"/>
                <a:pt x="7102710" y="5023707"/>
              </a:cubicBezTo>
              <a:cubicBezTo>
                <a:pt x="7102710" y="5004479"/>
                <a:pt x="7118308" y="4988888"/>
                <a:pt x="7137536" y="4988888"/>
              </a:cubicBezTo>
              <a:cubicBezTo>
                <a:pt x="7156764" y="4988888"/>
                <a:pt x="7172348" y="5004479"/>
                <a:pt x="7172348" y="5023707"/>
              </a:cubicBezTo>
              <a:cubicBezTo>
                <a:pt x="7172348" y="5042935"/>
                <a:pt x="7156764" y="5058526"/>
                <a:pt x="7137536" y="5058526"/>
              </a:cubicBezTo>
              <a:close/>
              <a:moveTo>
                <a:pt x="7222428" y="5058526"/>
              </a:moveTo>
              <a:cubicBezTo>
                <a:pt x="7203200" y="5058526"/>
                <a:pt x="7187603" y="5042935"/>
                <a:pt x="7187603" y="5023707"/>
              </a:cubicBezTo>
              <a:cubicBezTo>
                <a:pt x="7187603" y="5004479"/>
                <a:pt x="7203200" y="4988888"/>
                <a:pt x="7222428" y="4988888"/>
              </a:cubicBezTo>
              <a:cubicBezTo>
                <a:pt x="7241656" y="4988888"/>
                <a:pt x="7257240" y="5004479"/>
                <a:pt x="7257240" y="5023707"/>
              </a:cubicBezTo>
              <a:cubicBezTo>
                <a:pt x="7257240" y="5042935"/>
                <a:pt x="7241656" y="5058526"/>
                <a:pt x="7222428" y="5058526"/>
              </a:cubicBezTo>
              <a:close/>
              <a:moveTo>
                <a:pt x="7307320" y="5058526"/>
              </a:moveTo>
              <a:cubicBezTo>
                <a:pt x="7288093" y="5058526"/>
                <a:pt x="7272495" y="5042935"/>
                <a:pt x="7272495" y="5023707"/>
              </a:cubicBezTo>
              <a:cubicBezTo>
                <a:pt x="7272495" y="5004479"/>
                <a:pt x="7288093" y="4988888"/>
                <a:pt x="7307320" y="4988888"/>
              </a:cubicBezTo>
              <a:cubicBezTo>
                <a:pt x="7326548" y="4988888"/>
                <a:pt x="7342133" y="5004479"/>
                <a:pt x="7342133" y="5023707"/>
              </a:cubicBezTo>
              <a:cubicBezTo>
                <a:pt x="7342133" y="5042935"/>
                <a:pt x="7326548" y="5058526"/>
                <a:pt x="7307320" y="5058526"/>
              </a:cubicBezTo>
              <a:close/>
              <a:moveTo>
                <a:pt x="7392214" y="5058526"/>
              </a:moveTo>
              <a:cubicBezTo>
                <a:pt x="7372986" y="5058526"/>
                <a:pt x="7357388" y="5042935"/>
                <a:pt x="7357388" y="5023707"/>
              </a:cubicBezTo>
              <a:cubicBezTo>
                <a:pt x="7357388" y="5004479"/>
                <a:pt x="7372986" y="4988888"/>
                <a:pt x="7392214" y="4988888"/>
              </a:cubicBezTo>
              <a:cubicBezTo>
                <a:pt x="7411441" y="4988888"/>
                <a:pt x="7427026" y="5004479"/>
                <a:pt x="7427026" y="5023707"/>
              </a:cubicBezTo>
              <a:cubicBezTo>
                <a:pt x="7427026" y="5042935"/>
                <a:pt x="7411441" y="5058526"/>
                <a:pt x="7392214" y="5058526"/>
              </a:cubicBezTo>
              <a:close/>
              <a:moveTo>
                <a:pt x="7477106" y="5058526"/>
              </a:moveTo>
              <a:cubicBezTo>
                <a:pt x="7457878" y="5058526"/>
                <a:pt x="7442280" y="5042935"/>
                <a:pt x="7442280" y="5023707"/>
              </a:cubicBezTo>
              <a:cubicBezTo>
                <a:pt x="7442280" y="5004479"/>
                <a:pt x="7457878" y="4988888"/>
                <a:pt x="7477106" y="4988888"/>
              </a:cubicBezTo>
              <a:cubicBezTo>
                <a:pt x="7496334" y="4988888"/>
                <a:pt x="7511918" y="5004479"/>
                <a:pt x="7511918" y="5023707"/>
              </a:cubicBezTo>
              <a:cubicBezTo>
                <a:pt x="7511918" y="5042935"/>
                <a:pt x="7496334" y="5058526"/>
                <a:pt x="7477106" y="5058526"/>
              </a:cubicBezTo>
              <a:close/>
              <a:moveTo>
                <a:pt x="7561998" y="5058526"/>
              </a:moveTo>
              <a:cubicBezTo>
                <a:pt x="7542770" y="5058526"/>
                <a:pt x="7527173" y="5042935"/>
                <a:pt x="7527173" y="5023707"/>
              </a:cubicBezTo>
              <a:cubicBezTo>
                <a:pt x="7527173" y="5004479"/>
                <a:pt x="7542770" y="4988888"/>
                <a:pt x="7561998" y="4988888"/>
              </a:cubicBezTo>
              <a:cubicBezTo>
                <a:pt x="7581226" y="4988888"/>
                <a:pt x="7596810" y="5004479"/>
                <a:pt x="7596810" y="5023707"/>
              </a:cubicBezTo>
              <a:cubicBezTo>
                <a:pt x="7596810" y="5042935"/>
                <a:pt x="7581226" y="5058526"/>
                <a:pt x="7561998" y="5058526"/>
              </a:cubicBezTo>
              <a:close/>
              <a:moveTo>
                <a:pt x="7646890" y="5058526"/>
              </a:moveTo>
              <a:cubicBezTo>
                <a:pt x="7627663" y="5058526"/>
                <a:pt x="7612065" y="5042935"/>
                <a:pt x="7612065" y="5023707"/>
              </a:cubicBezTo>
              <a:cubicBezTo>
                <a:pt x="7612065" y="5004479"/>
                <a:pt x="7627663" y="4988888"/>
                <a:pt x="7646890" y="4988888"/>
              </a:cubicBezTo>
              <a:cubicBezTo>
                <a:pt x="7666118" y="4988888"/>
                <a:pt x="7681703" y="5004479"/>
                <a:pt x="7681703" y="5023707"/>
              </a:cubicBezTo>
              <a:cubicBezTo>
                <a:pt x="7681703" y="5042935"/>
                <a:pt x="7666118" y="5058526"/>
                <a:pt x="7646890" y="5058526"/>
              </a:cubicBezTo>
              <a:close/>
              <a:moveTo>
                <a:pt x="7731784" y="5058526"/>
              </a:moveTo>
              <a:cubicBezTo>
                <a:pt x="7712556" y="5058526"/>
                <a:pt x="7696958" y="5042935"/>
                <a:pt x="7696958" y="5023707"/>
              </a:cubicBezTo>
              <a:cubicBezTo>
                <a:pt x="7696958" y="5004479"/>
                <a:pt x="7712556" y="4988888"/>
                <a:pt x="7731784" y="4988888"/>
              </a:cubicBezTo>
              <a:cubicBezTo>
                <a:pt x="7751011" y="4988888"/>
                <a:pt x="7766596" y="5004479"/>
                <a:pt x="7766596" y="5023707"/>
              </a:cubicBezTo>
              <a:cubicBezTo>
                <a:pt x="7766596" y="5042935"/>
                <a:pt x="7751011" y="5058526"/>
                <a:pt x="7731784" y="5058526"/>
              </a:cubicBezTo>
              <a:close/>
              <a:moveTo>
                <a:pt x="7816676" y="5058526"/>
              </a:moveTo>
              <a:cubicBezTo>
                <a:pt x="7797448" y="5058526"/>
                <a:pt x="7781850" y="5042935"/>
                <a:pt x="7781850" y="5023707"/>
              </a:cubicBezTo>
              <a:cubicBezTo>
                <a:pt x="7781850" y="5004479"/>
                <a:pt x="7797448" y="4988888"/>
                <a:pt x="7816676" y="4988888"/>
              </a:cubicBezTo>
              <a:cubicBezTo>
                <a:pt x="7835904" y="4988888"/>
                <a:pt x="7851488" y="5004479"/>
                <a:pt x="7851488" y="5023707"/>
              </a:cubicBezTo>
              <a:cubicBezTo>
                <a:pt x="7851488" y="5042935"/>
                <a:pt x="7835904" y="5058526"/>
                <a:pt x="7816676" y="5058526"/>
              </a:cubicBezTo>
              <a:close/>
              <a:moveTo>
                <a:pt x="7901568" y="5058526"/>
              </a:moveTo>
              <a:cubicBezTo>
                <a:pt x="7882340" y="5058526"/>
                <a:pt x="7866743" y="5042935"/>
                <a:pt x="7866743" y="5023707"/>
              </a:cubicBezTo>
              <a:cubicBezTo>
                <a:pt x="7866743" y="5004479"/>
                <a:pt x="7882340" y="4988888"/>
                <a:pt x="7901568" y="4988888"/>
              </a:cubicBezTo>
              <a:cubicBezTo>
                <a:pt x="7920796" y="4988888"/>
                <a:pt x="7936380" y="5004479"/>
                <a:pt x="7936380" y="5023707"/>
              </a:cubicBezTo>
              <a:cubicBezTo>
                <a:pt x="7936380" y="5042935"/>
                <a:pt x="7920796" y="5058526"/>
                <a:pt x="7901568" y="5058526"/>
              </a:cubicBezTo>
              <a:close/>
              <a:moveTo>
                <a:pt x="7986460" y="5058526"/>
              </a:moveTo>
              <a:cubicBezTo>
                <a:pt x="7967233" y="5058526"/>
                <a:pt x="7951635" y="5042935"/>
                <a:pt x="7951635" y="5023707"/>
              </a:cubicBezTo>
              <a:cubicBezTo>
                <a:pt x="7951635" y="5004479"/>
                <a:pt x="7967233" y="4988888"/>
                <a:pt x="7986460" y="4988888"/>
              </a:cubicBezTo>
              <a:cubicBezTo>
                <a:pt x="8005688" y="4988888"/>
                <a:pt x="8021273" y="5004479"/>
                <a:pt x="8021273" y="5023707"/>
              </a:cubicBezTo>
              <a:cubicBezTo>
                <a:pt x="8021273" y="5042935"/>
                <a:pt x="8005688" y="5058526"/>
                <a:pt x="7986460" y="5058526"/>
              </a:cubicBezTo>
              <a:close/>
              <a:moveTo>
                <a:pt x="8071353" y="5058526"/>
              </a:moveTo>
              <a:cubicBezTo>
                <a:pt x="8052125" y="5058526"/>
                <a:pt x="8036527" y="5042935"/>
                <a:pt x="8036527" y="5023707"/>
              </a:cubicBezTo>
              <a:cubicBezTo>
                <a:pt x="8036527" y="5004479"/>
                <a:pt x="8052125" y="4988888"/>
                <a:pt x="8071353" y="4988888"/>
              </a:cubicBezTo>
              <a:cubicBezTo>
                <a:pt x="8090580" y="4988888"/>
                <a:pt x="8106165" y="5004479"/>
                <a:pt x="8106165" y="5023707"/>
              </a:cubicBezTo>
              <a:cubicBezTo>
                <a:pt x="8106165" y="5042935"/>
                <a:pt x="8090580" y="5058526"/>
                <a:pt x="8071353" y="5058526"/>
              </a:cubicBezTo>
              <a:close/>
              <a:moveTo>
                <a:pt x="8156246" y="5058526"/>
              </a:moveTo>
              <a:cubicBezTo>
                <a:pt x="8137018" y="5058526"/>
                <a:pt x="8121420" y="5042935"/>
                <a:pt x="8121420" y="5023707"/>
              </a:cubicBezTo>
              <a:cubicBezTo>
                <a:pt x="8121420" y="5004479"/>
                <a:pt x="8137018" y="4988888"/>
                <a:pt x="8156246" y="4988888"/>
              </a:cubicBezTo>
              <a:cubicBezTo>
                <a:pt x="8175474" y="4988888"/>
                <a:pt x="8191058" y="5004479"/>
                <a:pt x="8191058" y="5023707"/>
              </a:cubicBezTo>
              <a:cubicBezTo>
                <a:pt x="8191058" y="5042935"/>
                <a:pt x="8175474" y="5058526"/>
                <a:pt x="8156246" y="5058526"/>
              </a:cubicBezTo>
              <a:close/>
              <a:moveTo>
                <a:pt x="8241138" y="5058526"/>
              </a:moveTo>
              <a:cubicBezTo>
                <a:pt x="8221910" y="5058526"/>
                <a:pt x="8206313" y="5042935"/>
                <a:pt x="8206313" y="5023707"/>
              </a:cubicBezTo>
              <a:cubicBezTo>
                <a:pt x="8206313" y="5004479"/>
                <a:pt x="8221910" y="4988888"/>
                <a:pt x="8241138" y="4988888"/>
              </a:cubicBezTo>
              <a:cubicBezTo>
                <a:pt x="8260366" y="4988888"/>
                <a:pt x="8275950" y="5004479"/>
                <a:pt x="8275950" y="5023707"/>
              </a:cubicBezTo>
              <a:cubicBezTo>
                <a:pt x="8275950" y="5042935"/>
                <a:pt x="8260366" y="5058526"/>
                <a:pt x="8241138" y="5058526"/>
              </a:cubicBezTo>
              <a:close/>
              <a:moveTo>
                <a:pt x="8326030" y="5058526"/>
              </a:moveTo>
              <a:cubicBezTo>
                <a:pt x="8306803" y="5058526"/>
                <a:pt x="8291205" y="5042935"/>
                <a:pt x="8291205" y="5023707"/>
              </a:cubicBezTo>
              <a:cubicBezTo>
                <a:pt x="8291205" y="5004479"/>
                <a:pt x="8306803" y="4988888"/>
                <a:pt x="8326030" y="4988888"/>
              </a:cubicBezTo>
              <a:cubicBezTo>
                <a:pt x="8345258" y="4988888"/>
                <a:pt x="8360843" y="5004479"/>
                <a:pt x="8360843" y="5023707"/>
              </a:cubicBezTo>
              <a:cubicBezTo>
                <a:pt x="8360843" y="5042935"/>
                <a:pt x="8345258" y="5058526"/>
                <a:pt x="8326030" y="5058526"/>
              </a:cubicBezTo>
              <a:close/>
              <a:moveTo>
                <a:pt x="8410923" y="5058526"/>
              </a:moveTo>
              <a:cubicBezTo>
                <a:pt x="8391695" y="5058526"/>
                <a:pt x="8376097" y="5042935"/>
                <a:pt x="8376097" y="5023707"/>
              </a:cubicBezTo>
              <a:cubicBezTo>
                <a:pt x="8376097" y="5004479"/>
                <a:pt x="8391695" y="4988888"/>
                <a:pt x="8410923" y="4988888"/>
              </a:cubicBezTo>
              <a:cubicBezTo>
                <a:pt x="8430150" y="4988888"/>
                <a:pt x="8445735" y="5004479"/>
                <a:pt x="8445735" y="5023707"/>
              </a:cubicBezTo>
              <a:cubicBezTo>
                <a:pt x="8445735" y="5042935"/>
                <a:pt x="8430150" y="5058526"/>
                <a:pt x="8410923" y="5058526"/>
              </a:cubicBezTo>
              <a:close/>
              <a:moveTo>
                <a:pt x="8495816" y="5058526"/>
              </a:moveTo>
              <a:cubicBezTo>
                <a:pt x="8476588" y="5058526"/>
                <a:pt x="8460990" y="5042935"/>
                <a:pt x="8460990" y="5023707"/>
              </a:cubicBezTo>
              <a:cubicBezTo>
                <a:pt x="8460990" y="5004479"/>
                <a:pt x="8476588" y="4988888"/>
                <a:pt x="8495816" y="4988888"/>
              </a:cubicBezTo>
              <a:cubicBezTo>
                <a:pt x="8515044" y="4988888"/>
                <a:pt x="8530628" y="5004479"/>
                <a:pt x="8530628" y="5023707"/>
              </a:cubicBezTo>
              <a:cubicBezTo>
                <a:pt x="8530628" y="5042935"/>
                <a:pt x="8515044" y="5058526"/>
                <a:pt x="8495816" y="5058526"/>
              </a:cubicBezTo>
              <a:close/>
              <a:moveTo>
                <a:pt x="8580708" y="5058526"/>
              </a:moveTo>
              <a:cubicBezTo>
                <a:pt x="8561480" y="5058526"/>
                <a:pt x="8545883" y="5042935"/>
                <a:pt x="8545883" y="5023707"/>
              </a:cubicBezTo>
              <a:cubicBezTo>
                <a:pt x="8545883" y="5004479"/>
                <a:pt x="8561480" y="4988888"/>
                <a:pt x="8580708" y="4988888"/>
              </a:cubicBezTo>
              <a:cubicBezTo>
                <a:pt x="8599936" y="4988888"/>
                <a:pt x="8615520" y="5004479"/>
                <a:pt x="8615520" y="5023707"/>
              </a:cubicBezTo>
              <a:cubicBezTo>
                <a:pt x="8615520" y="5042935"/>
                <a:pt x="8599936" y="5058526"/>
                <a:pt x="8580708" y="5058526"/>
              </a:cubicBezTo>
              <a:close/>
              <a:moveTo>
                <a:pt x="8665600" y="5058526"/>
              </a:moveTo>
              <a:cubicBezTo>
                <a:pt x="8646373" y="5058526"/>
                <a:pt x="8630775" y="5042935"/>
                <a:pt x="8630775" y="5023707"/>
              </a:cubicBezTo>
              <a:cubicBezTo>
                <a:pt x="8630775" y="5004479"/>
                <a:pt x="8646373" y="4988888"/>
                <a:pt x="8665600" y="4988888"/>
              </a:cubicBezTo>
              <a:cubicBezTo>
                <a:pt x="8684828" y="4988888"/>
                <a:pt x="8700413" y="5004479"/>
                <a:pt x="8700413" y="5023707"/>
              </a:cubicBezTo>
              <a:cubicBezTo>
                <a:pt x="8700413" y="5042935"/>
                <a:pt x="8684828" y="5058526"/>
                <a:pt x="8665600" y="5058526"/>
              </a:cubicBezTo>
              <a:close/>
              <a:moveTo>
                <a:pt x="8750493" y="5058526"/>
              </a:moveTo>
              <a:cubicBezTo>
                <a:pt x="8731265" y="5058526"/>
                <a:pt x="8715667" y="5042935"/>
                <a:pt x="8715667" y="5023707"/>
              </a:cubicBezTo>
              <a:cubicBezTo>
                <a:pt x="8715667" y="5004479"/>
                <a:pt x="8731265" y="4988888"/>
                <a:pt x="8750493" y="4988888"/>
              </a:cubicBezTo>
              <a:cubicBezTo>
                <a:pt x="8769720" y="4988888"/>
                <a:pt x="8785305" y="5004479"/>
                <a:pt x="8785305" y="5023707"/>
              </a:cubicBezTo>
              <a:cubicBezTo>
                <a:pt x="8785305" y="5042935"/>
                <a:pt x="8769720" y="5058526"/>
                <a:pt x="8750493" y="5058526"/>
              </a:cubicBezTo>
              <a:close/>
              <a:moveTo>
                <a:pt x="8835386" y="5058526"/>
              </a:moveTo>
              <a:cubicBezTo>
                <a:pt x="8816158" y="5058526"/>
                <a:pt x="8800560" y="5042935"/>
                <a:pt x="8800560" y="5023707"/>
              </a:cubicBezTo>
              <a:cubicBezTo>
                <a:pt x="8800560" y="5004479"/>
                <a:pt x="8816158" y="4988888"/>
                <a:pt x="8835386" y="4988888"/>
              </a:cubicBezTo>
              <a:cubicBezTo>
                <a:pt x="8854614" y="4988888"/>
                <a:pt x="8870198" y="5004479"/>
                <a:pt x="8870198" y="5023707"/>
              </a:cubicBezTo>
              <a:cubicBezTo>
                <a:pt x="8870198" y="5042935"/>
                <a:pt x="8854614" y="5058526"/>
                <a:pt x="8835386" y="5058526"/>
              </a:cubicBezTo>
              <a:close/>
              <a:moveTo>
                <a:pt x="8920278" y="5058526"/>
              </a:moveTo>
              <a:cubicBezTo>
                <a:pt x="8901050" y="5058526"/>
                <a:pt x="8885453" y="5042935"/>
                <a:pt x="8885453" y="5023707"/>
              </a:cubicBezTo>
              <a:cubicBezTo>
                <a:pt x="8885453" y="5004479"/>
                <a:pt x="8901050" y="4988888"/>
                <a:pt x="8920278" y="4988888"/>
              </a:cubicBezTo>
              <a:cubicBezTo>
                <a:pt x="8939506" y="4988888"/>
                <a:pt x="8955090" y="5004479"/>
                <a:pt x="8955090" y="5023707"/>
              </a:cubicBezTo>
              <a:cubicBezTo>
                <a:pt x="8955090" y="5042935"/>
                <a:pt x="8939506" y="5058526"/>
                <a:pt x="8920278" y="5058526"/>
              </a:cubicBezTo>
              <a:close/>
              <a:moveTo>
                <a:pt x="9005170" y="5058526"/>
              </a:moveTo>
              <a:cubicBezTo>
                <a:pt x="8985943" y="5058526"/>
                <a:pt x="8970345" y="5042935"/>
                <a:pt x="8970345" y="5023707"/>
              </a:cubicBezTo>
              <a:cubicBezTo>
                <a:pt x="8970345" y="5004479"/>
                <a:pt x="8985943" y="4988888"/>
                <a:pt x="9005170" y="4988888"/>
              </a:cubicBezTo>
              <a:cubicBezTo>
                <a:pt x="9024398" y="4988888"/>
                <a:pt x="9039983" y="5004479"/>
                <a:pt x="9039983" y="5023707"/>
              </a:cubicBezTo>
              <a:cubicBezTo>
                <a:pt x="9039983" y="5042935"/>
                <a:pt x="9024398" y="5058526"/>
                <a:pt x="9005170" y="5058526"/>
              </a:cubicBezTo>
              <a:close/>
              <a:moveTo>
                <a:pt x="9090063" y="5058526"/>
              </a:moveTo>
              <a:cubicBezTo>
                <a:pt x="9070835" y="5058526"/>
                <a:pt x="9055237" y="5042935"/>
                <a:pt x="9055237" y="5023707"/>
              </a:cubicBezTo>
              <a:cubicBezTo>
                <a:pt x="9055237" y="5004479"/>
                <a:pt x="9070835" y="4988888"/>
                <a:pt x="9090063" y="4988888"/>
              </a:cubicBezTo>
              <a:cubicBezTo>
                <a:pt x="9109290" y="4988888"/>
                <a:pt x="9124875" y="5004479"/>
                <a:pt x="9124875" y="5023707"/>
              </a:cubicBezTo>
              <a:cubicBezTo>
                <a:pt x="9124875" y="5042935"/>
                <a:pt x="9109290" y="5058526"/>
                <a:pt x="9090063" y="5058526"/>
              </a:cubicBezTo>
              <a:close/>
              <a:moveTo>
                <a:pt x="9174956" y="5058526"/>
              </a:moveTo>
              <a:cubicBezTo>
                <a:pt x="9155728" y="5058526"/>
                <a:pt x="9140130" y="5042935"/>
                <a:pt x="9140130" y="5023707"/>
              </a:cubicBezTo>
              <a:cubicBezTo>
                <a:pt x="9140130" y="5004479"/>
                <a:pt x="9155728" y="4988888"/>
                <a:pt x="9174956" y="4988888"/>
              </a:cubicBezTo>
              <a:cubicBezTo>
                <a:pt x="9194184" y="4988888"/>
                <a:pt x="9209768" y="5004479"/>
                <a:pt x="9209768" y="5023707"/>
              </a:cubicBezTo>
              <a:cubicBezTo>
                <a:pt x="9209768" y="5042935"/>
                <a:pt x="9194184" y="5058526"/>
                <a:pt x="9174956" y="5058526"/>
              </a:cubicBezTo>
              <a:close/>
              <a:moveTo>
                <a:pt x="9259848" y="5058526"/>
              </a:moveTo>
              <a:cubicBezTo>
                <a:pt x="9240620" y="5058526"/>
                <a:pt x="9225023" y="5042935"/>
                <a:pt x="9225023" y="5023707"/>
              </a:cubicBezTo>
              <a:cubicBezTo>
                <a:pt x="9225023" y="5004479"/>
                <a:pt x="9240620" y="4988888"/>
                <a:pt x="9259848" y="4988888"/>
              </a:cubicBezTo>
              <a:cubicBezTo>
                <a:pt x="9279076" y="4988888"/>
                <a:pt x="9294660" y="5004479"/>
                <a:pt x="9294660" y="5023707"/>
              </a:cubicBezTo>
              <a:cubicBezTo>
                <a:pt x="9294660" y="5042935"/>
                <a:pt x="9279076" y="5058526"/>
                <a:pt x="9259848" y="5058526"/>
              </a:cubicBezTo>
              <a:close/>
              <a:moveTo>
                <a:pt x="9344740" y="5058526"/>
              </a:moveTo>
              <a:cubicBezTo>
                <a:pt x="9325513" y="5058526"/>
                <a:pt x="9309915" y="5042935"/>
                <a:pt x="9309915" y="5023707"/>
              </a:cubicBezTo>
              <a:cubicBezTo>
                <a:pt x="9309915" y="5004479"/>
                <a:pt x="9325513" y="4988888"/>
                <a:pt x="9344740" y="4988888"/>
              </a:cubicBezTo>
              <a:cubicBezTo>
                <a:pt x="9363968" y="4988888"/>
                <a:pt x="9379553" y="5004479"/>
                <a:pt x="9379553" y="5023707"/>
              </a:cubicBezTo>
              <a:cubicBezTo>
                <a:pt x="9379553" y="5042935"/>
                <a:pt x="9363968" y="5058526"/>
                <a:pt x="9344740" y="5058526"/>
              </a:cubicBezTo>
              <a:close/>
              <a:moveTo>
                <a:pt x="9429633" y="5058526"/>
              </a:moveTo>
              <a:cubicBezTo>
                <a:pt x="9410405" y="5058526"/>
                <a:pt x="9394807" y="5042935"/>
                <a:pt x="9394807" y="5023707"/>
              </a:cubicBezTo>
              <a:cubicBezTo>
                <a:pt x="9394807" y="5004479"/>
                <a:pt x="9410405" y="4988888"/>
                <a:pt x="9429633" y="4988888"/>
              </a:cubicBezTo>
              <a:cubicBezTo>
                <a:pt x="9448860" y="4988888"/>
                <a:pt x="9464445" y="5004479"/>
                <a:pt x="9464445" y="5023707"/>
              </a:cubicBezTo>
              <a:cubicBezTo>
                <a:pt x="9464445" y="5042935"/>
                <a:pt x="9448860" y="5058526"/>
                <a:pt x="9429633" y="5058526"/>
              </a:cubicBezTo>
              <a:close/>
              <a:moveTo>
                <a:pt x="9514525" y="5058526"/>
              </a:moveTo>
              <a:cubicBezTo>
                <a:pt x="9495297" y="5058526"/>
                <a:pt x="9479699" y="5042935"/>
                <a:pt x="9479699" y="5023707"/>
              </a:cubicBezTo>
              <a:cubicBezTo>
                <a:pt x="9479699" y="5004479"/>
                <a:pt x="9495297" y="4988888"/>
                <a:pt x="9514525" y="4988888"/>
              </a:cubicBezTo>
              <a:cubicBezTo>
                <a:pt x="9533753" y="4988888"/>
                <a:pt x="9549337" y="5004479"/>
                <a:pt x="9549337" y="5023707"/>
              </a:cubicBezTo>
              <a:cubicBezTo>
                <a:pt x="9549337" y="5042935"/>
                <a:pt x="9533753" y="5058526"/>
                <a:pt x="9514525" y="5058526"/>
              </a:cubicBezTo>
              <a:close/>
              <a:moveTo>
                <a:pt x="9599418" y="5058526"/>
              </a:moveTo>
              <a:cubicBezTo>
                <a:pt x="9580190" y="5058526"/>
                <a:pt x="9564593" y="5042935"/>
                <a:pt x="9564593" y="5023707"/>
              </a:cubicBezTo>
              <a:cubicBezTo>
                <a:pt x="9564593" y="5004479"/>
                <a:pt x="9580190" y="4988888"/>
                <a:pt x="9599418" y="4988888"/>
              </a:cubicBezTo>
              <a:cubicBezTo>
                <a:pt x="9618646" y="4988888"/>
                <a:pt x="9634230" y="5004479"/>
                <a:pt x="9634230" y="5023707"/>
              </a:cubicBezTo>
              <a:cubicBezTo>
                <a:pt x="9634230" y="5042935"/>
                <a:pt x="9618646" y="5058526"/>
                <a:pt x="9599418" y="5058526"/>
              </a:cubicBezTo>
              <a:close/>
              <a:moveTo>
                <a:pt x="9684310" y="5058526"/>
              </a:moveTo>
              <a:cubicBezTo>
                <a:pt x="9665083" y="5058526"/>
                <a:pt x="9649485" y="5042935"/>
                <a:pt x="9649485" y="5023707"/>
              </a:cubicBezTo>
              <a:cubicBezTo>
                <a:pt x="9649485" y="5004479"/>
                <a:pt x="9665083" y="4988888"/>
                <a:pt x="9684310" y="4988888"/>
              </a:cubicBezTo>
              <a:cubicBezTo>
                <a:pt x="9703538" y="4988888"/>
                <a:pt x="9719123" y="5004479"/>
                <a:pt x="9719123" y="5023707"/>
              </a:cubicBezTo>
              <a:cubicBezTo>
                <a:pt x="9719123" y="5042935"/>
                <a:pt x="9703538" y="5058526"/>
                <a:pt x="9684310" y="5058526"/>
              </a:cubicBezTo>
              <a:close/>
              <a:moveTo>
                <a:pt x="10278558" y="5058526"/>
              </a:moveTo>
              <a:cubicBezTo>
                <a:pt x="10259330" y="5058526"/>
                <a:pt x="10243733" y="5042935"/>
                <a:pt x="10243733" y="5023707"/>
              </a:cubicBezTo>
              <a:cubicBezTo>
                <a:pt x="10243733" y="5004479"/>
                <a:pt x="10259330" y="4988888"/>
                <a:pt x="10278558" y="4988888"/>
              </a:cubicBezTo>
              <a:cubicBezTo>
                <a:pt x="10297786" y="4988888"/>
                <a:pt x="10313370" y="5004479"/>
                <a:pt x="10313370" y="5023707"/>
              </a:cubicBezTo>
              <a:cubicBezTo>
                <a:pt x="10313370" y="5042935"/>
                <a:pt x="10297786" y="5058526"/>
                <a:pt x="10278558" y="5058526"/>
              </a:cubicBezTo>
              <a:close/>
              <a:moveTo>
                <a:pt x="10363450" y="5058526"/>
              </a:moveTo>
              <a:cubicBezTo>
                <a:pt x="10344223" y="5058526"/>
                <a:pt x="10328625" y="5042935"/>
                <a:pt x="10328625" y="5023707"/>
              </a:cubicBezTo>
              <a:cubicBezTo>
                <a:pt x="10328625" y="5004479"/>
                <a:pt x="10344223" y="4988888"/>
                <a:pt x="10363450" y="4988888"/>
              </a:cubicBezTo>
              <a:cubicBezTo>
                <a:pt x="10382678" y="4988888"/>
                <a:pt x="10398263" y="5004479"/>
                <a:pt x="10398263" y="5023707"/>
              </a:cubicBezTo>
              <a:cubicBezTo>
                <a:pt x="10398263" y="5042935"/>
                <a:pt x="10382678" y="5058526"/>
                <a:pt x="10363450" y="5058526"/>
              </a:cubicBezTo>
              <a:close/>
              <a:moveTo>
                <a:pt x="1195059" y="4973666"/>
              </a:moveTo>
              <a:cubicBezTo>
                <a:pt x="1175831" y="4973666"/>
                <a:pt x="1160240" y="4958075"/>
                <a:pt x="1160240" y="4938847"/>
              </a:cubicBezTo>
              <a:cubicBezTo>
                <a:pt x="1160240" y="4919620"/>
                <a:pt x="1175831" y="4904029"/>
                <a:pt x="1195059" y="4904029"/>
              </a:cubicBezTo>
              <a:cubicBezTo>
                <a:pt x="1214287" y="4904029"/>
                <a:pt x="1229878" y="4919620"/>
                <a:pt x="1229878" y="4938847"/>
              </a:cubicBezTo>
              <a:cubicBezTo>
                <a:pt x="1229878" y="4958075"/>
                <a:pt x="1214287" y="4973666"/>
                <a:pt x="1195059" y="4973666"/>
              </a:cubicBezTo>
              <a:close/>
              <a:moveTo>
                <a:pt x="1279951" y="4973666"/>
              </a:moveTo>
              <a:cubicBezTo>
                <a:pt x="1260723" y="4973666"/>
                <a:pt x="1245132" y="4958075"/>
                <a:pt x="1245132" y="4938847"/>
              </a:cubicBezTo>
              <a:cubicBezTo>
                <a:pt x="1245132" y="4919620"/>
                <a:pt x="1260723" y="4904029"/>
                <a:pt x="1279951" y="4904029"/>
              </a:cubicBezTo>
              <a:cubicBezTo>
                <a:pt x="1299179" y="4904029"/>
                <a:pt x="1314770" y="4919620"/>
                <a:pt x="1314770" y="4938847"/>
              </a:cubicBezTo>
              <a:cubicBezTo>
                <a:pt x="1314770" y="4958075"/>
                <a:pt x="1299179" y="4973666"/>
                <a:pt x="1279951" y="4973666"/>
              </a:cubicBezTo>
              <a:close/>
              <a:moveTo>
                <a:pt x="2128876" y="4973666"/>
              </a:moveTo>
              <a:cubicBezTo>
                <a:pt x="2109648" y="4973666"/>
                <a:pt x="2094057" y="4958075"/>
                <a:pt x="2094057" y="4938847"/>
              </a:cubicBezTo>
              <a:cubicBezTo>
                <a:pt x="2094057" y="4919620"/>
                <a:pt x="2109648" y="4904029"/>
                <a:pt x="2128876" y="4904029"/>
              </a:cubicBezTo>
              <a:cubicBezTo>
                <a:pt x="2148103" y="4904029"/>
                <a:pt x="2163694" y="4919620"/>
                <a:pt x="2163694" y="4938847"/>
              </a:cubicBezTo>
              <a:cubicBezTo>
                <a:pt x="2163694" y="4958075"/>
                <a:pt x="2148103" y="4973666"/>
                <a:pt x="2128876" y="4973666"/>
              </a:cubicBezTo>
              <a:close/>
              <a:moveTo>
                <a:pt x="2213769" y="4973666"/>
              </a:moveTo>
              <a:cubicBezTo>
                <a:pt x="2194541" y="4973666"/>
                <a:pt x="2178950" y="4958075"/>
                <a:pt x="2178950" y="4938847"/>
              </a:cubicBezTo>
              <a:cubicBezTo>
                <a:pt x="2178950" y="4919620"/>
                <a:pt x="2194541" y="4904029"/>
                <a:pt x="2213769" y="4904029"/>
              </a:cubicBezTo>
              <a:cubicBezTo>
                <a:pt x="2232997" y="4904029"/>
                <a:pt x="2248588" y="4919620"/>
                <a:pt x="2248588" y="4938847"/>
              </a:cubicBezTo>
              <a:cubicBezTo>
                <a:pt x="2248588" y="4958075"/>
                <a:pt x="2232997" y="4973666"/>
                <a:pt x="2213769" y="4973666"/>
              </a:cubicBezTo>
              <a:close/>
              <a:moveTo>
                <a:pt x="2298661" y="4973666"/>
              </a:moveTo>
              <a:cubicBezTo>
                <a:pt x="2279433" y="4973666"/>
                <a:pt x="2263842" y="4958075"/>
                <a:pt x="2263842" y="4938847"/>
              </a:cubicBezTo>
              <a:cubicBezTo>
                <a:pt x="2263842" y="4919620"/>
                <a:pt x="2279433" y="4904029"/>
                <a:pt x="2298661" y="4904029"/>
              </a:cubicBezTo>
              <a:cubicBezTo>
                <a:pt x="2317889" y="4904029"/>
                <a:pt x="2333480" y="4919620"/>
                <a:pt x="2333480" y="4938847"/>
              </a:cubicBezTo>
              <a:cubicBezTo>
                <a:pt x="2333480" y="4958075"/>
                <a:pt x="2317889" y="4973666"/>
                <a:pt x="2298661" y="4973666"/>
              </a:cubicBezTo>
              <a:close/>
              <a:moveTo>
                <a:pt x="2383553" y="4973666"/>
              </a:moveTo>
              <a:cubicBezTo>
                <a:pt x="2364326" y="4973666"/>
                <a:pt x="2348734" y="4958075"/>
                <a:pt x="2348734" y="4938847"/>
              </a:cubicBezTo>
              <a:cubicBezTo>
                <a:pt x="2348734" y="4919620"/>
                <a:pt x="2364326" y="4904029"/>
                <a:pt x="2383553" y="4904029"/>
              </a:cubicBezTo>
              <a:cubicBezTo>
                <a:pt x="2402781" y="4904029"/>
                <a:pt x="2418372" y="4919620"/>
                <a:pt x="2418372" y="4938847"/>
              </a:cubicBezTo>
              <a:cubicBezTo>
                <a:pt x="2418372" y="4958075"/>
                <a:pt x="2402781" y="4973666"/>
                <a:pt x="2383553" y="4973666"/>
              </a:cubicBezTo>
              <a:close/>
              <a:moveTo>
                <a:pt x="2468446" y="4973666"/>
              </a:moveTo>
              <a:cubicBezTo>
                <a:pt x="2449218" y="4973666"/>
                <a:pt x="2433627" y="4958075"/>
                <a:pt x="2433627" y="4938847"/>
              </a:cubicBezTo>
              <a:cubicBezTo>
                <a:pt x="2433627" y="4919620"/>
                <a:pt x="2449218" y="4904029"/>
                <a:pt x="2468446" y="4904029"/>
              </a:cubicBezTo>
              <a:cubicBezTo>
                <a:pt x="2487673" y="4904029"/>
                <a:pt x="2503264" y="4919620"/>
                <a:pt x="2503264" y="4938847"/>
              </a:cubicBezTo>
              <a:cubicBezTo>
                <a:pt x="2503264" y="4958075"/>
                <a:pt x="2487673" y="4973666"/>
                <a:pt x="2468446" y="4973666"/>
              </a:cubicBezTo>
              <a:close/>
              <a:moveTo>
                <a:pt x="2553339" y="4973666"/>
              </a:moveTo>
              <a:cubicBezTo>
                <a:pt x="2534111" y="4973666"/>
                <a:pt x="2518520" y="4958075"/>
                <a:pt x="2518520" y="4938847"/>
              </a:cubicBezTo>
              <a:cubicBezTo>
                <a:pt x="2518520" y="4919620"/>
                <a:pt x="2534111" y="4904029"/>
                <a:pt x="2553339" y="4904029"/>
              </a:cubicBezTo>
              <a:cubicBezTo>
                <a:pt x="2572567" y="4904029"/>
                <a:pt x="2588158" y="4919620"/>
                <a:pt x="2588158" y="4938847"/>
              </a:cubicBezTo>
              <a:cubicBezTo>
                <a:pt x="2588158" y="4958075"/>
                <a:pt x="2572567" y="4973666"/>
                <a:pt x="2553339" y="4973666"/>
              </a:cubicBezTo>
              <a:close/>
              <a:moveTo>
                <a:pt x="2638231" y="4973666"/>
              </a:moveTo>
              <a:cubicBezTo>
                <a:pt x="2619003" y="4973666"/>
                <a:pt x="2603412" y="4958075"/>
                <a:pt x="2603412" y="4938847"/>
              </a:cubicBezTo>
              <a:cubicBezTo>
                <a:pt x="2603412" y="4919620"/>
                <a:pt x="2619003" y="4904029"/>
                <a:pt x="2638231" y="4904029"/>
              </a:cubicBezTo>
              <a:cubicBezTo>
                <a:pt x="2657459" y="4904029"/>
                <a:pt x="2673050" y="4919620"/>
                <a:pt x="2673050" y="4938847"/>
              </a:cubicBezTo>
              <a:cubicBezTo>
                <a:pt x="2673050" y="4958075"/>
                <a:pt x="2657459" y="4973666"/>
                <a:pt x="2638231" y="4973666"/>
              </a:cubicBezTo>
              <a:close/>
              <a:moveTo>
                <a:pt x="2723123" y="4973666"/>
              </a:moveTo>
              <a:cubicBezTo>
                <a:pt x="2703896" y="4973666"/>
                <a:pt x="2688304" y="4958075"/>
                <a:pt x="2688304" y="4938847"/>
              </a:cubicBezTo>
              <a:cubicBezTo>
                <a:pt x="2688304" y="4919620"/>
                <a:pt x="2703896" y="4904029"/>
                <a:pt x="2723123" y="4904029"/>
              </a:cubicBezTo>
              <a:cubicBezTo>
                <a:pt x="2742351" y="4904029"/>
                <a:pt x="2757942" y="4919620"/>
                <a:pt x="2757942" y="4938847"/>
              </a:cubicBezTo>
              <a:cubicBezTo>
                <a:pt x="2757942" y="4958075"/>
                <a:pt x="2742351" y="4973666"/>
                <a:pt x="2723123" y="4973666"/>
              </a:cubicBezTo>
              <a:close/>
              <a:moveTo>
                <a:pt x="2808016" y="4973666"/>
              </a:moveTo>
              <a:cubicBezTo>
                <a:pt x="2788788" y="4973666"/>
                <a:pt x="2773197" y="4958075"/>
                <a:pt x="2773197" y="4938847"/>
              </a:cubicBezTo>
              <a:cubicBezTo>
                <a:pt x="2773197" y="4919620"/>
                <a:pt x="2788788" y="4904029"/>
                <a:pt x="2808016" y="4904029"/>
              </a:cubicBezTo>
              <a:cubicBezTo>
                <a:pt x="2827243" y="4904029"/>
                <a:pt x="2842834" y="4919620"/>
                <a:pt x="2842834" y="4938847"/>
              </a:cubicBezTo>
              <a:cubicBezTo>
                <a:pt x="2842834" y="4958075"/>
                <a:pt x="2827243" y="4973666"/>
                <a:pt x="2808016" y="4973666"/>
              </a:cubicBezTo>
              <a:close/>
              <a:moveTo>
                <a:pt x="2892908" y="4973666"/>
              </a:moveTo>
              <a:cubicBezTo>
                <a:pt x="2873680" y="4973666"/>
                <a:pt x="2858089" y="4958075"/>
                <a:pt x="2858089" y="4938847"/>
              </a:cubicBezTo>
              <a:cubicBezTo>
                <a:pt x="2858089" y="4919620"/>
                <a:pt x="2873680" y="4904029"/>
                <a:pt x="2892908" y="4904029"/>
              </a:cubicBezTo>
              <a:cubicBezTo>
                <a:pt x="2912136" y="4904029"/>
                <a:pt x="2927727" y="4919620"/>
                <a:pt x="2927727" y="4938847"/>
              </a:cubicBezTo>
              <a:cubicBezTo>
                <a:pt x="2927727" y="4958075"/>
                <a:pt x="2912136" y="4973666"/>
                <a:pt x="2892908" y="4973666"/>
              </a:cubicBezTo>
              <a:close/>
              <a:moveTo>
                <a:pt x="2977801" y="4973666"/>
              </a:moveTo>
              <a:cubicBezTo>
                <a:pt x="2958573" y="4973666"/>
                <a:pt x="2942982" y="4958075"/>
                <a:pt x="2942982" y="4938847"/>
              </a:cubicBezTo>
              <a:cubicBezTo>
                <a:pt x="2942982" y="4919620"/>
                <a:pt x="2958573" y="4904029"/>
                <a:pt x="2977801" y="4904029"/>
              </a:cubicBezTo>
              <a:cubicBezTo>
                <a:pt x="2997029" y="4904029"/>
                <a:pt x="3012620" y="4919620"/>
                <a:pt x="3012620" y="4938847"/>
              </a:cubicBezTo>
              <a:cubicBezTo>
                <a:pt x="3012620" y="4958075"/>
                <a:pt x="2997029" y="4973666"/>
                <a:pt x="2977801" y="4973666"/>
              </a:cubicBezTo>
              <a:close/>
              <a:moveTo>
                <a:pt x="3062693" y="4973666"/>
              </a:moveTo>
              <a:cubicBezTo>
                <a:pt x="3043466" y="4973666"/>
                <a:pt x="3027874" y="4958075"/>
                <a:pt x="3027874" y="4938847"/>
              </a:cubicBezTo>
              <a:cubicBezTo>
                <a:pt x="3027874" y="4919620"/>
                <a:pt x="3043466" y="4904029"/>
                <a:pt x="3062693" y="4904029"/>
              </a:cubicBezTo>
              <a:cubicBezTo>
                <a:pt x="3081921" y="4904029"/>
                <a:pt x="3097512" y="4919620"/>
                <a:pt x="3097512" y="4938847"/>
              </a:cubicBezTo>
              <a:cubicBezTo>
                <a:pt x="3097512" y="4958075"/>
                <a:pt x="3081921" y="4973666"/>
                <a:pt x="3062693" y="4973666"/>
              </a:cubicBezTo>
              <a:close/>
              <a:moveTo>
                <a:pt x="3232478" y="4973666"/>
              </a:moveTo>
              <a:cubicBezTo>
                <a:pt x="3213250" y="4973666"/>
                <a:pt x="3197659" y="4958075"/>
                <a:pt x="3197659" y="4938847"/>
              </a:cubicBezTo>
              <a:cubicBezTo>
                <a:pt x="3197659" y="4919620"/>
                <a:pt x="3213250" y="4904029"/>
                <a:pt x="3232478" y="4904029"/>
              </a:cubicBezTo>
              <a:cubicBezTo>
                <a:pt x="3251706" y="4904029"/>
                <a:pt x="3267297" y="4919620"/>
                <a:pt x="3267297" y="4938847"/>
              </a:cubicBezTo>
              <a:cubicBezTo>
                <a:pt x="3267297" y="4958075"/>
                <a:pt x="3251706" y="4973666"/>
                <a:pt x="3232478" y="4973666"/>
              </a:cubicBezTo>
              <a:close/>
              <a:moveTo>
                <a:pt x="3826726" y="4973666"/>
              </a:moveTo>
              <a:cubicBezTo>
                <a:pt x="3807498" y="4973666"/>
                <a:pt x="3791907" y="4958075"/>
                <a:pt x="3791907" y="4938847"/>
              </a:cubicBezTo>
              <a:cubicBezTo>
                <a:pt x="3791907" y="4919620"/>
                <a:pt x="3807498" y="4904029"/>
                <a:pt x="3826726" y="4904029"/>
              </a:cubicBezTo>
              <a:cubicBezTo>
                <a:pt x="3845953" y="4904029"/>
                <a:pt x="3861544" y="4919620"/>
                <a:pt x="3861544" y="4938847"/>
              </a:cubicBezTo>
              <a:cubicBezTo>
                <a:pt x="3861544" y="4958075"/>
                <a:pt x="3845953" y="4973666"/>
                <a:pt x="3826726" y="4973666"/>
              </a:cubicBezTo>
              <a:close/>
              <a:moveTo>
                <a:pt x="4081403" y="4973666"/>
              </a:moveTo>
              <a:cubicBezTo>
                <a:pt x="4062176" y="4973666"/>
                <a:pt x="4046584" y="4958075"/>
                <a:pt x="4046584" y="4938847"/>
              </a:cubicBezTo>
              <a:cubicBezTo>
                <a:pt x="4046584" y="4919620"/>
                <a:pt x="4062176" y="4904029"/>
                <a:pt x="4081403" y="4904029"/>
              </a:cubicBezTo>
              <a:cubicBezTo>
                <a:pt x="4100631" y="4904029"/>
                <a:pt x="4116222" y="4919620"/>
                <a:pt x="4116222" y="4938847"/>
              </a:cubicBezTo>
              <a:cubicBezTo>
                <a:pt x="4116222" y="4958075"/>
                <a:pt x="4100631" y="4973666"/>
                <a:pt x="4081403" y="4973666"/>
              </a:cubicBezTo>
              <a:close/>
              <a:moveTo>
                <a:pt x="4590758" y="4973666"/>
              </a:moveTo>
              <a:cubicBezTo>
                <a:pt x="4571530" y="4973666"/>
                <a:pt x="4555939" y="4958075"/>
                <a:pt x="4555939" y="4938847"/>
              </a:cubicBezTo>
              <a:cubicBezTo>
                <a:pt x="4555939" y="4919620"/>
                <a:pt x="4571530" y="4904029"/>
                <a:pt x="4590758" y="4904029"/>
              </a:cubicBezTo>
              <a:cubicBezTo>
                <a:pt x="4609986" y="4904029"/>
                <a:pt x="4625577" y="4919620"/>
                <a:pt x="4625577" y="4938847"/>
              </a:cubicBezTo>
              <a:cubicBezTo>
                <a:pt x="4625577" y="4958075"/>
                <a:pt x="4609986" y="4973666"/>
                <a:pt x="4590758" y="4973666"/>
              </a:cubicBezTo>
              <a:close/>
              <a:moveTo>
                <a:pt x="4675650" y="4973666"/>
              </a:moveTo>
              <a:cubicBezTo>
                <a:pt x="4656422" y="4973666"/>
                <a:pt x="4640831" y="4958075"/>
                <a:pt x="4640831" y="4938847"/>
              </a:cubicBezTo>
              <a:cubicBezTo>
                <a:pt x="4640831" y="4919620"/>
                <a:pt x="4656422" y="4904029"/>
                <a:pt x="4675650" y="4904029"/>
              </a:cubicBezTo>
              <a:cubicBezTo>
                <a:pt x="4694878" y="4904029"/>
                <a:pt x="4710469" y="4919620"/>
                <a:pt x="4710469" y="4938847"/>
              </a:cubicBezTo>
              <a:cubicBezTo>
                <a:pt x="4710469" y="4958075"/>
                <a:pt x="4694878" y="4973666"/>
                <a:pt x="4675650" y="4973666"/>
              </a:cubicBezTo>
              <a:close/>
              <a:moveTo>
                <a:pt x="5354790" y="4973666"/>
              </a:moveTo>
              <a:cubicBezTo>
                <a:pt x="5335562" y="4973666"/>
                <a:pt x="5319971" y="4958075"/>
                <a:pt x="5319971" y="4938847"/>
              </a:cubicBezTo>
              <a:cubicBezTo>
                <a:pt x="5319971" y="4919620"/>
                <a:pt x="5335562" y="4904029"/>
                <a:pt x="5354790" y="4904029"/>
              </a:cubicBezTo>
              <a:cubicBezTo>
                <a:pt x="5374018" y="4904029"/>
                <a:pt x="5389609" y="4919620"/>
                <a:pt x="5389609" y="4938847"/>
              </a:cubicBezTo>
              <a:cubicBezTo>
                <a:pt x="5389609" y="4958075"/>
                <a:pt x="5374018" y="4973666"/>
                <a:pt x="5354790" y="4973666"/>
              </a:cubicBezTo>
              <a:close/>
              <a:moveTo>
                <a:pt x="6203718" y="4973666"/>
              </a:moveTo>
              <a:cubicBezTo>
                <a:pt x="6184490" y="4973666"/>
                <a:pt x="6168893" y="4958075"/>
                <a:pt x="6168893" y="4938847"/>
              </a:cubicBezTo>
              <a:cubicBezTo>
                <a:pt x="6168893" y="4919620"/>
                <a:pt x="6184490" y="4904029"/>
                <a:pt x="6203718" y="4904029"/>
              </a:cubicBezTo>
              <a:cubicBezTo>
                <a:pt x="6222946" y="4904029"/>
                <a:pt x="6238530" y="4919620"/>
                <a:pt x="6238530" y="4938847"/>
              </a:cubicBezTo>
              <a:cubicBezTo>
                <a:pt x="6238530" y="4958075"/>
                <a:pt x="6222946" y="4973666"/>
                <a:pt x="6203718" y="4973666"/>
              </a:cubicBezTo>
              <a:close/>
              <a:moveTo>
                <a:pt x="6288611" y="4973666"/>
              </a:moveTo>
              <a:cubicBezTo>
                <a:pt x="6269384" y="4973666"/>
                <a:pt x="6253786" y="4958075"/>
                <a:pt x="6253786" y="4938847"/>
              </a:cubicBezTo>
              <a:cubicBezTo>
                <a:pt x="6253786" y="4919620"/>
                <a:pt x="6269384" y="4904029"/>
                <a:pt x="6288611" y="4904029"/>
              </a:cubicBezTo>
              <a:cubicBezTo>
                <a:pt x="6307839" y="4904029"/>
                <a:pt x="6323424" y="4919620"/>
                <a:pt x="6323424" y="4938847"/>
              </a:cubicBezTo>
              <a:cubicBezTo>
                <a:pt x="6323424" y="4958075"/>
                <a:pt x="6307839" y="4973666"/>
                <a:pt x="6288611" y="4973666"/>
              </a:cubicBezTo>
              <a:close/>
              <a:moveTo>
                <a:pt x="6543288" y="4973666"/>
              </a:moveTo>
              <a:cubicBezTo>
                <a:pt x="6524060" y="4973666"/>
                <a:pt x="6508463" y="4958075"/>
                <a:pt x="6508463" y="4938847"/>
              </a:cubicBezTo>
              <a:cubicBezTo>
                <a:pt x="6508463" y="4919620"/>
                <a:pt x="6524060" y="4904029"/>
                <a:pt x="6543288" y="4904029"/>
              </a:cubicBezTo>
              <a:cubicBezTo>
                <a:pt x="6562516" y="4904029"/>
                <a:pt x="6578100" y="4919620"/>
                <a:pt x="6578100" y="4938847"/>
              </a:cubicBezTo>
              <a:cubicBezTo>
                <a:pt x="6578100" y="4958075"/>
                <a:pt x="6562516" y="4973666"/>
                <a:pt x="6543288" y="4973666"/>
              </a:cubicBezTo>
              <a:close/>
              <a:moveTo>
                <a:pt x="6628181" y="4973666"/>
              </a:moveTo>
              <a:cubicBezTo>
                <a:pt x="6608954" y="4973666"/>
                <a:pt x="6593356" y="4958075"/>
                <a:pt x="6593356" y="4938847"/>
              </a:cubicBezTo>
              <a:cubicBezTo>
                <a:pt x="6593356" y="4919620"/>
                <a:pt x="6608954" y="4904029"/>
                <a:pt x="6628181" y="4904029"/>
              </a:cubicBezTo>
              <a:cubicBezTo>
                <a:pt x="6647409" y="4904029"/>
                <a:pt x="6662994" y="4919620"/>
                <a:pt x="6662994" y="4938847"/>
              </a:cubicBezTo>
              <a:cubicBezTo>
                <a:pt x="6662994" y="4958075"/>
                <a:pt x="6647409" y="4973666"/>
                <a:pt x="6628181" y="4973666"/>
              </a:cubicBezTo>
              <a:close/>
              <a:moveTo>
                <a:pt x="6713074" y="4973666"/>
              </a:moveTo>
              <a:cubicBezTo>
                <a:pt x="6693846" y="4973666"/>
                <a:pt x="6678248" y="4958075"/>
                <a:pt x="6678248" y="4938847"/>
              </a:cubicBezTo>
              <a:cubicBezTo>
                <a:pt x="6678248" y="4919620"/>
                <a:pt x="6693846" y="4904029"/>
                <a:pt x="6713074" y="4904029"/>
              </a:cubicBezTo>
              <a:cubicBezTo>
                <a:pt x="6732301" y="4904029"/>
                <a:pt x="6747886" y="4919620"/>
                <a:pt x="6747886" y="4938847"/>
              </a:cubicBezTo>
              <a:cubicBezTo>
                <a:pt x="6747886" y="4958075"/>
                <a:pt x="6732301" y="4973666"/>
                <a:pt x="6713074" y="4973666"/>
              </a:cubicBezTo>
              <a:close/>
              <a:moveTo>
                <a:pt x="6882858" y="4973666"/>
              </a:moveTo>
              <a:cubicBezTo>
                <a:pt x="6863630" y="4973666"/>
                <a:pt x="6848033" y="4958075"/>
                <a:pt x="6848033" y="4938847"/>
              </a:cubicBezTo>
              <a:cubicBezTo>
                <a:pt x="6848033" y="4919620"/>
                <a:pt x="6863630" y="4904029"/>
                <a:pt x="6882858" y="4904029"/>
              </a:cubicBezTo>
              <a:cubicBezTo>
                <a:pt x="6902086" y="4904029"/>
                <a:pt x="6917670" y="4919620"/>
                <a:pt x="6917670" y="4938847"/>
              </a:cubicBezTo>
              <a:cubicBezTo>
                <a:pt x="6917670" y="4958075"/>
                <a:pt x="6902086" y="4973666"/>
                <a:pt x="6882858" y="4973666"/>
              </a:cubicBezTo>
              <a:close/>
              <a:moveTo>
                <a:pt x="6967750" y="4973666"/>
              </a:moveTo>
              <a:cubicBezTo>
                <a:pt x="6948523" y="4973666"/>
                <a:pt x="6932925" y="4958075"/>
                <a:pt x="6932925" y="4938847"/>
              </a:cubicBezTo>
              <a:cubicBezTo>
                <a:pt x="6932925" y="4919620"/>
                <a:pt x="6948523" y="4904029"/>
                <a:pt x="6967750" y="4904029"/>
              </a:cubicBezTo>
              <a:cubicBezTo>
                <a:pt x="6986978" y="4904029"/>
                <a:pt x="7002563" y="4919620"/>
                <a:pt x="7002563" y="4938847"/>
              </a:cubicBezTo>
              <a:cubicBezTo>
                <a:pt x="7002563" y="4958075"/>
                <a:pt x="6986978" y="4973666"/>
                <a:pt x="6967750" y="4973666"/>
              </a:cubicBezTo>
              <a:close/>
              <a:moveTo>
                <a:pt x="7052644" y="4973666"/>
              </a:moveTo>
              <a:cubicBezTo>
                <a:pt x="7033416" y="4973666"/>
                <a:pt x="7017818" y="4958075"/>
                <a:pt x="7017818" y="4938847"/>
              </a:cubicBezTo>
              <a:cubicBezTo>
                <a:pt x="7017818" y="4919620"/>
                <a:pt x="7033416" y="4904029"/>
                <a:pt x="7052644" y="4904029"/>
              </a:cubicBezTo>
              <a:cubicBezTo>
                <a:pt x="7071871" y="4904029"/>
                <a:pt x="7087456" y="4919620"/>
                <a:pt x="7087456" y="4938847"/>
              </a:cubicBezTo>
              <a:cubicBezTo>
                <a:pt x="7087456" y="4958075"/>
                <a:pt x="7071871" y="4973666"/>
                <a:pt x="7052644" y="4973666"/>
              </a:cubicBezTo>
              <a:close/>
              <a:moveTo>
                <a:pt x="7137536" y="4973666"/>
              </a:moveTo>
              <a:cubicBezTo>
                <a:pt x="7118308" y="4973666"/>
                <a:pt x="7102710" y="4958075"/>
                <a:pt x="7102710" y="4938847"/>
              </a:cubicBezTo>
              <a:cubicBezTo>
                <a:pt x="7102710" y="4919620"/>
                <a:pt x="7118308" y="4904029"/>
                <a:pt x="7137536" y="4904029"/>
              </a:cubicBezTo>
              <a:cubicBezTo>
                <a:pt x="7156764" y="4904029"/>
                <a:pt x="7172348" y="4919620"/>
                <a:pt x="7172348" y="4938847"/>
              </a:cubicBezTo>
              <a:cubicBezTo>
                <a:pt x="7172348" y="4958075"/>
                <a:pt x="7156764" y="4973666"/>
                <a:pt x="7137536" y="4973666"/>
              </a:cubicBezTo>
              <a:close/>
              <a:moveTo>
                <a:pt x="7222428" y="4973666"/>
              </a:moveTo>
              <a:cubicBezTo>
                <a:pt x="7203200" y="4973666"/>
                <a:pt x="7187603" y="4958075"/>
                <a:pt x="7187603" y="4938847"/>
              </a:cubicBezTo>
              <a:cubicBezTo>
                <a:pt x="7187603" y="4919620"/>
                <a:pt x="7203200" y="4904029"/>
                <a:pt x="7222428" y="4904029"/>
              </a:cubicBezTo>
              <a:cubicBezTo>
                <a:pt x="7241656" y="4904029"/>
                <a:pt x="7257240" y="4919620"/>
                <a:pt x="7257240" y="4938847"/>
              </a:cubicBezTo>
              <a:cubicBezTo>
                <a:pt x="7257240" y="4958075"/>
                <a:pt x="7241656" y="4973666"/>
                <a:pt x="7222428" y="4973666"/>
              </a:cubicBezTo>
              <a:close/>
              <a:moveTo>
                <a:pt x="7307320" y="4973666"/>
              </a:moveTo>
              <a:cubicBezTo>
                <a:pt x="7288093" y="4973666"/>
                <a:pt x="7272495" y="4958075"/>
                <a:pt x="7272495" y="4938847"/>
              </a:cubicBezTo>
              <a:cubicBezTo>
                <a:pt x="7272495" y="4919620"/>
                <a:pt x="7288093" y="4904029"/>
                <a:pt x="7307320" y="4904029"/>
              </a:cubicBezTo>
              <a:cubicBezTo>
                <a:pt x="7326548" y="4904029"/>
                <a:pt x="7342133" y="4919620"/>
                <a:pt x="7342133" y="4938847"/>
              </a:cubicBezTo>
              <a:cubicBezTo>
                <a:pt x="7342133" y="4958075"/>
                <a:pt x="7326548" y="4973666"/>
                <a:pt x="7307320" y="4973666"/>
              </a:cubicBezTo>
              <a:close/>
              <a:moveTo>
                <a:pt x="7392214" y="4973666"/>
              </a:moveTo>
              <a:cubicBezTo>
                <a:pt x="7372986" y="4973666"/>
                <a:pt x="7357388" y="4958075"/>
                <a:pt x="7357388" y="4938847"/>
              </a:cubicBezTo>
              <a:cubicBezTo>
                <a:pt x="7357388" y="4919620"/>
                <a:pt x="7372986" y="4904029"/>
                <a:pt x="7392214" y="4904029"/>
              </a:cubicBezTo>
              <a:cubicBezTo>
                <a:pt x="7411441" y="4904029"/>
                <a:pt x="7427026" y="4919620"/>
                <a:pt x="7427026" y="4938847"/>
              </a:cubicBezTo>
              <a:cubicBezTo>
                <a:pt x="7427026" y="4958075"/>
                <a:pt x="7411441" y="4973666"/>
                <a:pt x="7392214" y="4973666"/>
              </a:cubicBezTo>
              <a:close/>
              <a:moveTo>
                <a:pt x="7477106" y="4973666"/>
              </a:moveTo>
              <a:cubicBezTo>
                <a:pt x="7457878" y="4973666"/>
                <a:pt x="7442280" y="4958075"/>
                <a:pt x="7442280" y="4938847"/>
              </a:cubicBezTo>
              <a:cubicBezTo>
                <a:pt x="7442280" y="4919620"/>
                <a:pt x="7457878" y="4904029"/>
                <a:pt x="7477106" y="4904029"/>
              </a:cubicBezTo>
              <a:cubicBezTo>
                <a:pt x="7496334" y="4904029"/>
                <a:pt x="7511918" y="4919620"/>
                <a:pt x="7511918" y="4938847"/>
              </a:cubicBezTo>
              <a:cubicBezTo>
                <a:pt x="7511918" y="4958075"/>
                <a:pt x="7496334" y="4973666"/>
                <a:pt x="7477106" y="4973666"/>
              </a:cubicBezTo>
              <a:close/>
              <a:moveTo>
                <a:pt x="7561998" y="4973666"/>
              </a:moveTo>
              <a:cubicBezTo>
                <a:pt x="7542770" y="4973666"/>
                <a:pt x="7527173" y="4958075"/>
                <a:pt x="7527173" y="4938847"/>
              </a:cubicBezTo>
              <a:cubicBezTo>
                <a:pt x="7527173" y="4919620"/>
                <a:pt x="7542770" y="4904029"/>
                <a:pt x="7561998" y="4904029"/>
              </a:cubicBezTo>
              <a:cubicBezTo>
                <a:pt x="7581226" y="4904029"/>
                <a:pt x="7596810" y="4919620"/>
                <a:pt x="7596810" y="4938847"/>
              </a:cubicBezTo>
              <a:cubicBezTo>
                <a:pt x="7596810" y="4958075"/>
                <a:pt x="7581226" y="4973666"/>
                <a:pt x="7561998" y="4973666"/>
              </a:cubicBezTo>
              <a:close/>
              <a:moveTo>
                <a:pt x="7646890" y="4973666"/>
              </a:moveTo>
              <a:cubicBezTo>
                <a:pt x="7627663" y="4973666"/>
                <a:pt x="7612065" y="4958075"/>
                <a:pt x="7612065" y="4938847"/>
              </a:cubicBezTo>
              <a:cubicBezTo>
                <a:pt x="7612065" y="4919620"/>
                <a:pt x="7627663" y="4904029"/>
                <a:pt x="7646890" y="4904029"/>
              </a:cubicBezTo>
              <a:cubicBezTo>
                <a:pt x="7666118" y="4904029"/>
                <a:pt x="7681703" y="4919620"/>
                <a:pt x="7681703" y="4938847"/>
              </a:cubicBezTo>
              <a:cubicBezTo>
                <a:pt x="7681703" y="4958075"/>
                <a:pt x="7666118" y="4973666"/>
                <a:pt x="7646890" y="4973666"/>
              </a:cubicBezTo>
              <a:close/>
              <a:moveTo>
                <a:pt x="7731784" y="4973666"/>
              </a:moveTo>
              <a:cubicBezTo>
                <a:pt x="7712556" y="4973666"/>
                <a:pt x="7696958" y="4958075"/>
                <a:pt x="7696958" y="4938847"/>
              </a:cubicBezTo>
              <a:cubicBezTo>
                <a:pt x="7696958" y="4919620"/>
                <a:pt x="7712556" y="4904029"/>
                <a:pt x="7731784" y="4904029"/>
              </a:cubicBezTo>
              <a:cubicBezTo>
                <a:pt x="7751011" y="4904029"/>
                <a:pt x="7766596" y="4919620"/>
                <a:pt x="7766596" y="4938847"/>
              </a:cubicBezTo>
              <a:cubicBezTo>
                <a:pt x="7766596" y="4958075"/>
                <a:pt x="7751011" y="4973666"/>
                <a:pt x="7731784" y="4973666"/>
              </a:cubicBezTo>
              <a:close/>
              <a:moveTo>
                <a:pt x="7816676" y="4973666"/>
              </a:moveTo>
              <a:cubicBezTo>
                <a:pt x="7797448" y="4973666"/>
                <a:pt x="7781850" y="4958075"/>
                <a:pt x="7781850" y="4938847"/>
              </a:cubicBezTo>
              <a:cubicBezTo>
                <a:pt x="7781850" y="4919620"/>
                <a:pt x="7797448" y="4904029"/>
                <a:pt x="7816676" y="4904029"/>
              </a:cubicBezTo>
              <a:cubicBezTo>
                <a:pt x="7835904" y="4904029"/>
                <a:pt x="7851488" y="4919620"/>
                <a:pt x="7851488" y="4938847"/>
              </a:cubicBezTo>
              <a:cubicBezTo>
                <a:pt x="7851488" y="4958075"/>
                <a:pt x="7835904" y="4973666"/>
                <a:pt x="7816676" y="4973666"/>
              </a:cubicBezTo>
              <a:close/>
              <a:moveTo>
                <a:pt x="7901568" y="4973666"/>
              </a:moveTo>
              <a:cubicBezTo>
                <a:pt x="7882340" y="4973666"/>
                <a:pt x="7866743" y="4958075"/>
                <a:pt x="7866743" y="4938847"/>
              </a:cubicBezTo>
              <a:cubicBezTo>
                <a:pt x="7866743" y="4919620"/>
                <a:pt x="7882340" y="4904029"/>
                <a:pt x="7901568" y="4904029"/>
              </a:cubicBezTo>
              <a:cubicBezTo>
                <a:pt x="7920796" y="4904029"/>
                <a:pt x="7936380" y="4919620"/>
                <a:pt x="7936380" y="4938847"/>
              </a:cubicBezTo>
              <a:cubicBezTo>
                <a:pt x="7936380" y="4958075"/>
                <a:pt x="7920796" y="4973666"/>
                <a:pt x="7901568" y="4973666"/>
              </a:cubicBezTo>
              <a:close/>
              <a:moveTo>
                <a:pt x="7986460" y="4973666"/>
              </a:moveTo>
              <a:cubicBezTo>
                <a:pt x="7967233" y="4973666"/>
                <a:pt x="7951635" y="4958075"/>
                <a:pt x="7951635" y="4938847"/>
              </a:cubicBezTo>
              <a:cubicBezTo>
                <a:pt x="7951635" y="4919620"/>
                <a:pt x="7967233" y="4904029"/>
                <a:pt x="7986460" y="4904029"/>
              </a:cubicBezTo>
              <a:cubicBezTo>
                <a:pt x="8005688" y="4904029"/>
                <a:pt x="8021273" y="4919620"/>
                <a:pt x="8021273" y="4938847"/>
              </a:cubicBezTo>
              <a:cubicBezTo>
                <a:pt x="8021273" y="4958075"/>
                <a:pt x="8005688" y="4973666"/>
                <a:pt x="7986460" y="4973666"/>
              </a:cubicBezTo>
              <a:close/>
              <a:moveTo>
                <a:pt x="8071353" y="4973666"/>
              </a:moveTo>
              <a:cubicBezTo>
                <a:pt x="8052125" y="4973666"/>
                <a:pt x="8036527" y="4958075"/>
                <a:pt x="8036527" y="4938847"/>
              </a:cubicBezTo>
              <a:cubicBezTo>
                <a:pt x="8036527" y="4919620"/>
                <a:pt x="8052125" y="4904029"/>
                <a:pt x="8071353" y="4904029"/>
              </a:cubicBezTo>
              <a:cubicBezTo>
                <a:pt x="8090580" y="4904029"/>
                <a:pt x="8106165" y="4919620"/>
                <a:pt x="8106165" y="4938847"/>
              </a:cubicBezTo>
              <a:cubicBezTo>
                <a:pt x="8106165" y="4958075"/>
                <a:pt x="8090580" y="4973666"/>
                <a:pt x="8071353" y="4973666"/>
              </a:cubicBezTo>
              <a:close/>
              <a:moveTo>
                <a:pt x="8156246" y="4973666"/>
              </a:moveTo>
              <a:cubicBezTo>
                <a:pt x="8137018" y="4973666"/>
                <a:pt x="8121420" y="4958075"/>
                <a:pt x="8121420" y="4938847"/>
              </a:cubicBezTo>
              <a:cubicBezTo>
                <a:pt x="8121420" y="4919620"/>
                <a:pt x="8137018" y="4904029"/>
                <a:pt x="8156246" y="4904029"/>
              </a:cubicBezTo>
              <a:cubicBezTo>
                <a:pt x="8175474" y="4904029"/>
                <a:pt x="8191058" y="4919620"/>
                <a:pt x="8191058" y="4938847"/>
              </a:cubicBezTo>
              <a:cubicBezTo>
                <a:pt x="8191058" y="4958075"/>
                <a:pt x="8175474" y="4973666"/>
                <a:pt x="8156246" y="4973666"/>
              </a:cubicBezTo>
              <a:close/>
              <a:moveTo>
                <a:pt x="8241138" y="4973666"/>
              </a:moveTo>
              <a:cubicBezTo>
                <a:pt x="8221910" y="4973666"/>
                <a:pt x="8206313" y="4958075"/>
                <a:pt x="8206313" y="4938847"/>
              </a:cubicBezTo>
              <a:cubicBezTo>
                <a:pt x="8206313" y="4919620"/>
                <a:pt x="8221910" y="4904029"/>
                <a:pt x="8241138" y="4904029"/>
              </a:cubicBezTo>
              <a:cubicBezTo>
                <a:pt x="8260366" y="4904029"/>
                <a:pt x="8275950" y="4919620"/>
                <a:pt x="8275950" y="4938847"/>
              </a:cubicBezTo>
              <a:cubicBezTo>
                <a:pt x="8275950" y="4958075"/>
                <a:pt x="8260366" y="4973666"/>
                <a:pt x="8241138" y="4973666"/>
              </a:cubicBezTo>
              <a:close/>
              <a:moveTo>
                <a:pt x="8326030" y="4973666"/>
              </a:moveTo>
              <a:cubicBezTo>
                <a:pt x="8306803" y="4973666"/>
                <a:pt x="8291205" y="4958075"/>
                <a:pt x="8291205" y="4938847"/>
              </a:cubicBezTo>
              <a:cubicBezTo>
                <a:pt x="8291205" y="4919620"/>
                <a:pt x="8306803" y="4904029"/>
                <a:pt x="8326030" y="4904029"/>
              </a:cubicBezTo>
              <a:cubicBezTo>
                <a:pt x="8345258" y="4904029"/>
                <a:pt x="8360843" y="4919620"/>
                <a:pt x="8360843" y="4938847"/>
              </a:cubicBezTo>
              <a:cubicBezTo>
                <a:pt x="8360843" y="4958075"/>
                <a:pt x="8345258" y="4973666"/>
                <a:pt x="8326030" y="4973666"/>
              </a:cubicBezTo>
              <a:close/>
              <a:moveTo>
                <a:pt x="8410923" y="4973666"/>
              </a:moveTo>
              <a:cubicBezTo>
                <a:pt x="8391695" y="4973666"/>
                <a:pt x="8376097" y="4958075"/>
                <a:pt x="8376097" y="4938847"/>
              </a:cubicBezTo>
              <a:cubicBezTo>
                <a:pt x="8376097" y="4919620"/>
                <a:pt x="8391695" y="4904029"/>
                <a:pt x="8410923" y="4904029"/>
              </a:cubicBezTo>
              <a:cubicBezTo>
                <a:pt x="8430150" y="4904029"/>
                <a:pt x="8445735" y="4919620"/>
                <a:pt x="8445735" y="4938847"/>
              </a:cubicBezTo>
              <a:cubicBezTo>
                <a:pt x="8445735" y="4958075"/>
                <a:pt x="8430150" y="4973666"/>
                <a:pt x="8410923" y="4973666"/>
              </a:cubicBezTo>
              <a:close/>
              <a:moveTo>
                <a:pt x="8495816" y="4973666"/>
              </a:moveTo>
              <a:cubicBezTo>
                <a:pt x="8476588" y="4973666"/>
                <a:pt x="8460990" y="4958075"/>
                <a:pt x="8460990" y="4938847"/>
              </a:cubicBezTo>
              <a:cubicBezTo>
                <a:pt x="8460990" y="4919620"/>
                <a:pt x="8476588" y="4904029"/>
                <a:pt x="8495816" y="4904029"/>
              </a:cubicBezTo>
              <a:cubicBezTo>
                <a:pt x="8515044" y="4904029"/>
                <a:pt x="8530628" y="4919620"/>
                <a:pt x="8530628" y="4938847"/>
              </a:cubicBezTo>
              <a:cubicBezTo>
                <a:pt x="8530628" y="4958075"/>
                <a:pt x="8515044" y="4973666"/>
                <a:pt x="8495816" y="4973666"/>
              </a:cubicBezTo>
              <a:close/>
              <a:moveTo>
                <a:pt x="8580708" y="4973666"/>
              </a:moveTo>
              <a:cubicBezTo>
                <a:pt x="8561480" y="4973666"/>
                <a:pt x="8545883" y="4958075"/>
                <a:pt x="8545883" y="4938847"/>
              </a:cubicBezTo>
              <a:cubicBezTo>
                <a:pt x="8545883" y="4919620"/>
                <a:pt x="8561480" y="4904029"/>
                <a:pt x="8580708" y="4904029"/>
              </a:cubicBezTo>
              <a:cubicBezTo>
                <a:pt x="8599936" y="4904029"/>
                <a:pt x="8615520" y="4919620"/>
                <a:pt x="8615520" y="4938847"/>
              </a:cubicBezTo>
              <a:cubicBezTo>
                <a:pt x="8615520" y="4958075"/>
                <a:pt x="8599936" y="4973666"/>
                <a:pt x="8580708" y="4973666"/>
              </a:cubicBezTo>
              <a:close/>
              <a:moveTo>
                <a:pt x="8665600" y="4973666"/>
              </a:moveTo>
              <a:cubicBezTo>
                <a:pt x="8646373" y="4973666"/>
                <a:pt x="8630775" y="4958075"/>
                <a:pt x="8630775" y="4938847"/>
              </a:cubicBezTo>
              <a:cubicBezTo>
                <a:pt x="8630775" y="4919620"/>
                <a:pt x="8646373" y="4904029"/>
                <a:pt x="8665600" y="4904029"/>
              </a:cubicBezTo>
              <a:cubicBezTo>
                <a:pt x="8684828" y="4904029"/>
                <a:pt x="8700413" y="4919620"/>
                <a:pt x="8700413" y="4938847"/>
              </a:cubicBezTo>
              <a:cubicBezTo>
                <a:pt x="8700413" y="4958075"/>
                <a:pt x="8684828" y="4973666"/>
                <a:pt x="8665600" y="4973666"/>
              </a:cubicBezTo>
              <a:close/>
              <a:moveTo>
                <a:pt x="8750493" y="4973666"/>
              </a:moveTo>
              <a:cubicBezTo>
                <a:pt x="8731265" y="4973666"/>
                <a:pt x="8715667" y="4958075"/>
                <a:pt x="8715667" y="4938847"/>
              </a:cubicBezTo>
              <a:cubicBezTo>
                <a:pt x="8715667" y="4919620"/>
                <a:pt x="8731265" y="4904029"/>
                <a:pt x="8750493" y="4904029"/>
              </a:cubicBezTo>
              <a:cubicBezTo>
                <a:pt x="8769720" y="4904029"/>
                <a:pt x="8785305" y="4919620"/>
                <a:pt x="8785305" y="4938847"/>
              </a:cubicBezTo>
              <a:cubicBezTo>
                <a:pt x="8785305" y="4958075"/>
                <a:pt x="8769720" y="4973666"/>
                <a:pt x="8750493" y="4973666"/>
              </a:cubicBezTo>
              <a:close/>
              <a:moveTo>
                <a:pt x="8835386" y="4973666"/>
              </a:moveTo>
              <a:cubicBezTo>
                <a:pt x="8816158" y="4973666"/>
                <a:pt x="8800560" y="4958075"/>
                <a:pt x="8800560" y="4938847"/>
              </a:cubicBezTo>
              <a:cubicBezTo>
                <a:pt x="8800560" y="4919620"/>
                <a:pt x="8816158" y="4904029"/>
                <a:pt x="8835386" y="4904029"/>
              </a:cubicBezTo>
              <a:cubicBezTo>
                <a:pt x="8854614" y="4904029"/>
                <a:pt x="8870198" y="4919620"/>
                <a:pt x="8870198" y="4938847"/>
              </a:cubicBezTo>
              <a:cubicBezTo>
                <a:pt x="8870198" y="4958075"/>
                <a:pt x="8854614" y="4973666"/>
                <a:pt x="8835386" y="4973666"/>
              </a:cubicBezTo>
              <a:close/>
              <a:moveTo>
                <a:pt x="8920278" y="4973666"/>
              </a:moveTo>
              <a:cubicBezTo>
                <a:pt x="8901050" y="4973666"/>
                <a:pt x="8885453" y="4958075"/>
                <a:pt x="8885453" y="4938847"/>
              </a:cubicBezTo>
              <a:cubicBezTo>
                <a:pt x="8885453" y="4919620"/>
                <a:pt x="8901050" y="4904029"/>
                <a:pt x="8920278" y="4904029"/>
              </a:cubicBezTo>
              <a:cubicBezTo>
                <a:pt x="8939506" y="4904029"/>
                <a:pt x="8955090" y="4919620"/>
                <a:pt x="8955090" y="4938847"/>
              </a:cubicBezTo>
              <a:cubicBezTo>
                <a:pt x="8955090" y="4958075"/>
                <a:pt x="8939506" y="4973666"/>
                <a:pt x="8920278" y="4973666"/>
              </a:cubicBezTo>
              <a:close/>
              <a:moveTo>
                <a:pt x="9005170" y="4973666"/>
              </a:moveTo>
              <a:cubicBezTo>
                <a:pt x="8985943" y="4973666"/>
                <a:pt x="8970345" y="4958075"/>
                <a:pt x="8970345" y="4938847"/>
              </a:cubicBezTo>
              <a:cubicBezTo>
                <a:pt x="8970345" y="4919620"/>
                <a:pt x="8985943" y="4904029"/>
                <a:pt x="9005170" y="4904029"/>
              </a:cubicBezTo>
              <a:cubicBezTo>
                <a:pt x="9024398" y="4904029"/>
                <a:pt x="9039983" y="4919620"/>
                <a:pt x="9039983" y="4938847"/>
              </a:cubicBezTo>
              <a:cubicBezTo>
                <a:pt x="9039983" y="4958075"/>
                <a:pt x="9024398" y="4973666"/>
                <a:pt x="9005170" y="4973666"/>
              </a:cubicBezTo>
              <a:close/>
              <a:moveTo>
                <a:pt x="9090063" y="4973666"/>
              </a:moveTo>
              <a:cubicBezTo>
                <a:pt x="9070835" y="4973666"/>
                <a:pt x="9055237" y="4958075"/>
                <a:pt x="9055237" y="4938847"/>
              </a:cubicBezTo>
              <a:cubicBezTo>
                <a:pt x="9055237" y="4919620"/>
                <a:pt x="9070835" y="4904029"/>
                <a:pt x="9090063" y="4904029"/>
              </a:cubicBezTo>
              <a:cubicBezTo>
                <a:pt x="9109290" y="4904029"/>
                <a:pt x="9124875" y="4919620"/>
                <a:pt x="9124875" y="4938847"/>
              </a:cubicBezTo>
              <a:cubicBezTo>
                <a:pt x="9124875" y="4958075"/>
                <a:pt x="9109290" y="4973666"/>
                <a:pt x="9090063" y="4973666"/>
              </a:cubicBezTo>
              <a:close/>
              <a:moveTo>
                <a:pt x="9174956" y="4973666"/>
              </a:moveTo>
              <a:cubicBezTo>
                <a:pt x="9155728" y="4973666"/>
                <a:pt x="9140130" y="4958075"/>
                <a:pt x="9140130" y="4938847"/>
              </a:cubicBezTo>
              <a:cubicBezTo>
                <a:pt x="9140130" y="4919620"/>
                <a:pt x="9155728" y="4904029"/>
                <a:pt x="9174956" y="4904029"/>
              </a:cubicBezTo>
              <a:cubicBezTo>
                <a:pt x="9194184" y="4904029"/>
                <a:pt x="9209768" y="4919620"/>
                <a:pt x="9209768" y="4938847"/>
              </a:cubicBezTo>
              <a:cubicBezTo>
                <a:pt x="9209768" y="4958075"/>
                <a:pt x="9194184" y="4973666"/>
                <a:pt x="9174956" y="4973666"/>
              </a:cubicBezTo>
              <a:close/>
              <a:moveTo>
                <a:pt x="9259848" y="4973666"/>
              </a:moveTo>
              <a:cubicBezTo>
                <a:pt x="9240620" y="4973666"/>
                <a:pt x="9225023" y="4958075"/>
                <a:pt x="9225023" y="4938847"/>
              </a:cubicBezTo>
              <a:cubicBezTo>
                <a:pt x="9225023" y="4919620"/>
                <a:pt x="9240620" y="4904029"/>
                <a:pt x="9259848" y="4904029"/>
              </a:cubicBezTo>
              <a:cubicBezTo>
                <a:pt x="9279076" y="4904029"/>
                <a:pt x="9294660" y="4919620"/>
                <a:pt x="9294660" y="4938847"/>
              </a:cubicBezTo>
              <a:cubicBezTo>
                <a:pt x="9294660" y="4958075"/>
                <a:pt x="9279076" y="4973666"/>
                <a:pt x="9259848" y="4973666"/>
              </a:cubicBezTo>
              <a:close/>
              <a:moveTo>
                <a:pt x="9344740" y="4973666"/>
              </a:moveTo>
              <a:cubicBezTo>
                <a:pt x="9325513" y="4973666"/>
                <a:pt x="9309915" y="4958075"/>
                <a:pt x="9309915" y="4938847"/>
              </a:cubicBezTo>
              <a:cubicBezTo>
                <a:pt x="9309915" y="4919620"/>
                <a:pt x="9325513" y="4904029"/>
                <a:pt x="9344740" y="4904029"/>
              </a:cubicBezTo>
              <a:cubicBezTo>
                <a:pt x="9363968" y="4904029"/>
                <a:pt x="9379553" y="4919620"/>
                <a:pt x="9379553" y="4938847"/>
              </a:cubicBezTo>
              <a:cubicBezTo>
                <a:pt x="9379553" y="4958075"/>
                <a:pt x="9363968" y="4973666"/>
                <a:pt x="9344740" y="4973666"/>
              </a:cubicBezTo>
              <a:close/>
              <a:moveTo>
                <a:pt x="9429633" y="4973666"/>
              </a:moveTo>
              <a:cubicBezTo>
                <a:pt x="9410405" y="4973666"/>
                <a:pt x="9394807" y="4958075"/>
                <a:pt x="9394807" y="4938847"/>
              </a:cubicBezTo>
              <a:cubicBezTo>
                <a:pt x="9394807" y="4919620"/>
                <a:pt x="9410405" y="4904029"/>
                <a:pt x="9429633" y="4904029"/>
              </a:cubicBezTo>
              <a:cubicBezTo>
                <a:pt x="9448860" y="4904029"/>
                <a:pt x="9464445" y="4919620"/>
                <a:pt x="9464445" y="4938847"/>
              </a:cubicBezTo>
              <a:cubicBezTo>
                <a:pt x="9464445" y="4958075"/>
                <a:pt x="9448860" y="4973666"/>
                <a:pt x="9429633" y="4973666"/>
              </a:cubicBezTo>
              <a:close/>
              <a:moveTo>
                <a:pt x="9514525" y="4973666"/>
              </a:moveTo>
              <a:cubicBezTo>
                <a:pt x="9495297" y="4973666"/>
                <a:pt x="9479699" y="4958075"/>
                <a:pt x="9479699" y="4938847"/>
              </a:cubicBezTo>
              <a:cubicBezTo>
                <a:pt x="9479699" y="4919620"/>
                <a:pt x="9495297" y="4904029"/>
                <a:pt x="9514525" y="4904029"/>
              </a:cubicBezTo>
              <a:cubicBezTo>
                <a:pt x="9533753" y="4904029"/>
                <a:pt x="9549337" y="4919620"/>
                <a:pt x="9549337" y="4938847"/>
              </a:cubicBezTo>
              <a:cubicBezTo>
                <a:pt x="9549337" y="4958075"/>
                <a:pt x="9533753" y="4973666"/>
                <a:pt x="9514525" y="4973666"/>
              </a:cubicBezTo>
              <a:close/>
              <a:moveTo>
                <a:pt x="9599418" y="4973666"/>
              </a:moveTo>
              <a:cubicBezTo>
                <a:pt x="9580190" y="4973666"/>
                <a:pt x="9564593" y="4958075"/>
                <a:pt x="9564593" y="4938847"/>
              </a:cubicBezTo>
              <a:cubicBezTo>
                <a:pt x="9564593" y="4919620"/>
                <a:pt x="9580190" y="4904029"/>
                <a:pt x="9599418" y="4904029"/>
              </a:cubicBezTo>
              <a:cubicBezTo>
                <a:pt x="9618646" y="4904029"/>
                <a:pt x="9634230" y="4919620"/>
                <a:pt x="9634230" y="4938847"/>
              </a:cubicBezTo>
              <a:cubicBezTo>
                <a:pt x="9634230" y="4958075"/>
                <a:pt x="9618646" y="4973666"/>
                <a:pt x="9599418" y="4973666"/>
              </a:cubicBezTo>
              <a:close/>
              <a:moveTo>
                <a:pt x="9684310" y="4973666"/>
              </a:moveTo>
              <a:cubicBezTo>
                <a:pt x="9665083" y="4973666"/>
                <a:pt x="9649485" y="4958075"/>
                <a:pt x="9649485" y="4938847"/>
              </a:cubicBezTo>
              <a:cubicBezTo>
                <a:pt x="9649485" y="4919620"/>
                <a:pt x="9665083" y="4904029"/>
                <a:pt x="9684310" y="4904029"/>
              </a:cubicBezTo>
              <a:cubicBezTo>
                <a:pt x="9703538" y="4904029"/>
                <a:pt x="9719123" y="4919620"/>
                <a:pt x="9719123" y="4938847"/>
              </a:cubicBezTo>
              <a:cubicBezTo>
                <a:pt x="9719123" y="4958075"/>
                <a:pt x="9703538" y="4973666"/>
                <a:pt x="9684310" y="4973666"/>
              </a:cubicBezTo>
              <a:close/>
              <a:moveTo>
                <a:pt x="10278558" y="4973666"/>
              </a:moveTo>
              <a:cubicBezTo>
                <a:pt x="10259330" y="4973666"/>
                <a:pt x="10243733" y="4958075"/>
                <a:pt x="10243733" y="4938847"/>
              </a:cubicBezTo>
              <a:cubicBezTo>
                <a:pt x="10243733" y="4919620"/>
                <a:pt x="10259330" y="4904029"/>
                <a:pt x="10278558" y="4904029"/>
              </a:cubicBezTo>
              <a:cubicBezTo>
                <a:pt x="10297786" y="4904029"/>
                <a:pt x="10313370" y="4919620"/>
                <a:pt x="10313370" y="4938847"/>
              </a:cubicBezTo>
              <a:cubicBezTo>
                <a:pt x="10313370" y="4958075"/>
                <a:pt x="10297786" y="4973666"/>
                <a:pt x="10278558" y="4973666"/>
              </a:cubicBezTo>
              <a:close/>
              <a:moveTo>
                <a:pt x="10363450" y="4973666"/>
              </a:moveTo>
              <a:cubicBezTo>
                <a:pt x="10344223" y="4973666"/>
                <a:pt x="10328625" y="4958075"/>
                <a:pt x="10328625" y="4938847"/>
              </a:cubicBezTo>
              <a:cubicBezTo>
                <a:pt x="10328625" y="4919620"/>
                <a:pt x="10344223" y="4904029"/>
                <a:pt x="10363450" y="4904029"/>
              </a:cubicBezTo>
              <a:cubicBezTo>
                <a:pt x="10382678" y="4904029"/>
                <a:pt x="10398263" y="4919620"/>
                <a:pt x="10398263" y="4938847"/>
              </a:cubicBezTo>
              <a:cubicBezTo>
                <a:pt x="10398263" y="4958075"/>
                <a:pt x="10382678" y="4973666"/>
                <a:pt x="10363450" y="4973666"/>
              </a:cubicBezTo>
              <a:close/>
              <a:moveTo>
                <a:pt x="10448343" y="4973666"/>
              </a:moveTo>
              <a:cubicBezTo>
                <a:pt x="10429115" y="4973666"/>
                <a:pt x="10413517" y="4958075"/>
                <a:pt x="10413517" y="4938847"/>
              </a:cubicBezTo>
              <a:cubicBezTo>
                <a:pt x="10413517" y="4919620"/>
                <a:pt x="10429115" y="4904029"/>
                <a:pt x="10448343" y="4904029"/>
              </a:cubicBezTo>
              <a:cubicBezTo>
                <a:pt x="10467570" y="4904029"/>
                <a:pt x="10483155" y="4919620"/>
                <a:pt x="10483155" y="4938847"/>
              </a:cubicBezTo>
              <a:cubicBezTo>
                <a:pt x="10483155" y="4958075"/>
                <a:pt x="10467570" y="4973666"/>
                <a:pt x="10448343" y="4973666"/>
              </a:cubicBezTo>
              <a:close/>
              <a:moveTo>
                <a:pt x="10618128" y="4973666"/>
              </a:moveTo>
              <a:cubicBezTo>
                <a:pt x="10598900" y="4973666"/>
                <a:pt x="10583303" y="4958075"/>
                <a:pt x="10583303" y="4938847"/>
              </a:cubicBezTo>
              <a:cubicBezTo>
                <a:pt x="10583303" y="4919620"/>
                <a:pt x="10598900" y="4904029"/>
                <a:pt x="10618128" y="4904029"/>
              </a:cubicBezTo>
              <a:cubicBezTo>
                <a:pt x="10637356" y="4904029"/>
                <a:pt x="10652940" y="4919620"/>
                <a:pt x="10652940" y="4938847"/>
              </a:cubicBezTo>
              <a:cubicBezTo>
                <a:pt x="10652940" y="4958075"/>
                <a:pt x="10637356" y="4973666"/>
                <a:pt x="10618128" y="4973666"/>
              </a:cubicBezTo>
              <a:close/>
              <a:moveTo>
                <a:pt x="855489" y="4888805"/>
              </a:moveTo>
              <a:cubicBezTo>
                <a:pt x="836261" y="4888805"/>
                <a:pt x="820670" y="4873214"/>
                <a:pt x="820670" y="4853987"/>
              </a:cubicBezTo>
              <a:cubicBezTo>
                <a:pt x="820670" y="4834759"/>
                <a:pt x="836261" y="4819168"/>
                <a:pt x="855489" y="4819168"/>
              </a:cubicBezTo>
              <a:cubicBezTo>
                <a:pt x="874717" y="4819168"/>
                <a:pt x="890308" y="4834759"/>
                <a:pt x="890308" y="4853987"/>
              </a:cubicBezTo>
              <a:cubicBezTo>
                <a:pt x="890308" y="4873214"/>
                <a:pt x="874717" y="4888805"/>
                <a:pt x="855489" y="4888805"/>
              </a:cubicBezTo>
              <a:close/>
              <a:moveTo>
                <a:pt x="940381" y="4888805"/>
              </a:moveTo>
              <a:cubicBezTo>
                <a:pt x="921153" y="4888805"/>
                <a:pt x="905562" y="4873214"/>
                <a:pt x="905562" y="4853987"/>
              </a:cubicBezTo>
              <a:cubicBezTo>
                <a:pt x="905562" y="4834759"/>
                <a:pt x="921153" y="4819168"/>
                <a:pt x="940381" y="4819168"/>
              </a:cubicBezTo>
              <a:cubicBezTo>
                <a:pt x="959609" y="4819168"/>
                <a:pt x="975200" y="4834759"/>
                <a:pt x="975200" y="4853987"/>
              </a:cubicBezTo>
              <a:cubicBezTo>
                <a:pt x="975200" y="4873214"/>
                <a:pt x="959609" y="4888805"/>
                <a:pt x="940381" y="4888805"/>
              </a:cubicBezTo>
              <a:close/>
              <a:moveTo>
                <a:pt x="1025273" y="4888805"/>
              </a:moveTo>
              <a:cubicBezTo>
                <a:pt x="1006046" y="4888805"/>
                <a:pt x="990454" y="4873214"/>
                <a:pt x="990454" y="4853987"/>
              </a:cubicBezTo>
              <a:cubicBezTo>
                <a:pt x="990454" y="4834759"/>
                <a:pt x="1006046" y="4819168"/>
                <a:pt x="1025273" y="4819168"/>
              </a:cubicBezTo>
              <a:cubicBezTo>
                <a:pt x="1044501" y="4819168"/>
                <a:pt x="1060092" y="4834759"/>
                <a:pt x="1060092" y="4853987"/>
              </a:cubicBezTo>
              <a:cubicBezTo>
                <a:pt x="1060092" y="4873214"/>
                <a:pt x="1044501" y="4888805"/>
                <a:pt x="1025273" y="4888805"/>
              </a:cubicBezTo>
              <a:close/>
              <a:moveTo>
                <a:pt x="1110167" y="4888805"/>
              </a:moveTo>
              <a:cubicBezTo>
                <a:pt x="1090939" y="4888805"/>
                <a:pt x="1075348" y="4873214"/>
                <a:pt x="1075348" y="4853987"/>
              </a:cubicBezTo>
              <a:cubicBezTo>
                <a:pt x="1075348" y="4834759"/>
                <a:pt x="1090939" y="4819168"/>
                <a:pt x="1110167" y="4819168"/>
              </a:cubicBezTo>
              <a:cubicBezTo>
                <a:pt x="1129394" y="4819168"/>
                <a:pt x="1144985" y="4834759"/>
                <a:pt x="1144985" y="4853987"/>
              </a:cubicBezTo>
              <a:cubicBezTo>
                <a:pt x="1144985" y="4873214"/>
                <a:pt x="1129394" y="4888805"/>
                <a:pt x="1110167" y="4888805"/>
              </a:cubicBezTo>
              <a:close/>
              <a:moveTo>
                <a:pt x="2128876" y="4888805"/>
              </a:moveTo>
              <a:cubicBezTo>
                <a:pt x="2109648" y="4888805"/>
                <a:pt x="2094057" y="4873214"/>
                <a:pt x="2094057" y="4853987"/>
              </a:cubicBezTo>
              <a:cubicBezTo>
                <a:pt x="2094057" y="4834759"/>
                <a:pt x="2109648" y="4819168"/>
                <a:pt x="2128876" y="4819168"/>
              </a:cubicBezTo>
              <a:cubicBezTo>
                <a:pt x="2148103" y="4819168"/>
                <a:pt x="2163694" y="4834759"/>
                <a:pt x="2163694" y="4853987"/>
              </a:cubicBezTo>
              <a:cubicBezTo>
                <a:pt x="2163694" y="4873214"/>
                <a:pt x="2148103" y="4888805"/>
                <a:pt x="2128876" y="4888805"/>
              </a:cubicBezTo>
              <a:close/>
              <a:moveTo>
                <a:pt x="2213769" y="4888805"/>
              </a:moveTo>
              <a:cubicBezTo>
                <a:pt x="2194541" y="4888805"/>
                <a:pt x="2178950" y="4873214"/>
                <a:pt x="2178950" y="4853987"/>
              </a:cubicBezTo>
              <a:cubicBezTo>
                <a:pt x="2178950" y="4834759"/>
                <a:pt x="2194541" y="4819168"/>
                <a:pt x="2213769" y="4819168"/>
              </a:cubicBezTo>
              <a:cubicBezTo>
                <a:pt x="2232997" y="4819168"/>
                <a:pt x="2248588" y="4834759"/>
                <a:pt x="2248588" y="4853987"/>
              </a:cubicBezTo>
              <a:cubicBezTo>
                <a:pt x="2248588" y="4873214"/>
                <a:pt x="2232997" y="4888805"/>
                <a:pt x="2213769" y="4888805"/>
              </a:cubicBezTo>
              <a:close/>
              <a:moveTo>
                <a:pt x="2298661" y="4888805"/>
              </a:moveTo>
              <a:cubicBezTo>
                <a:pt x="2279433" y="4888805"/>
                <a:pt x="2263842" y="4873214"/>
                <a:pt x="2263842" y="4853987"/>
              </a:cubicBezTo>
              <a:cubicBezTo>
                <a:pt x="2263842" y="4834759"/>
                <a:pt x="2279433" y="4819168"/>
                <a:pt x="2298661" y="4819168"/>
              </a:cubicBezTo>
              <a:cubicBezTo>
                <a:pt x="2317889" y="4819168"/>
                <a:pt x="2333480" y="4834759"/>
                <a:pt x="2333480" y="4853987"/>
              </a:cubicBezTo>
              <a:cubicBezTo>
                <a:pt x="2333480" y="4873214"/>
                <a:pt x="2317889" y="4888805"/>
                <a:pt x="2298661" y="4888805"/>
              </a:cubicBezTo>
              <a:close/>
              <a:moveTo>
                <a:pt x="2383553" y="4888805"/>
              </a:moveTo>
              <a:cubicBezTo>
                <a:pt x="2364326" y="4888805"/>
                <a:pt x="2348734" y="4873214"/>
                <a:pt x="2348734" y="4853987"/>
              </a:cubicBezTo>
              <a:cubicBezTo>
                <a:pt x="2348734" y="4834759"/>
                <a:pt x="2364326" y="4819168"/>
                <a:pt x="2383553" y="4819168"/>
              </a:cubicBezTo>
              <a:cubicBezTo>
                <a:pt x="2402781" y="4819168"/>
                <a:pt x="2418372" y="4834759"/>
                <a:pt x="2418372" y="4853987"/>
              </a:cubicBezTo>
              <a:cubicBezTo>
                <a:pt x="2418372" y="4873214"/>
                <a:pt x="2402781" y="4888805"/>
                <a:pt x="2383553" y="4888805"/>
              </a:cubicBezTo>
              <a:close/>
              <a:moveTo>
                <a:pt x="2468446" y="4888805"/>
              </a:moveTo>
              <a:cubicBezTo>
                <a:pt x="2449218" y="4888805"/>
                <a:pt x="2433627" y="4873214"/>
                <a:pt x="2433627" y="4853987"/>
              </a:cubicBezTo>
              <a:cubicBezTo>
                <a:pt x="2433627" y="4834759"/>
                <a:pt x="2449218" y="4819168"/>
                <a:pt x="2468446" y="4819168"/>
              </a:cubicBezTo>
              <a:cubicBezTo>
                <a:pt x="2487673" y="4819168"/>
                <a:pt x="2503264" y="4834759"/>
                <a:pt x="2503264" y="4853987"/>
              </a:cubicBezTo>
              <a:cubicBezTo>
                <a:pt x="2503264" y="4873214"/>
                <a:pt x="2487673" y="4888805"/>
                <a:pt x="2468446" y="4888805"/>
              </a:cubicBezTo>
              <a:close/>
              <a:moveTo>
                <a:pt x="2553339" y="4888805"/>
              </a:moveTo>
              <a:cubicBezTo>
                <a:pt x="2534111" y="4888805"/>
                <a:pt x="2518520" y="4873214"/>
                <a:pt x="2518520" y="4853987"/>
              </a:cubicBezTo>
              <a:cubicBezTo>
                <a:pt x="2518520" y="4834759"/>
                <a:pt x="2534111" y="4819168"/>
                <a:pt x="2553339" y="4819168"/>
              </a:cubicBezTo>
              <a:cubicBezTo>
                <a:pt x="2572567" y="4819168"/>
                <a:pt x="2588158" y="4834759"/>
                <a:pt x="2588158" y="4853987"/>
              </a:cubicBezTo>
              <a:cubicBezTo>
                <a:pt x="2588158" y="4873214"/>
                <a:pt x="2572567" y="4888805"/>
                <a:pt x="2553339" y="4888805"/>
              </a:cubicBezTo>
              <a:close/>
              <a:moveTo>
                <a:pt x="2638231" y="4888805"/>
              </a:moveTo>
              <a:cubicBezTo>
                <a:pt x="2619003" y="4888805"/>
                <a:pt x="2603412" y="4873214"/>
                <a:pt x="2603412" y="4853987"/>
              </a:cubicBezTo>
              <a:cubicBezTo>
                <a:pt x="2603412" y="4834759"/>
                <a:pt x="2619003" y="4819168"/>
                <a:pt x="2638231" y="4819168"/>
              </a:cubicBezTo>
              <a:cubicBezTo>
                <a:pt x="2657459" y="4819168"/>
                <a:pt x="2673050" y="4834759"/>
                <a:pt x="2673050" y="4853987"/>
              </a:cubicBezTo>
              <a:cubicBezTo>
                <a:pt x="2673050" y="4873214"/>
                <a:pt x="2657459" y="4888805"/>
                <a:pt x="2638231" y="4888805"/>
              </a:cubicBezTo>
              <a:close/>
              <a:moveTo>
                <a:pt x="2723123" y="4888805"/>
              </a:moveTo>
              <a:cubicBezTo>
                <a:pt x="2703896" y="4888805"/>
                <a:pt x="2688304" y="4873214"/>
                <a:pt x="2688304" y="4853987"/>
              </a:cubicBezTo>
              <a:cubicBezTo>
                <a:pt x="2688304" y="4834759"/>
                <a:pt x="2703896" y="4819168"/>
                <a:pt x="2723123" y="4819168"/>
              </a:cubicBezTo>
              <a:cubicBezTo>
                <a:pt x="2742351" y="4819168"/>
                <a:pt x="2757942" y="4834759"/>
                <a:pt x="2757942" y="4853987"/>
              </a:cubicBezTo>
              <a:cubicBezTo>
                <a:pt x="2757942" y="4873214"/>
                <a:pt x="2742351" y="4888805"/>
                <a:pt x="2723123" y="4888805"/>
              </a:cubicBezTo>
              <a:close/>
              <a:moveTo>
                <a:pt x="2808016" y="4888805"/>
              </a:moveTo>
              <a:cubicBezTo>
                <a:pt x="2788788" y="4888805"/>
                <a:pt x="2773197" y="4873214"/>
                <a:pt x="2773197" y="4853987"/>
              </a:cubicBezTo>
              <a:cubicBezTo>
                <a:pt x="2773197" y="4834759"/>
                <a:pt x="2788788" y="4819168"/>
                <a:pt x="2808016" y="4819168"/>
              </a:cubicBezTo>
              <a:cubicBezTo>
                <a:pt x="2827243" y="4819168"/>
                <a:pt x="2842834" y="4834759"/>
                <a:pt x="2842834" y="4853987"/>
              </a:cubicBezTo>
              <a:cubicBezTo>
                <a:pt x="2842834" y="4873214"/>
                <a:pt x="2827243" y="4888805"/>
                <a:pt x="2808016" y="4888805"/>
              </a:cubicBezTo>
              <a:close/>
              <a:moveTo>
                <a:pt x="2892908" y="4888805"/>
              </a:moveTo>
              <a:cubicBezTo>
                <a:pt x="2873680" y="4888805"/>
                <a:pt x="2858089" y="4873214"/>
                <a:pt x="2858089" y="4853987"/>
              </a:cubicBezTo>
              <a:cubicBezTo>
                <a:pt x="2858089" y="4834759"/>
                <a:pt x="2873680" y="4819168"/>
                <a:pt x="2892908" y="4819168"/>
              </a:cubicBezTo>
              <a:cubicBezTo>
                <a:pt x="2912136" y="4819168"/>
                <a:pt x="2927727" y="4834759"/>
                <a:pt x="2927727" y="4853987"/>
              </a:cubicBezTo>
              <a:cubicBezTo>
                <a:pt x="2927727" y="4873214"/>
                <a:pt x="2912136" y="4888805"/>
                <a:pt x="2892908" y="4888805"/>
              </a:cubicBezTo>
              <a:close/>
              <a:moveTo>
                <a:pt x="3062693" y="4888805"/>
              </a:moveTo>
              <a:cubicBezTo>
                <a:pt x="3043466" y="4888805"/>
                <a:pt x="3027874" y="4873214"/>
                <a:pt x="3027874" y="4853987"/>
              </a:cubicBezTo>
              <a:cubicBezTo>
                <a:pt x="3027874" y="4834759"/>
                <a:pt x="3043466" y="4819168"/>
                <a:pt x="3062693" y="4819168"/>
              </a:cubicBezTo>
              <a:cubicBezTo>
                <a:pt x="3081921" y="4819168"/>
                <a:pt x="3097512" y="4834759"/>
                <a:pt x="3097512" y="4853987"/>
              </a:cubicBezTo>
              <a:cubicBezTo>
                <a:pt x="3097512" y="4873214"/>
                <a:pt x="3081921" y="4888805"/>
                <a:pt x="3062693" y="4888805"/>
              </a:cubicBezTo>
              <a:close/>
              <a:moveTo>
                <a:pt x="3147586" y="4888805"/>
              </a:moveTo>
              <a:cubicBezTo>
                <a:pt x="3128358" y="4888805"/>
                <a:pt x="3112767" y="4873214"/>
                <a:pt x="3112767" y="4853987"/>
              </a:cubicBezTo>
              <a:cubicBezTo>
                <a:pt x="3112767" y="4834759"/>
                <a:pt x="3128358" y="4819168"/>
                <a:pt x="3147586" y="4819168"/>
              </a:cubicBezTo>
              <a:cubicBezTo>
                <a:pt x="3166813" y="4819168"/>
                <a:pt x="3182404" y="4834759"/>
                <a:pt x="3182404" y="4853987"/>
              </a:cubicBezTo>
              <a:cubicBezTo>
                <a:pt x="3182404" y="4873214"/>
                <a:pt x="3166813" y="4888805"/>
                <a:pt x="3147586" y="4888805"/>
              </a:cubicBezTo>
              <a:close/>
              <a:moveTo>
                <a:pt x="3232478" y="4888805"/>
              </a:moveTo>
              <a:cubicBezTo>
                <a:pt x="3213250" y="4888805"/>
                <a:pt x="3197659" y="4873214"/>
                <a:pt x="3197659" y="4853987"/>
              </a:cubicBezTo>
              <a:cubicBezTo>
                <a:pt x="3197659" y="4834759"/>
                <a:pt x="3213250" y="4819168"/>
                <a:pt x="3232478" y="4819168"/>
              </a:cubicBezTo>
              <a:cubicBezTo>
                <a:pt x="3251706" y="4819168"/>
                <a:pt x="3267297" y="4834759"/>
                <a:pt x="3267297" y="4853987"/>
              </a:cubicBezTo>
              <a:cubicBezTo>
                <a:pt x="3267297" y="4873214"/>
                <a:pt x="3251706" y="4888805"/>
                <a:pt x="3232478" y="4888805"/>
              </a:cubicBezTo>
              <a:close/>
              <a:moveTo>
                <a:pt x="3826726" y="4888805"/>
              </a:moveTo>
              <a:cubicBezTo>
                <a:pt x="3807498" y="4888805"/>
                <a:pt x="3791907" y="4873214"/>
                <a:pt x="3791907" y="4853987"/>
              </a:cubicBezTo>
              <a:cubicBezTo>
                <a:pt x="3791907" y="4834759"/>
                <a:pt x="3807498" y="4819168"/>
                <a:pt x="3826726" y="4819168"/>
              </a:cubicBezTo>
              <a:cubicBezTo>
                <a:pt x="3845953" y="4819168"/>
                <a:pt x="3861544" y="4834759"/>
                <a:pt x="3861544" y="4853987"/>
              </a:cubicBezTo>
              <a:cubicBezTo>
                <a:pt x="3861544" y="4873214"/>
                <a:pt x="3845953" y="4888805"/>
                <a:pt x="3826726" y="4888805"/>
              </a:cubicBezTo>
              <a:close/>
              <a:moveTo>
                <a:pt x="3911618" y="4888805"/>
              </a:moveTo>
              <a:cubicBezTo>
                <a:pt x="3892390" y="4888805"/>
                <a:pt x="3876799" y="4873214"/>
                <a:pt x="3876799" y="4853987"/>
              </a:cubicBezTo>
              <a:cubicBezTo>
                <a:pt x="3876799" y="4834759"/>
                <a:pt x="3892390" y="4819168"/>
                <a:pt x="3911618" y="4819168"/>
              </a:cubicBezTo>
              <a:cubicBezTo>
                <a:pt x="3930846" y="4819168"/>
                <a:pt x="3946437" y="4834759"/>
                <a:pt x="3946437" y="4853987"/>
              </a:cubicBezTo>
              <a:cubicBezTo>
                <a:pt x="3946437" y="4873214"/>
                <a:pt x="3930846" y="4888805"/>
                <a:pt x="3911618" y="4888805"/>
              </a:cubicBezTo>
              <a:close/>
              <a:moveTo>
                <a:pt x="4590758" y="4888805"/>
              </a:moveTo>
              <a:cubicBezTo>
                <a:pt x="4571530" y="4888805"/>
                <a:pt x="4555939" y="4873214"/>
                <a:pt x="4555939" y="4853987"/>
              </a:cubicBezTo>
              <a:cubicBezTo>
                <a:pt x="4555939" y="4834759"/>
                <a:pt x="4571530" y="4819168"/>
                <a:pt x="4590758" y="4819168"/>
              </a:cubicBezTo>
              <a:cubicBezTo>
                <a:pt x="4609986" y="4819168"/>
                <a:pt x="4625577" y="4834759"/>
                <a:pt x="4625577" y="4853987"/>
              </a:cubicBezTo>
              <a:cubicBezTo>
                <a:pt x="4625577" y="4873214"/>
                <a:pt x="4609986" y="4888805"/>
                <a:pt x="4590758" y="4888805"/>
              </a:cubicBezTo>
              <a:close/>
              <a:moveTo>
                <a:pt x="4675650" y="4888805"/>
              </a:moveTo>
              <a:cubicBezTo>
                <a:pt x="4656422" y="4888805"/>
                <a:pt x="4640831" y="4873214"/>
                <a:pt x="4640831" y="4853987"/>
              </a:cubicBezTo>
              <a:cubicBezTo>
                <a:pt x="4640831" y="4834759"/>
                <a:pt x="4656422" y="4819168"/>
                <a:pt x="4675650" y="4819168"/>
              </a:cubicBezTo>
              <a:cubicBezTo>
                <a:pt x="4694878" y="4819168"/>
                <a:pt x="4710469" y="4834759"/>
                <a:pt x="4710469" y="4853987"/>
              </a:cubicBezTo>
              <a:cubicBezTo>
                <a:pt x="4710469" y="4873214"/>
                <a:pt x="4694878" y="4888805"/>
                <a:pt x="4675650" y="4888805"/>
              </a:cubicBezTo>
              <a:close/>
              <a:moveTo>
                <a:pt x="6118826" y="4888805"/>
              </a:moveTo>
              <a:cubicBezTo>
                <a:pt x="6099598" y="4888805"/>
                <a:pt x="6084000" y="4873214"/>
                <a:pt x="6084000" y="4853987"/>
              </a:cubicBezTo>
              <a:cubicBezTo>
                <a:pt x="6084000" y="4834759"/>
                <a:pt x="6099598" y="4819168"/>
                <a:pt x="6118826" y="4819168"/>
              </a:cubicBezTo>
              <a:cubicBezTo>
                <a:pt x="6138054" y="4819168"/>
                <a:pt x="6153638" y="4834759"/>
                <a:pt x="6153638" y="4853987"/>
              </a:cubicBezTo>
              <a:cubicBezTo>
                <a:pt x="6153638" y="4873214"/>
                <a:pt x="6138054" y="4888805"/>
                <a:pt x="6118826" y="4888805"/>
              </a:cubicBezTo>
              <a:close/>
              <a:moveTo>
                <a:pt x="6203718" y="4888805"/>
              </a:moveTo>
              <a:cubicBezTo>
                <a:pt x="6184490" y="4888805"/>
                <a:pt x="6168893" y="4873214"/>
                <a:pt x="6168893" y="4853987"/>
              </a:cubicBezTo>
              <a:cubicBezTo>
                <a:pt x="6168893" y="4834759"/>
                <a:pt x="6184490" y="4819168"/>
                <a:pt x="6203718" y="4819168"/>
              </a:cubicBezTo>
              <a:cubicBezTo>
                <a:pt x="6222946" y="4819168"/>
                <a:pt x="6238530" y="4834759"/>
                <a:pt x="6238530" y="4853987"/>
              </a:cubicBezTo>
              <a:cubicBezTo>
                <a:pt x="6238530" y="4873214"/>
                <a:pt x="6222946" y="4888805"/>
                <a:pt x="6203718" y="4888805"/>
              </a:cubicBezTo>
              <a:close/>
              <a:moveTo>
                <a:pt x="6288611" y="4888805"/>
              </a:moveTo>
              <a:cubicBezTo>
                <a:pt x="6269384" y="4888805"/>
                <a:pt x="6253786" y="4873214"/>
                <a:pt x="6253786" y="4853987"/>
              </a:cubicBezTo>
              <a:cubicBezTo>
                <a:pt x="6253786" y="4834759"/>
                <a:pt x="6269384" y="4819168"/>
                <a:pt x="6288611" y="4819168"/>
              </a:cubicBezTo>
              <a:cubicBezTo>
                <a:pt x="6307839" y="4819168"/>
                <a:pt x="6323424" y="4834759"/>
                <a:pt x="6323424" y="4853987"/>
              </a:cubicBezTo>
              <a:cubicBezTo>
                <a:pt x="6323424" y="4873214"/>
                <a:pt x="6307839" y="4888805"/>
                <a:pt x="6288611" y="4888805"/>
              </a:cubicBezTo>
              <a:close/>
              <a:moveTo>
                <a:pt x="6458396" y="4888805"/>
              </a:moveTo>
              <a:cubicBezTo>
                <a:pt x="6439168" y="4888805"/>
                <a:pt x="6423570" y="4873214"/>
                <a:pt x="6423570" y="4853987"/>
              </a:cubicBezTo>
              <a:cubicBezTo>
                <a:pt x="6423570" y="4834759"/>
                <a:pt x="6439168" y="4819168"/>
                <a:pt x="6458396" y="4819168"/>
              </a:cubicBezTo>
              <a:cubicBezTo>
                <a:pt x="6477624" y="4819168"/>
                <a:pt x="6493208" y="4834759"/>
                <a:pt x="6493208" y="4853987"/>
              </a:cubicBezTo>
              <a:cubicBezTo>
                <a:pt x="6493208" y="4873214"/>
                <a:pt x="6477624" y="4888805"/>
                <a:pt x="6458396" y="4888805"/>
              </a:cubicBezTo>
              <a:close/>
              <a:moveTo>
                <a:pt x="6713074" y="4888805"/>
              </a:moveTo>
              <a:cubicBezTo>
                <a:pt x="6693846" y="4888805"/>
                <a:pt x="6678248" y="4873214"/>
                <a:pt x="6678248" y="4853987"/>
              </a:cubicBezTo>
              <a:cubicBezTo>
                <a:pt x="6678248" y="4834759"/>
                <a:pt x="6693846" y="4819168"/>
                <a:pt x="6713074" y="4819168"/>
              </a:cubicBezTo>
              <a:cubicBezTo>
                <a:pt x="6732301" y="4819168"/>
                <a:pt x="6747886" y="4834759"/>
                <a:pt x="6747886" y="4853987"/>
              </a:cubicBezTo>
              <a:cubicBezTo>
                <a:pt x="6747886" y="4873214"/>
                <a:pt x="6732301" y="4888805"/>
                <a:pt x="6713074" y="4888805"/>
              </a:cubicBezTo>
              <a:close/>
              <a:moveTo>
                <a:pt x="6882858" y="4888805"/>
              </a:moveTo>
              <a:cubicBezTo>
                <a:pt x="6863630" y="4888805"/>
                <a:pt x="6848033" y="4873214"/>
                <a:pt x="6848033" y="4853987"/>
              </a:cubicBezTo>
              <a:cubicBezTo>
                <a:pt x="6848033" y="4834759"/>
                <a:pt x="6863630" y="4819168"/>
                <a:pt x="6882858" y="4819168"/>
              </a:cubicBezTo>
              <a:cubicBezTo>
                <a:pt x="6902086" y="4819168"/>
                <a:pt x="6917670" y="4834759"/>
                <a:pt x="6917670" y="4853987"/>
              </a:cubicBezTo>
              <a:cubicBezTo>
                <a:pt x="6917670" y="4873214"/>
                <a:pt x="6902086" y="4888805"/>
                <a:pt x="6882858" y="4888805"/>
              </a:cubicBezTo>
              <a:close/>
              <a:moveTo>
                <a:pt x="6967750" y="4888805"/>
              </a:moveTo>
              <a:cubicBezTo>
                <a:pt x="6948523" y="4888805"/>
                <a:pt x="6932925" y="4873214"/>
                <a:pt x="6932925" y="4853987"/>
              </a:cubicBezTo>
              <a:cubicBezTo>
                <a:pt x="6932925" y="4834759"/>
                <a:pt x="6948523" y="4819168"/>
                <a:pt x="6967750" y="4819168"/>
              </a:cubicBezTo>
              <a:cubicBezTo>
                <a:pt x="6986978" y="4819168"/>
                <a:pt x="7002563" y="4834759"/>
                <a:pt x="7002563" y="4853987"/>
              </a:cubicBezTo>
              <a:cubicBezTo>
                <a:pt x="7002563" y="4873214"/>
                <a:pt x="6986978" y="4888805"/>
                <a:pt x="6967750" y="4888805"/>
              </a:cubicBezTo>
              <a:close/>
              <a:moveTo>
                <a:pt x="7052644" y="4888805"/>
              </a:moveTo>
              <a:cubicBezTo>
                <a:pt x="7033416" y="4888805"/>
                <a:pt x="7017818" y="4873214"/>
                <a:pt x="7017818" y="4853987"/>
              </a:cubicBezTo>
              <a:cubicBezTo>
                <a:pt x="7017818" y="4834759"/>
                <a:pt x="7033416" y="4819168"/>
                <a:pt x="7052644" y="4819168"/>
              </a:cubicBezTo>
              <a:cubicBezTo>
                <a:pt x="7071871" y="4819168"/>
                <a:pt x="7087456" y="4834759"/>
                <a:pt x="7087456" y="4853987"/>
              </a:cubicBezTo>
              <a:cubicBezTo>
                <a:pt x="7087456" y="4873214"/>
                <a:pt x="7071871" y="4888805"/>
                <a:pt x="7052644" y="4888805"/>
              </a:cubicBezTo>
              <a:close/>
              <a:moveTo>
                <a:pt x="7137536" y="4888805"/>
              </a:moveTo>
              <a:cubicBezTo>
                <a:pt x="7118308" y="4888805"/>
                <a:pt x="7102710" y="4873214"/>
                <a:pt x="7102710" y="4853987"/>
              </a:cubicBezTo>
              <a:cubicBezTo>
                <a:pt x="7102710" y="4834759"/>
                <a:pt x="7118308" y="4819168"/>
                <a:pt x="7137536" y="4819168"/>
              </a:cubicBezTo>
              <a:cubicBezTo>
                <a:pt x="7156764" y="4819168"/>
                <a:pt x="7172348" y="4834759"/>
                <a:pt x="7172348" y="4853987"/>
              </a:cubicBezTo>
              <a:cubicBezTo>
                <a:pt x="7172348" y="4873214"/>
                <a:pt x="7156764" y="4888805"/>
                <a:pt x="7137536" y="4888805"/>
              </a:cubicBezTo>
              <a:close/>
              <a:moveTo>
                <a:pt x="7222428" y="4888805"/>
              </a:moveTo>
              <a:cubicBezTo>
                <a:pt x="7203200" y="4888805"/>
                <a:pt x="7187603" y="4873214"/>
                <a:pt x="7187603" y="4853987"/>
              </a:cubicBezTo>
              <a:cubicBezTo>
                <a:pt x="7187603" y="4834759"/>
                <a:pt x="7203200" y="4819168"/>
                <a:pt x="7222428" y="4819168"/>
              </a:cubicBezTo>
              <a:cubicBezTo>
                <a:pt x="7241656" y="4819168"/>
                <a:pt x="7257240" y="4834759"/>
                <a:pt x="7257240" y="4853987"/>
              </a:cubicBezTo>
              <a:cubicBezTo>
                <a:pt x="7257240" y="4873214"/>
                <a:pt x="7241656" y="4888805"/>
                <a:pt x="7222428" y="4888805"/>
              </a:cubicBezTo>
              <a:close/>
              <a:moveTo>
                <a:pt x="7307320" y="4888805"/>
              </a:moveTo>
              <a:cubicBezTo>
                <a:pt x="7288093" y="4888805"/>
                <a:pt x="7272495" y="4873214"/>
                <a:pt x="7272495" y="4853987"/>
              </a:cubicBezTo>
              <a:cubicBezTo>
                <a:pt x="7272495" y="4834759"/>
                <a:pt x="7288093" y="4819168"/>
                <a:pt x="7307320" y="4819168"/>
              </a:cubicBezTo>
              <a:cubicBezTo>
                <a:pt x="7326548" y="4819168"/>
                <a:pt x="7342133" y="4834759"/>
                <a:pt x="7342133" y="4853987"/>
              </a:cubicBezTo>
              <a:cubicBezTo>
                <a:pt x="7342133" y="4873214"/>
                <a:pt x="7326548" y="4888805"/>
                <a:pt x="7307320" y="4888805"/>
              </a:cubicBezTo>
              <a:close/>
              <a:moveTo>
                <a:pt x="7392214" y="4888805"/>
              </a:moveTo>
              <a:cubicBezTo>
                <a:pt x="7372986" y="4888805"/>
                <a:pt x="7357388" y="4873214"/>
                <a:pt x="7357388" y="4853987"/>
              </a:cubicBezTo>
              <a:cubicBezTo>
                <a:pt x="7357388" y="4834759"/>
                <a:pt x="7372986" y="4819168"/>
                <a:pt x="7392214" y="4819168"/>
              </a:cubicBezTo>
              <a:cubicBezTo>
                <a:pt x="7411441" y="4819168"/>
                <a:pt x="7427026" y="4834759"/>
                <a:pt x="7427026" y="4853987"/>
              </a:cubicBezTo>
              <a:cubicBezTo>
                <a:pt x="7427026" y="4873214"/>
                <a:pt x="7411441" y="4888805"/>
                <a:pt x="7392214" y="4888805"/>
              </a:cubicBezTo>
              <a:close/>
              <a:moveTo>
                <a:pt x="7477106" y="4888805"/>
              </a:moveTo>
              <a:cubicBezTo>
                <a:pt x="7457878" y="4888805"/>
                <a:pt x="7442280" y="4873214"/>
                <a:pt x="7442280" y="4853987"/>
              </a:cubicBezTo>
              <a:cubicBezTo>
                <a:pt x="7442280" y="4834759"/>
                <a:pt x="7457878" y="4819168"/>
                <a:pt x="7477106" y="4819168"/>
              </a:cubicBezTo>
              <a:cubicBezTo>
                <a:pt x="7496334" y="4819168"/>
                <a:pt x="7511918" y="4834759"/>
                <a:pt x="7511918" y="4853987"/>
              </a:cubicBezTo>
              <a:cubicBezTo>
                <a:pt x="7511918" y="4873214"/>
                <a:pt x="7496334" y="4888805"/>
                <a:pt x="7477106" y="4888805"/>
              </a:cubicBezTo>
              <a:close/>
              <a:moveTo>
                <a:pt x="7561998" y="4888805"/>
              </a:moveTo>
              <a:cubicBezTo>
                <a:pt x="7542770" y="4888805"/>
                <a:pt x="7527173" y="4873214"/>
                <a:pt x="7527173" y="4853987"/>
              </a:cubicBezTo>
              <a:cubicBezTo>
                <a:pt x="7527173" y="4834759"/>
                <a:pt x="7542770" y="4819168"/>
                <a:pt x="7561998" y="4819168"/>
              </a:cubicBezTo>
              <a:cubicBezTo>
                <a:pt x="7581226" y="4819168"/>
                <a:pt x="7596810" y="4834759"/>
                <a:pt x="7596810" y="4853987"/>
              </a:cubicBezTo>
              <a:cubicBezTo>
                <a:pt x="7596810" y="4873214"/>
                <a:pt x="7581226" y="4888805"/>
                <a:pt x="7561998" y="4888805"/>
              </a:cubicBezTo>
              <a:close/>
              <a:moveTo>
                <a:pt x="7646890" y="4888805"/>
              </a:moveTo>
              <a:cubicBezTo>
                <a:pt x="7627663" y="4888805"/>
                <a:pt x="7612065" y="4873214"/>
                <a:pt x="7612065" y="4853987"/>
              </a:cubicBezTo>
              <a:cubicBezTo>
                <a:pt x="7612065" y="4834759"/>
                <a:pt x="7627663" y="4819168"/>
                <a:pt x="7646890" y="4819168"/>
              </a:cubicBezTo>
              <a:cubicBezTo>
                <a:pt x="7666118" y="4819168"/>
                <a:pt x="7681703" y="4834759"/>
                <a:pt x="7681703" y="4853987"/>
              </a:cubicBezTo>
              <a:cubicBezTo>
                <a:pt x="7681703" y="4873214"/>
                <a:pt x="7666118" y="4888805"/>
                <a:pt x="7646890" y="4888805"/>
              </a:cubicBezTo>
              <a:close/>
              <a:moveTo>
                <a:pt x="7731784" y="4888805"/>
              </a:moveTo>
              <a:cubicBezTo>
                <a:pt x="7712556" y="4888805"/>
                <a:pt x="7696958" y="4873214"/>
                <a:pt x="7696958" y="4853987"/>
              </a:cubicBezTo>
              <a:cubicBezTo>
                <a:pt x="7696958" y="4834759"/>
                <a:pt x="7712556" y="4819168"/>
                <a:pt x="7731784" y="4819168"/>
              </a:cubicBezTo>
              <a:cubicBezTo>
                <a:pt x="7751011" y="4819168"/>
                <a:pt x="7766596" y="4834759"/>
                <a:pt x="7766596" y="4853987"/>
              </a:cubicBezTo>
              <a:cubicBezTo>
                <a:pt x="7766596" y="4873214"/>
                <a:pt x="7751011" y="4888805"/>
                <a:pt x="7731784" y="4888805"/>
              </a:cubicBezTo>
              <a:close/>
              <a:moveTo>
                <a:pt x="7816676" y="4888805"/>
              </a:moveTo>
              <a:cubicBezTo>
                <a:pt x="7797448" y="4888805"/>
                <a:pt x="7781850" y="4873214"/>
                <a:pt x="7781850" y="4853987"/>
              </a:cubicBezTo>
              <a:cubicBezTo>
                <a:pt x="7781850" y="4834759"/>
                <a:pt x="7797448" y="4819168"/>
                <a:pt x="7816676" y="4819168"/>
              </a:cubicBezTo>
              <a:cubicBezTo>
                <a:pt x="7835904" y="4819168"/>
                <a:pt x="7851488" y="4834759"/>
                <a:pt x="7851488" y="4853987"/>
              </a:cubicBezTo>
              <a:cubicBezTo>
                <a:pt x="7851488" y="4873214"/>
                <a:pt x="7835904" y="4888805"/>
                <a:pt x="7816676" y="4888805"/>
              </a:cubicBezTo>
              <a:close/>
              <a:moveTo>
                <a:pt x="7901568" y="4888805"/>
              </a:moveTo>
              <a:cubicBezTo>
                <a:pt x="7882340" y="4888805"/>
                <a:pt x="7866743" y="4873214"/>
                <a:pt x="7866743" y="4853987"/>
              </a:cubicBezTo>
              <a:cubicBezTo>
                <a:pt x="7866743" y="4834759"/>
                <a:pt x="7882340" y="4819168"/>
                <a:pt x="7901568" y="4819168"/>
              </a:cubicBezTo>
              <a:cubicBezTo>
                <a:pt x="7920796" y="4819168"/>
                <a:pt x="7936380" y="4834759"/>
                <a:pt x="7936380" y="4853987"/>
              </a:cubicBezTo>
              <a:cubicBezTo>
                <a:pt x="7936380" y="4873214"/>
                <a:pt x="7920796" y="4888805"/>
                <a:pt x="7901568" y="4888805"/>
              </a:cubicBezTo>
              <a:close/>
              <a:moveTo>
                <a:pt x="7986460" y="4888805"/>
              </a:moveTo>
              <a:cubicBezTo>
                <a:pt x="7967233" y="4888805"/>
                <a:pt x="7951635" y="4873214"/>
                <a:pt x="7951635" y="4853987"/>
              </a:cubicBezTo>
              <a:cubicBezTo>
                <a:pt x="7951635" y="4834759"/>
                <a:pt x="7967233" y="4819168"/>
                <a:pt x="7986460" y="4819168"/>
              </a:cubicBezTo>
              <a:cubicBezTo>
                <a:pt x="8005688" y="4819168"/>
                <a:pt x="8021273" y="4834759"/>
                <a:pt x="8021273" y="4853987"/>
              </a:cubicBezTo>
              <a:cubicBezTo>
                <a:pt x="8021273" y="4873214"/>
                <a:pt x="8005688" y="4888805"/>
                <a:pt x="7986460" y="4888805"/>
              </a:cubicBezTo>
              <a:close/>
              <a:moveTo>
                <a:pt x="8071353" y="4888805"/>
              </a:moveTo>
              <a:cubicBezTo>
                <a:pt x="8052125" y="4888805"/>
                <a:pt x="8036527" y="4873214"/>
                <a:pt x="8036527" y="4853987"/>
              </a:cubicBezTo>
              <a:cubicBezTo>
                <a:pt x="8036527" y="4834759"/>
                <a:pt x="8052125" y="4819168"/>
                <a:pt x="8071353" y="4819168"/>
              </a:cubicBezTo>
              <a:cubicBezTo>
                <a:pt x="8090580" y="4819168"/>
                <a:pt x="8106165" y="4834759"/>
                <a:pt x="8106165" y="4853987"/>
              </a:cubicBezTo>
              <a:cubicBezTo>
                <a:pt x="8106165" y="4873214"/>
                <a:pt x="8090580" y="4888805"/>
                <a:pt x="8071353" y="4888805"/>
              </a:cubicBezTo>
              <a:close/>
              <a:moveTo>
                <a:pt x="8156246" y="4888805"/>
              </a:moveTo>
              <a:cubicBezTo>
                <a:pt x="8137018" y="4888805"/>
                <a:pt x="8121420" y="4873214"/>
                <a:pt x="8121420" y="4853987"/>
              </a:cubicBezTo>
              <a:cubicBezTo>
                <a:pt x="8121420" y="4834759"/>
                <a:pt x="8137018" y="4819168"/>
                <a:pt x="8156246" y="4819168"/>
              </a:cubicBezTo>
              <a:cubicBezTo>
                <a:pt x="8175474" y="4819168"/>
                <a:pt x="8191058" y="4834759"/>
                <a:pt x="8191058" y="4853987"/>
              </a:cubicBezTo>
              <a:cubicBezTo>
                <a:pt x="8191058" y="4873214"/>
                <a:pt x="8175474" y="4888805"/>
                <a:pt x="8156246" y="4888805"/>
              </a:cubicBezTo>
              <a:close/>
              <a:moveTo>
                <a:pt x="8241138" y="4888805"/>
              </a:moveTo>
              <a:cubicBezTo>
                <a:pt x="8221910" y="4888805"/>
                <a:pt x="8206313" y="4873214"/>
                <a:pt x="8206313" y="4853987"/>
              </a:cubicBezTo>
              <a:cubicBezTo>
                <a:pt x="8206313" y="4834759"/>
                <a:pt x="8221910" y="4819168"/>
                <a:pt x="8241138" y="4819168"/>
              </a:cubicBezTo>
              <a:cubicBezTo>
                <a:pt x="8260366" y="4819168"/>
                <a:pt x="8275950" y="4834759"/>
                <a:pt x="8275950" y="4853987"/>
              </a:cubicBezTo>
              <a:cubicBezTo>
                <a:pt x="8275950" y="4873214"/>
                <a:pt x="8260366" y="4888805"/>
                <a:pt x="8241138" y="4888805"/>
              </a:cubicBezTo>
              <a:close/>
              <a:moveTo>
                <a:pt x="8326030" y="4888805"/>
              </a:moveTo>
              <a:cubicBezTo>
                <a:pt x="8306803" y="4888805"/>
                <a:pt x="8291205" y="4873214"/>
                <a:pt x="8291205" y="4853987"/>
              </a:cubicBezTo>
              <a:cubicBezTo>
                <a:pt x="8291205" y="4834759"/>
                <a:pt x="8306803" y="4819168"/>
                <a:pt x="8326030" y="4819168"/>
              </a:cubicBezTo>
              <a:cubicBezTo>
                <a:pt x="8345258" y="4819168"/>
                <a:pt x="8360843" y="4834759"/>
                <a:pt x="8360843" y="4853987"/>
              </a:cubicBezTo>
              <a:cubicBezTo>
                <a:pt x="8360843" y="4873214"/>
                <a:pt x="8345258" y="4888805"/>
                <a:pt x="8326030" y="4888805"/>
              </a:cubicBezTo>
              <a:close/>
              <a:moveTo>
                <a:pt x="8410923" y="4888805"/>
              </a:moveTo>
              <a:cubicBezTo>
                <a:pt x="8391695" y="4888805"/>
                <a:pt x="8376097" y="4873214"/>
                <a:pt x="8376097" y="4853987"/>
              </a:cubicBezTo>
              <a:cubicBezTo>
                <a:pt x="8376097" y="4834759"/>
                <a:pt x="8391695" y="4819168"/>
                <a:pt x="8410923" y="4819168"/>
              </a:cubicBezTo>
              <a:cubicBezTo>
                <a:pt x="8430150" y="4819168"/>
                <a:pt x="8445735" y="4834759"/>
                <a:pt x="8445735" y="4853987"/>
              </a:cubicBezTo>
              <a:cubicBezTo>
                <a:pt x="8445735" y="4873214"/>
                <a:pt x="8430150" y="4888805"/>
                <a:pt x="8410923" y="4888805"/>
              </a:cubicBezTo>
              <a:close/>
              <a:moveTo>
                <a:pt x="8495816" y="4888805"/>
              </a:moveTo>
              <a:cubicBezTo>
                <a:pt x="8476588" y="4888805"/>
                <a:pt x="8460990" y="4873214"/>
                <a:pt x="8460990" y="4853987"/>
              </a:cubicBezTo>
              <a:cubicBezTo>
                <a:pt x="8460990" y="4834759"/>
                <a:pt x="8476588" y="4819168"/>
                <a:pt x="8495816" y="4819168"/>
              </a:cubicBezTo>
              <a:cubicBezTo>
                <a:pt x="8515044" y="4819168"/>
                <a:pt x="8530628" y="4834759"/>
                <a:pt x="8530628" y="4853987"/>
              </a:cubicBezTo>
              <a:cubicBezTo>
                <a:pt x="8530628" y="4873214"/>
                <a:pt x="8515044" y="4888805"/>
                <a:pt x="8495816" y="4888805"/>
              </a:cubicBezTo>
              <a:close/>
              <a:moveTo>
                <a:pt x="8580708" y="4888805"/>
              </a:moveTo>
              <a:cubicBezTo>
                <a:pt x="8561480" y="4888805"/>
                <a:pt x="8545883" y="4873214"/>
                <a:pt x="8545883" y="4853987"/>
              </a:cubicBezTo>
              <a:cubicBezTo>
                <a:pt x="8545883" y="4834759"/>
                <a:pt x="8561480" y="4819168"/>
                <a:pt x="8580708" y="4819168"/>
              </a:cubicBezTo>
              <a:cubicBezTo>
                <a:pt x="8599936" y="4819168"/>
                <a:pt x="8615520" y="4834759"/>
                <a:pt x="8615520" y="4853987"/>
              </a:cubicBezTo>
              <a:cubicBezTo>
                <a:pt x="8615520" y="4873214"/>
                <a:pt x="8599936" y="4888805"/>
                <a:pt x="8580708" y="4888805"/>
              </a:cubicBezTo>
              <a:close/>
              <a:moveTo>
                <a:pt x="8665600" y="4888805"/>
              </a:moveTo>
              <a:cubicBezTo>
                <a:pt x="8646373" y="4888805"/>
                <a:pt x="8630775" y="4873214"/>
                <a:pt x="8630775" y="4853987"/>
              </a:cubicBezTo>
              <a:cubicBezTo>
                <a:pt x="8630775" y="4834759"/>
                <a:pt x="8646373" y="4819168"/>
                <a:pt x="8665600" y="4819168"/>
              </a:cubicBezTo>
              <a:cubicBezTo>
                <a:pt x="8684828" y="4819168"/>
                <a:pt x="8700413" y="4834759"/>
                <a:pt x="8700413" y="4853987"/>
              </a:cubicBezTo>
              <a:cubicBezTo>
                <a:pt x="8700413" y="4873214"/>
                <a:pt x="8684828" y="4888805"/>
                <a:pt x="8665600" y="4888805"/>
              </a:cubicBezTo>
              <a:close/>
              <a:moveTo>
                <a:pt x="8750493" y="4888805"/>
              </a:moveTo>
              <a:cubicBezTo>
                <a:pt x="8731265" y="4888805"/>
                <a:pt x="8715667" y="4873214"/>
                <a:pt x="8715667" y="4853987"/>
              </a:cubicBezTo>
              <a:cubicBezTo>
                <a:pt x="8715667" y="4834759"/>
                <a:pt x="8731265" y="4819168"/>
                <a:pt x="8750493" y="4819168"/>
              </a:cubicBezTo>
              <a:cubicBezTo>
                <a:pt x="8769720" y="4819168"/>
                <a:pt x="8785305" y="4834759"/>
                <a:pt x="8785305" y="4853987"/>
              </a:cubicBezTo>
              <a:cubicBezTo>
                <a:pt x="8785305" y="4873214"/>
                <a:pt x="8769720" y="4888805"/>
                <a:pt x="8750493" y="4888805"/>
              </a:cubicBezTo>
              <a:close/>
              <a:moveTo>
                <a:pt x="8835386" y="4888805"/>
              </a:moveTo>
              <a:cubicBezTo>
                <a:pt x="8816158" y="4888805"/>
                <a:pt x="8800560" y="4873214"/>
                <a:pt x="8800560" y="4853987"/>
              </a:cubicBezTo>
              <a:cubicBezTo>
                <a:pt x="8800560" y="4834759"/>
                <a:pt x="8816158" y="4819168"/>
                <a:pt x="8835386" y="4819168"/>
              </a:cubicBezTo>
              <a:cubicBezTo>
                <a:pt x="8854614" y="4819168"/>
                <a:pt x="8870198" y="4834759"/>
                <a:pt x="8870198" y="4853987"/>
              </a:cubicBezTo>
              <a:cubicBezTo>
                <a:pt x="8870198" y="4873214"/>
                <a:pt x="8854614" y="4888805"/>
                <a:pt x="8835386" y="4888805"/>
              </a:cubicBezTo>
              <a:close/>
              <a:moveTo>
                <a:pt x="8920278" y="4888805"/>
              </a:moveTo>
              <a:cubicBezTo>
                <a:pt x="8901050" y="4888805"/>
                <a:pt x="8885453" y="4873214"/>
                <a:pt x="8885453" y="4853987"/>
              </a:cubicBezTo>
              <a:cubicBezTo>
                <a:pt x="8885453" y="4834759"/>
                <a:pt x="8901050" y="4819168"/>
                <a:pt x="8920278" y="4819168"/>
              </a:cubicBezTo>
              <a:cubicBezTo>
                <a:pt x="8939506" y="4819168"/>
                <a:pt x="8955090" y="4834759"/>
                <a:pt x="8955090" y="4853987"/>
              </a:cubicBezTo>
              <a:cubicBezTo>
                <a:pt x="8955090" y="4873214"/>
                <a:pt x="8939506" y="4888805"/>
                <a:pt x="8920278" y="4888805"/>
              </a:cubicBezTo>
              <a:close/>
              <a:moveTo>
                <a:pt x="9005170" y="4888805"/>
              </a:moveTo>
              <a:cubicBezTo>
                <a:pt x="8985943" y="4888805"/>
                <a:pt x="8970345" y="4873214"/>
                <a:pt x="8970345" y="4853987"/>
              </a:cubicBezTo>
              <a:cubicBezTo>
                <a:pt x="8970345" y="4834759"/>
                <a:pt x="8985943" y="4819168"/>
                <a:pt x="9005170" y="4819168"/>
              </a:cubicBezTo>
              <a:cubicBezTo>
                <a:pt x="9024398" y="4819168"/>
                <a:pt x="9039983" y="4834759"/>
                <a:pt x="9039983" y="4853987"/>
              </a:cubicBezTo>
              <a:cubicBezTo>
                <a:pt x="9039983" y="4873214"/>
                <a:pt x="9024398" y="4888805"/>
                <a:pt x="9005170" y="4888805"/>
              </a:cubicBezTo>
              <a:close/>
              <a:moveTo>
                <a:pt x="9090063" y="4888805"/>
              </a:moveTo>
              <a:cubicBezTo>
                <a:pt x="9070835" y="4888805"/>
                <a:pt x="9055237" y="4873214"/>
                <a:pt x="9055237" y="4853987"/>
              </a:cubicBezTo>
              <a:cubicBezTo>
                <a:pt x="9055237" y="4834759"/>
                <a:pt x="9070835" y="4819168"/>
                <a:pt x="9090063" y="4819168"/>
              </a:cubicBezTo>
              <a:cubicBezTo>
                <a:pt x="9109290" y="4819168"/>
                <a:pt x="9124875" y="4834759"/>
                <a:pt x="9124875" y="4853987"/>
              </a:cubicBezTo>
              <a:cubicBezTo>
                <a:pt x="9124875" y="4873214"/>
                <a:pt x="9109290" y="4888805"/>
                <a:pt x="9090063" y="4888805"/>
              </a:cubicBezTo>
              <a:close/>
              <a:moveTo>
                <a:pt x="9174956" y="4888805"/>
              </a:moveTo>
              <a:cubicBezTo>
                <a:pt x="9155728" y="4888805"/>
                <a:pt x="9140130" y="4873214"/>
                <a:pt x="9140130" y="4853987"/>
              </a:cubicBezTo>
              <a:cubicBezTo>
                <a:pt x="9140130" y="4834759"/>
                <a:pt x="9155728" y="4819168"/>
                <a:pt x="9174956" y="4819168"/>
              </a:cubicBezTo>
              <a:cubicBezTo>
                <a:pt x="9194184" y="4819168"/>
                <a:pt x="9209768" y="4834759"/>
                <a:pt x="9209768" y="4853987"/>
              </a:cubicBezTo>
              <a:cubicBezTo>
                <a:pt x="9209768" y="4873214"/>
                <a:pt x="9194184" y="4888805"/>
                <a:pt x="9174956" y="4888805"/>
              </a:cubicBezTo>
              <a:close/>
              <a:moveTo>
                <a:pt x="9259848" y="4888805"/>
              </a:moveTo>
              <a:cubicBezTo>
                <a:pt x="9240620" y="4888805"/>
                <a:pt x="9225023" y="4873214"/>
                <a:pt x="9225023" y="4853987"/>
              </a:cubicBezTo>
              <a:cubicBezTo>
                <a:pt x="9225023" y="4834759"/>
                <a:pt x="9240620" y="4819168"/>
                <a:pt x="9259848" y="4819168"/>
              </a:cubicBezTo>
              <a:cubicBezTo>
                <a:pt x="9279076" y="4819168"/>
                <a:pt x="9294660" y="4834759"/>
                <a:pt x="9294660" y="4853987"/>
              </a:cubicBezTo>
              <a:cubicBezTo>
                <a:pt x="9294660" y="4873214"/>
                <a:pt x="9279076" y="4888805"/>
                <a:pt x="9259848" y="4888805"/>
              </a:cubicBezTo>
              <a:close/>
              <a:moveTo>
                <a:pt x="9344740" y="4888805"/>
              </a:moveTo>
              <a:cubicBezTo>
                <a:pt x="9325513" y="4888805"/>
                <a:pt x="9309915" y="4873214"/>
                <a:pt x="9309915" y="4853987"/>
              </a:cubicBezTo>
              <a:cubicBezTo>
                <a:pt x="9309915" y="4834759"/>
                <a:pt x="9325513" y="4819168"/>
                <a:pt x="9344740" y="4819168"/>
              </a:cubicBezTo>
              <a:cubicBezTo>
                <a:pt x="9363968" y="4819168"/>
                <a:pt x="9379553" y="4834759"/>
                <a:pt x="9379553" y="4853987"/>
              </a:cubicBezTo>
              <a:cubicBezTo>
                <a:pt x="9379553" y="4873214"/>
                <a:pt x="9363968" y="4888805"/>
                <a:pt x="9344740" y="4888805"/>
              </a:cubicBezTo>
              <a:close/>
              <a:moveTo>
                <a:pt x="9429633" y="4888805"/>
              </a:moveTo>
              <a:cubicBezTo>
                <a:pt x="9410405" y="4888805"/>
                <a:pt x="9394807" y="4873214"/>
                <a:pt x="9394807" y="4853987"/>
              </a:cubicBezTo>
              <a:cubicBezTo>
                <a:pt x="9394807" y="4834759"/>
                <a:pt x="9410405" y="4819168"/>
                <a:pt x="9429633" y="4819168"/>
              </a:cubicBezTo>
              <a:cubicBezTo>
                <a:pt x="9448860" y="4819168"/>
                <a:pt x="9464445" y="4834759"/>
                <a:pt x="9464445" y="4853987"/>
              </a:cubicBezTo>
              <a:cubicBezTo>
                <a:pt x="9464445" y="4873214"/>
                <a:pt x="9448860" y="4888805"/>
                <a:pt x="9429633" y="4888805"/>
              </a:cubicBezTo>
              <a:close/>
              <a:moveTo>
                <a:pt x="9514525" y="4888805"/>
              </a:moveTo>
              <a:cubicBezTo>
                <a:pt x="9495297" y="4888805"/>
                <a:pt x="9479699" y="4873214"/>
                <a:pt x="9479699" y="4853987"/>
              </a:cubicBezTo>
              <a:cubicBezTo>
                <a:pt x="9479699" y="4834759"/>
                <a:pt x="9495297" y="4819168"/>
                <a:pt x="9514525" y="4819168"/>
              </a:cubicBezTo>
              <a:cubicBezTo>
                <a:pt x="9533753" y="4819168"/>
                <a:pt x="9549337" y="4834759"/>
                <a:pt x="9549337" y="4853987"/>
              </a:cubicBezTo>
              <a:cubicBezTo>
                <a:pt x="9549337" y="4873214"/>
                <a:pt x="9533753" y="4888805"/>
                <a:pt x="9514525" y="4888805"/>
              </a:cubicBezTo>
              <a:close/>
              <a:moveTo>
                <a:pt x="9599418" y="4888805"/>
              </a:moveTo>
              <a:cubicBezTo>
                <a:pt x="9580190" y="4888805"/>
                <a:pt x="9564593" y="4873214"/>
                <a:pt x="9564593" y="4853987"/>
              </a:cubicBezTo>
              <a:cubicBezTo>
                <a:pt x="9564593" y="4834759"/>
                <a:pt x="9580190" y="4819168"/>
                <a:pt x="9599418" y="4819168"/>
              </a:cubicBezTo>
              <a:cubicBezTo>
                <a:pt x="9618646" y="4819168"/>
                <a:pt x="9634230" y="4834759"/>
                <a:pt x="9634230" y="4853987"/>
              </a:cubicBezTo>
              <a:cubicBezTo>
                <a:pt x="9634230" y="4873214"/>
                <a:pt x="9618646" y="4888805"/>
                <a:pt x="9599418" y="4888805"/>
              </a:cubicBezTo>
              <a:close/>
              <a:moveTo>
                <a:pt x="9684310" y="4888805"/>
              </a:moveTo>
              <a:cubicBezTo>
                <a:pt x="9665083" y="4888805"/>
                <a:pt x="9649485" y="4873214"/>
                <a:pt x="9649485" y="4853987"/>
              </a:cubicBezTo>
              <a:cubicBezTo>
                <a:pt x="9649485" y="4834759"/>
                <a:pt x="9665083" y="4819168"/>
                <a:pt x="9684310" y="4819168"/>
              </a:cubicBezTo>
              <a:cubicBezTo>
                <a:pt x="9703538" y="4819168"/>
                <a:pt x="9719123" y="4834759"/>
                <a:pt x="9719123" y="4853987"/>
              </a:cubicBezTo>
              <a:cubicBezTo>
                <a:pt x="9719123" y="4873214"/>
                <a:pt x="9703538" y="4888805"/>
                <a:pt x="9684310" y="4888805"/>
              </a:cubicBezTo>
              <a:close/>
              <a:moveTo>
                <a:pt x="10363450" y="4888805"/>
              </a:moveTo>
              <a:cubicBezTo>
                <a:pt x="10344223" y="4888805"/>
                <a:pt x="10328625" y="4873214"/>
                <a:pt x="10328625" y="4853987"/>
              </a:cubicBezTo>
              <a:cubicBezTo>
                <a:pt x="10328625" y="4834759"/>
                <a:pt x="10344223" y="4819168"/>
                <a:pt x="10363450" y="4819168"/>
              </a:cubicBezTo>
              <a:cubicBezTo>
                <a:pt x="10382678" y="4819168"/>
                <a:pt x="10398263" y="4834759"/>
                <a:pt x="10398263" y="4853987"/>
              </a:cubicBezTo>
              <a:cubicBezTo>
                <a:pt x="10398263" y="4873214"/>
                <a:pt x="10382678" y="4888805"/>
                <a:pt x="10363450" y="4888805"/>
              </a:cubicBezTo>
              <a:close/>
              <a:moveTo>
                <a:pt x="2213769" y="4803946"/>
              </a:moveTo>
              <a:cubicBezTo>
                <a:pt x="2194541" y="4803946"/>
                <a:pt x="2178950" y="4788355"/>
                <a:pt x="2178950" y="4769127"/>
              </a:cubicBezTo>
              <a:cubicBezTo>
                <a:pt x="2178950" y="4749899"/>
                <a:pt x="2194541" y="4734308"/>
                <a:pt x="2213769" y="4734308"/>
              </a:cubicBezTo>
              <a:cubicBezTo>
                <a:pt x="2232997" y="4734308"/>
                <a:pt x="2248588" y="4749899"/>
                <a:pt x="2248588" y="4769127"/>
              </a:cubicBezTo>
              <a:cubicBezTo>
                <a:pt x="2248588" y="4788355"/>
                <a:pt x="2232997" y="4803946"/>
                <a:pt x="2213769" y="4803946"/>
              </a:cubicBezTo>
              <a:close/>
              <a:moveTo>
                <a:pt x="2298661" y="4803946"/>
              </a:moveTo>
              <a:cubicBezTo>
                <a:pt x="2279433" y="4803946"/>
                <a:pt x="2263842" y="4788355"/>
                <a:pt x="2263842" y="4769127"/>
              </a:cubicBezTo>
              <a:cubicBezTo>
                <a:pt x="2263842" y="4749899"/>
                <a:pt x="2279433" y="4734308"/>
                <a:pt x="2298661" y="4734308"/>
              </a:cubicBezTo>
              <a:cubicBezTo>
                <a:pt x="2317889" y="4734308"/>
                <a:pt x="2333480" y="4749899"/>
                <a:pt x="2333480" y="4769127"/>
              </a:cubicBezTo>
              <a:cubicBezTo>
                <a:pt x="2333480" y="4788355"/>
                <a:pt x="2317889" y="4803946"/>
                <a:pt x="2298661" y="4803946"/>
              </a:cubicBezTo>
              <a:close/>
              <a:moveTo>
                <a:pt x="2383553" y="4803946"/>
              </a:moveTo>
              <a:cubicBezTo>
                <a:pt x="2364326" y="4803946"/>
                <a:pt x="2348734" y="4788355"/>
                <a:pt x="2348734" y="4769127"/>
              </a:cubicBezTo>
              <a:cubicBezTo>
                <a:pt x="2348734" y="4749899"/>
                <a:pt x="2364326" y="4734308"/>
                <a:pt x="2383553" y="4734308"/>
              </a:cubicBezTo>
              <a:cubicBezTo>
                <a:pt x="2402781" y="4734308"/>
                <a:pt x="2418372" y="4749899"/>
                <a:pt x="2418372" y="4769127"/>
              </a:cubicBezTo>
              <a:cubicBezTo>
                <a:pt x="2418372" y="4788355"/>
                <a:pt x="2402781" y="4803946"/>
                <a:pt x="2383553" y="4803946"/>
              </a:cubicBezTo>
              <a:close/>
              <a:moveTo>
                <a:pt x="2468446" y="4803946"/>
              </a:moveTo>
              <a:cubicBezTo>
                <a:pt x="2449218" y="4803946"/>
                <a:pt x="2433627" y="4788355"/>
                <a:pt x="2433627" y="4769127"/>
              </a:cubicBezTo>
              <a:cubicBezTo>
                <a:pt x="2433627" y="4749899"/>
                <a:pt x="2449218" y="4734308"/>
                <a:pt x="2468446" y="4734308"/>
              </a:cubicBezTo>
              <a:cubicBezTo>
                <a:pt x="2487673" y="4734308"/>
                <a:pt x="2503264" y="4749899"/>
                <a:pt x="2503264" y="4769127"/>
              </a:cubicBezTo>
              <a:cubicBezTo>
                <a:pt x="2503264" y="4788355"/>
                <a:pt x="2487673" y="4803946"/>
                <a:pt x="2468446" y="4803946"/>
              </a:cubicBezTo>
              <a:close/>
              <a:moveTo>
                <a:pt x="2553339" y="4803946"/>
              </a:moveTo>
              <a:cubicBezTo>
                <a:pt x="2534111" y="4803946"/>
                <a:pt x="2518520" y="4788355"/>
                <a:pt x="2518520" y="4769127"/>
              </a:cubicBezTo>
              <a:cubicBezTo>
                <a:pt x="2518520" y="4749899"/>
                <a:pt x="2534111" y="4734308"/>
                <a:pt x="2553339" y="4734308"/>
              </a:cubicBezTo>
              <a:cubicBezTo>
                <a:pt x="2572567" y="4734308"/>
                <a:pt x="2588158" y="4749899"/>
                <a:pt x="2588158" y="4769127"/>
              </a:cubicBezTo>
              <a:cubicBezTo>
                <a:pt x="2588158" y="4788355"/>
                <a:pt x="2572567" y="4803946"/>
                <a:pt x="2553339" y="4803946"/>
              </a:cubicBezTo>
              <a:close/>
              <a:moveTo>
                <a:pt x="2638231" y="4803946"/>
              </a:moveTo>
              <a:cubicBezTo>
                <a:pt x="2619003" y="4803946"/>
                <a:pt x="2603412" y="4788355"/>
                <a:pt x="2603412" y="4769127"/>
              </a:cubicBezTo>
              <a:cubicBezTo>
                <a:pt x="2603412" y="4749899"/>
                <a:pt x="2619003" y="4734308"/>
                <a:pt x="2638231" y="4734308"/>
              </a:cubicBezTo>
              <a:cubicBezTo>
                <a:pt x="2657459" y="4734308"/>
                <a:pt x="2673050" y="4749899"/>
                <a:pt x="2673050" y="4769127"/>
              </a:cubicBezTo>
              <a:cubicBezTo>
                <a:pt x="2673050" y="4788355"/>
                <a:pt x="2657459" y="4803946"/>
                <a:pt x="2638231" y="4803946"/>
              </a:cubicBezTo>
              <a:close/>
              <a:moveTo>
                <a:pt x="2723123" y="4803946"/>
              </a:moveTo>
              <a:cubicBezTo>
                <a:pt x="2703896" y="4803946"/>
                <a:pt x="2688304" y="4788355"/>
                <a:pt x="2688304" y="4769127"/>
              </a:cubicBezTo>
              <a:cubicBezTo>
                <a:pt x="2688304" y="4749899"/>
                <a:pt x="2703896" y="4734308"/>
                <a:pt x="2723123" y="4734308"/>
              </a:cubicBezTo>
              <a:cubicBezTo>
                <a:pt x="2742351" y="4734308"/>
                <a:pt x="2757942" y="4749899"/>
                <a:pt x="2757942" y="4769127"/>
              </a:cubicBezTo>
              <a:cubicBezTo>
                <a:pt x="2757942" y="4788355"/>
                <a:pt x="2742351" y="4803946"/>
                <a:pt x="2723123" y="4803946"/>
              </a:cubicBezTo>
              <a:close/>
              <a:moveTo>
                <a:pt x="2808016" y="4803946"/>
              </a:moveTo>
              <a:cubicBezTo>
                <a:pt x="2788788" y="4803946"/>
                <a:pt x="2773197" y="4788355"/>
                <a:pt x="2773197" y="4769127"/>
              </a:cubicBezTo>
              <a:cubicBezTo>
                <a:pt x="2773197" y="4749899"/>
                <a:pt x="2788788" y="4734308"/>
                <a:pt x="2808016" y="4734308"/>
              </a:cubicBezTo>
              <a:cubicBezTo>
                <a:pt x="2827243" y="4734308"/>
                <a:pt x="2842834" y="4749899"/>
                <a:pt x="2842834" y="4769127"/>
              </a:cubicBezTo>
              <a:cubicBezTo>
                <a:pt x="2842834" y="4788355"/>
                <a:pt x="2827243" y="4803946"/>
                <a:pt x="2808016" y="4803946"/>
              </a:cubicBezTo>
              <a:close/>
              <a:moveTo>
                <a:pt x="2892908" y="4803946"/>
              </a:moveTo>
              <a:cubicBezTo>
                <a:pt x="2873680" y="4803946"/>
                <a:pt x="2858089" y="4788355"/>
                <a:pt x="2858089" y="4769127"/>
              </a:cubicBezTo>
              <a:cubicBezTo>
                <a:pt x="2858089" y="4749899"/>
                <a:pt x="2873680" y="4734308"/>
                <a:pt x="2892908" y="4734308"/>
              </a:cubicBezTo>
              <a:cubicBezTo>
                <a:pt x="2912136" y="4734308"/>
                <a:pt x="2927727" y="4749899"/>
                <a:pt x="2927727" y="4769127"/>
              </a:cubicBezTo>
              <a:cubicBezTo>
                <a:pt x="2927727" y="4788355"/>
                <a:pt x="2912136" y="4803946"/>
                <a:pt x="2892908" y="4803946"/>
              </a:cubicBezTo>
              <a:close/>
              <a:moveTo>
                <a:pt x="2977801" y="4803946"/>
              </a:moveTo>
              <a:cubicBezTo>
                <a:pt x="2958573" y="4803946"/>
                <a:pt x="2942982" y="4788355"/>
                <a:pt x="2942982" y="4769127"/>
              </a:cubicBezTo>
              <a:cubicBezTo>
                <a:pt x="2942982" y="4749899"/>
                <a:pt x="2958573" y="4734308"/>
                <a:pt x="2977801" y="4734308"/>
              </a:cubicBezTo>
              <a:cubicBezTo>
                <a:pt x="2997029" y="4734308"/>
                <a:pt x="3012620" y="4749899"/>
                <a:pt x="3012620" y="4769127"/>
              </a:cubicBezTo>
              <a:cubicBezTo>
                <a:pt x="3012620" y="4788355"/>
                <a:pt x="2997029" y="4803946"/>
                <a:pt x="2977801" y="4803946"/>
              </a:cubicBezTo>
              <a:close/>
              <a:moveTo>
                <a:pt x="3062693" y="4803946"/>
              </a:moveTo>
              <a:cubicBezTo>
                <a:pt x="3043466" y="4803946"/>
                <a:pt x="3027874" y="4788355"/>
                <a:pt x="3027874" y="4769127"/>
              </a:cubicBezTo>
              <a:cubicBezTo>
                <a:pt x="3027874" y="4749899"/>
                <a:pt x="3043466" y="4734308"/>
                <a:pt x="3062693" y="4734308"/>
              </a:cubicBezTo>
              <a:cubicBezTo>
                <a:pt x="3081921" y="4734308"/>
                <a:pt x="3097512" y="4749899"/>
                <a:pt x="3097512" y="4769127"/>
              </a:cubicBezTo>
              <a:cubicBezTo>
                <a:pt x="3097512" y="4788355"/>
                <a:pt x="3081921" y="4803946"/>
                <a:pt x="3062693" y="4803946"/>
              </a:cubicBezTo>
              <a:close/>
              <a:moveTo>
                <a:pt x="3232478" y="4803946"/>
              </a:moveTo>
              <a:cubicBezTo>
                <a:pt x="3213250" y="4803946"/>
                <a:pt x="3197659" y="4788355"/>
                <a:pt x="3197659" y="4769127"/>
              </a:cubicBezTo>
              <a:cubicBezTo>
                <a:pt x="3197659" y="4749899"/>
                <a:pt x="3213250" y="4734308"/>
                <a:pt x="3232478" y="4734308"/>
              </a:cubicBezTo>
              <a:cubicBezTo>
                <a:pt x="3251706" y="4734308"/>
                <a:pt x="3267297" y="4749899"/>
                <a:pt x="3267297" y="4769127"/>
              </a:cubicBezTo>
              <a:cubicBezTo>
                <a:pt x="3267297" y="4788355"/>
                <a:pt x="3251706" y="4803946"/>
                <a:pt x="3232478" y="4803946"/>
              </a:cubicBezTo>
              <a:close/>
              <a:moveTo>
                <a:pt x="3741833" y="4803946"/>
              </a:moveTo>
              <a:cubicBezTo>
                <a:pt x="3722606" y="4803946"/>
                <a:pt x="3707014" y="4788355"/>
                <a:pt x="3707014" y="4769127"/>
              </a:cubicBezTo>
              <a:cubicBezTo>
                <a:pt x="3707014" y="4749899"/>
                <a:pt x="3722606" y="4734308"/>
                <a:pt x="3741833" y="4734308"/>
              </a:cubicBezTo>
              <a:cubicBezTo>
                <a:pt x="3761061" y="4734308"/>
                <a:pt x="3776652" y="4749899"/>
                <a:pt x="3776652" y="4769127"/>
              </a:cubicBezTo>
              <a:cubicBezTo>
                <a:pt x="3776652" y="4788355"/>
                <a:pt x="3761061" y="4803946"/>
                <a:pt x="3741833" y="4803946"/>
              </a:cubicBezTo>
              <a:close/>
              <a:moveTo>
                <a:pt x="3826726" y="4803946"/>
              </a:moveTo>
              <a:cubicBezTo>
                <a:pt x="3807498" y="4803946"/>
                <a:pt x="3791907" y="4788355"/>
                <a:pt x="3791907" y="4769127"/>
              </a:cubicBezTo>
              <a:cubicBezTo>
                <a:pt x="3791907" y="4749899"/>
                <a:pt x="3807498" y="4734308"/>
                <a:pt x="3826726" y="4734308"/>
              </a:cubicBezTo>
              <a:cubicBezTo>
                <a:pt x="3845953" y="4734308"/>
                <a:pt x="3861544" y="4749899"/>
                <a:pt x="3861544" y="4769127"/>
              </a:cubicBezTo>
              <a:cubicBezTo>
                <a:pt x="3861544" y="4788355"/>
                <a:pt x="3845953" y="4803946"/>
                <a:pt x="3826726" y="4803946"/>
              </a:cubicBezTo>
              <a:close/>
              <a:moveTo>
                <a:pt x="3911618" y="4803946"/>
              </a:moveTo>
              <a:cubicBezTo>
                <a:pt x="3892390" y="4803946"/>
                <a:pt x="3876799" y="4788355"/>
                <a:pt x="3876799" y="4769127"/>
              </a:cubicBezTo>
              <a:cubicBezTo>
                <a:pt x="3876799" y="4749899"/>
                <a:pt x="3892390" y="4734308"/>
                <a:pt x="3911618" y="4734308"/>
              </a:cubicBezTo>
              <a:cubicBezTo>
                <a:pt x="3930846" y="4734308"/>
                <a:pt x="3946437" y="4749899"/>
                <a:pt x="3946437" y="4769127"/>
              </a:cubicBezTo>
              <a:cubicBezTo>
                <a:pt x="3946437" y="4788355"/>
                <a:pt x="3930846" y="4803946"/>
                <a:pt x="3911618" y="4803946"/>
              </a:cubicBezTo>
              <a:close/>
              <a:moveTo>
                <a:pt x="4081403" y="4803946"/>
              </a:moveTo>
              <a:cubicBezTo>
                <a:pt x="4062176" y="4803946"/>
                <a:pt x="4046584" y="4788355"/>
                <a:pt x="4046584" y="4769127"/>
              </a:cubicBezTo>
              <a:cubicBezTo>
                <a:pt x="4046584" y="4749899"/>
                <a:pt x="4062176" y="4734308"/>
                <a:pt x="4081403" y="4734308"/>
              </a:cubicBezTo>
              <a:cubicBezTo>
                <a:pt x="4100631" y="4734308"/>
                <a:pt x="4116222" y="4749899"/>
                <a:pt x="4116222" y="4769127"/>
              </a:cubicBezTo>
              <a:cubicBezTo>
                <a:pt x="4116222" y="4788355"/>
                <a:pt x="4100631" y="4803946"/>
                <a:pt x="4081403" y="4803946"/>
              </a:cubicBezTo>
              <a:close/>
              <a:moveTo>
                <a:pt x="6033934" y="4803946"/>
              </a:moveTo>
              <a:cubicBezTo>
                <a:pt x="6014706" y="4803946"/>
                <a:pt x="5999108" y="4788355"/>
                <a:pt x="5999108" y="4769127"/>
              </a:cubicBezTo>
              <a:cubicBezTo>
                <a:pt x="5999108" y="4749899"/>
                <a:pt x="6014706" y="4734308"/>
                <a:pt x="6033934" y="4734308"/>
              </a:cubicBezTo>
              <a:cubicBezTo>
                <a:pt x="6053161" y="4734308"/>
                <a:pt x="6068746" y="4749899"/>
                <a:pt x="6068746" y="4769127"/>
              </a:cubicBezTo>
              <a:cubicBezTo>
                <a:pt x="6068746" y="4788355"/>
                <a:pt x="6053161" y="4803946"/>
                <a:pt x="6033934" y="4803946"/>
              </a:cubicBezTo>
              <a:close/>
              <a:moveTo>
                <a:pt x="6118826" y="4803946"/>
              </a:moveTo>
              <a:cubicBezTo>
                <a:pt x="6099598" y="4803946"/>
                <a:pt x="6084000" y="4788355"/>
                <a:pt x="6084000" y="4769127"/>
              </a:cubicBezTo>
              <a:cubicBezTo>
                <a:pt x="6084000" y="4749899"/>
                <a:pt x="6099598" y="4734308"/>
                <a:pt x="6118826" y="4734308"/>
              </a:cubicBezTo>
              <a:cubicBezTo>
                <a:pt x="6138054" y="4734308"/>
                <a:pt x="6153638" y="4749899"/>
                <a:pt x="6153638" y="4769127"/>
              </a:cubicBezTo>
              <a:cubicBezTo>
                <a:pt x="6153638" y="4788355"/>
                <a:pt x="6138054" y="4803946"/>
                <a:pt x="6118826" y="4803946"/>
              </a:cubicBezTo>
              <a:close/>
              <a:moveTo>
                <a:pt x="6203718" y="4803946"/>
              </a:moveTo>
              <a:cubicBezTo>
                <a:pt x="6184490" y="4803946"/>
                <a:pt x="6168893" y="4788355"/>
                <a:pt x="6168893" y="4769127"/>
              </a:cubicBezTo>
              <a:cubicBezTo>
                <a:pt x="6168893" y="4749899"/>
                <a:pt x="6184490" y="4734308"/>
                <a:pt x="6203718" y="4734308"/>
              </a:cubicBezTo>
              <a:cubicBezTo>
                <a:pt x="6222946" y="4734308"/>
                <a:pt x="6238530" y="4749899"/>
                <a:pt x="6238530" y="4769127"/>
              </a:cubicBezTo>
              <a:cubicBezTo>
                <a:pt x="6238530" y="4788355"/>
                <a:pt x="6222946" y="4803946"/>
                <a:pt x="6203718" y="4803946"/>
              </a:cubicBezTo>
              <a:close/>
              <a:moveTo>
                <a:pt x="6458396" y="4803946"/>
              </a:moveTo>
              <a:cubicBezTo>
                <a:pt x="6439168" y="4803946"/>
                <a:pt x="6423570" y="4788355"/>
                <a:pt x="6423570" y="4769127"/>
              </a:cubicBezTo>
              <a:cubicBezTo>
                <a:pt x="6423570" y="4749899"/>
                <a:pt x="6439168" y="4734308"/>
                <a:pt x="6458396" y="4734308"/>
              </a:cubicBezTo>
              <a:cubicBezTo>
                <a:pt x="6477624" y="4734308"/>
                <a:pt x="6493208" y="4749899"/>
                <a:pt x="6493208" y="4769127"/>
              </a:cubicBezTo>
              <a:cubicBezTo>
                <a:pt x="6493208" y="4788355"/>
                <a:pt x="6477624" y="4803946"/>
                <a:pt x="6458396" y="4803946"/>
              </a:cubicBezTo>
              <a:close/>
              <a:moveTo>
                <a:pt x="6543288" y="4803946"/>
              </a:moveTo>
              <a:cubicBezTo>
                <a:pt x="6524060" y="4803946"/>
                <a:pt x="6508463" y="4788355"/>
                <a:pt x="6508463" y="4769127"/>
              </a:cubicBezTo>
              <a:cubicBezTo>
                <a:pt x="6508463" y="4749899"/>
                <a:pt x="6524060" y="4734308"/>
                <a:pt x="6543288" y="4734308"/>
              </a:cubicBezTo>
              <a:cubicBezTo>
                <a:pt x="6562516" y="4734308"/>
                <a:pt x="6578100" y="4749899"/>
                <a:pt x="6578100" y="4769127"/>
              </a:cubicBezTo>
              <a:cubicBezTo>
                <a:pt x="6578100" y="4788355"/>
                <a:pt x="6562516" y="4803946"/>
                <a:pt x="6543288" y="4803946"/>
              </a:cubicBezTo>
              <a:close/>
              <a:moveTo>
                <a:pt x="6628181" y="4803946"/>
              </a:moveTo>
              <a:cubicBezTo>
                <a:pt x="6608954" y="4803946"/>
                <a:pt x="6593356" y="4788355"/>
                <a:pt x="6593356" y="4769127"/>
              </a:cubicBezTo>
              <a:cubicBezTo>
                <a:pt x="6593356" y="4749899"/>
                <a:pt x="6608954" y="4734308"/>
                <a:pt x="6628181" y="4734308"/>
              </a:cubicBezTo>
              <a:cubicBezTo>
                <a:pt x="6647409" y="4734308"/>
                <a:pt x="6662994" y="4749899"/>
                <a:pt x="6662994" y="4769127"/>
              </a:cubicBezTo>
              <a:cubicBezTo>
                <a:pt x="6662994" y="4788355"/>
                <a:pt x="6647409" y="4803946"/>
                <a:pt x="6628181" y="4803946"/>
              </a:cubicBezTo>
              <a:close/>
              <a:moveTo>
                <a:pt x="6797966" y="4803946"/>
              </a:moveTo>
              <a:cubicBezTo>
                <a:pt x="6778738" y="4803946"/>
                <a:pt x="6763140" y="4788355"/>
                <a:pt x="6763140" y="4769127"/>
              </a:cubicBezTo>
              <a:cubicBezTo>
                <a:pt x="6763140" y="4749899"/>
                <a:pt x="6778738" y="4734308"/>
                <a:pt x="6797966" y="4734308"/>
              </a:cubicBezTo>
              <a:cubicBezTo>
                <a:pt x="6817194" y="4734308"/>
                <a:pt x="6832778" y="4749899"/>
                <a:pt x="6832778" y="4769127"/>
              </a:cubicBezTo>
              <a:cubicBezTo>
                <a:pt x="6832778" y="4788355"/>
                <a:pt x="6817194" y="4803946"/>
                <a:pt x="6797966" y="4803946"/>
              </a:cubicBezTo>
              <a:close/>
              <a:moveTo>
                <a:pt x="6882858" y="4803946"/>
              </a:moveTo>
              <a:cubicBezTo>
                <a:pt x="6863630" y="4803946"/>
                <a:pt x="6848033" y="4788355"/>
                <a:pt x="6848033" y="4769127"/>
              </a:cubicBezTo>
              <a:cubicBezTo>
                <a:pt x="6848033" y="4749899"/>
                <a:pt x="6863630" y="4734308"/>
                <a:pt x="6882858" y="4734308"/>
              </a:cubicBezTo>
              <a:cubicBezTo>
                <a:pt x="6902086" y="4734308"/>
                <a:pt x="6917670" y="4749899"/>
                <a:pt x="6917670" y="4769127"/>
              </a:cubicBezTo>
              <a:cubicBezTo>
                <a:pt x="6917670" y="4788355"/>
                <a:pt x="6902086" y="4803946"/>
                <a:pt x="6882858" y="4803946"/>
              </a:cubicBezTo>
              <a:close/>
              <a:moveTo>
                <a:pt x="6967750" y="4803946"/>
              </a:moveTo>
              <a:cubicBezTo>
                <a:pt x="6948523" y="4803946"/>
                <a:pt x="6932925" y="4788355"/>
                <a:pt x="6932925" y="4769127"/>
              </a:cubicBezTo>
              <a:cubicBezTo>
                <a:pt x="6932925" y="4749899"/>
                <a:pt x="6948523" y="4734308"/>
                <a:pt x="6967750" y="4734308"/>
              </a:cubicBezTo>
              <a:cubicBezTo>
                <a:pt x="6986978" y="4734308"/>
                <a:pt x="7002563" y="4749899"/>
                <a:pt x="7002563" y="4769127"/>
              </a:cubicBezTo>
              <a:cubicBezTo>
                <a:pt x="7002563" y="4788355"/>
                <a:pt x="6986978" y="4803946"/>
                <a:pt x="6967750" y="4803946"/>
              </a:cubicBezTo>
              <a:close/>
              <a:moveTo>
                <a:pt x="7052644" y="4803946"/>
              </a:moveTo>
              <a:cubicBezTo>
                <a:pt x="7033416" y="4803946"/>
                <a:pt x="7017818" y="4788355"/>
                <a:pt x="7017818" y="4769127"/>
              </a:cubicBezTo>
              <a:cubicBezTo>
                <a:pt x="7017818" y="4749899"/>
                <a:pt x="7033416" y="4734308"/>
                <a:pt x="7052644" y="4734308"/>
              </a:cubicBezTo>
              <a:cubicBezTo>
                <a:pt x="7071871" y="4734308"/>
                <a:pt x="7087456" y="4749899"/>
                <a:pt x="7087456" y="4769127"/>
              </a:cubicBezTo>
              <a:cubicBezTo>
                <a:pt x="7087456" y="4788355"/>
                <a:pt x="7071871" y="4803946"/>
                <a:pt x="7052644" y="4803946"/>
              </a:cubicBezTo>
              <a:close/>
              <a:moveTo>
                <a:pt x="7137536" y="4803946"/>
              </a:moveTo>
              <a:cubicBezTo>
                <a:pt x="7118308" y="4803946"/>
                <a:pt x="7102710" y="4788355"/>
                <a:pt x="7102710" y="4769127"/>
              </a:cubicBezTo>
              <a:cubicBezTo>
                <a:pt x="7102710" y="4749899"/>
                <a:pt x="7118308" y="4734308"/>
                <a:pt x="7137536" y="4734308"/>
              </a:cubicBezTo>
              <a:cubicBezTo>
                <a:pt x="7156764" y="4734308"/>
                <a:pt x="7172348" y="4749899"/>
                <a:pt x="7172348" y="4769127"/>
              </a:cubicBezTo>
              <a:cubicBezTo>
                <a:pt x="7172348" y="4788355"/>
                <a:pt x="7156764" y="4803946"/>
                <a:pt x="7137536" y="4803946"/>
              </a:cubicBezTo>
              <a:close/>
              <a:moveTo>
                <a:pt x="7222428" y="4803946"/>
              </a:moveTo>
              <a:cubicBezTo>
                <a:pt x="7203200" y="4803946"/>
                <a:pt x="7187603" y="4788355"/>
                <a:pt x="7187603" y="4769127"/>
              </a:cubicBezTo>
              <a:cubicBezTo>
                <a:pt x="7187603" y="4749899"/>
                <a:pt x="7203200" y="4734308"/>
                <a:pt x="7222428" y="4734308"/>
              </a:cubicBezTo>
              <a:cubicBezTo>
                <a:pt x="7241656" y="4734308"/>
                <a:pt x="7257240" y="4749899"/>
                <a:pt x="7257240" y="4769127"/>
              </a:cubicBezTo>
              <a:cubicBezTo>
                <a:pt x="7257240" y="4788355"/>
                <a:pt x="7241656" y="4803946"/>
                <a:pt x="7222428" y="4803946"/>
              </a:cubicBezTo>
              <a:close/>
              <a:moveTo>
                <a:pt x="7307320" y="4803946"/>
              </a:moveTo>
              <a:cubicBezTo>
                <a:pt x="7288093" y="4803946"/>
                <a:pt x="7272495" y="4788355"/>
                <a:pt x="7272495" y="4769127"/>
              </a:cubicBezTo>
              <a:cubicBezTo>
                <a:pt x="7272495" y="4749899"/>
                <a:pt x="7288093" y="4734308"/>
                <a:pt x="7307320" y="4734308"/>
              </a:cubicBezTo>
              <a:cubicBezTo>
                <a:pt x="7326548" y="4734308"/>
                <a:pt x="7342133" y="4749899"/>
                <a:pt x="7342133" y="4769127"/>
              </a:cubicBezTo>
              <a:cubicBezTo>
                <a:pt x="7342133" y="4788355"/>
                <a:pt x="7326548" y="4803946"/>
                <a:pt x="7307320" y="4803946"/>
              </a:cubicBezTo>
              <a:close/>
              <a:moveTo>
                <a:pt x="7392214" y="4803946"/>
              </a:moveTo>
              <a:cubicBezTo>
                <a:pt x="7372986" y="4803946"/>
                <a:pt x="7357388" y="4788355"/>
                <a:pt x="7357388" y="4769127"/>
              </a:cubicBezTo>
              <a:cubicBezTo>
                <a:pt x="7357388" y="4749899"/>
                <a:pt x="7372986" y="4734308"/>
                <a:pt x="7392214" y="4734308"/>
              </a:cubicBezTo>
              <a:cubicBezTo>
                <a:pt x="7411441" y="4734308"/>
                <a:pt x="7427026" y="4749899"/>
                <a:pt x="7427026" y="4769127"/>
              </a:cubicBezTo>
              <a:cubicBezTo>
                <a:pt x="7427026" y="4788355"/>
                <a:pt x="7411441" y="4803946"/>
                <a:pt x="7392214" y="4803946"/>
              </a:cubicBezTo>
              <a:close/>
              <a:moveTo>
                <a:pt x="7477106" y="4803946"/>
              </a:moveTo>
              <a:cubicBezTo>
                <a:pt x="7457878" y="4803946"/>
                <a:pt x="7442280" y="4788355"/>
                <a:pt x="7442280" y="4769127"/>
              </a:cubicBezTo>
              <a:cubicBezTo>
                <a:pt x="7442280" y="4749899"/>
                <a:pt x="7457878" y="4734308"/>
                <a:pt x="7477106" y="4734308"/>
              </a:cubicBezTo>
              <a:cubicBezTo>
                <a:pt x="7496334" y="4734308"/>
                <a:pt x="7511918" y="4749899"/>
                <a:pt x="7511918" y="4769127"/>
              </a:cubicBezTo>
              <a:cubicBezTo>
                <a:pt x="7511918" y="4788355"/>
                <a:pt x="7496334" y="4803946"/>
                <a:pt x="7477106" y="4803946"/>
              </a:cubicBezTo>
              <a:close/>
              <a:moveTo>
                <a:pt x="7561998" y="4803946"/>
              </a:moveTo>
              <a:cubicBezTo>
                <a:pt x="7542770" y="4803946"/>
                <a:pt x="7527173" y="4788355"/>
                <a:pt x="7527173" y="4769127"/>
              </a:cubicBezTo>
              <a:cubicBezTo>
                <a:pt x="7527173" y="4749899"/>
                <a:pt x="7542770" y="4734308"/>
                <a:pt x="7561998" y="4734308"/>
              </a:cubicBezTo>
              <a:cubicBezTo>
                <a:pt x="7581226" y="4734308"/>
                <a:pt x="7596810" y="4749899"/>
                <a:pt x="7596810" y="4769127"/>
              </a:cubicBezTo>
              <a:cubicBezTo>
                <a:pt x="7596810" y="4788355"/>
                <a:pt x="7581226" y="4803946"/>
                <a:pt x="7561998" y="4803946"/>
              </a:cubicBezTo>
              <a:close/>
              <a:moveTo>
                <a:pt x="7646890" y="4803946"/>
              </a:moveTo>
              <a:cubicBezTo>
                <a:pt x="7627663" y="4803946"/>
                <a:pt x="7612065" y="4788355"/>
                <a:pt x="7612065" y="4769127"/>
              </a:cubicBezTo>
              <a:cubicBezTo>
                <a:pt x="7612065" y="4749899"/>
                <a:pt x="7627663" y="4734308"/>
                <a:pt x="7646890" y="4734308"/>
              </a:cubicBezTo>
              <a:cubicBezTo>
                <a:pt x="7666118" y="4734308"/>
                <a:pt x="7681703" y="4749899"/>
                <a:pt x="7681703" y="4769127"/>
              </a:cubicBezTo>
              <a:cubicBezTo>
                <a:pt x="7681703" y="4788355"/>
                <a:pt x="7666118" y="4803946"/>
                <a:pt x="7646890" y="4803946"/>
              </a:cubicBezTo>
              <a:close/>
              <a:moveTo>
                <a:pt x="7731784" y="4803946"/>
              </a:moveTo>
              <a:cubicBezTo>
                <a:pt x="7712556" y="4803946"/>
                <a:pt x="7696958" y="4788355"/>
                <a:pt x="7696958" y="4769127"/>
              </a:cubicBezTo>
              <a:cubicBezTo>
                <a:pt x="7696958" y="4749899"/>
                <a:pt x="7712556" y="4734308"/>
                <a:pt x="7731784" y="4734308"/>
              </a:cubicBezTo>
              <a:cubicBezTo>
                <a:pt x="7751011" y="4734308"/>
                <a:pt x="7766596" y="4749899"/>
                <a:pt x="7766596" y="4769127"/>
              </a:cubicBezTo>
              <a:cubicBezTo>
                <a:pt x="7766596" y="4788355"/>
                <a:pt x="7751011" y="4803946"/>
                <a:pt x="7731784" y="4803946"/>
              </a:cubicBezTo>
              <a:close/>
              <a:moveTo>
                <a:pt x="7816676" y="4803946"/>
              </a:moveTo>
              <a:cubicBezTo>
                <a:pt x="7797448" y="4803946"/>
                <a:pt x="7781850" y="4788355"/>
                <a:pt x="7781850" y="4769127"/>
              </a:cubicBezTo>
              <a:cubicBezTo>
                <a:pt x="7781850" y="4749899"/>
                <a:pt x="7797448" y="4734308"/>
                <a:pt x="7816676" y="4734308"/>
              </a:cubicBezTo>
              <a:cubicBezTo>
                <a:pt x="7835904" y="4734308"/>
                <a:pt x="7851488" y="4749899"/>
                <a:pt x="7851488" y="4769127"/>
              </a:cubicBezTo>
              <a:cubicBezTo>
                <a:pt x="7851488" y="4788355"/>
                <a:pt x="7835904" y="4803946"/>
                <a:pt x="7816676" y="4803946"/>
              </a:cubicBezTo>
              <a:close/>
              <a:moveTo>
                <a:pt x="7901568" y="4803946"/>
              </a:moveTo>
              <a:cubicBezTo>
                <a:pt x="7882340" y="4803946"/>
                <a:pt x="7866743" y="4788355"/>
                <a:pt x="7866743" y="4769127"/>
              </a:cubicBezTo>
              <a:cubicBezTo>
                <a:pt x="7866743" y="4749899"/>
                <a:pt x="7882340" y="4734308"/>
                <a:pt x="7901568" y="4734308"/>
              </a:cubicBezTo>
              <a:cubicBezTo>
                <a:pt x="7920796" y="4734308"/>
                <a:pt x="7936380" y="4749899"/>
                <a:pt x="7936380" y="4769127"/>
              </a:cubicBezTo>
              <a:cubicBezTo>
                <a:pt x="7936380" y="4788355"/>
                <a:pt x="7920796" y="4803946"/>
                <a:pt x="7901568" y="4803946"/>
              </a:cubicBezTo>
              <a:close/>
              <a:moveTo>
                <a:pt x="7986460" y="4803946"/>
              </a:moveTo>
              <a:cubicBezTo>
                <a:pt x="7967233" y="4803946"/>
                <a:pt x="7951635" y="4788355"/>
                <a:pt x="7951635" y="4769127"/>
              </a:cubicBezTo>
              <a:cubicBezTo>
                <a:pt x="7951635" y="4749899"/>
                <a:pt x="7967233" y="4734308"/>
                <a:pt x="7986460" y="4734308"/>
              </a:cubicBezTo>
              <a:cubicBezTo>
                <a:pt x="8005688" y="4734308"/>
                <a:pt x="8021273" y="4749899"/>
                <a:pt x="8021273" y="4769127"/>
              </a:cubicBezTo>
              <a:cubicBezTo>
                <a:pt x="8021273" y="4788355"/>
                <a:pt x="8005688" y="4803946"/>
                <a:pt x="7986460" y="4803946"/>
              </a:cubicBezTo>
              <a:close/>
              <a:moveTo>
                <a:pt x="8071353" y="4803946"/>
              </a:moveTo>
              <a:cubicBezTo>
                <a:pt x="8052125" y="4803946"/>
                <a:pt x="8036527" y="4788355"/>
                <a:pt x="8036527" y="4769127"/>
              </a:cubicBezTo>
              <a:cubicBezTo>
                <a:pt x="8036527" y="4749899"/>
                <a:pt x="8052125" y="4734308"/>
                <a:pt x="8071353" y="4734308"/>
              </a:cubicBezTo>
              <a:cubicBezTo>
                <a:pt x="8090580" y="4734308"/>
                <a:pt x="8106165" y="4749899"/>
                <a:pt x="8106165" y="4769127"/>
              </a:cubicBezTo>
              <a:cubicBezTo>
                <a:pt x="8106165" y="4788355"/>
                <a:pt x="8090580" y="4803946"/>
                <a:pt x="8071353" y="4803946"/>
              </a:cubicBezTo>
              <a:close/>
              <a:moveTo>
                <a:pt x="8156246" y="4803946"/>
              </a:moveTo>
              <a:cubicBezTo>
                <a:pt x="8137018" y="4803946"/>
                <a:pt x="8121420" y="4788355"/>
                <a:pt x="8121420" y="4769127"/>
              </a:cubicBezTo>
              <a:cubicBezTo>
                <a:pt x="8121420" y="4749899"/>
                <a:pt x="8137018" y="4734308"/>
                <a:pt x="8156246" y="4734308"/>
              </a:cubicBezTo>
              <a:cubicBezTo>
                <a:pt x="8175474" y="4734308"/>
                <a:pt x="8191058" y="4749899"/>
                <a:pt x="8191058" y="4769127"/>
              </a:cubicBezTo>
              <a:cubicBezTo>
                <a:pt x="8191058" y="4788355"/>
                <a:pt x="8175474" y="4803946"/>
                <a:pt x="8156246" y="4803946"/>
              </a:cubicBezTo>
              <a:close/>
              <a:moveTo>
                <a:pt x="8241138" y="4803946"/>
              </a:moveTo>
              <a:cubicBezTo>
                <a:pt x="8221910" y="4803946"/>
                <a:pt x="8206313" y="4788355"/>
                <a:pt x="8206313" y="4769127"/>
              </a:cubicBezTo>
              <a:cubicBezTo>
                <a:pt x="8206313" y="4749899"/>
                <a:pt x="8221910" y="4734308"/>
                <a:pt x="8241138" y="4734308"/>
              </a:cubicBezTo>
              <a:cubicBezTo>
                <a:pt x="8260366" y="4734308"/>
                <a:pt x="8275950" y="4749899"/>
                <a:pt x="8275950" y="4769127"/>
              </a:cubicBezTo>
              <a:cubicBezTo>
                <a:pt x="8275950" y="4788355"/>
                <a:pt x="8260366" y="4803946"/>
                <a:pt x="8241138" y="4803946"/>
              </a:cubicBezTo>
              <a:close/>
              <a:moveTo>
                <a:pt x="8326030" y="4803946"/>
              </a:moveTo>
              <a:cubicBezTo>
                <a:pt x="8306803" y="4803946"/>
                <a:pt x="8291205" y="4788355"/>
                <a:pt x="8291205" y="4769127"/>
              </a:cubicBezTo>
              <a:cubicBezTo>
                <a:pt x="8291205" y="4749899"/>
                <a:pt x="8306803" y="4734308"/>
                <a:pt x="8326030" y="4734308"/>
              </a:cubicBezTo>
              <a:cubicBezTo>
                <a:pt x="8345258" y="4734308"/>
                <a:pt x="8360843" y="4749899"/>
                <a:pt x="8360843" y="4769127"/>
              </a:cubicBezTo>
              <a:cubicBezTo>
                <a:pt x="8360843" y="4788355"/>
                <a:pt x="8345258" y="4803946"/>
                <a:pt x="8326030" y="4803946"/>
              </a:cubicBezTo>
              <a:close/>
              <a:moveTo>
                <a:pt x="8410923" y="4803946"/>
              </a:moveTo>
              <a:cubicBezTo>
                <a:pt x="8391695" y="4803946"/>
                <a:pt x="8376097" y="4788355"/>
                <a:pt x="8376097" y="4769127"/>
              </a:cubicBezTo>
              <a:cubicBezTo>
                <a:pt x="8376097" y="4749899"/>
                <a:pt x="8391695" y="4734308"/>
                <a:pt x="8410923" y="4734308"/>
              </a:cubicBezTo>
              <a:cubicBezTo>
                <a:pt x="8430150" y="4734308"/>
                <a:pt x="8445735" y="4749899"/>
                <a:pt x="8445735" y="4769127"/>
              </a:cubicBezTo>
              <a:cubicBezTo>
                <a:pt x="8445735" y="4788355"/>
                <a:pt x="8430150" y="4803946"/>
                <a:pt x="8410923" y="4803946"/>
              </a:cubicBezTo>
              <a:close/>
              <a:moveTo>
                <a:pt x="8495816" y="4803946"/>
              </a:moveTo>
              <a:cubicBezTo>
                <a:pt x="8476588" y="4803946"/>
                <a:pt x="8460990" y="4788355"/>
                <a:pt x="8460990" y="4769127"/>
              </a:cubicBezTo>
              <a:cubicBezTo>
                <a:pt x="8460990" y="4749899"/>
                <a:pt x="8476588" y="4734308"/>
                <a:pt x="8495816" y="4734308"/>
              </a:cubicBezTo>
              <a:cubicBezTo>
                <a:pt x="8515044" y="4734308"/>
                <a:pt x="8530628" y="4749899"/>
                <a:pt x="8530628" y="4769127"/>
              </a:cubicBezTo>
              <a:cubicBezTo>
                <a:pt x="8530628" y="4788355"/>
                <a:pt x="8515044" y="4803946"/>
                <a:pt x="8495816" y="4803946"/>
              </a:cubicBezTo>
              <a:close/>
              <a:moveTo>
                <a:pt x="8580708" y="4803946"/>
              </a:moveTo>
              <a:cubicBezTo>
                <a:pt x="8561480" y="4803946"/>
                <a:pt x="8545883" y="4788355"/>
                <a:pt x="8545883" y="4769127"/>
              </a:cubicBezTo>
              <a:cubicBezTo>
                <a:pt x="8545883" y="4749899"/>
                <a:pt x="8561480" y="4734308"/>
                <a:pt x="8580708" y="4734308"/>
              </a:cubicBezTo>
              <a:cubicBezTo>
                <a:pt x="8599936" y="4734308"/>
                <a:pt x="8615520" y="4749899"/>
                <a:pt x="8615520" y="4769127"/>
              </a:cubicBezTo>
              <a:cubicBezTo>
                <a:pt x="8615520" y="4788355"/>
                <a:pt x="8599936" y="4803946"/>
                <a:pt x="8580708" y="4803946"/>
              </a:cubicBezTo>
              <a:close/>
              <a:moveTo>
                <a:pt x="8665600" y="4803946"/>
              </a:moveTo>
              <a:cubicBezTo>
                <a:pt x="8646373" y="4803946"/>
                <a:pt x="8630775" y="4788355"/>
                <a:pt x="8630775" y="4769127"/>
              </a:cubicBezTo>
              <a:cubicBezTo>
                <a:pt x="8630775" y="4749899"/>
                <a:pt x="8646373" y="4734308"/>
                <a:pt x="8665600" y="4734308"/>
              </a:cubicBezTo>
              <a:cubicBezTo>
                <a:pt x="8684828" y="4734308"/>
                <a:pt x="8700413" y="4749899"/>
                <a:pt x="8700413" y="4769127"/>
              </a:cubicBezTo>
              <a:cubicBezTo>
                <a:pt x="8700413" y="4788355"/>
                <a:pt x="8684828" y="4803946"/>
                <a:pt x="8665600" y="4803946"/>
              </a:cubicBezTo>
              <a:close/>
              <a:moveTo>
                <a:pt x="8750493" y="4803946"/>
              </a:moveTo>
              <a:cubicBezTo>
                <a:pt x="8731265" y="4803946"/>
                <a:pt x="8715667" y="4788355"/>
                <a:pt x="8715667" y="4769127"/>
              </a:cubicBezTo>
              <a:cubicBezTo>
                <a:pt x="8715667" y="4749899"/>
                <a:pt x="8731265" y="4734308"/>
                <a:pt x="8750493" y="4734308"/>
              </a:cubicBezTo>
              <a:cubicBezTo>
                <a:pt x="8769720" y="4734308"/>
                <a:pt x="8785305" y="4749899"/>
                <a:pt x="8785305" y="4769127"/>
              </a:cubicBezTo>
              <a:cubicBezTo>
                <a:pt x="8785305" y="4788355"/>
                <a:pt x="8769720" y="4803946"/>
                <a:pt x="8750493" y="4803946"/>
              </a:cubicBezTo>
              <a:close/>
              <a:moveTo>
                <a:pt x="8835386" y="4803946"/>
              </a:moveTo>
              <a:cubicBezTo>
                <a:pt x="8816158" y="4803946"/>
                <a:pt x="8800560" y="4788355"/>
                <a:pt x="8800560" y="4769127"/>
              </a:cubicBezTo>
              <a:cubicBezTo>
                <a:pt x="8800560" y="4749899"/>
                <a:pt x="8816158" y="4734308"/>
                <a:pt x="8835386" y="4734308"/>
              </a:cubicBezTo>
              <a:cubicBezTo>
                <a:pt x="8854614" y="4734308"/>
                <a:pt x="8870198" y="4749899"/>
                <a:pt x="8870198" y="4769127"/>
              </a:cubicBezTo>
              <a:cubicBezTo>
                <a:pt x="8870198" y="4788355"/>
                <a:pt x="8854614" y="4803946"/>
                <a:pt x="8835386" y="4803946"/>
              </a:cubicBezTo>
              <a:close/>
              <a:moveTo>
                <a:pt x="8920278" y="4803946"/>
              </a:moveTo>
              <a:cubicBezTo>
                <a:pt x="8901050" y="4803946"/>
                <a:pt x="8885453" y="4788355"/>
                <a:pt x="8885453" y="4769127"/>
              </a:cubicBezTo>
              <a:cubicBezTo>
                <a:pt x="8885453" y="4749899"/>
                <a:pt x="8901050" y="4734308"/>
                <a:pt x="8920278" y="4734308"/>
              </a:cubicBezTo>
              <a:cubicBezTo>
                <a:pt x="8939506" y="4734308"/>
                <a:pt x="8955090" y="4749899"/>
                <a:pt x="8955090" y="4769127"/>
              </a:cubicBezTo>
              <a:cubicBezTo>
                <a:pt x="8955090" y="4788355"/>
                <a:pt x="8939506" y="4803946"/>
                <a:pt x="8920278" y="4803946"/>
              </a:cubicBezTo>
              <a:close/>
              <a:moveTo>
                <a:pt x="9005170" y="4803946"/>
              </a:moveTo>
              <a:cubicBezTo>
                <a:pt x="8985943" y="4803946"/>
                <a:pt x="8970345" y="4788355"/>
                <a:pt x="8970345" y="4769127"/>
              </a:cubicBezTo>
              <a:cubicBezTo>
                <a:pt x="8970345" y="4749899"/>
                <a:pt x="8985943" y="4734308"/>
                <a:pt x="9005170" y="4734308"/>
              </a:cubicBezTo>
              <a:cubicBezTo>
                <a:pt x="9024398" y="4734308"/>
                <a:pt x="9039983" y="4749899"/>
                <a:pt x="9039983" y="4769127"/>
              </a:cubicBezTo>
              <a:cubicBezTo>
                <a:pt x="9039983" y="4788355"/>
                <a:pt x="9024398" y="4803946"/>
                <a:pt x="9005170" y="4803946"/>
              </a:cubicBezTo>
              <a:close/>
              <a:moveTo>
                <a:pt x="9090063" y="4803946"/>
              </a:moveTo>
              <a:cubicBezTo>
                <a:pt x="9070835" y="4803946"/>
                <a:pt x="9055237" y="4788355"/>
                <a:pt x="9055237" y="4769127"/>
              </a:cubicBezTo>
              <a:cubicBezTo>
                <a:pt x="9055237" y="4749899"/>
                <a:pt x="9070835" y="4734308"/>
                <a:pt x="9090063" y="4734308"/>
              </a:cubicBezTo>
              <a:cubicBezTo>
                <a:pt x="9109290" y="4734308"/>
                <a:pt x="9124875" y="4749899"/>
                <a:pt x="9124875" y="4769127"/>
              </a:cubicBezTo>
              <a:cubicBezTo>
                <a:pt x="9124875" y="4788355"/>
                <a:pt x="9109290" y="4803946"/>
                <a:pt x="9090063" y="4803946"/>
              </a:cubicBezTo>
              <a:close/>
              <a:moveTo>
                <a:pt x="9174956" y="4803946"/>
              </a:moveTo>
              <a:cubicBezTo>
                <a:pt x="9155728" y="4803946"/>
                <a:pt x="9140130" y="4788355"/>
                <a:pt x="9140130" y="4769127"/>
              </a:cubicBezTo>
              <a:cubicBezTo>
                <a:pt x="9140130" y="4749899"/>
                <a:pt x="9155728" y="4734308"/>
                <a:pt x="9174956" y="4734308"/>
              </a:cubicBezTo>
              <a:cubicBezTo>
                <a:pt x="9194184" y="4734308"/>
                <a:pt x="9209768" y="4749899"/>
                <a:pt x="9209768" y="4769127"/>
              </a:cubicBezTo>
              <a:cubicBezTo>
                <a:pt x="9209768" y="4788355"/>
                <a:pt x="9194184" y="4803946"/>
                <a:pt x="9174956" y="4803946"/>
              </a:cubicBezTo>
              <a:close/>
              <a:moveTo>
                <a:pt x="9259848" y="4803946"/>
              </a:moveTo>
              <a:cubicBezTo>
                <a:pt x="9240620" y="4803946"/>
                <a:pt x="9225023" y="4788355"/>
                <a:pt x="9225023" y="4769127"/>
              </a:cubicBezTo>
              <a:cubicBezTo>
                <a:pt x="9225023" y="4749899"/>
                <a:pt x="9240620" y="4734308"/>
                <a:pt x="9259848" y="4734308"/>
              </a:cubicBezTo>
              <a:cubicBezTo>
                <a:pt x="9279076" y="4734308"/>
                <a:pt x="9294660" y="4749899"/>
                <a:pt x="9294660" y="4769127"/>
              </a:cubicBezTo>
              <a:cubicBezTo>
                <a:pt x="9294660" y="4788355"/>
                <a:pt x="9279076" y="4803946"/>
                <a:pt x="9259848" y="4803946"/>
              </a:cubicBezTo>
              <a:close/>
              <a:moveTo>
                <a:pt x="9344740" y="4803946"/>
              </a:moveTo>
              <a:cubicBezTo>
                <a:pt x="9325513" y="4803946"/>
                <a:pt x="9309915" y="4788355"/>
                <a:pt x="9309915" y="4769127"/>
              </a:cubicBezTo>
              <a:cubicBezTo>
                <a:pt x="9309915" y="4749899"/>
                <a:pt x="9325513" y="4734308"/>
                <a:pt x="9344740" y="4734308"/>
              </a:cubicBezTo>
              <a:cubicBezTo>
                <a:pt x="9363968" y="4734308"/>
                <a:pt x="9379553" y="4749899"/>
                <a:pt x="9379553" y="4769127"/>
              </a:cubicBezTo>
              <a:cubicBezTo>
                <a:pt x="9379553" y="4788355"/>
                <a:pt x="9363968" y="4803946"/>
                <a:pt x="9344740" y="4803946"/>
              </a:cubicBezTo>
              <a:close/>
              <a:moveTo>
                <a:pt x="9429633" y="4803946"/>
              </a:moveTo>
              <a:cubicBezTo>
                <a:pt x="9410405" y="4803946"/>
                <a:pt x="9394807" y="4788355"/>
                <a:pt x="9394807" y="4769127"/>
              </a:cubicBezTo>
              <a:cubicBezTo>
                <a:pt x="9394807" y="4749899"/>
                <a:pt x="9410405" y="4734308"/>
                <a:pt x="9429633" y="4734308"/>
              </a:cubicBezTo>
              <a:cubicBezTo>
                <a:pt x="9448860" y="4734308"/>
                <a:pt x="9464445" y="4749899"/>
                <a:pt x="9464445" y="4769127"/>
              </a:cubicBezTo>
              <a:cubicBezTo>
                <a:pt x="9464445" y="4788355"/>
                <a:pt x="9448860" y="4803946"/>
                <a:pt x="9429633" y="4803946"/>
              </a:cubicBezTo>
              <a:close/>
              <a:moveTo>
                <a:pt x="9514525" y="4803946"/>
              </a:moveTo>
              <a:cubicBezTo>
                <a:pt x="9495297" y="4803946"/>
                <a:pt x="9479699" y="4788355"/>
                <a:pt x="9479699" y="4769127"/>
              </a:cubicBezTo>
              <a:cubicBezTo>
                <a:pt x="9479699" y="4749899"/>
                <a:pt x="9495297" y="4734308"/>
                <a:pt x="9514525" y="4734308"/>
              </a:cubicBezTo>
              <a:cubicBezTo>
                <a:pt x="9533753" y="4734308"/>
                <a:pt x="9549337" y="4749899"/>
                <a:pt x="9549337" y="4769127"/>
              </a:cubicBezTo>
              <a:cubicBezTo>
                <a:pt x="9549337" y="4788355"/>
                <a:pt x="9533753" y="4803946"/>
                <a:pt x="9514525" y="4803946"/>
              </a:cubicBezTo>
              <a:close/>
              <a:moveTo>
                <a:pt x="9599418" y="4803946"/>
              </a:moveTo>
              <a:cubicBezTo>
                <a:pt x="9580190" y="4803946"/>
                <a:pt x="9564593" y="4788355"/>
                <a:pt x="9564593" y="4769127"/>
              </a:cubicBezTo>
              <a:cubicBezTo>
                <a:pt x="9564593" y="4749899"/>
                <a:pt x="9580190" y="4734308"/>
                <a:pt x="9599418" y="4734308"/>
              </a:cubicBezTo>
              <a:cubicBezTo>
                <a:pt x="9618646" y="4734308"/>
                <a:pt x="9634230" y="4749899"/>
                <a:pt x="9634230" y="4769127"/>
              </a:cubicBezTo>
              <a:cubicBezTo>
                <a:pt x="9634230" y="4788355"/>
                <a:pt x="9618646" y="4803946"/>
                <a:pt x="9599418" y="4803946"/>
              </a:cubicBezTo>
              <a:close/>
              <a:moveTo>
                <a:pt x="9684310" y="4803946"/>
              </a:moveTo>
              <a:cubicBezTo>
                <a:pt x="9665083" y="4803946"/>
                <a:pt x="9649485" y="4788355"/>
                <a:pt x="9649485" y="4769127"/>
              </a:cubicBezTo>
              <a:cubicBezTo>
                <a:pt x="9649485" y="4749899"/>
                <a:pt x="9665083" y="4734308"/>
                <a:pt x="9684310" y="4734308"/>
              </a:cubicBezTo>
              <a:cubicBezTo>
                <a:pt x="9703538" y="4734308"/>
                <a:pt x="9719123" y="4749899"/>
                <a:pt x="9719123" y="4769127"/>
              </a:cubicBezTo>
              <a:cubicBezTo>
                <a:pt x="9719123" y="4788355"/>
                <a:pt x="9703538" y="4803946"/>
                <a:pt x="9684310" y="4803946"/>
              </a:cubicBezTo>
              <a:close/>
              <a:moveTo>
                <a:pt x="10363450" y="4803946"/>
              </a:moveTo>
              <a:cubicBezTo>
                <a:pt x="10344223" y="4803946"/>
                <a:pt x="10328625" y="4788355"/>
                <a:pt x="10328625" y="4769127"/>
              </a:cubicBezTo>
              <a:cubicBezTo>
                <a:pt x="10328625" y="4749899"/>
                <a:pt x="10344223" y="4734308"/>
                <a:pt x="10363450" y="4734308"/>
              </a:cubicBezTo>
              <a:cubicBezTo>
                <a:pt x="10382678" y="4734308"/>
                <a:pt x="10398263" y="4749899"/>
                <a:pt x="10398263" y="4769127"/>
              </a:cubicBezTo>
              <a:cubicBezTo>
                <a:pt x="10398263" y="4788355"/>
                <a:pt x="10382678" y="4803946"/>
                <a:pt x="10363450" y="4803946"/>
              </a:cubicBezTo>
              <a:close/>
              <a:moveTo>
                <a:pt x="2213769" y="4719086"/>
              </a:moveTo>
              <a:cubicBezTo>
                <a:pt x="2194541" y="4719086"/>
                <a:pt x="2178950" y="4703495"/>
                <a:pt x="2178950" y="4684267"/>
              </a:cubicBezTo>
              <a:cubicBezTo>
                <a:pt x="2178950" y="4665039"/>
                <a:pt x="2194541" y="4649448"/>
                <a:pt x="2213769" y="4649448"/>
              </a:cubicBezTo>
              <a:cubicBezTo>
                <a:pt x="2232997" y="4649448"/>
                <a:pt x="2248588" y="4665039"/>
                <a:pt x="2248588" y="4684267"/>
              </a:cubicBezTo>
              <a:cubicBezTo>
                <a:pt x="2248588" y="4703495"/>
                <a:pt x="2232997" y="4719086"/>
                <a:pt x="2213769" y="4719086"/>
              </a:cubicBezTo>
              <a:close/>
              <a:moveTo>
                <a:pt x="2298661" y="4719086"/>
              </a:moveTo>
              <a:cubicBezTo>
                <a:pt x="2279433" y="4719086"/>
                <a:pt x="2263842" y="4703495"/>
                <a:pt x="2263842" y="4684267"/>
              </a:cubicBezTo>
              <a:cubicBezTo>
                <a:pt x="2263842" y="4665039"/>
                <a:pt x="2279433" y="4649448"/>
                <a:pt x="2298661" y="4649448"/>
              </a:cubicBezTo>
              <a:cubicBezTo>
                <a:pt x="2317889" y="4649448"/>
                <a:pt x="2333480" y="4665039"/>
                <a:pt x="2333480" y="4684267"/>
              </a:cubicBezTo>
              <a:cubicBezTo>
                <a:pt x="2333480" y="4703495"/>
                <a:pt x="2317889" y="4719086"/>
                <a:pt x="2298661" y="4719086"/>
              </a:cubicBezTo>
              <a:close/>
              <a:moveTo>
                <a:pt x="2383553" y="4719086"/>
              </a:moveTo>
              <a:cubicBezTo>
                <a:pt x="2364326" y="4719086"/>
                <a:pt x="2348734" y="4703495"/>
                <a:pt x="2348734" y="4684267"/>
              </a:cubicBezTo>
              <a:cubicBezTo>
                <a:pt x="2348734" y="4665039"/>
                <a:pt x="2364326" y="4649448"/>
                <a:pt x="2383553" y="4649448"/>
              </a:cubicBezTo>
              <a:cubicBezTo>
                <a:pt x="2402781" y="4649448"/>
                <a:pt x="2418372" y="4665039"/>
                <a:pt x="2418372" y="4684267"/>
              </a:cubicBezTo>
              <a:cubicBezTo>
                <a:pt x="2418372" y="4703495"/>
                <a:pt x="2402781" y="4719086"/>
                <a:pt x="2383553" y="4719086"/>
              </a:cubicBezTo>
              <a:close/>
              <a:moveTo>
                <a:pt x="2468446" y="4719086"/>
              </a:moveTo>
              <a:cubicBezTo>
                <a:pt x="2449218" y="4719086"/>
                <a:pt x="2433627" y="4703495"/>
                <a:pt x="2433627" y="4684267"/>
              </a:cubicBezTo>
              <a:cubicBezTo>
                <a:pt x="2433627" y="4665039"/>
                <a:pt x="2449218" y="4649448"/>
                <a:pt x="2468446" y="4649448"/>
              </a:cubicBezTo>
              <a:cubicBezTo>
                <a:pt x="2487673" y="4649448"/>
                <a:pt x="2503264" y="4665039"/>
                <a:pt x="2503264" y="4684267"/>
              </a:cubicBezTo>
              <a:cubicBezTo>
                <a:pt x="2503264" y="4703495"/>
                <a:pt x="2487673" y="4719086"/>
                <a:pt x="2468446" y="4719086"/>
              </a:cubicBezTo>
              <a:close/>
              <a:moveTo>
                <a:pt x="2553339" y="4719086"/>
              </a:moveTo>
              <a:cubicBezTo>
                <a:pt x="2534111" y="4719086"/>
                <a:pt x="2518520" y="4703495"/>
                <a:pt x="2518520" y="4684267"/>
              </a:cubicBezTo>
              <a:cubicBezTo>
                <a:pt x="2518520" y="4665039"/>
                <a:pt x="2534111" y="4649448"/>
                <a:pt x="2553339" y="4649448"/>
              </a:cubicBezTo>
              <a:cubicBezTo>
                <a:pt x="2572567" y="4649448"/>
                <a:pt x="2588158" y="4665039"/>
                <a:pt x="2588158" y="4684267"/>
              </a:cubicBezTo>
              <a:cubicBezTo>
                <a:pt x="2588158" y="4703495"/>
                <a:pt x="2572567" y="4719086"/>
                <a:pt x="2553339" y="4719086"/>
              </a:cubicBezTo>
              <a:close/>
              <a:moveTo>
                <a:pt x="2638231" y="4719086"/>
              </a:moveTo>
              <a:cubicBezTo>
                <a:pt x="2619003" y="4719086"/>
                <a:pt x="2603412" y="4703495"/>
                <a:pt x="2603412" y="4684267"/>
              </a:cubicBezTo>
              <a:cubicBezTo>
                <a:pt x="2603412" y="4665039"/>
                <a:pt x="2619003" y="4649448"/>
                <a:pt x="2638231" y="4649448"/>
              </a:cubicBezTo>
              <a:cubicBezTo>
                <a:pt x="2657459" y="4649448"/>
                <a:pt x="2673050" y="4665039"/>
                <a:pt x="2673050" y="4684267"/>
              </a:cubicBezTo>
              <a:cubicBezTo>
                <a:pt x="2673050" y="4703495"/>
                <a:pt x="2657459" y="4719086"/>
                <a:pt x="2638231" y="4719086"/>
              </a:cubicBezTo>
              <a:close/>
              <a:moveTo>
                <a:pt x="2723123" y="4719086"/>
              </a:moveTo>
              <a:cubicBezTo>
                <a:pt x="2703896" y="4719086"/>
                <a:pt x="2688304" y="4703495"/>
                <a:pt x="2688304" y="4684267"/>
              </a:cubicBezTo>
              <a:cubicBezTo>
                <a:pt x="2688304" y="4665039"/>
                <a:pt x="2703896" y="4649448"/>
                <a:pt x="2723123" y="4649448"/>
              </a:cubicBezTo>
              <a:cubicBezTo>
                <a:pt x="2742351" y="4649448"/>
                <a:pt x="2757942" y="4665039"/>
                <a:pt x="2757942" y="4684267"/>
              </a:cubicBezTo>
              <a:cubicBezTo>
                <a:pt x="2757942" y="4703495"/>
                <a:pt x="2742351" y="4719086"/>
                <a:pt x="2723123" y="4719086"/>
              </a:cubicBezTo>
              <a:close/>
              <a:moveTo>
                <a:pt x="2808016" y="4719086"/>
              </a:moveTo>
              <a:cubicBezTo>
                <a:pt x="2788788" y="4719086"/>
                <a:pt x="2773197" y="4703495"/>
                <a:pt x="2773197" y="4684267"/>
              </a:cubicBezTo>
              <a:cubicBezTo>
                <a:pt x="2773197" y="4665039"/>
                <a:pt x="2788788" y="4649448"/>
                <a:pt x="2808016" y="4649448"/>
              </a:cubicBezTo>
              <a:cubicBezTo>
                <a:pt x="2827243" y="4649448"/>
                <a:pt x="2842834" y="4665039"/>
                <a:pt x="2842834" y="4684267"/>
              </a:cubicBezTo>
              <a:cubicBezTo>
                <a:pt x="2842834" y="4703495"/>
                <a:pt x="2827243" y="4719086"/>
                <a:pt x="2808016" y="4719086"/>
              </a:cubicBezTo>
              <a:close/>
              <a:moveTo>
                <a:pt x="2892908" y="4719086"/>
              </a:moveTo>
              <a:cubicBezTo>
                <a:pt x="2873680" y="4719086"/>
                <a:pt x="2858089" y="4703495"/>
                <a:pt x="2858089" y="4684267"/>
              </a:cubicBezTo>
              <a:cubicBezTo>
                <a:pt x="2858089" y="4665039"/>
                <a:pt x="2873680" y="4649448"/>
                <a:pt x="2892908" y="4649448"/>
              </a:cubicBezTo>
              <a:cubicBezTo>
                <a:pt x="2912136" y="4649448"/>
                <a:pt x="2927727" y="4665039"/>
                <a:pt x="2927727" y="4684267"/>
              </a:cubicBezTo>
              <a:cubicBezTo>
                <a:pt x="2927727" y="4703495"/>
                <a:pt x="2912136" y="4719086"/>
                <a:pt x="2892908" y="4719086"/>
              </a:cubicBezTo>
              <a:close/>
              <a:moveTo>
                <a:pt x="2977801" y="4719086"/>
              </a:moveTo>
              <a:cubicBezTo>
                <a:pt x="2958573" y="4719086"/>
                <a:pt x="2942982" y="4703495"/>
                <a:pt x="2942982" y="4684267"/>
              </a:cubicBezTo>
              <a:cubicBezTo>
                <a:pt x="2942982" y="4665039"/>
                <a:pt x="2958573" y="4649448"/>
                <a:pt x="2977801" y="4649448"/>
              </a:cubicBezTo>
              <a:cubicBezTo>
                <a:pt x="2997029" y="4649448"/>
                <a:pt x="3012620" y="4665039"/>
                <a:pt x="3012620" y="4684267"/>
              </a:cubicBezTo>
              <a:cubicBezTo>
                <a:pt x="3012620" y="4703495"/>
                <a:pt x="2997029" y="4719086"/>
                <a:pt x="2977801" y="4719086"/>
              </a:cubicBezTo>
              <a:close/>
              <a:moveTo>
                <a:pt x="3062693" y="4719086"/>
              </a:moveTo>
              <a:cubicBezTo>
                <a:pt x="3043466" y="4719086"/>
                <a:pt x="3027874" y="4703495"/>
                <a:pt x="3027874" y="4684267"/>
              </a:cubicBezTo>
              <a:cubicBezTo>
                <a:pt x="3027874" y="4665039"/>
                <a:pt x="3043466" y="4649448"/>
                <a:pt x="3062693" y="4649448"/>
              </a:cubicBezTo>
              <a:cubicBezTo>
                <a:pt x="3081921" y="4649448"/>
                <a:pt x="3097512" y="4665039"/>
                <a:pt x="3097512" y="4684267"/>
              </a:cubicBezTo>
              <a:cubicBezTo>
                <a:pt x="3097512" y="4703495"/>
                <a:pt x="3081921" y="4719086"/>
                <a:pt x="3062693" y="4719086"/>
              </a:cubicBezTo>
              <a:close/>
              <a:moveTo>
                <a:pt x="3147586" y="4719086"/>
              </a:moveTo>
              <a:cubicBezTo>
                <a:pt x="3128358" y="4719086"/>
                <a:pt x="3112767" y="4703495"/>
                <a:pt x="3112767" y="4684267"/>
              </a:cubicBezTo>
              <a:cubicBezTo>
                <a:pt x="3112767" y="4665039"/>
                <a:pt x="3128358" y="4649448"/>
                <a:pt x="3147586" y="4649448"/>
              </a:cubicBezTo>
              <a:cubicBezTo>
                <a:pt x="3166813" y="4649448"/>
                <a:pt x="3182404" y="4665039"/>
                <a:pt x="3182404" y="4684267"/>
              </a:cubicBezTo>
              <a:cubicBezTo>
                <a:pt x="3182404" y="4703495"/>
                <a:pt x="3166813" y="4719086"/>
                <a:pt x="3147586" y="4719086"/>
              </a:cubicBezTo>
              <a:close/>
              <a:moveTo>
                <a:pt x="3232478" y="4719086"/>
              </a:moveTo>
              <a:cubicBezTo>
                <a:pt x="3213250" y="4719086"/>
                <a:pt x="3197659" y="4703495"/>
                <a:pt x="3197659" y="4684267"/>
              </a:cubicBezTo>
              <a:cubicBezTo>
                <a:pt x="3197659" y="4665039"/>
                <a:pt x="3213250" y="4649448"/>
                <a:pt x="3232478" y="4649448"/>
              </a:cubicBezTo>
              <a:cubicBezTo>
                <a:pt x="3251706" y="4649448"/>
                <a:pt x="3267297" y="4665039"/>
                <a:pt x="3267297" y="4684267"/>
              </a:cubicBezTo>
              <a:cubicBezTo>
                <a:pt x="3267297" y="4703495"/>
                <a:pt x="3251706" y="4719086"/>
                <a:pt x="3232478" y="4719086"/>
              </a:cubicBezTo>
              <a:close/>
              <a:moveTo>
                <a:pt x="3317371" y="4719086"/>
              </a:moveTo>
              <a:cubicBezTo>
                <a:pt x="3298143" y="4719086"/>
                <a:pt x="3282552" y="4703495"/>
                <a:pt x="3282552" y="4684267"/>
              </a:cubicBezTo>
              <a:cubicBezTo>
                <a:pt x="3282552" y="4665039"/>
                <a:pt x="3298143" y="4649448"/>
                <a:pt x="3317371" y="4649448"/>
              </a:cubicBezTo>
              <a:cubicBezTo>
                <a:pt x="3336599" y="4649448"/>
                <a:pt x="3352190" y="4665039"/>
                <a:pt x="3352190" y="4684267"/>
              </a:cubicBezTo>
              <a:cubicBezTo>
                <a:pt x="3352190" y="4703495"/>
                <a:pt x="3336599" y="4719086"/>
                <a:pt x="3317371" y="4719086"/>
              </a:cubicBezTo>
              <a:close/>
              <a:moveTo>
                <a:pt x="3741833" y="4719086"/>
              </a:moveTo>
              <a:cubicBezTo>
                <a:pt x="3722606" y="4719086"/>
                <a:pt x="3707014" y="4703495"/>
                <a:pt x="3707014" y="4684267"/>
              </a:cubicBezTo>
              <a:cubicBezTo>
                <a:pt x="3707014" y="4665039"/>
                <a:pt x="3722606" y="4649448"/>
                <a:pt x="3741833" y="4649448"/>
              </a:cubicBezTo>
              <a:cubicBezTo>
                <a:pt x="3761061" y="4649448"/>
                <a:pt x="3776652" y="4665039"/>
                <a:pt x="3776652" y="4684267"/>
              </a:cubicBezTo>
              <a:cubicBezTo>
                <a:pt x="3776652" y="4703495"/>
                <a:pt x="3761061" y="4719086"/>
                <a:pt x="3741833" y="4719086"/>
              </a:cubicBezTo>
              <a:close/>
              <a:moveTo>
                <a:pt x="3826726" y="4719086"/>
              </a:moveTo>
              <a:cubicBezTo>
                <a:pt x="3807498" y="4719086"/>
                <a:pt x="3791907" y="4703495"/>
                <a:pt x="3791907" y="4684267"/>
              </a:cubicBezTo>
              <a:cubicBezTo>
                <a:pt x="3791907" y="4665039"/>
                <a:pt x="3807498" y="4649448"/>
                <a:pt x="3826726" y="4649448"/>
              </a:cubicBezTo>
              <a:cubicBezTo>
                <a:pt x="3845953" y="4649448"/>
                <a:pt x="3861544" y="4665039"/>
                <a:pt x="3861544" y="4684267"/>
              </a:cubicBezTo>
              <a:cubicBezTo>
                <a:pt x="3861544" y="4703495"/>
                <a:pt x="3845953" y="4719086"/>
                <a:pt x="3826726" y="4719086"/>
              </a:cubicBezTo>
              <a:close/>
              <a:moveTo>
                <a:pt x="3911618" y="4719086"/>
              </a:moveTo>
              <a:cubicBezTo>
                <a:pt x="3892390" y="4719086"/>
                <a:pt x="3876799" y="4703495"/>
                <a:pt x="3876799" y="4684267"/>
              </a:cubicBezTo>
              <a:cubicBezTo>
                <a:pt x="3876799" y="4665039"/>
                <a:pt x="3892390" y="4649448"/>
                <a:pt x="3911618" y="4649448"/>
              </a:cubicBezTo>
              <a:cubicBezTo>
                <a:pt x="3930846" y="4649448"/>
                <a:pt x="3946437" y="4665039"/>
                <a:pt x="3946437" y="4684267"/>
              </a:cubicBezTo>
              <a:cubicBezTo>
                <a:pt x="3946437" y="4703495"/>
                <a:pt x="3930846" y="4719086"/>
                <a:pt x="3911618" y="4719086"/>
              </a:cubicBezTo>
              <a:close/>
              <a:moveTo>
                <a:pt x="3996511" y="4719086"/>
              </a:moveTo>
              <a:cubicBezTo>
                <a:pt x="3977283" y="4719086"/>
                <a:pt x="3961692" y="4703495"/>
                <a:pt x="3961692" y="4684267"/>
              </a:cubicBezTo>
              <a:cubicBezTo>
                <a:pt x="3961692" y="4665039"/>
                <a:pt x="3977283" y="4649448"/>
                <a:pt x="3996511" y="4649448"/>
              </a:cubicBezTo>
              <a:cubicBezTo>
                <a:pt x="4015739" y="4649448"/>
                <a:pt x="4031330" y="4665039"/>
                <a:pt x="4031330" y="4684267"/>
              </a:cubicBezTo>
              <a:cubicBezTo>
                <a:pt x="4031330" y="4703495"/>
                <a:pt x="4015739" y="4719086"/>
                <a:pt x="3996511" y="4719086"/>
              </a:cubicBezTo>
              <a:close/>
              <a:moveTo>
                <a:pt x="4081403" y="4719086"/>
              </a:moveTo>
              <a:cubicBezTo>
                <a:pt x="4062176" y="4719086"/>
                <a:pt x="4046584" y="4703495"/>
                <a:pt x="4046584" y="4684267"/>
              </a:cubicBezTo>
              <a:cubicBezTo>
                <a:pt x="4046584" y="4665039"/>
                <a:pt x="4062176" y="4649448"/>
                <a:pt x="4081403" y="4649448"/>
              </a:cubicBezTo>
              <a:cubicBezTo>
                <a:pt x="4100631" y="4649448"/>
                <a:pt x="4116222" y="4665039"/>
                <a:pt x="4116222" y="4684267"/>
              </a:cubicBezTo>
              <a:cubicBezTo>
                <a:pt x="4116222" y="4703495"/>
                <a:pt x="4100631" y="4719086"/>
                <a:pt x="4081403" y="4719086"/>
              </a:cubicBezTo>
              <a:close/>
              <a:moveTo>
                <a:pt x="6033934" y="4719086"/>
              </a:moveTo>
              <a:cubicBezTo>
                <a:pt x="6014706" y="4719086"/>
                <a:pt x="5999108" y="4703495"/>
                <a:pt x="5999108" y="4684267"/>
              </a:cubicBezTo>
              <a:cubicBezTo>
                <a:pt x="5999108" y="4665039"/>
                <a:pt x="6014706" y="4649448"/>
                <a:pt x="6033934" y="4649448"/>
              </a:cubicBezTo>
              <a:cubicBezTo>
                <a:pt x="6053161" y="4649448"/>
                <a:pt x="6068746" y="4665039"/>
                <a:pt x="6068746" y="4684267"/>
              </a:cubicBezTo>
              <a:cubicBezTo>
                <a:pt x="6068746" y="4703495"/>
                <a:pt x="6053161" y="4719086"/>
                <a:pt x="6033934" y="4719086"/>
              </a:cubicBezTo>
              <a:close/>
              <a:moveTo>
                <a:pt x="6203718" y="4719086"/>
              </a:moveTo>
              <a:cubicBezTo>
                <a:pt x="6184490" y="4719086"/>
                <a:pt x="6168893" y="4703495"/>
                <a:pt x="6168893" y="4684267"/>
              </a:cubicBezTo>
              <a:cubicBezTo>
                <a:pt x="6168893" y="4665039"/>
                <a:pt x="6184490" y="4649448"/>
                <a:pt x="6203718" y="4649448"/>
              </a:cubicBezTo>
              <a:cubicBezTo>
                <a:pt x="6222946" y="4649448"/>
                <a:pt x="6238530" y="4665039"/>
                <a:pt x="6238530" y="4684267"/>
              </a:cubicBezTo>
              <a:cubicBezTo>
                <a:pt x="6238530" y="4703495"/>
                <a:pt x="6222946" y="4719086"/>
                <a:pt x="6203718" y="4719086"/>
              </a:cubicBezTo>
              <a:close/>
              <a:moveTo>
                <a:pt x="6288611" y="4719086"/>
              </a:moveTo>
              <a:cubicBezTo>
                <a:pt x="6269384" y="4719086"/>
                <a:pt x="6253786" y="4703495"/>
                <a:pt x="6253786" y="4684267"/>
              </a:cubicBezTo>
              <a:cubicBezTo>
                <a:pt x="6253786" y="4665039"/>
                <a:pt x="6269384" y="4649448"/>
                <a:pt x="6288611" y="4649448"/>
              </a:cubicBezTo>
              <a:cubicBezTo>
                <a:pt x="6307839" y="4649448"/>
                <a:pt x="6323424" y="4665039"/>
                <a:pt x="6323424" y="4684267"/>
              </a:cubicBezTo>
              <a:cubicBezTo>
                <a:pt x="6323424" y="4703495"/>
                <a:pt x="6307839" y="4719086"/>
                <a:pt x="6288611" y="4719086"/>
              </a:cubicBezTo>
              <a:close/>
              <a:moveTo>
                <a:pt x="6543288" y="4719086"/>
              </a:moveTo>
              <a:cubicBezTo>
                <a:pt x="6524060" y="4719086"/>
                <a:pt x="6508463" y="4703495"/>
                <a:pt x="6508463" y="4684267"/>
              </a:cubicBezTo>
              <a:cubicBezTo>
                <a:pt x="6508463" y="4665039"/>
                <a:pt x="6524060" y="4649448"/>
                <a:pt x="6543288" y="4649448"/>
              </a:cubicBezTo>
              <a:cubicBezTo>
                <a:pt x="6562516" y="4649448"/>
                <a:pt x="6578100" y="4665039"/>
                <a:pt x="6578100" y="4684267"/>
              </a:cubicBezTo>
              <a:cubicBezTo>
                <a:pt x="6578100" y="4703495"/>
                <a:pt x="6562516" y="4719086"/>
                <a:pt x="6543288" y="4719086"/>
              </a:cubicBezTo>
              <a:close/>
              <a:moveTo>
                <a:pt x="6628181" y="4719086"/>
              </a:moveTo>
              <a:cubicBezTo>
                <a:pt x="6608954" y="4719086"/>
                <a:pt x="6593356" y="4703495"/>
                <a:pt x="6593356" y="4684267"/>
              </a:cubicBezTo>
              <a:cubicBezTo>
                <a:pt x="6593356" y="4665039"/>
                <a:pt x="6608954" y="4649448"/>
                <a:pt x="6628181" y="4649448"/>
              </a:cubicBezTo>
              <a:cubicBezTo>
                <a:pt x="6647409" y="4649448"/>
                <a:pt x="6662994" y="4665039"/>
                <a:pt x="6662994" y="4684267"/>
              </a:cubicBezTo>
              <a:cubicBezTo>
                <a:pt x="6662994" y="4703495"/>
                <a:pt x="6647409" y="4719086"/>
                <a:pt x="6628181" y="4719086"/>
              </a:cubicBezTo>
              <a:close/>
              <a:moveTo>
                <a:pt x="6713074" y="4719086"/>
              </a:moveTo>
              <a:cubicBezTo>
                <a:pt x="6693846" y="4719086"/>
                <a:pt x="6678248" y="4703495"/>
                <a:pt x="6678248" y="4684267"/>
              </a:cubicBezTo>
              <a:cubicBezTo>
                <a:pt x="6678248" y="4665039"/>
                <a:pt x="6693846" y="4649448"/>
                <a:pt x="6713074" y="4649448"/>
              </a:cubicBezTo>
              <a:cubicBezTo>
                <a:pt x="6732301" y="4649448"/>
                <a:pt x="6747886" y="4665039"/>
                <a:pt x="6747886" y="4684267"/>
              </a:cubicBezTo>
              <a:cubicBezTo>
                <a:pt x="6747886" y="4703495"/>
                <a:pt x="6732301" y="4719086"/>
                <a:pt x="6713074" y="4719086"/>
              </a:cubicBezTo>
              <a:close/>
              <a:moveTo>
                <a:pt x="6797966" y="4719086"/>
              </a:moveTo>
              <a:cubicBezTo>
                <a:pt x="6778738" y="4719086"/>
                <a:pt x="6763140" y="4703495"/>
                <a:pt x="6763140" y="4684267"/>
              </a:cubicBezTo>
              <a:cubicBezTo>
                <a:pt x="6763140" y="4665039"/>
                <a:pt x="6778738" y="4649448"/>
                <a:pt x="6797966" y="4649448"/>
              </a:cubicBezTo>
              <a:cubicBezTo>
                <a:pt x="6817194" y="4649448"/>
                <a:pt x="6832778" y="4665039"/>
                <a:pt x="6832778" y="4684267"/>
              </a:cubicBezTo>
              <a:cubicBezTo>
                <a:pt x="6832778" y="4703495"/>
                <a:pt x="6817194" y="4719086"/>
                <a:pt x="6797966" y="4719086"/>
              </a:cubicBezTo>
              <a:close/>
              <a:moveTo>
                <a:pt x="6967750" y="4719086"/>
              </a:moveTo>
              <a:cubicBezTo>
                <a:pt x="6948523" y="4719086"/>
                <a:pt x="6932925" y="4703495"/>
                <a:pt x="6932925" y="4684267"/>
              </a:cubicBezTo>
              <a:cubicBezTo>
                <a:pt x="6932925" y="4665039"/>
                <a:pt x="6948523" y="4649448"/>
                <a:pt x="6967750" y="4649448"/>
              </a:cubicBezTo>
              <a:cubicBezTo>
                <a:pt x="6986978" y="4649448"/>
                <a:pt x="7002563" y="4665039"/>
                <a:pt x="7002563" y="4684267"/>
              </a:cubicBezTo>
              <a:cubicBezTo>
                <a:pt x="7002563" y="4703495"/>
                <a:pt x="6986978" y="4719086"/>
                <a:pt x="6967750" y="4719086"/>
              </a:cubicBezTo>
              <a:close/>
              <a:moveTo>
                <a:pt x="7052644" y="4719086"/>
              </a:moveTo>
              <a:cubicBezTo>
                <a:pt x="7033416" y="4719086"/>
                <a:pt x="7017818" y="4703495"/>
                <a:pt x="7017818" y="4684267"/>
              </a:cubicBezTo>
              <a:cubicBezTo>
                <a:pt x="7017818" y="4665039"/>
                <a:pt x="7033416" y="4649448"/>
                <a:pt x="7052644" y="4649448"/>
              </a:cubicBezTo>
              <a:cubicBezTo>
                <a:pt x="7071871" y="4649448"/>
                <a:pt x="7087456" y="4665039"/>
                <a:pt x="7087456" y="4684267"/>
              </a:cubicBezTo>
              <a:cubicBezTo>
                <a:pt x="7087456" y="4703495"/>
                <a:pt x="7071871" y="4719086"/>
                <a:pt x="7052644" y="4719086"/>
              </a:cubicBezTo>
              <a:close/>
              <a:moveTo>
                <a:pt x="7137536" y="4719086"/>
              </a:moveTo>
              <a:cubicBezTo>
                <a:pt x="7118308" y="4719086"/>
                <a:pt x="7102710" y="4703495"/>
                <a:pt x="7102710" y="4684267"/>
              </a:cubicBezTo>
              <a:cubicBezTo>
                <a:pt x="7102710" y="4665039"/>
                <a:pt x="7118308" y="4649448"/>
                <a:pt x="7137536" y="4649448"/>
              </a:cubicBezTo>
              <a:cubicBezTo>
                <a:pt x="7156764" y="4649448"/>
                <a:pt x="7172348" y="4665039"/>
                <a:pt x="7172348" y="4684267"/>
              </a:cubicBezTo>
              <a:cubicBezTo>
                <a:pt x="7172348" y="4703495"/>
                <a:pt x="7156764" y="4719086"/>
                <a:pt x="7137536" y="4719086"/>
              </a:cubicBezTo>
              <a:close/>
              <a:moveTo>
                <a:pt x="7222428" y="4719086"/>
              </a:moveTo>
              <a:cubicBezTo>
                <a:pt x="7203200" y="4719086"/>
                <a:pt x="7187603" y="4703495"/>
                <a:pt x="7187603" y="4684267"/>
              </a:cubicBezTo>
              <a:cubicBezTo>
                <a:pt x="7187603" y="4665039"/>
                <a:pt x="7203200" y="4649448"/>
                <a:pt x="7222428" y="4649448"/>
              </a:cubicBezTo>
              <a:cubicBezTo>
                <a:pt x="7241656" y="4649448"/>
                <a:pt x="7257240" y="4665039"/>
                <a:pt x="7257240" y="4684267"/>
              </a:cubicBezTo>
              <a:cubicBezTo>
                <a:pt x="7257240" y="4703495"/>
                <a:pt x="7241656" y="4719086"/>
                <a:pt x="7222428" y="4719086"/>
              </a:cubicBezTo>
              <a:close/>
              <a:moveTo>
                <a:pt x="7307320" y="4719086"/>
              </a:moveTo>
              <a:cubicBezTo>
                <a:pt x="7288093" y="4719086"/>
                <a:pt x="7272495" y="4703495"/>
                <a:pt x="7272495" y="4684267"/>
              </a:cubicBezTo>
              <a:cubicBezTo>
                <a:pt x="7272495" y="4665039"/>
                <a:pt x="7288093" y="4649448"/>
                <a:pt x="7307320" y="4649448"/>
              </a:cubicBezTo>
              <a:cubicBezTo>
                <a:pt x="7326548" y="4649448"/>
                <a:pt x="7342133" y="4665039"/>
                <a:pt x="7342133" y="4684267"/>
              </a:cubicBezTo>
              <a:cubicBezTo>
                <a:pt x="7342133" y="4703495"/>
                <a:pt x="7326548" y="4719086"/>
                <a:pt x="7307320" y="4719086"/>
              </a:cubicBezTo>
              <a:close/>
              <a:moveTo>
                <a:pt x="7392214" y="4719086"/>
              </a:moveTo>
              <a:cubicBezTo>
                <a:pt x="7372986" y="4719086"/>
                <a:pt x="7357388" y="4703495"/>
                <a:pt x="7357388" y="4684267"/>
              </a:cubicBezTo>
              <a:cubicBezTo>
                <a:pt x="7357388" y="4665039"/>
                <a:pt x="7372986" y="4649448"/>
                <a:pt x="7392214" y="4649448"/>
              </a:cubicBezTo>
              <a:cubicBezTo>
                <a:pt x="7411441" y="4649448"/>
                <a:pt x="7427026" y="4665039"/>
                <a:pt x="7427026" y="4684267"/>
              </a:cubicBezTo>
              <a:cubicBezTo>
                <a:pt x="7427026" y="4703495"/>
                <a:pt x="7411441" y="4719086"/>
                <a:pt x="7392214" y="4719086"/>
              </a:cubicBezTo>
              <a:close/>
              <a:moveTo>
                <a:pt x="7477106" y="4719086"/>
              </a:moveTo>
              <a:cubicBezTo>
                <a:pt x="7457878" y="4719086"/>
                <a:pt x="7442280" y="4703495"/>
                <a:pt x="7442280" y="4684267"/>
              </a:cubicBezTo>
              <a:cubicBezTo>
                <a:pt x="7442280" y="4665039"/>
                <a:pt x="7457878" y="4649448"/>
                <a:pt x="7477106" y="4649448"/>
              </a:cubicBezTo>
              <a:cubicBezTo>
                <a:pt x="7496334" y="4649448"/>
                <a:pt x="7511918" y="4665039"/>
                <a:pt x="7511918" y="4684267"/>
              </a:cubicBezTo>
              <a:cubicBezTo>
                <a:pt x="7511918" y="4703495"/>
                <a:pt x="7496334" y="4719086"/>
                <a:pt x="7477106" y="4719086"/>
              </a:cubicBezTo>
              <a:close/>
              <a:moveTo>
                <a:pt x="7561998" y="4719086"/>
              </a:moveTo>
              <a:cubicBezTo>
                <a:pt x="7542770" y="4719086"/>
                <a:pt x="7527173" y="4703495"/>
                <a:pt x="7527173" y="4684267"/>
              </a:cubicBezTo>
              <a:cubicBezTo>
                <a:pt x="7527173" y="4665039"/>
                <a:pt x="7542770" y="4649448"/>
                <a:pt x="7561998" y="4649448"/>
              </a:cubicBezTo>
              <a:cubicBezTo>
                <a:pt x="7581226" y="4649448"/>
                <a:pt x="7596810" y="4665039"/>
                <a:pt x="7596810" y="4684267"/>
              </a:cubicBezTo>
              <a:cubicBezTo>
                <a:pt x="7596810" y="4703495"/>
                <a:pt x="7581226" y="4719086"/>
                <a:pt x="7561998" y="4719086"/>
              </a:cubicBezTo>
              <a:close/>
              <a:moveTo>
                <a:pt x="7646890" y="4719086"/>
              </a:moveTo>
              <a:cubicBezTo>
                <a:pt x="7627663" y="4719086"/>
                <a:pt x="7612065" y="4703495"/>
                <a:pt x="7612065" y="4684267"/>
              </a:cubicBezTo>
              <a:cubicBezTo>
                <a:pt x="7612065" y="4665039"/>
                <a:pt x="7627663" y="4649448"/>
                <a:pt x="7646890" y="4649448"/>
              </a:cubicBezTo>
              <a:cubicBezTo>
                <a:pt x="7666118" y="4649448"/>
                <a:pt x="7681703" y="4665039"/>
                <a:pt x="7681703" y="4684267"/>
              </a:cubicBezTo>
              <a:cubicBezTo>
                <a:pt x="7681703" y="4703495"/>
                <a:pt x="7666118" y="4719086"/>
                <a:pt x="7646890" y="4719086"/>
              </a:cubicBezTo>
              <a:close/>
              <a:moveTo>
                <a:pt x="7731784" y="4719086"/>
              </a:moveTo>
              <a:cubicBezTo>
                <a:pt x="7712556" y="4719086"/>
                <a:pt x="7696958" y="4703495"/>
                <a:pt x="7696958" y="4684267"/>
              </a:cubicBezTo>
              <a:cubicBezTo>
                <a:pt x="7696958" y="4665039"/>
                <a:pt x="7712556" y="4649448"/>
                <a:pt x="7731784" y="4649448"/>
              </a:cubicBezTo>
              <a:cubicBezTo>
                <a:pt x="7751011" y="4649448"/>
                <a:pt x="7766596" y="4665039"/>
                <a:pt x="7766596" y="4684267"/>
              </a:cubicBezTo>
              <a:cubicBezTo>
                <a:pt x="7766596" y="4703495"/>
                <a:pt x="7751011" y="4719086"/>
                <a:pt x="7731784" y="4719086"/>
              </a:cubicBezTo>
              <a:close/>
              <a:moveTo>
                <a:pt x="7816676" y="4719086"/>
              </a:moveTo>
              <a:cubicBezTo>
                <a:pt x="7797448" y="4719086"/>
                <a:pt x="7781850" y="4703495"/>
                <a:pt x="7781850" y="4684267"/>
              </a:cubicBezTo>
              <a:cubicBezTo>
                <a:pt x="7781850" y="4665039"/>
                <a:pt x="7797448" y="4649448"/>
                <a:pt x="7816676" y="4649448"/>
              </a:cubicBezTo>
              <a:cubicBezTo>
                <a:pt x="7835904" y="4649448"/>
                <a:pt x="7851488" y="4665039"/>
                <a:pt x="7851488" y="4684267"/>
              </a:cubicBezTo>
              <a:cubicBezTo>
                <a:pt x="7851488" y="4703495"/>
                <a:pt x="7835904" y="4719086"/>
                <a:pt x="7816676" y="4719086"/>
              </a:cubicBezTo>
              <a:close/>
              <a:moveTo>
                <a:pt x="7901568" y="4719086"/>
              </a:moveTo>
              <a:cubicBezTo>
                <a:pt x="7882340" y="4719086"/>
                <a:pt x="7866743" y="4703495"/>
                <a:pt x="7866743" y="4684267"/>
              </a:cubicBezTo>
              <a:cubicBezTo>
                <a:pt x="7866743" y="4665039"/>
                <a:pt x="7882340" y="4649448"/>
                <a:pt x="7901568" y="4649448"/>
              </a:cubicBezTo>
              <a:cubicBezTo>
                <a:pt x="7920796" y="4649448"/>
                <a:pt x="7936380" y="4665039"/>
                <a:pt x="7936380" y="4684267"/>
              </a:cubicBezTo>
              <a:cubicBezTo>
                <a:pt x="7936380" y="4703495"/>
                <a:pt x="7920796" y="4719086"/>
                <a:pt x="7901568" y="4719086"/>
              </a:cubicBezTo>
              <a:close/>
              <a:moveTo>
                <a:pt x="7986460" y="4719086"/>
              </a:moveTo>
              <a:cubicBezTo>
                <a:pt x="7967233" y="4719086"/>
                <a:pt x="7951635" y="4703495"/>
                <a:pt x="7951635" y="4684267"/>
              </a:cubicBezTo>
              <a:cubicBezTo>
                <a:pt x="7951635" y="4665039"/>
                <a:pt x="7967233" y="4649448"/>
                <a:pt x="7986460" y="4649448"/>
              </a:cubicBezTo>
              <a:cubicBezTo>
                <a:pt x="8005688" y="4649448"/>
                <a:pt x="8021273" y="4665039"/>
                <a:pt x="8021273" y="4684267"/>
              </a:cubicBezTo>
              <a:cubicBezTo>
                <a:pt x="8021273" y="4703495"/>
                <a:pt x="8005688" y="4719086"/>
                <a:pt x="7986460" y="4719086"/>
              </a:cubicBezTo>
              <a:close/>
              <a:moveTo>
                <a:pt x="8071353" y="4719086"/>
              </a:moveTo>
              <a:cubicBezTo>
                <a:pt x="8052125" y="4719086"/>
                <a:pt x="8036527" y="4703495"/>
                <a:pt x="8036527" y="4684267"/>
              </a:cubicBezTo>
              <a:cubicBezTo>
                <a:pt x="8036527" y="4665039"/>
                <a:pt x="8052125" y="4649448"/>
                <a:pt x="8071353" y="4649448"/>
              </a:cubicBezTo>
              <a:cubicBezTo>
                <a:pt x="8090580" y="4649448"/>
                <a:pt x="8106165" y="4665039"/>
                <a:pt x="8106165" y="4684267"/>
              </a:cubicBezTo>
              <a:cubicBezTo>
                <a:pt x="8106165" y="4703495"/>
                <a:pt x="8090580" y="4719086"/>
                <a:pt x="8071353" y="4719086"/>
              </a:cubicBezTo>
              <a:close/>
              <a:moveTo>
                <a:pt x="8156246" y="4719086"/>
              </a:moveTo>
              <a:cubicBezTo>
                <a:pt x="8137018" y="4719086"/>
                <a:pt x="8121420" y="4703495"/>
                <a:pt x="8121420" y="4684267"/>
              </a:cubicBezTo>
              <a:cubicBezTo>
                <a:pt x="8121420" y="4665039"/>
                <a:pt x="8137018" y="4649448"/>
                <a:pt x="8156246" y="4649448"/>
              </a:cubicBezTo>
              <a:cubicBezTo>
                <a:pt x="8175474" y="4649448"/>
                <a:pt x="8191058" y="4665039"/>
                <a:pt x="8191058" y="4684267"/>
              </a:cubicBezTo>
              <a:cubicBezTo>
                <a:pt x="8191058" y="4703495"/>
                <a:pt x="8175474" y="4719086"/>
                <a:pt x="8156246" y="4719086"/>
              </a:cubicBezTo>
              <a:close/>
              <a:moveTo>
                <a:pt x="8241138" y="4719086"/>
              </a:moveTo>
              <a:cubicBezTo>
                <a:pt x="8221910" y="4719086"/>
                <a:pt x="8206313" y="4703495"/>
                <a:pt x="8206313" y="4684267"/>
              </a:cubicBezTo>
              <a:cubicBezTo>
                <a:pt x="8206313" y="4665039"/>
                <a:pt x="8221910" y="4649448"/>
                <a:pt x="8241138" y="4649448"/>
              </a:cubicBezTo>
              <a:cubicBezTo>
                <a:pt x="8260366" y="4649448"/>
                <a:pt x="8275950" y="4665039"/>
                <a:pt x="8275950" y="4684267"/>
              </a:cubicBezTo>
              <a:cubicBezTo>
                <a:pt x="8275950" y="4703495"/>
                <a:pt x="8260366" y="4719086"/>
                <a:pt x="8241138" y="4719086"/>
              </a:cubicBezTo>
              <a:close/>
              <a:moveTo>
                <a:pt x="8326030" y="4719086"/>
              </a:moveTo>
              <a:cubicBezTo>
                <a:pt x="8306803" y="4719086"/>
                <a:pt x="8291205" y="4703495"/>
                <a:pt x="8291205" y="4684267"/>
              </a:cubicBezTo>
              <a:cubicBezTo>
                <a:pt x="8291205" y="4665039"/>
                <a:pt x="8306803" y="4649448"/>
                <a:pt x="8326030" y="4649448"/>
              </a:cubicBezTo>
              <a:cubicBezTo>
                <a:pt x="8345258" y="4649448"/>
                <a:pt x="8360843" y="4665039"/>
                <a:pt x="8360843" y="4684267"/>
              </a:cubicBezTo>
              <a:cubicBezTo>
                <a:pt x="8360843" y="4703495"/>
                <a:pt x="8345258" y="4719086"/>
                <a:pt x="8326030" y="4719086"/>
              </a:cubicBezTo>
              <a:close/>
              <a:moveTo>
                <a:pt x="8410923" y="4719086"/>
              </a:moveTo>
              <a:cubicBezTo>
                <a:pt x="8391695" y="4719086"/>
                <a:pt x="8376097" y="4703495"/>
                <a:pt x="8376097" y="4684267"/>
              </a:cubicBezTo>
              <a:cubicBezTo>
                <a:pt x="8376097" y="4665039"/>
                <a:pt x="8391695" y="4649448"/>
                <a:pt x="8410923" y="4649448"/>
              </a:cubicBezTo>
              <a:cubicBezTo>
                <a:pt x="8430150" y="4649448"/>
                <a:pt x="8445735" y="4665039"/>
                <a:pt x="8445735" y="4684267"/>
              </a:cubicBezTo>
              <a:cubicBezTo>
                <a:pt x="8445735" y="4703495"/>
                <a:pt x="8430150" y="4719086"/>
                <a:pt x="8410923" y="4719086"/>
              </a:cubicBezTo>
              <a:close/>
              <a:moveTo>
                <a:pt x="8495816" y="4719086"/>
              </a:moveTo>
              <a:cubicBezTo>
                <a:pt x="8476588" y="4719086"/>
                <a:pt x="8460990" y="4703495"/>
                <a:pt x="8460990" y="4684267"/>
              </a:cubicBezTo>
              <a:cubicBezTo>
                <a:pt x="8460990" y="4665039"/>
                <a:pt x="8476588" y="4649448"/>
                <a:pt x="8495816" y="4649448"/>
              </a:cubicBezTo>
              <a:cubicBezTo>
                <a:pt x="8515044" y="4649448"/>
                <a:pt x="8530628" y="4665039"/>
                <a:pt x="8530628" y="4684267"/>
              </a:cubicBezTo>
              <a:cubicBezTo>
                <a:pt x="8530628" y="4703495"/>
                <a:pt x="8515044" y="4719086"/>
                <a:pt x="8495816" y="4719086"/>
              </a:cubicBezTo>
              <a:close/>
              <a:moveTo>
                <a:pt x="8580708" y="4719086"/>
              </a:moveTo>
              <a:cubicBezTo>
                <a:pt x="8561480" y="4719086"/>
                <a:pt x="8545883" y="4703495"/>
                <a:pt x="8545883" y="4684267"/>
              </a:cubicBezTo>
              <a:cubicBezTo>
                <a:pt x="8545883" y="4665039"/>
                <a:pt x="8561480" y="4649448"/>
                <a:pt x="8580708" y="4649448"/>
              </a:cubicBezTo>
              <a:cubicBezTo>
                <a:pt x="8599936" y="4649448"/>
                <a:pt x="8615520" y="4665039"/>
                <a:pt x="8615520" y="4684267"/>
              </a:cubicBezTo>
              <a:cubicBezTo>
                <a:pt x="8615520" y="4703495"/>
                <a:pt x="8599936" y="4719086"/>
                <a:pt x="8580708" y="4719086"/>
              </a:cubicBezTo>
              <a:close/>
              <a:moveTo>
                <a:pt x="8665600" y="4719086"/>
              </a:moveTo>
              <a:cubicBezTo>
                <a:pt x="8646373" y="4719086"/>
                <a:pt x="8630775" y="4703495"/>
                <a:pt x="8630775" y="4684267"/>
              </a:cubicBezTo>
              <a:cubicBezTo>
                <a:pt x="8630775" y="4665039"/>
                <a:pt x="8646373" y="4649448"/>
                <a:pt x="8665600" y="4649448"/>
              </a:cubicBezTo>
              <a:cubicBezTo>
                <a:pt x="8684828" y="4649448"/>
                <a:pt x="8700413" y="4665039"/>
                <a:pt x="8700413" y="4684267"/>
              </a:cubicBezTo>
              <a:cubicBezTo>
                <a:pt x="8700413" y="4703495"/>
                <a:pt x="8684828" y="4719086"/>
                <a:pt x="8665600" y="4719086"/>
              </a:cubicBezTo>
              <a:close/>
              <a:moveTo>
                <a:pt x="8835386" y="4719086"/>
              </a:moveTo>
              <a:cubicBezTo>
                <a:pt x="8816158" y="4719086"/>
                <a:pt x="8800560" y="4703495"/>
                <a:pt x="8800560" y="4684267"/>
              </a:cubicBezTo>
              <a:cubicBezTo>
                <a:pt x="8800560" y="4665039"/>
                <a:pt x="8816158" y="4649448"/>
                <a:pt x="8835386" y="4649448"/>
              </a:cubicBezTo>
              <a:cubicBezTo>
                <a:pt x="8854614" y="4649448"/>
                <a:pt x="8870198" y="4665039"/>
                <a:pt x="8870198" y="4684267"/>
              </a:cubicBezTo>
              <a:cubicBezTo>
                <a:pt x="8870198" y="4703495"/>
                <a:pt x="8854614" y="4719086"/>
                <a:pt x="8835386" y="4719086"/>
              </a:cubicBezTo>
              <a:close/>
              <a:moveTo>
                <a:pt x="8920278" y="4719086"/>
              </a:moveTo>
              <a:cubicBezTo>
                <a:pt x="8901050" y="4719086"/>
                <a:pt x="8885453" y="4703495"/>
                <a:pt x="8885453" y="4684267"/>
              </a:cubicBezTo>
              <a:cubicBezTo>
                <a:pt x="8885453" y="4665039"/>
                <a:pt x="8901050" y="4649448"/>
                <a:pt x="8920278" y="4649448"/>
              </a:cubicBezTo>
              <a:cubicBezTo>
                <a:pt x="8939506" y="4649448"/>
                <a:pt x="8955090" y="4665039"/>
                <a:pt x="8955090" y="4684267"/>
              </a:cubicBezTo>
              <a:cubicBezTo>
                <a:pt x="8955090" y="4703495"/>
                <a:pt x="8939506" y="4719086"/>
                <a:pt x="8920278" y="4719086"/>
              </a:cubicBezTo>
              <a:close/>
              <a:moveTo>
                <a:pt x="9005170" y="4719086"/>
              </a:moveTo>
              <a:cubicBezTo>
                <a:pt x="8985943" y="4719086"/>
                <a:pt x="8970345" y="4703495"/>
                <a:pt x="8970345" y="4684267"/>
              </a:cubicBezTo>
              <a:cubicBezTo>
                <a:pt x="8970345" y="4665039"/>
                <a:pt x="8985943" y="4649448"/>
                <a:pt x="9005170" y="4649448"/>
              </a:cubicBezTo>
              <a:cubicBezTo>
                <a:pt x="9024398" y="4649448"/>
                <a:pt x="9039983" y="4665039"/>
                <a:pt x="9039983" y="4684267"/>
              </a:cubicBezTo>
              <a:cubicBezTo>
                <a:pt x="9039983" y="4703495"/>
                <a:pt x="9024398" y="4719086"/>
                <a:pt x="9005170" y="4719086"/>
              </a:cubicBezTo>
              <a:close/>
              <a:moveTo>
                <a:pt x="9090063" y="4719086"/>
              </a:moveTo>
              <a:cubicBezTo>
                <a:pt x="9070835" y="4719086"/>
                <a:pt x="9055237" y="4703495"/>
                <a:pt x="9055237" y="4684267"/>
              </a:cubicBezTo>
              <a:cubicBezTo>
                <a:pt x="9055237" y="4665039"/>
                <a:pt x="9070835" y="4649448"/>
                <a:pt x="9090063" y="4649448"/>
              </a:cubicBezTo>
              <a:cubicBezTo>
                <a:pt x="9109290" y="4649448"/>
                <a:pt x="9124875" y="4665039"/>
                <a:pt x="9124875" y="4684267"/>
              </a:cubicBezTo>
              <a:cubicBezTo>
                <a:pt x="9124875" y="4703495"/>
                <a:pt x="9109290" y="4719086"/>
                <a:pt x="9090063" y="4719086"/>
              </a:cubicBezTo>
              <a:close/>
              <a:moveTo>
                <a:pt x="9174956" y="4719086"/>
              </a:moveTo>
              <a:cubicBezTo>
                <a:pt x="9155728" y="4719086"/>
                <a:pt x="9140130" y="4703495"/>
                <a:pt x="9140130" y="4684267"/>
              </a:cubicBezTo>
              <a:cubicBezTo>
                <a:pt x="9140130" y="4665039"/>
                <a:pt x="9155728" y="4649448"/>
                <a:pt x="9174956" y="4649448"/>
              </a:cubicBezTo>
              <a:cubicBezTo>
                <a:pt x="9194184" y="4649448"/>
                <a:pt x="9209768" y="4665039"/>
                <a:pt x="9209768" y="4684267"/>
              </a:cubicBezTo>
              <a:cubicBezTo>
                <a:pt x="9209768" y="4703495"/>
                <a:pt x="9194184" y="4719086"/>
                <a:pt x="9174956" y="4719086"/>
              </a:cubicBezTo>
              <a:close/>
              <a:moveTo>
                <a:pt x="9259848" y="4719086"/>
              </a:moveTo>
              <a:cubicBezTo>
                <a:pt x="9240620" y="4719086"/>
                <a:pt x="9225023" y="4703495"/>
                <a:pt x="9225023" y="4684267"/>
              </a:cubicBezTo>
              <a:cubicBezTo>
                <a:pt x="9225023" y="4665039"/>
                <a:pt x="9240620" y="4649448"/>
                <a:pt x="9259848" y="4649448"/>
              </a:cubicBezTo>
              <a:cubicBezTo>
                <a:pt x="9279076" y="4649448"/>
                <a:pt x="9294660" y="4665039"/>
                <a:pt x="9294660" y="4684267"/>
              </a:cubicBezTo>
              <a:cubicBezTo>
                <a:pt x="9294660" y="4703495"/>
                <a:pt x="9279076" y="4719086"/>
                <a:pt x="9259848" y="4719086"/>
              </a:cubicBezTo>
              <a:close/>
              <a:moveTo>
                <a:pt x="9344740" y="4719086"/>
              </a:moveTo>
              <a:cubicBezTo>
                <a:pt x="9325513" y="4719086"/>
                <a:pt x="9309915" y="4703495"/>
                <a:pt x="9309915" y="4684267"/>
              </a:cubicBezTo>
              <a:cubicBezTo>
                <a:pt x="9309915" y="4665039"/>
                <a:pt x="9325513" y="4649448"/>
                <a:pt x="9344740" y="4649448"/>
              </a:cubicBezTo>
              <a:cubicBezTo>
                <a:pt x="9363968" y="4649448"/>
                <a:pt x="9379553" y="4665039"/>
                <a:pt x="9379553" y="4684267"/>
              </a:cubicBezTo>
              <a:cubicBezTo>
                <a:pt x="9379553" y="4703495"/>
                <a:pt x="9363968" y="4719086"/>
                <a:pt x="9344740" y="4719086"/>
              </a:cubicBezTo>
              <a:close/>
              <a:moveTo>
                <a:pt x="9429633" y="4719086"/>
              </a:moveTo>
              <a:cubicBezTo>
                <a:pt x="9410405" y="4719086"/>
                <a:pt x="9394807" y="4703495"/>
                <a:pt x="9394807" y="4684267"/>
              </a:cubicBezTo>
              <a:cubicBezTo>
                <a:pt x="9394807" y="4665039"/>
                <a:pt x="9410405" y="4649448"/>
                <a:pt x="9429633" y="4649448"/>
              </a:cubicBezTo>
              <a:cubicBezTo>
                <a:pt x="9448860" y="4649448"/>
                <a:pt x="9464445" y="4665039"/>
                <a:pt x="9464445" y="4684267"/>
              </a:cubicBezTo>
              <a:cubicBezTo>
                <a:pt x="9464445" y="4703495"/>
                <a:pt x="9448860" y="4719086"/>
                <a:pt x="9429633" y="4719086"/>
              </a:cubicBezTo>
              <a:close/>
              <a:moveTo>
                <a:pt x="9514525" y="4719086"/>
              </a:moveTo>
              <a:cubicBezTo>
                <a:pt x="9495297" y="4719086"/>
                <a:pt x="9479699" y="4703495"/>
                <a:pt x="9479699" y="4684267"/>
              </a:cubicBezTo>
              <a:cubicBezTo>
                <a:pt x="9479699" y="4665039"/>
                <a:pt x="9495297" y="4649448"/>
                <a:pt x="9514525" y="4649448"/>
              </a:cubicBezTo>
              <a:cubicBezTo>
                <a:pt x="9533753" y="4649448"/>
                <a:pt x="9549337" y="4665039"/>
                <a:pt x="9549337" y="4684267"/>
              </a:cubicBezTo>
              <a:cubicBezTo>
                <a:pt x="9549337" y="4703495"/>
                <a:pt x="9533753" y="4719086"/>
                <a:pt x="9514525" y="4719086"/>
              </a:cubicBezTo>
              <a:close/>
              <a:moveTo>
                <a:pt x="9599418" y="4719086"/>
              </a:moveTo>
              <a:cubicBezTo>
                <a:pt x="9580190" y="4719086"/>
                <a:pt x="9564593" y="4703495"/>
                <a:pt x="9564593" y="4684267"/>
              </a:cubicBezTo>
              <a:cubicBezTo>
                <a:pt x="9564593" y="4665039"/>
                <a:pt x="9580190" y="4649448"/>
                <a:pt x="9599418" y="4649448"/>
              </a:cubicBezTo>
              <a:cubicBezTo>
                <a:pt x="9618646" y="4649448"/>
                <a:pt x="9634230" y="4665039"/>
                <a:pt x="9634230" y="4684267"/>
              </a:cubicBezTo>
              <a:cubicBezTo>
                <a:pt x="9634230" y="4703495"/>
                <a:pt x="9618646" y="4719086"/>
                <a:pt x="9599418" y="4719086"/>
              </a:cubicBezTo>
              <a:close/>
              <a:moveTo>
                <a:pt x="9684310" y="4719086"/>
              </a:moveTo>
              <a:cubicBezTo>
                <a:pt x="9665083" y="4719086"/>
                <a:pt x="9649485" y="4703495"/>
                <a:pt x="9649485" y="4684267"/>
              </a:cubicBezTo>
              <a:cubicBezTo>
                <a:pt x="9649485" y="4665039"/>
                <a:pt x="9665083" y="4649448"/>
                <a:pt x="9684310" y="4649448"/>
              </a:cubicBezTo>
              <a:cubicBezTo>
                <a:pt x="9703538" y="4649448"/>
                <a:pt x="9719123" y="4665039"/>
                <a:pt x="9719123" y="4684267"/>
              </a:cubicBezTo>
              <a:cubicBezTo>
                <a:pt x="9719123" y="4703495"/>
                <a:pt x="9703538" y="4719086"/>
                <a:pt x="9684310" y="4719086"/>
              </a:cubicBezTo>
              <a:close/>
              <a:moveTo>
                <a:pt x="9769203" y="4719086"/>
              </a:moveTo>
              <a:cubicBezTo>
                <a:pt x="9749975" y="4719086"/>
                <a:pt x="9734377" y="4703495"/>
                <a:pt x="9734377" y="4684267"/>
              </a:cubicBezTo>
              <a:cubicBezTo>
                <a:pt x="9734377" y="4665039"/>
                <a:pt x="9749975" y="4649448"/>
                <a:pt x="9769203" y="4649448"/>
              </a:cubicBezTo>
              <a:cubicBezTo>
                <a:pt x="9788430" y="4649448"/>
                <a:pt x="9804015" y="4665039"/>
                <a:pt x="9804015" y="4684267"/>
              </a:cubicBezTo>
              <a:cubicBezTo>
                <a:pt x="9804015" y="4703495"/>
                <a:pt x="9788430" y="4719086"/>
                <a:pt x="9769203" y="4719086"/>
              </a:cubicBezTo>
              <a:close/>
              <a:moveTo>
                <a:pt x="9854095" y="4719086"/>
              </a:moveTo>
              <a:cubicBezTo>
                <a:pt x="9834867" y="4719086"/>
                <a:pt x="9819269" y="4703495"/>
                <a:pt x="9819269" y="4684267"/>
              </a:cubicBezTo>
              <a:cubicBezTo>
                <a:pt x="9819269" y="4665039"/>
                <a:pt x="9834867" y="4649448"/>
                <a:pt x="9854095" y="4649448"/>
              </a:cubicBezTo>
              <a:cubicBezTo>
                <a:pt x="9873323" y="4649448"/>
                <a:pt x="9888907" y="4665039"/>
                <a:pt x="9888907" y="4684267"/>
              </a:cubicBezTo>
              <a:cubicBezTo>
                <a:pt x="9888907" y="4703495"/>
                <a:pt x="9873323" y="4719086"/>
                <a:pt x="9854095" y="4719086"/>
              </a:cubicBezTo>
              <a:close/>
              <a:moveTo>
                <a:pt x="9938988" y="4719086"/>
              </a:moveTo>
              <a:cubicBezTo>
                <a:pt x="9919760" y="4719086"/>
                <a:pt x="9904163" y="4703495"/>
                <a:pt x="9904163" y="4684267"/>
              </a:cubicBezTo>
              <a:cubicBezTo>
                <a:pt x="9904163" y="4665039"/>
                <a:pt x="9919760" y="4649448"/>
                <a:pt x="9938988" y="4649448"/>
              </a:cubicBezTo>
              <a:cubicBezTo>
                <a:pt x="9958216" y="4649448"/>
                <a:pt x="9973800" y="4665039"/>
                <a:pt x="9973800" y="4684267"/>
              </a:cubicBezTo>
              <a:cubicBezTo>
                <a:pt x="9973800" y="4703495"/>
                <a:pt x="9958216" y="4719086"/>
                <a:pt x="9938988" y="4719086"/>
              </a:cubicBezTo>
              <a:close/>
              <a:moveTo>
                <a:pt x="10363450" y="4719086"/>
              </a:moveTo>
              <a:cubicBezTo>
                <a:pt x="10344223" y="4719086"/>
                <a:pt x="10328625" y="4703495"/>
                <a:pt x="10328625" y="4684267"/>
              </a:cubicBezTo>
              <a:cubicBezTo>
                <a:pt x="10328625" y="4665039"/>
                <a:pt x="10344223" y="4649448"/>
                <a:pt x="10363450" y="4649448"/>
              </a:cubicBezTo>
              <a:cubicBezTo>
                <a:pt x="10382678" y="4649448"/>
                <a:pt x="10398263" y="4665039"/>
                <a:pt x="10398263" y="4684267"/>
              </a:cubicBezTo>
              <a:cubicBezTo>
                <a:pt x="10398263" y="4703495"/>
                <a:pt x="10382678" y="4719086"/>
                <a:pt x="10363450" y="4719086"/>
              </a:cubicBezTo>
              <a:close/>
              <a:moveTo>
                <a:pt x="2213769" y="4634226"/>
              </a:moveTo>
              <a:cubicBezTo>
                <a:pt x="2194541" y="4634226"/>
                <a:pt x="2178950" y="4618635"/>
                <a:pt x="2178950" y="4599407"/>
              </a:cubicBezTo>
              <a:cubicBezTo>
                <a:pt x="2178950" y="4580180"/>
                <a:pt x="2194541" y="4564589"/>
                <a:pt x="2213769" y="4564589"/>
              </a:cubicBezTo>
              <a:cubicBezTo>
                <a:pt x="2232997" y="4564589"/>
                <a:pt x="2248588" y="4580180"/>
                <a:pt x="2248588" y="4599407"/>
              </a:cubicBezTo>
              <a:cubicBezTo>
                <a:pt x="2248588" y="4618635"/>
                <a:pt x="2232997" y="4634226"/>
                <a:pt x="2213769" y="4634226"/>
              </a:cubicBezTo>
              <a:close/>
              <a:moveTo>
                <a:pt x="2298661" y="4634226"/>
              </a:moveTo>
              <a:cubicBezTo>
                <a:pt x="2279433" y="4634226"/>
                <a:pt x="2263842" y="4618635"/>
                <a:pt x="2263842" y="4599407"/>
              </a:cubicBezTo>
              <a:cubicBezTo>
                <a:pt x="2263842" y="4580180"/>
                <a:pt x="2279433" y="4564589"/>
                <a:pt x="2298661" y="4564589"/>
              </a:cubicBezTo>
              <a:cubicBezTo>
                <a:pt x="2317889" y="4564589"/>
                <a:pt x="2333480" y="4580180"/>
                <a:pt x="2333480" y="4599407"/>
              </a:cubicBezTo>
              <a:cubicBezTo>
                <a:pt x="2333480" y="4618635"/>
                <a:pt x="2317889" y="4634226"/>
                <a:pt x="2298661" y="4634226"/>
              </a:cubicBezTo>
              <a:close/>
              <a:moveTo>
                <a:pt x="2383553" y="4634226"/>
              </a:moveTo>
              <a:cubicBezTo>
                <a:pt x="2364326" y="4634226"/>
                <a:pt x="2348734" y="4618635"/>
                <a:pt x="2348734" y="4599407"/>
              </a:cubicBezTo>
              <a:cubicBezTo>
                <a:pt x="2348734" y="4580180"/>
                <a:pt x="2364326" y="4564589"/>
                <a:pt x="2383553" y="4564589"/>
              </a:cubicBezTo>
              <a:cubicBezTo>
                <a:pt x="2402781" y="4564589"/>
                <a:pt x="2418372" y="4580180"/>
                <a:pt x="2418372" y="4599407"/>
              </a:cubicBezTo>
              <a:cubicBezTo>
                <a:pt x="2418372" y="4618635"/>
                <a:pt x="2402781" y="4634226"/>
                <a:pt x="2383553" y="4634226"/>
              </a:cubicBezTo>
              <a:close/>
              <a:moveTo>
                <a:pt x="2468446" y="4634226"/>
              </a:moveTo>
              <a:cubicBezTo>
                <a:pt x="2449218" y="4634226"/>
                <a:pt x="2433627" y="4618635"/>
                <a:pt x="2433627" y="4599407"/>
              </a:cubicBezTo>
              <a:cubicBezTo>
                <a:pt x="2433627" y="4580180"/>
                <a:pt x="2449218" y="4564589"/>
                <a:pt x="2468446" y="4564589"/>
              </a:cubicBezTo>
              <a:cubicBezTo>
                <a:pt x="2487673" y="4564589"/>
                <a:pt x="2503264" y="4580180"/>
                <a:pt x="2503264" y="4599407"/>
              </a:cubicBezTo>
              <a:cubicBezTo>
                <a:pt x="2503264" y="4618635"/>
                <a:pt x="2487673" y="4634226"/>
                <a:pt x="2468446" y="4634226"/>
              </a:cubicBezTo>
              <a:close/>
              <a:moveTo>
                <a:pt x="2553339" y="4634226"/>
              </a:moveTo>
              <a:cubicBezTo>
                <a:pt x="2534111" y="4634226"/>
                <a:pt x="2518520" y="4618635"/>
                <a:pt x="2518520" y="4599407"/>
              </a:cubicBezTo>
              <a:cubicBezTo>
                <a:pt x="2518520" y="4580180"/>
                <a:pt x="2534111" y="4564589"/>
                <a:pt x="2553339" y="4564589"/>
              </a:cubicBezTo>
              <a:cubicBezTo>
                <a:pt x="2572567" y="4564589"/>
                <a:pt x="2588158" y="4580180"/>
                <a:pt x="2588158" y="4599407"/>
              </a:cubicBezTo>
              <a:cubicBezTo>
                <a:pt x="2588158" y="4618635"/>
                <a:pt x="2572567" y="4634226"/>
                <a:pt x="2553339" y="4634226"/>
              </a:cubicBezTo>
              <a:close/>
              <a:moveTo>
                <a:pt x="2638231" y="4634226"/>
              </a:moveTo>
              <a:cubicBezTo>
                <a:pt x="2619003" y="4634226"/>
                <a:pt x="2603412" y="4618635"/>
                <a:pt x="2603412" y="4599407"/>
              </a:cubicBezTo>
              <a:cubicBezTo>
                <a:pt x="2603412" y="4580180"/>
                <a:pt x="2619003" y="4564589"/>
                <a:pt x="2638231" y="4564589"/>
              </a:cubicBezTo>
              <a:cubicBezTo>
                <a:pt x="2657459" y="4564589"/>
                <a:pt x="2673050" y="4580180"/>
                <a:pt x="2673050" y="4599407"/>
              </a:cubicBezTo>
              <a:cubicBezTo>
                <a:pt x="2673050" y="4618635"/>
                <a:pt x="2657459" y="4634226"/>
                <a:pt x="2638231" y="4634226"/>
              </a:cubicBezTo>
              <a:close/>
              <a:moveTo>
                <a:pt x="2723123" y="4634226"/>
              </a:moveTo>
              <a:cubicBezTo>
                <a:pt x="2703896" y="4634226"/>
                <a:pt x="2688304" y="4618635"/>
                <a:pt x="2688304" y="4599407"/>
              </a:cubicBezTo>
              <a:cubicBezTo>
                <a:pt x="2688304" y="4580180"/>
                <a:pt x="2703896" y="4564589"/>
                <a:pt x="2723123" y="4564589"/>
              </a:cubicBezTo>
              <a:cubicBezTo>
                <a:pt x="2742351" y="4564589"/>
                <a:pt x="2757942" y="4580180"/>
                <a:pt x="2757942" y="4599407"/>
              </a:cubicBezTo>
              <a:cubicBezTo>
                <a:pt x="2757942" y="4618635"/>
                <a:pt x="2742351" y="4634226"/>
                <a:pt x="2723123" y="4634226"/>
              </a:cubicBezTo>
              <a:close/>
              <a:moveTo>
                <a:pt x="2808016" y="4634226"/>
              </a:moveTo>
              <a:cubicBezTo>
                <a:pt x="2788788" y="4634226"/>
                <a:pt x="2773197" y="4618635"/>
                <a:pt x="2773197" y="4599407"/>
              </a:cubicBezTo>
              <a:cubicBezTo>
                <a:pt x="2773197" y="4580180"/>
                <a:pt x="2788788" y="4564589"/>
                <a:pt x="2808016" y="4564589"/>
              </a:cubicBezTo>
              <a:cubicBezTo>
                <a:pt x="2827243" y="4564589"/>
                <a:pt x="2842834" y="4580180"/>
                <a:pt x="2842834" y="4599407"/>
              </a:cubicBezTo>
              <a:cubicBezTo>
                <a:pt x="2842834" y="4618635"/>
                <a:pt x="2827243" y="4634226"/>
                <a:pt x="2808016" y="4634226"/>
              </a:cubicBezTo>
              <a:close/>
              <a:moveTo>
                <a:pt x="2892908" y="4634226"/>
              </a:moveTo>
              <a:cubicBezTo>
                <a:pt x="2873680" y="4634226"/>
                <a:pt x="2858089" y="4618635"/>
                <a:pt x="2858089" y="4599407"/>
              </a:cubicBezTo>
              <a:cubicBezTo>
                <a:pt x="2858089" y="4580180"/>
                <a:pt x="2873680" y="4564589"/>
                <a:pt x="2892908" y="4564589"/>
              </a:cubicBezTo>
              <a:cubicBezTo>
                <a:pt x="2912136" y="4564589"/>
                <a:pt x="2927727" y="4580180"/>
                <a:pt x="2927727" y="4599407"/>
              </a:cubicBezTo>
              <a:cubicBezTo>
                <a:pt x="2927727" y="4618635"/>
                <a:pt x="2912136" y="4634226"/>
                <a:pt x="2892908" y="4634226"/>
              </a:cubicBezTo>
              <a:close/>
              <a:moveTo>
                <a:pt x="2977801" y="4634226"/>
              </a:moveTo>
              <a:cubicBezTo>
                <a:pt x="2958573" y="4634226"/>
                <a:pt x="2942982" y="4618635"/>
                <a:pt x="2942982" y="4599407"/>
              </a:cubicBezTo>
              <a:cubicBezTo>
                <a:pt x="2942982" y="4580180"/>
                <a:pt x="2958573" y="4564589"/>
                <a:pt x="2977801" y="4564589"/>
              </a:cubicBezTo>
              <a:cubicBezTo>
                <a:pt x="2997029" y="4564589"/>
                <a:pt x="3012620" y="4580180"/>
                <a:pt x="3012620" y="4599407"/>
              </a:cubicBezTo>
              <a:cubicBezTo>
                <a:pt x="3012620" y="4618635"/>
                <a:pt x="2997029" y="4634226"/>
                <a:pt x="2977801" y="4634226"/>
              </a:cubicBezTo>
              <a:close/>
              <a:moveTo>
                <a:pt x="3147586" y="4634226"/>
              </a:moveTo>
              <a:cubicBezTo>
                <a:pt x="3128358" y="4634226"/>
                <a:pt x="3112767" y="4618635"/>
                <a:pt x="3112767" y="4599407"/>
              </a:cubicBezTo>
              <a:cubicBezTo>
                <a:pt x="3112767" y="4580180"/>
                <a:pt x="3128358" y="4564589"/>
                <a:pt x="3147586" y="4564589"/>
              </a:cubicBezTo>
              <a:cubicBezTo>
                <a:pt x="3166813" y="4564589"/>
                <a:pt x="3182404" y="4580180"/>
                <a:pt x="3182404" y="4599407"/>
              </a:cubicBezTo>
              <a:cubicBezTo>
                <a:pt x="3182404" y="4618635"/>
                <a:pt x="3166813" y="4634226"/>
                <a:pt x="3147586" y="4634226"/>
              </a:cubicBezTo>
              <a:close/>
              <a:moveTo>
                <a:pt x="3317371" y="4634226"/>
              </a:moveTo>
              <a:cubicBezTo>
                <a:pt x="3298143" y="4634226"/>
                <a:pt x="3282552" y="4618635"/>
                <a:pt x="3282552" y="4599407"/>
              </a:cubicBezTo>
              <a:cubicBezTo>
                <a:pt x="3282552" y="4580180"/>
                <a:pt x="3298143" y="4564589"/>
                <a:pt x="3317371" y="4564589"/>
              </a:cubicBezTo>
              <a:cubicBezTo>
                <a:pt x="3336599" y="4564589"/>
                <a:pt x="3352190" y="4580180"/>
                <a:pt x="3352190" y="4599407"/>
              </a:cubicBezTo>
              <a:cubicBezTo>
                <a:pt x="3352190" y="4618635"/>
                <a:pt x="3336599" y="4634226"/>
                <a:pt x="3317371" y="4634226"/>
              </a:cubicBezTo>
              <a:close/>
              <a:moveTo>
                <a:pt x="3402263" y="4634226"/>
              </a:moveTo>
              <a:cubicBezTo>
                <a:pt x="3383036" y="4634226"/>
                <a:pt x="3367444" y="4618635"/>
                <a:pt x="3367444" y="4599407"/>
              </a:cubicBezTo>
              <a:cubicBezTo>
                <a:pt x="3367444" y="4580180"/>
                <a:pt x="3383036" y="4564589"/>
                <a:pt x="3402263" y="4564589"/>
              </a:cubicBezTo>
              <a:cubicBezTo>
                <a:pt x="3421491" y="4564589"/>
                <a:pt x="3437082" y="4580180"/>
                <a:pt x="3437082" y="4599407"/>
              </a:cubicBezTo>
              <a:cubicBezTo>
                <a:pt x="3437082" y="4618635"/>
                <a:pt x="3421491" y="4634226"/>
                <a:pt x="3402263" y="4634226"/>
              </a:cubicBezTo>
              <a:close/>
              <a:moveTo>
                <a:pt x="3487156" y="4634226"/>
              </a:moveTo>
              <a:cubicBezTo>
                <a:pt x="3467928" y="4634226"/>
                <a:pt x="3452337" y="4618635"/>
                <a:pt x="3452337" y="4599407"/>
              </a:cubicBezTo>
              <a:cubicBezTo>
                <a:pt x="3452337" y="4580180"/>
                <a:pt x="3467928" y="4564589"/>
                <a:pt x="3487156" y="4564589"/>
              </a:cubicBezTo>
              <a:cubicBezTo>
                <a:pt x="3506383" y="4564589"/>
                <a:pt x="3521974" y="4580180"/>
                <a:pt x="3521974" y="4599407"/>
              </a:cubicBezTo>
              <a:cubicBezTo>
                <a:pt x="3521974" y="4618635"/>
                <a:pt x="3506383" y="4634226"/>
                <a:pt x="3487156" y="4634226"/>
              </a:cubicBezTo>
              <a:close/>
              <a:moveTo>
                <a:pt x="3741833" y="4634226"/>
              </a:moveTo>
              <a:cubicBezTo>
                <a:pt x="3722606" y="4634226"/>
                <a:pt x="3707014" y="4618635"/>
                <a:pt x="3707014" y="4599407"/>
              </a:cubicBezTo>
              <a:cubicBezTo>
                <a:pt x="3707014" y="4580180"/>
                <a:pt x="3722606" y="4564589"/>
                <a:pt x="3741833" y="4564589"/>
              </a:cubicBezTo>
              <a:cubicBezTo>
                <a:pt x="3761061" y="4564589"/>
                <a:pt x="3776652" y="4580180"/>
                <a:pt x="3776652" y="4599407"/>
              </a:cubicBezTo>
              <a:cubicBezTo>
                <a:pt x="3776652" y="4618635"/>
                <a:pt x="3761061" y="4634226"/>
                <a:pt x="3741833" y="4634226"/>
              </a:cubicBezTo>
              <a:close/>
              <a:moveTo>
                <a:pt x="3826726" y="4634226"/>
              </a:moveTo>
              <a:cubicBezTo>
                <a:pt x="3807498" y="4634226"/>
                <a:pt x="3791907" y="4618635"/>
                <a:pt x="3791907" y="4599407"/>
              </a:cubicBezTo>
              <a:cubicBezTo>
                <a:pt x="3791907" y="4580180"/>
                <a:pt x="3807498" y="4564589"/>
                <a:pt x="3826726" y="4564589"/>
              </a:cubicBezTo>
              <a:cubicBezTo>
                <a:pt x="3845953" y="4564589"/>
                <a:pt x="3861544" y="4580180"/>
                <a:pt x="3861544" y="4599407"/>
              </a:cubicBezTo>
              <a:cubicBezTo>
                <a:pt x="3861544" y="4618635"/>
                <a:pt x="3845953" y="4634226"/>
                <a:pt x="3826726" y="4634226"/>
              </a:cubicBezTo>
              <a:close/>
              <a:moveTo>
                <a:pt x="3911618" y="4634226"/>
              </a:moveTo>
              <a:cubicBezTo>
                <a:pt x="3892390" y="4634226"/>
                <a:pt x="3876799" y="4618635"/>
                <a:pt x="3876799" y="4599407"/>
              </a:cubicBezTo>
              <a:cubicBezTo>
                <a:pt x="3876799" y="4580180"/>
                <a:pt x="3892390" y="4564589"/>
                <a:pt x="3911618" y="4564589"/>
              </a:cubicBezTo>
              <a:cubicBezTo>
                <a:pt x="3930846" y="4564589"/>
                <a:pt x="3946437" y="4580180"/>
                <a:pt x="3946437" y="4599407"/>
              </a:cubicBezTo>
              <a:cubicBezTo>
                <a:pt x="3946437" y="4618635"/>
                <a:pt x="3930846" y="4634226"/>
                <a:pt x="3911618" y="4634226"/>
              </a:cubicBezTo>
              <a:close/>
              <a:moveTo>
                <a:pt x="3996511" y="4634226"/>
              </a:moveTo>
              <a:cubicBezTo>
                <a:pt x="3977283" y="4634226"/>
                <a:pt x="3961692" y="4618635"/>
                <a:pt x="3961692" y="4599407"/>
              </a:cubicBezTo>
              <a:cubicBezTo>
                <a:pt x="3961692" y="4580180"/>
                <a:pt x="3977283" y="4564589"/>
                <a:pt x="3996511" y="4564589"/>
              </a:cubicBezTo>
              <a:cubicBezTo>
                <a:pt x="4015739" y="4564589"/>
                <a:pt x="4031330" y="4580180"/>
                <a:pt x="4031330" y="4599407"/>
              </a:cubicBezTo>
              <a:cubicBezTo>
                <a:pt x="4031330" y="4618635"/>
                <a:pt x="4015739" y="4634226"/>
                <a:pt x="3996511" y="4634226"/>
              </a:cubicBezTo>
              <a:close/>
              <a:moveTo>
                <a:pt x="4081403" y="4634226"/>
              </a:moveTo>
              <a:cubicBezTo>
                <a:pt x="4062176" y="4634226"/>
                <a:pt x="4046584" y="4618635"/>
                <a:pt x="4046584" y="4599407"/>
              </a:cubicBezTo>
              <a:cubicBezTo>
                <a:pt x="4046584" y="4580180"/>
                <a:pt x="4062176" y="4564589"/>
                <a:pt x="4081403" y="4564589"/>
              </a:cubicBezTo>
              <a:cubicBezTo>
                <a:pt x="4100631" y="4564589"/>
                <a:pt x="4116222" y="4580180"/>
                <a:pt x="4116222" y="4599407"/>
              </a:cubicBezTo>
              <a:cubicBezTo>
                <a:pt x="4116222" y="4618635"/>
                <a:pt x="4100631" y="4634226"/>
                <a:pt x="4081403" y="4634226"/>
              </a:cubicBezTo>
              <a:close/>
              <a:moveTo>
                <a:pt x="5694360" y="4634226"/>
              </a:moveTo>
              <a:cubicBezTo>
                <a:pt x="5675132" y="4634226"/>
                <a:pt x="5659541" y="4618635"/>
                <a:pt x="5659541" y="4599407"/>
              </a:cubicBezTo>
              <a:cubicBezTo>
                <a:pt x="5659541" y="4580180"/>
                <a:pt x="5675132" y="4564589"/>
                <a:pt x="5694360" y="4564589"/>
              </a:cubicBezTo>
              <a:cubicBezTo>
                <a:pt x="5713588" y="4564589"/>
                <a:pt x="5729179" y="4580180"/>
                <a:pt x="5729179" y="4599407"/>
              </a:cubicBezTo>
              <a:cubicBezTo>
                <a:pt x="5729179" y="4618635"/>
                <a:pt x="5713588" y="4634226"/>
                <a:pt x="5694360" y="4634226"/>
              </a:cubicBezTo>
              <a:close/>
              <a:moveTo>
                <a:pt x="6203718" y="4634226"/>
              </a:moveTo>
              <a:cubicBezTo>
                <a:pt x="6184490" y="4634226"/>
                <a:pt x="6168893" y="4618635"/>
                <a:pt x="6168893" y="4599407"/>
              </a:cubicBezTo>
              <a:cubicBezTo>
                <a:pt x="6168893" y="4580180"/>
                <a:pt x="6184490" y="4564589"/>
                <a:pt x="6203718" y="4564589"/>
              </a:cubicBezTo>
              <a:cubicBezTo>
                <a:pt x="6222946" y="4564589"/>
                <a:pt x="6238530" y="4580180"/>
                <a:pt x="6238530" y="4599407"/>
              </a:cubicBezTo>
              <a:cubicBezTo>
                <a:pt x="6238530" y="4618635"/>
                <a:pt x="6222946" y="4634226"/>
                <a:pt x="6203718" y="4634226"/>
              </a:cubicBezTo>
              <a:close/>
              <a:moveTo>
                <a:pt x="6458396" y="4634226"/>
              </a:moveTo>
              <a:cubicBezTo>
                <a:pt x="6439168" y="4634226"/>
                <a:pt x="6423570" y="4618635"/>
                <a:pt x="6423570" y="4599407"/>
              </a:cubicBezTo>
              <a:cubicBezTo>
                <a:pt x="6423570" y="4580180"/>
                <a:pt x="6439168" y="4564589"/>
                <a:pt x="6458396" y="4564589"/>
              </a:cubicBezTo>
              <a:cubicBezTo>
                <a:pt x="6477624" y="4564589"/>
                <a:pt x="6493208" y="4580180"/>
                <a:pt x="6493208" y="4599407"/>
              </a:cubicBezTo>
              <a:cubicBezTo>
                <a:pt x="6493208" y="4618635"/>
                <a:pt x="6477624" y="4634226"/>
                <a:pt x="6458396" y="4634226"/>
              </a:cubicBezTo>
              <a:close/>
              <a:moveTo>
                <a:pt x="6543288" y="4634226"/>
              </a:moveTo>
              <a:cubicBezTo>
                <a:pt x="6524060" y="4634226"/>
                <a:pt x="6508463" y="4618635"/>
                <a:pt x="6508463" y="4599407"/>
              </a:cubicBezTo>
              <a:cubicBezTo>
                <a:pt x="6508463" y="4580180"/>
                <a:pt x="6524060" y="4564589"/>
                <a:pt x="6543288" y="4564589"/>
              </a:cubicBezTo>
              <a:cubicBezTo>
                <a:pt x="6562516" y="4564589"/>
                <a:pt x="6578100" y="4580180"/>
                <a:pt x="6578100" y="4599407"/>
              </a:cubicBezTo>
              <a:cubicBezTo>
                <a:pt x="6578100" y="4618635"/>
                <a:pt x="6562516" y="4634226"/>
                <a:pt x="6543288" y="4634226"/>
              </a:cubicBezTo>
              <a:close/>
              <a:moveTo>
                <a:pt x="6628181" y="4634226"/>
              </a:moveTo>
              <a:cubicBezTo>
                <a:pt x="6608954" y="4634226"/>
                <a:pt x="6593356" y="4618635"/>
                <a:pt x="6593356" y="4599407"/>
              </a:cubicBezTo>
              <a:cubicBezTo>
                <a:pt x="6593356" y="4580180"/>
                <a:pt x="6608954" y="4564589"/>
                <a:pt x="6628181" y="4564589"/>
              </a:cubicBezTo>
              <a:cubicBezTo>
                <a:pt x="6647409" y="4564589"/>
                <a:pt x="6662994" y="4580180"/>
                <a:pt x="6662994" y="4599407"/>
              </a:cubicBezTo>
              <a:cubicBezTo>
                <a:pt x="6662994" y="4618635"/>
                <a:pt x="6647409" y="4634226"/>
                <a:pt x="6628181" y="4634226"/>
              </a:cubicBezTo>
              <a:close/>
              <a:moveTo>
                <a:pt x="6713074" y="4634226"/>
              </a:moveTo>
              <a:cubicBezTo>
                <a:pt x="6693846" y="4634226"/>
                <a:pt x="6678248" y="4618635"/>
                <a:pt x="6678248" y="4599407"/>
              </a:cubicBezTo>
              <a:cubicBezTo>
                <a:pt x="6678248" y="4580180"/>
                <a:pt x="6693846" y="4564589"/>
                <a:pt x="6713074" y="4564589"/>
              </a:cubicBezTo>
              <a:cubicBezTo>
                <a:pt x="6732301" y="4564589"/>
                <a:pt x="6747886" y="4580180"/>
                <a:pt x="6747886" y="4599407"/>
              </a:cubicBezTo>
              <a:cubicBezTo>
                <a:pt x="6747886" y="4618635"/>
                <a:pt x="6732301" y="4634226"/>
                <a:pt x="6713074" y="4634226"/>
              </a:cubicBezTo>
              <a:close/>
              <a:moveTo>
                <a:pt x="6797966" y="4634226"/>
              </a:moveTo>
              <a:cubicBezTo>
                <a:pt x="6778738" y="4634226"/>
                <a:pt x="6763140" y="4618635"/>
                <a:pt x="6763140" y="4599407"/>
              </a:cubicBezTo>
              <a:cubicBezTo>
                <a:pt x="6763140" y="4580180"/>
                <a:pt x="6778738" y="4564589"/>
                <a:pt x="6797966" y="4564589"/>
              </a:cubicBezTo>
              <a:cubicBezTo>
                <a:pt x="6817194" y="4564589"/>
                <a:pt x="6832778" y="4580180"/>
                <a:pt x="6832778" y="4599407"/>
              </a:cubicBezTo>
              <a:cubicBezTo>
                <a:pt x="6832778" y="4618635"/>
                <a:pt x="6817194" y="4634226"/>
                <a:pt x="6797966" y="4634226"/>
              </a:cubicBezTo>
              <a:close/>
              <a:moveTo>
                <a:pt x="6882858" y="4634226"/>
              </a:moveTo>
              <a:cubicBezTo>
                <a:pt x="6863630" y="4634226"/>
                <a:pt x="6848033" y="4618635"/>
                <a:pt x="6848033" y="4599407"/>
              </a:cubicBezTo>
              <a:cubicBezTo>
                <a:pt x="6848033" y="4580180"/>
                <a:pt x="6863630" y="4564589"/>
                <a:pt x="6882858" y="4564589"/>
              </a:cubicBezTo>
              <a:cubicBezTo>
                <a:pt x="6902086" y="4564589"/>
                <a:pt x="6917670" y="4580180"/>
                <a:pt x="6917670" y="4599407"/>
              </a:cubicBezTo>
              <a:cubicBezTo>
                <a:pt x="6917670" y="4618635"/>
                <a:pt x="6902086" y="4634226"/>
                <a:pt x="6882858" y="4634226"/>
              </a:cubicBezTo>
              <a:close/>
              <a:moveTo>
                <a:pt x="6967750" y="4634226"/>
              </a:moveTo>
              <a:cubicBezTo>
                <a:pt x="6948523" y="4634226"/>
                <a:pt x="6932925" y="4618635"/>
                <a:pt x="6932925" y="4599407"/>
              </a:cubicBezTo>
              <a:cubicBezTo>
                <a:pt x="6932925" y="4580180"/>
                <a:pt x="6948523" y="4564589"/>
                <a:pt x="6967750" y="4564589"/>
              </a:cubicBezTo>
              <a:cubicBezTo>
                <a:pt x="6986978" y="4564589"/>
                <a:pt x="7002563" y="4580180"/>
                <a:pt x="7002563" y="4599407"/>
              </a:cubicBezTo>
              <a:cubicBezTo>
                <a:pt x="7002563" y="4618635"/>
                <a:pt x="6986978" y="4634226"/>
                <a:pt x="6967750" y="4634226"/>
              </a:cubicBezTo>
              <a:close/>
              <a:moveTo>
                <a:pt x="7052644" y="4634226"/>
              </a:moveTo>
              <a:cubicBezTo>
                <a:pt x="7033416" y="4634226"/>
                <a:pt x="7017818" y="4618635"/>
                <a:pt x="7017818" y="4599407"/>
              </a:cubicBezTo>
              <a:cubicBezTo>
                <a:pt x="7017818" y="4580180"/>
                <a:pt x="7033416" y="4564589"/>
                <a:pt x="7052644" y="4564589"/>
              </a:cubicBezTo>
              <a:cubicBezTo>
                <a:pt x="7071871" y="4564589"/>
                <a:pt x="7087456" y="4580180"/>
                <a:pt x="7087456" y="4599407"/>
              </a:cubicBezTo>
              <a:cubicBezTo>
                <a:pt x="7087456" y="4618635"/>
                <a:pt x="7071871" y="4634226"/>
                <a:pt x="7052644" y="4634226"/>
              </a:cubicBezTo>
              <a:close/>
              <a:moveTo>
                <a:pt x="7137536" y="4634226"/>
              </a:moveTo>
              <a:cubicBezTo>
                <a:pt x="7118308" y="4634226"/>
                <a:pt x="7102710" y="4618635"/>
                <a:pt x="7102710" y="4599407"/>
              </a:cubicBezTo>
              <a:cubicBezTo>
                <a:pt x="7102710" y="4580180"/>
                <a:pt x="7118308" y="4564589"/>
                <a:pt x="7137536" y="4564589"/>
              </a:cubicBezTo>
              <a:cubicBezTo>
                <a:pt x="7156764" y="4564589"/>
                <a:pt x="7172348" y="4580180"/>
                <a:pt x="7172348" y="4599407"/>
              </a:cubicBezTo>
              <a:cubicBezTo>
                <a:pt x="7172348" y="4618635"/>
                <a:pt x="7156764" y="4634226"/>
                <a:pt x="7137536" y="4634226"/>
              </a:cubicBezTo>
              <a:close/>
              <a:moveTo>
                <a:pt x="7222428" y="4634226"/>
              </a:moveTo>
              <a:cubicBezTo>
                <a:pt x="7203200" y="4634226"/>
                <a:pt x="7187603" y="4618635"/>
                <a:pt x="7187603" y="4599407"/>
              </a:cubicBezTo>
              <a:cubicBezTo>
                <a:pt x="7187603" y="4580180"/>
                <a:pt x="7203200" y="4564589"/>
                <a:pt x="7222428" y="4564589"/>
              </a:cubicBezTo>
              <a:cubicBezTo>
                <a:pt x="7241656" y="4564589"/>
                <a:pt x="7257240" y="4580180"/>
                <a:pt x="7257240" y="4599407"/>
              </a:cubicBezTo>
              <a:cubicBezTo>
                <a:pt x="7257240" y="4618635"/>
                <a:pt x="7241656" y="4634226"/>
                <a:pt x="7222428" y="4634226"/>
              </a:cubicBezTo>
              <a:close/>
              <a:moveTo>
                <a:pt x="7307320" y="4634226"/>
              </a:moveTo>
              <a:cubicBezTo>
                <a:pt x="7288093" y="4634226"/>
                <a:pt x="7272495" y="4618635"/>
                <a:pt x="7272495" y="4599407"/>
              </a:cubicBezTo>
              <a:cubicBezTo>
                <a:pt x="7272495" y="4580180"/>
                <a:pt x="7288093" y="4564589"/>
                <a:pt x="7307320" y="4564589"/>
              </a:cubicBezTo>
              <a:cubicBezTo>
                <a:pt x="7326548" y="4564589"/>
                <a:pt x="7342133" y="4580180"/>
                <a:pt x="7342133" y="4599407"/>
              </a:cubicBezTo>
              <a:cubicBezTo>
                <a:pt x="7342133" y="4618635"/>
                <a:pt x="7326548" y="4634226"/>
                <a:pt x="7307320" y="4634226"/>
              </a:cubicBezTo>
              <a:close/>
              <a:moveTo>
                <a:pt x="7392214" y="4634226"/>
              </a:moveTo>
              <a:cubicBezTo>
                <a:pt x="7372986" y="4634226"/>
                <a:pt x="7357388" y="4618635"/>
                <a:pt x="7357388" y="4599407"/>
              </a:cubicBezTo>
              <a:cubicBezTo>
                <a:pt x="7357388" y="4580180"/>
                <a:pt x="7372986" y="4564589"/>
                <a:pt x="7392214" y="4564589"/>
              </a:cubicBezTo>
              <a:cubicBezTo>
                <a:pt x="7411441" y="4564589"/>
                <a:pt x="7427026" y="4580180"/>
                <a:pt x="7427026" y="4599407"/>
              </a:cubicBezTo>
              <a:cubicBezTo>
                <a:pt x="7427026" y="4618635"/>
                <a:pt x="7411441" y="4634226"/>
                <a:pt x="7392214" y="4634226"/>
              </a:cubicBezTo>
              <a:close/>
              <a:moveTo>
                <a:pt x="7477106" y="4634226"/>
              </a:moveTo>
              <a:cubicBezTo>
                <a:pt x="7457878" y="4634226"/>
                <a:pt x="7442280" y="4618635"/>
                <a:pt x="7442280" y="4599407"/>
              </a:cubicBezTo>
              <a:cubicBezTo>
                <a:pt x="7442280" y="4580180"/>
                <a:pt x="7457878" y="4564589"/>
                <a:pt x="7477106" y="4564589"/>
              </a:cubicBezTo>
              <a:cubicBezTo>
                <a:pt x="7496334" y="4564589"/>
                <a:pt x="7511918" y="4580180"/>
                <a:pt x="7511918" y="4599407"/>
              </a:cubicBezTo>
              <a:cubicBezTo>
                <a:pt x="7511918" y="4618635"/>
                <a:pt x="7496334" y="4634226"/>
                <a:pt x="7477106" y="4634226"/>
              </a:cubicBezTo>
              <a:close/>
              <a:moveTo>
                <a:pt x="7561998" y="4634226"/>
              </a:moveTo>
              <a:cubicBezTo>
                <a:pt x="7542770" y="4634226"/>
                <a:pt x="7527173" y="4618635"/>
                <a:pt x="7527173" y="4599407"/>
              </a:cubicBezTo>
              <a:cubicBezTo>
                <a:pt x="7527173" y="4580180"/>
                <a:pt x="7542770" y="4564589"/>
                <a:pt x="7561998" y="4564589"/>
              </a:cubicBezTo>
              <a:cubicBezTo>
                <a:pt x="7581226" y="4564589"/>
                <a:pt x="7596810" y="4580180"/>
                <a:pt x="7596810" y="4599407"/>
              </a:cubicBezTo>
              <a:cubicBezTo>
                <a:pt x="7596810" y="4618635"/>
                <a:pt x="7581226" y="4634226"/>
                <a:pt x="7561998" y="4634226"/>
              </a:cubicBezTo>
              <a:close/>
              <a:moveTo>
                <a:pt x="7646890" y="4634226"/>
              </a:moveTo>
              <a:cubicBezTo>
                <a:pt x="7627663" y="4634226"/>
                <a:pt x="7612065" y="4618635"/>
                <a:pt x="7612065" y="4599407"/>
              </a:cubicBezTo>
              <a:cubicBezTo>
                <a:pt x="7612065" y="4580180"/>
                <a:pt x="7627663" y="4564589"/>
                <a:pt x="7646890" y="4564589"/>
              </a:cubicBezTo>
              <a:cubicBezTo>
                <a:pt x="7666118" y="4564589"/>
                <a:pt x="7681703" y="4580180"/>
                <a:pt x="7681703" y="4599407"/>
              </a:cubicBezTo>
              <a:cubicBezTo>
                <a:pt x="7681703" y="4618635"/>
                <a:pt x="7666118" y="4634226"/>
                <a:pt x="7646890" y="4634226"/>
              </a:cubicBezTo>
              <a:close/>
              <a:moveTo>
                <a:pt x="7731784" y="4634226"/>
              </a:moveTo>
              <a:cubicBezTo>
                <a:pt x="7712556" y="4634226"/>
                <a:pt x="7696958" y="4618635"/>
                <a:pt x="7696958" y="4599407"/>
              </a:cubicBezTo>
              <a:cubicBezTo>
                <a:pt x="7696958" y="4580180"/>
                <a:pt x="7712556" y="4564589"/>
                <a:pt x="7731784" y="4564589"/>
              </a:cubicBezTo>
              <a:cubicBezTo>
                <a:pt x="7751011" y="4564589"/>
                <a:pt x="7766596" y="4580180"/>
                <a:pt x="7766596" y="4599407"/>
              </a:cubicBezTo>
              <a:cubicBezTo>
                <a:pt x="7766596" y="4618635"/>
                <a:pt x="7751011" y="4634226"/>
                <a:pt x="7731784" y="4634226"/>
              </a:cubicBezTo>
              <a:close/>
              <a:moveTo>
                <a:pt x="7816676" y="4634226"/>
              </a:moveTo>
              <a:cubicBezTo>
                <a:pt x="7797448" y="4634226"/>
                <a:pt x="7781850" y="4618635"/>
                <a:pt x="7781850" y="4599407"/>
              </a:cubicBezTo>
              <a:cubicBezTo>
                <a:pt x="7781850" y="4580180"/>
                <a:pt x="7797448" y="4564589"/>
                <a:pt x="7816676" y="4564589"/>
              </a:cubicBezTo>
              <a:cubicBezTo>
                <a:pt x="7835904" y="4564589"/>
                <a:pt x="7851488" y="4580180"/>
                <a:pt x="7851488" y="4599407"/>
              </a:cubicBezTo>
              <a:cubicBezTo>
                <a:pt x="7851488" y="4618635"/>
                <a:pt x="7835904" y="4634226"/>
                <a:pt x="7816676" y="4634226"/>
              </a:cubicBezTo>
              <a:close/>
              <a:moveTo>
                <a:pt x="7901568" y="4634226"/>
              </a:moveTo>
              <a:cubicBezTo>
                <a:pt x="7882340" y="4634226"/>
                <a:pt x="7866743" y="4618635"/>
                <a:pt x="7866743" y="4599407"/>
              </a:cubicBezTo>
              <a:cubicBezTo>
                <a:pt x="7866743" y="4580180"/>
                <a:pt x="7882340" y="4564589"/>
                <a:pt x="7901568" y="4564589"/>
              </a:cubicBezTo>
              <a:cubicBezTo>
                <a:pt x="7920796" y="4564589"/>
                <a:pt x="7936380" y="4580180"/>
                <a:pt x="7936380" y="4599407"/>
              </a:cubicBezTo>
              <a:cubicBezTo>
                <a:pt x="7936380" y="4618635"/>
                <a:pt x="7920796" y="4634226"/>
                <a:pt x="7901568" y="4634226"/>
              </a:cubicBezTo>
              <a:close/>
              <a:moveTo>
                <a:pt x="7986460" y="4634226"/>
              </a:moveTo>
              <a:cubicBezTo>
                <a:pt x="7967233" y="4634226"/>
                <a:pt x="7951635" y="4618635"/>
                <a:pt x="7951635" y="4599407"/>
              </a:cubicBezTo>
              <a:cubicBezTo>
                <a:pt x="7951635" y="4580180"/>
                <a:pt x="7967233" y="4564589"/>
                <a:pt x="7986460" y="4564589"/>
              </a:cubicBezTo>
              <a:cubicBezTo>
                <a:pt x="8005688" y="4564589"/>
                <a:pt x="8021273" y="4580180"/>
                <a:pt x="8021273" y="4599407"/>
              </a:cubicBezTo>
              <a:cubicBezTo>
                <a:pt x="8021273" y="4618635"/>
                <a:pt x="8005688" y="4634226"/>
                <a:pt x="7986460" y="4634226"/>
              </a:cubicBezTo>
              <a:close/>
              <a:moveTo>
                <a:pt x="8071353" y="4634226"/>
              </a:moveTo>
              <a:cubicBezTo>
                <a:pt x="8052125" y="4634226"/>
                <a:pt x="8036527" y="4618635"/>
                <a:pt x="8036527" y="4599407"/>
              </a:cubicBezTo>
              <a:cubicBezTo>
                <a:pt x="8036527" y="4580180"/>
                <a:pt x="8052125" y="4564589"/>
                <a:pt x="8071353" y="4564589"/>
              </a:cubicBezTo>
              <a:cubicBezTo>
                <a:pt x="8090580" y="4564589"/>
                <a:pt x="8106165" y="4580180"/>
                <a:pt x="8106165" y="4599407"/>
              </a:cubicBezTo>
              <a:cubicBezTo>
                <a:pt x="8106165" y="4618635"/>
                <a:pt x="8090580" y="4634226"/>
                <a:pt x="8071353" y="4634226"/>
              </a:cubicBezTo>
              <a:close/>
              <a:moveTo>
                <a:pt x="8156246" y="4634226"/>
              </a:moveTo>
              <a:cubicBezTo>
                <a:pt x="8137018" y="4634226"/>
                <a:pt x="8121420" y="4618635"/>
                <a:pt x="8121420" y="4599407"/>
              </a:cubicBezTo>
              <a:cubicBezTo>
                <a:pt x="8121420" y="4580180"/>
                <a:pt x="8137018" y="4564589"/>
                <a:pt x="8156246" y="4564589"/>
              </a:cubicBezTo>
              <a:cubicBezTo>
                <a:pt x="8175474" y="4564589"/>
                <a:pt x="8191058" y="4580180"/>
                <a:pt x="8191058" y="4599407"/>
              </a:cubicBezTo>
              <a:cubicBezTo>
                <a:pt x="8191058" y="4618635"/>
                <a:pt x="8175474" y="4634226"/>
                <a:pt x="8156246" y="4634226"/>
              </a:cubicBezTo>
              <a:close/>
              <a:moveTo>
                <a:pt x="8241138" y="4634226"/>
              </a:moveTo>
              <a:cubicBezTo>
                <a:pt x="8221910" y="4634226"/>
                <a:pt x="8206313" y="4618635"/>
                <a:pt x="8206313" y="4599407"/>
              </a:cubicBezTo>
              <a:cubicBezTo>
                <a:pt x="8206313" y="4580180"/>
                <a:pt x="8221910" y="4564589"/>
                <a:pt x="8241138" y="4564589"/>
              </a:cubicBezTo>
              <a:cubicBezTo>
                <a:pt x="8260366" y="4564589"/>
                <a:pt x="8275950" y="4580180"/>
                <a:pt x="8275950" y="4599407"/>
              </a:cubicBezTo>
              <a:cubicBezTo>
                <a:pt x="8275950" y="4618635"/>
                <a:pt x="8260366" y="4634226"/>
                <a:pt x="8241138" y="4634226"/>
              </a:cubicBezTo>
              <a:close/>
              <a:moveTo>
                <a:pt x="8326030" y="4634226"/>
              </a:moveTo>
              <a:cubicBezTo>
                <a:pt x="8306803" y="4634226"/>
                <a:pt x="8291205" y="4618635"/>
                <a:pt x="8291205" y="4599407"/>
              </a:cubicBezTo>
              <a:cubicBezTo>
                <a:pt x="8291205" y="4580180"/>
                <a:pt x="8306803" y="4564589"/>
                <a:pt x="8326030" y="4564589"/>
              </a:cubicBezTo>
              <a:cubicBezTo>
                <a:pt x="8345258" y="4564589"/>
                <a:pt x="8360843" y="4580180"/>
                <a:pt x="8360843" y="4599407"/>
              </a:cubicBezTo>
              <a:cubicBezTo>
                <a:pt x="8360843" y="4618635"/>
                <a:pt x="8345258" y="4634226"/>
                <a:pt x="8326030" y="4634226"/>
              </a:cubicBezTo>
              <a:close/>
              <a:moveTo>
                <a:pt x="8410923" y="4634226"/>
              </a:moveTo>
              <a:cubicBezTo>
                <a:pt x="8391695" y="4634226"/>
                <a:pt x="8376097" y="4618635"/>
                <a:pt x="8376097" y="4599407"/>
              </a:cubicBezTo>
              <a:cubicBezTo>
                <a:pt x="8376097" y="4580180"/>
                <a:pt x="8391695" y="4564589"/>
                <a:pt x="8410923" y="4564589"/>
              </a:cubicBezTo>
              <a:cubicBezTo>
                <a:pt x="8430150" y="4564589"/>
                <a:pt x="8445735" y="4580180"/>
                <a:pt x="8445735" y="4599407"/>
              </a:cubicBezTo>
              <a:cubicBezTo>
                <a:pt x="8445735" y="4618635"/>
                <a:pt x="8430150" y="4634226"/>
                <a:pt x="8410923" y="4634226"/>
              </a:cubicBezTo>
              <a:close/>
              <a:moveTo>
                <a:pt x="8495816" y="4634226"/>
              </a:moveTo>
              <a:cubicBezTo>
                <a:pt x="8476588" y="4634226"/>
                <a:pt x="8460990" y="4618635"/>
                <a:pt x="8460990" y="4599407"/>
              </a:cubicBezTo>
              <a:cubicBezTo>
                <a:pt x="8460990" y="4580180"/>
                <a:pt x="8476588" y="4564589"/>
                <a:pt x="8495816" y="4564589"/>
              </a:cubicBezTo>
              <a:cubicBezTo>
                <a:pt x="8515044" y="4564589"/>
                <a:pt x="8530628" y="4580180"/>
                <a:pt x="8530628" y="4599407"/>
              </a:cubicBezTo>
              <a:cubicBezTo>
                <a:pt x="8530628" y="4618635"/>
                <a:pt x="8515044" y="4634226"/>
                <a:pt x="8495816" y="4634226"/>
              </a:cubicBezTo>
              <a:close/>
              <a:moveTo>
                <a:pt x="8580708" y="4634226"/>
              </a:moveTo>
              <a:cubicBezTo>
                <a:pt x="8561480" y="4634226"/>
                <a:pt x="8545883" y="4618635"/>
                <a:pt x="8545883" y="4599407"/>
              </a:cubicBezTo>
              <a:cubicBezTo>
                <a:pt x="8545883" y="4580180"/>
                <a:pt x="8561480" y="4564589"/>
                <a:pt x="8580708" y="4564589"/>
              </a:cubicBezTo>
              <a:cubicBezTo>
                <a:pt x="8599936" y="4564589"/>
                <a:pt x="8615520" y="4580180"/>
                <a:pt x="8615520" y="4599407"/>
              </a:cubicBezTo>
              <a:cubicBezTo>
                <a:pt x="8615520" y="4618635"/>
                <a:pt x="8599936" y="4634226"/>
                <a:pt x="8580708" y="4634226"/>
              </a:cubicBezTo>
              <a:close/>
              <a:moveTo>
                <a:pt x="8665600" y="4634226"/>
              </a:moveTo>
              <a:cubicBezTo>
                <a:pt x="8646373" y="4634226"/>
                <a:pt x="8630775" y="4618635"/>
                <a:pt x="8630775" y="4599407"/>
              </a:cubicBezTo>
              <a:cubicBezTo>
                <a:pt x="8630775" y="4580180"/>
                <a:pt x="8646373" y="4564589"/>
                <a:pt x="8665600" y="4564589"/>
              </a:cubicBezTo>
              <a:cubicBezTo>
                <a:pt x="8684828" y="4564589"/>
                <a:pt x="8700413" y="4580180"/>
                <a:pt x="8700413" y="4599407"/>
              </a:cubicBezTo>
              <a:cubicBezTo>
                <a:pt x="8700413" y="4618635"/>
                <a:pt x="8684828" y="4634226"/>
                <a:pt x="8665600" y="4634226"/>
              </a:cubicBezTo>
              <a:close/>
              <a:moveTo>
                <a:pt x="8750493" y="4634226"/>
              </a:moveTo>
              <a:cubicBezTo>
                <a:pt x="8731265" y="4634226"/>
                <a:pt x="8715667" y="4618635"/>
                <a:pt x="8715667" y="4599407"/>
              </a:cubicBezTo>
              <a:cubicBezTo>
                <a:pt x="8715667" y="4580180"/>
                <a:pt x="8731265" y="4564589"/>
                <a:pt x="8750493" y="4564589"/>
              </a:cubicBezTo>
              <a:cubicBezTo>
                <a:pt x="8769720" y="4564589"/>
                <a:pt x="8785305" y="4580180"/>
                <a:pt x="8785305" y="4599407"/>
              </a:cubicBezTo>
              <a:cubicBezTo>
                <a:pt x="8785305" y="4618635"/>
                <a:pt x="8769720" y="4634226"/>
                <a:pt x="8750493" y="4634226"/>
              </a:cubicBezTo>
              <a:close/>
              <a:moveTo>
                <a:pt x="8835386" y="4634226"/>
              </a:moveTo>
              <a:cubicBezTo>
                <a:pt x="8816158" y="4634226"/>
                <a:pt x="8800560" y="4618635"/>
                <a:pt x="8800560" y="4599407"/>
              </a:cubicBezTo>
              <a:cubicBezTo>
                <a:pt x="8800560" y="4580180"/>
                <a:pt x="8816158" y="4564589"/>
                <a:pt x="8835386" y="4564589"/>
              </a:cubicBezTo>
              <a:cubicBezTo>
                <a:pt x="8854614" y="4564589"/>
                <a:pt x="8870198" y="4580180"/>
                <a:pt x="8870198" y="4599407"/>
              </a:cubicBezTo>
              <a:cubicBezTo>
                <a:pt x="8870198" y="4618635"/>
                <a:pt x="8854614" y="4634226"/>
                <a:pt x="8835386" y="4634226"/>
              </a:cubicBezTo>
              <a:close/>
              <a:moveTo>
                <a:pt x="9005170" y="4634226"/>
              </a:moveTo>
              <a:cubicBezTo>
                <a:pt x="8985943" y="4634226"/>
                <a:pt x="8970345" y="4618635"/>
                <a:pt x="8970345" y="4599407"/>
              </a:cubicBezTo>
              <a:cubicBezTo>
                <a:pt x="8970345" y="4580180"/>
                <a:pt x="8985943" y="4564589"/>
                <a:pt x="9005170" y="4564589"/>
              </a:cubicBezTo>
              <a:cubicBezTo>
                <a:pt x="9024398" y="4564589"/>
                <a:pt x="9039983" y="4580180"/>
                <a:pt x="9039983" y="4599407"/>
              </a:cubicBezTo>
              <a:cubicBezTo>
                <a:pt x="9039983" y="4618635"/>
                <a:pt x="9024398" y="4634226"/>
                <a:pt x="9005170" y="4634226"/>
              </a:cubicBezTo>
              <a:close/>
              <a:moveTo>
                <a:pt x="9090063" y="4634226"/>
              </a:moveTo>
              <a:cubicBezTo>
                <a:pt x="9070835" y="4634226"/>
                <a:pt x="9055237" y="4618635"/>
                <a:pt x="9055237" y="4599407"/>
              </a:cubicBezTo>
              <a:cubicBezTo>
                <a:pt x="9055237" y="4580180"/>
                <a:pt x="9070835" y="4564589"/>
                <a:pt x="9090063" y="4564589"/>
              </a:cubicBezTo>
              <a:cubicBezTo>
                <a:pt x="9109290" y="4564589"/>
                <a:pt x="9124875" y="4580180"/>
                <a:pt x="9124875" y="4599407"/>
              </a:cubicBezTo>
              <a:cubicBezTo>
                <a:pt x="9124875" y="4618635"/>
                <a:pt x="9109290" y="4634226"/>
                <a:pt x="9090063" y="4634226"/>
              </a:cubicBezTo>
              <a:close/>
              <a:moveTo>
                <a:pt x="9174956" y="4634226"/>
              </a:moveTo>
              <a:cubicBezTo>
                <a:pt x="9155728" y="4634226"/>
                <a:pt x="9140130" y="4618635"/>
                <a:pt x="9140130" y="4599407"/>
              </a:cubicBezTo>
              <a:cubicBezTo>
                <a:pt x="9140130" y="4580180"/>
                <a:pt x="9155728" y="4564589"/>
                <a:pt x="9174956" y="4564589"/>
              </a:cubicBezTo>
              <a:cubicBezTo>
                <a:pt x="9194184" y="4564589"/>
                <a:pt x="9209768" y="4580180"/>
                <a:pt x="9209768" y="4599407"/>
              </a:cubicBezTo>
              <a:cubicBezTo>
                <a:pt x="9209768" y="4618635"/>
                <a:pt x="9194184" y="4634226"/>
                <a:pt x="9174956" y="4634226"/>
              </a:cubicBezTo>
              <a:close/>
              <a:moveTo>
                <a:pt x="9259848" y="4634226"/>
              </a:moveTo>
              <a:cubicBezTo>
                <a:pt x="9240620" y="4634226"/>
                <a:pt x="9225023" y="4618635"/>
                <a:pt x="9225023" y="4599407"/>
              </a:cubicBezTo>
              <a:cubicBezTo>
                <a:pt x="9225023" y="4580180"/>
                <a:pt x="9240620" y="4564589"/>
                <a:pt x="9259848" y="4564589"/>
              </a:cubicBezTo>
              <a:cubicBezTo>
                <a:pt x="9279076" y="4564589"/>
                <a:pt x="9294660" y="4580180"/>
                <a:pt x="9294660" y="4599407"/>
              </a:cubicBezTo>
              <a:cubicBezTo>
                <a:pt x="9294660" y="4618635"/>
                <a:pt x="9279076" y="4634226"/>
                <a:pt x="9259848" y="4634226"/>
              </a:cubicBezTo>
              <a:close/>
              <a:moveTo>
                <a:pt x="9344740" y="4634226"/>
              </a:moveTo>
              <a:cubicBezTo>
                <a:pt x="9325513" y="4634226"/>
                <a:pt x="9309915" y="4618635"/>
                <a:pt x="9309915" y="4599407"/>
              </a:cubicBezTo>
              <a:cubicBezTo>
                <a:pt x="9309915" y="4580180"/>
                <a:pt x="9325513" y="4564589"/>
                <a:pt x="9344740" y="4564589"/>
              </a:cubicBezTo>
              <a:cubicBezTo>
                <a:pt x="9363968" y="4564589"/>
                <a:pt x="9379553" y="4580180"/>
                <a:pt x="9379553" y="4599407"/>
              </a:cubicBezTo>
              <a:cubicBezTo>
                <a:pt x="9379553" y="4618635"/>
                <a:pt x="9363968" y="4634226"/>
                <a:pt x="9344740" y="4634226"/>
              </a:cubicBezTo>
              <a:close/>
              <a:moveTo>
                <a:pt x="9429633" y="4634226"/>
              </a:moveTo>
              <a:cubicBezTo>
                <a:pt x="9410405" y="4634226"/>
                <a:pt x="9394807" y="4618635"/>
                <a:pt x="9394807" y="4599407"/>
              </a:cubicBezTo>
              <a:cubicBezTo>
                <a:pt x="9394807" y="4580180"/>
                <a:pt x="9410405" y="4564589"/>
                <a:pt x="9429633" y="4564589"/>
              </a:cubicBezTo>
              <a:cubicBezTo>
                <a:pt x="9448860" y="4564589"/>
                <a:pt x="9464445" y="4580180"/>
                <a:pt x="9464445" y="4599407"/>
              </a:cubicBezTo>
              <a:cubicBezTo>
                <a:pt x="9464445" y="4618635"/>
                <a:pt x="9448860" y="4634226"/>
                <a:pt x="9429633" y="4634226"/>
              </a:cubicBezTo>
              <a:close/>
              <a:moveTo>
                <a:pt x="9514525" y="4634226"/>
              </a:moveTo>
              <a:cubicBezTo>
                <a:pt x="9495297" y="4634226"/>
                <a:pt x="9479699" y="4618635"/>
                <a:pt x="9479699" y="4599407"/>
              </a:cubicBezTo>
              <a:cubicBezTo>
                <a:pt x="9479699" y="4580180"/>
                <a:pt x="9495297" y="4564589"/>
                <a:pt x="9514525" y="4564589"/>
              </a:cubicBezTo>
              <a:cubicBezTo>
                <a:pt x="9533753" y="4564589"/>
                <a:pt x="9549337" y="4580180"/>
                <a:pt x="9549337" y="4599407"/>
              </a:cubicBezTo>
              <a:cubicBezTo>
                <a:pt x="9549337" y="4618635"/>
                <a:pt x="9533753" y="4634226"/>
                <a:pt x="9514525" y="4634226"/>
              </a:cubicBezTo>
              <a:close/>
              <a:moveTo>
                <a:pt x="9599418" y="4634226"/>
              </a:moveTo>
              <a:cubicBezTo>
                <a:pt x="9580190" y="4634226"/>
                <a:pt x="9564593" y="4618635"/>
                <a:pt x="9564593" y="4599407"/>
              </a:cubicBezTo>
              <a:cubicBezTo>
                <a:pt x="9564593" y="4580180"/>
                <a:pt x="9580190" y="4564589"/>
                <a:pt x="9599418" y="4564589"/>
              </a:cubicBezTo>
              <a:cubicBezTo>
                <a:pt x="9618646" y="4564589"/>
                <a:pt x="9634230" y="4580180"/>
                <a:pt x="9634230" y="4599407"/>
              </a:cubicBezTo>
              <a:cubicBezTo>
                <a:pt x="9634230" y="4618635"/>
                <a:pt x="9618646" y="4634226"/>
                <a:pt x="9599418" y="4634226"/>
              </a:cubicBezTo>
              <a:close/>
              <a:moveTo>
                <a:pt x="9684310" y="4634226"/>
              </a:moveTo>
              <a:cubicBezTo>
                <a:pt x="9665083" y="4634226"/>
                <a:pt x="9649485" y="4618635"/>
                <a:pt x="9649485" y="4599407"/>
              </a:cubicBezTo>
              <a:cubicBezTo>
                <a:pt x="9649485" y="4580180"/>
                <a:pt x="9665083" y="4564589"/>
                <a:pt x="9684310" y="4564589"/>
              </a:cubicBezTo>
              <a:cubicBezTo>
                <a:pt x="9703538" y="4564589"/>
                <a:pt x="9719123" y="4580180"/>
                <a:pt x="9719123" y="4599407"/>
              </a:cubicBezTo>
              <a:cubicBezTo>
                <a:pt x="9719123" y="4618635"/>
                <a:pt x="9703538" y="4634226"/>
                <a:pt x="9684310" y="4634226"/>
              </a:cubicBezTo>
              <a:close/>
              <a:moveTo>
                <a:pt x="9769203" y="4634226"/>
              </a:moveTo>
              <a:cubicBezTo>
                <a:pt x="9749975" y="4634226"/>
                <a:pt x="9734377" y="4618635"/>
                <a:pt x="9734377" y="4599407"/>
              </a:cubicBezTo>
              <a:cubicBezTo>
                <a:pt x="9734377" y="4580180"/>
                <a:pt x="9749975" y="4564589"/>
                <a:pt x="9769203" y="4564589"/>
              </a:cubicBezTo>
              <a:cubicBezTo>
                <a:pt x="9788430" y="4564589"/>
                <a:pt x="9804015" y="4580180"/>
                <a:pt x="9804015" y="4599407"/>
              </a:cubicBezTo>
              <a:cubicBezTo>
                <a:pt x="9804015" y="4618635"/>
                <a:pt x="9788430" y="4634226"/>
                <a:pt x="9769203" y="4634226"/>
              </a:cubicBezTo>
              <a:close/>
              <a:moveTo>
                <a:pt x="9854095" y="4634226"/>
              </a:moveTo>
              <a:cubicBezTo>
                <a:pt x="9834867" y="4634226"/>
                <a:pt x="9819269" y="4618635"/>
                <a:pt x="9819269" y="4599407"/>
              </a:cubicBezTo>
              <a:cubicBezTo>
                <a:pt x="9819269" y="4580180"/>
                <a:pt x="9834867" y="4564589"/>
                <a:pt x="9854095" y="4564589"/>
              </a:cubicBezTo>
              <a:cubicBezTo>
                <a:pt x="9873323" y="4564589"/>
                <a:pt x="9888907" y="4580180"/>
                <a:pt x="9888907" y="4599407"/>
              </a:cubicBezTo>
              <a:cubicBezTo>
                <a:pt x="9888907" y="4618635"/>
                <a:pt x="9873323" y="4634226"/>
                <a:pt x="9854095" y="4634226"/>
              </a:cubicBezTo>
              <a:close/>
              <a:moveTo>
                <a:pt x="10023880" y="4634226"/>
              </a:moveTo>
              <a:cubicBezTo>
                <a:pt x="10004653" y="4634226"/>
                <a:pt x="9989055" y="4618635"/>
                <a:pt x="9989055" y="4599407"/>
              </a:cubicBezTo>
              <a:cubicBezTo>
                <a:pt x="9989055" y="4580180"/>
                <a:pt x="10004653" y="4564589"/>
                <a:pt x="10023880" y="4564589"/>
              </a:cubicBezTo>
              <a:cubicBezTo>
                <a:pt x="10043108" y="4564589"/>
                <a:pt x="10058693" y="4580180"/>
                <a:pt x="10058693" y="4599407"/>
              </a:cubicBezTo>
              <a:cubicBezTo>
                <a:pt x="10058693" y="4618635"/>
                <a:pt x="10043108" y="4634226"/>
                <a:pt x="10023880" y="4634226"/>
              </a:cubicBezTo>
              <a:close/>
              <a:moveTo>
                <a:pt x="2298661" y="4549365"/>
              </a:moveTo>
              <a:cubicBezTo>
                <a:pt x="2279433" y="4549365"/>
                <a:pt x="2263842" y="4533774"/>
                <a:pt x="2263842" y="4514547"/>
              </a:cubicBezTo>
              <a:cubicBezTo>
                <a:pt x="2263842" y="4495319"/>
                <a:pt x="2279433" y="4479728"/>
                <a:pt x="2298661" y="4479728"/>
              </a:cubicBezTo>
              <a:cubicBezTo>
                <a:pt x="2317889" y="4479728"/>
                <a:pt x="2333480" y="4495319"/>
                <a:pt x="2333480" y="4514547"/>
              </a:cubicBezTo>
              <a:cubicBezTo>
                <a:pt x="2333480" y="4533774"/>
                <a:pt x="2317889" y="4549365"/>
                <a:pt x="2298661" y="4549365"/>
              </a:cubicBezTo>
              <a:close/>
              <a:moveTo>
                <a:pt x="2383553" y="4549365"/>
              </a:moveTo>
              <a:cubicBezTo>
                <a:pt x="2364326" y="4549365"/>
                <a:pt x="2348734" y="4533774"/>
                <a:pt x="2348734" y="4514547"/>
              </a:cubicBezTo>
              <a:cubicBezTo>
                <a:pt x="2348734" y="4495319"/>
                <a:pt x="2364326" y="4479728"/>
                <a:pt x="2383553" y="4479728"/>
              </a:cubicBezTo>
              <a:cubicBezTo>
                <a:pt x="2402781" y="4479728"/>
                <a:pt x="2418372" y="4495319"/>
                <a:pt x="2418372" y="4514547"/>
              </a:cubicBezTo>
              <a:cubicBezTo>
                <a:pt x="2418372" y="4533774"/>
                <a:pt x="2402781" y="4549365"/>
                <a:pt x="2383553" y="4549365"/>
              </a:cubicBezTo>
              <a:close/>
              <a:moveTo>
                <a:pt x="2468446" y="4549365"/>
              </a:moveTo>
              <a:cubicBezTo>
                <a:pt x="2449218" y="4549365"/>
                <a:pt x="2433627" y="4533774"/>
                <a:pt x="2433627" y="4514547"/>
              </a:cubicBezTo>
              <a:cubicBezTo>
                <a:pt x="2433627" y="4495319"/>
                <a:pt x="2449218" y="4479728"/>
                <a:pt x="2468446" y="4479728"/>
              </a:cubicBezTo>
              <a:cubicBezTo>
                <a:pt x="2487673" y="4479728"/>
                <a:pt x="2503264" y="4495319"/>
                <a:pt x="2503264" y="4514547"/>
              </a:cubicBezTo>
              <a:cubicBezTo>
                <a:pt x="2503264" y="4533774"/>
                <a:pt x="2487673" y="4549365"/>
                <a:pt x="2468446" y="4549365"/>
              </a:cubicBezTo>
              <a:close/>
              <a:moveTo>
                <a:pt x="2553339" y="4549365"/>
              </a:moveTo>
              <a:cubicBezTo>
                <a:pt x="2534111" y="4549365"/>
                <a:pt x="2518520" y="4533774"/>
                <a:pt x="2518520" y="4514547"/>
              </a:cubicBezTo>
              <a:cubicBezTo>
                <a:pt x="2518520" y="4495319"/>
                <a:pt x="2534111" y="4479728"/>
                <a:pt x="2553339" y="4479728"/>
              </a:cubicBezTo>
              <a:cubicBezTo>
                <a:pt x="2572567" y="4479728"/>
                <a:pt x="2588158" y="4495319"/>
                <a:pt x="2588158" y="4514547"/>
              </a:cubicBezTo>
              <a:cubicBezTo>
                <a:pt x="2588158" y="4533774"/>
                <a:pt x="2572567" y="4549365"/>
                <a:pt x="2553339" y="4549365"/>
              </a:cubicBezTo>
              <a:close/>
              <a:moveTo>
                <a:pt x="2638231" y="4549365"/>
              </a:moveTo>
              <a:cubicBezTo>
                <a:pt x="2619003" y="4549365"/>
                <a:pt x="2603412" y="4533774"/>
                <a:pt x="2603412" y="4514547"/>
              </a:cubicBezTo>
              <a:cubicBezTo>
                <a:pt x="2603412" y="4495319"/>
                <a:pt x="2619003" y="4479728"/>
                <a:pt x="2638231" y="4479728"/>
              </a:cubicBezTo>
              <a:cubicBezTo>
                <a:pt x="2657459" y="4479728"/>
                <a:pt x="2673050" y="4495319"/>
                <a:pt x="2673050" y="4514547"/>
              </a:cubicBezTo>
              <a:cubicBezTo>
                <a:pt x="2673050" y="4533774"/>
                <a:pt x="2657459" y="4549365"/>
                <a:pt x="2638231" y="4549365"/>
              </a:cubicBezTo>
              <a:close/>
              <a:moveTo>
                <a:pt x="2723123" y="4549365"/>
              </a:moveTo>
              <a:cubicBezTo>
                <a:pt x="2703896" y="4549365"/>
                <a:pt x="2688304" y="4533774"/>
                <a:pt x="2688304" y="4514547"/>
              </a:cubicBezTo>
              <a:cubicBezTo>
                <a:pt x="2688304" y="4495319"/>
                <a:pt x="2703896" y="4479728"/>
                <a:pt x="2723123" y="4479728"/>
              </a:cubicBezTo>
              <a:cubicBezTo>
                <a:pt x="2742351" y="4479728"/>
                <a:pt x="2757942" y="4495319"/>
                <a:pt x="2757942" y="4514547"/>
              </a:cubicBezTo>
              <a:cubicBezTo>
                <a:pt x="2757942" y="4533774"/>
                <a:pt x="2742351" y="4549365"/>
                <a:pt x="2723123" y="4549365"/>
              </a:cubicBezTo>
              <a:close/>
              <a:moveTo>
                <a:pt x="2808016" y="4549365"/>
              </a:moveTo>
              <a:cubicBezTo>
                <a:pt x="2788788" y="4549365"/>
                <a:pt x="2773197" y="4533774"/>
                <a:pt x="2773197" y="4514547"/>
              </a:cubicBezTo>
              <a:cubicBezTo>
                <a:pt x="2773197" y="4495319"/>
                <a:pt x="2788788" y="4479728"/>
                <a:pt x="2808016" y="4479728"/>
              </a:cubicBezTo>
              <a:cubicBezTo>
                <a:pt x="2827243" y="4479728"/>
                <a:pt x="2842834" y="4495319"/>
                <a:pt x="2842834" y="4514547"/>
              </a:cubicBezTo>
              <a:cubicBezTo>
                <a:pt x="2842834" y="4533774"/>
                <a:pt x="2827243" y="4549365"/>
                <a:pt x="2808016" y="4549365"/>
              </a:cubicBezTo>
              <a:close/>
              <a:moveTo>
                <a:pt x="2892908" y="4549365"/>
              </a:moveTo>
              <a:cubicBezTo>
                <a:pt x="2873680" y="4549365"/>
                <a:pt x="2858089" y="4533774"/>
                <a:pt x="2858089" y="4514547"/>
              </a:cubicBezTo>
              <a:cubicBezTo>
                <a:pt x="2858089" y="4495319"/>
                <a:pt x="2873680" y="4479728"/>
                <a:pt x="2892908" y="4479728"/>
              </a:cubicBezTo>
              <a:cubicBezTo>
                <a:pt x="2912136" y="4479728"/>
                <a:pt x="2927727" y="4495319"/>
                <a:pt x="2927727" y="4514547"/>
              </a:cubicBezTo>
              <a:cubicBezTo>
                <a:pt x="2927727" y="4533774"/>
                <a:pt x="2912136" y="4549365"/>
                <a:pt x="2892908" y="4549365"/>
              </a:cubicBezTo>
              <a:close/>
              <a:moveTo>
                <a:pt x="2977801" y="4549365"/>
              </a:moveTo>
              <a:cubicBezTo>
                <a:pt x="2958573" y="4549365"/>
                <a:pt x="2942982" y="4533774"/>
                <a:pt x="2942982" y="4514547"/>
              </a:cubicBezTo>
              <a:cubicBezTo>
                <a:pt x="2942982" y="4495319"/>
                <a:pt x="2958573" y="4479728"/>
                <a:pt x="2977801" y="4479728"/>
              </a:cubicBezTo>
              <a:cubicBezTo>
                <a:pt x="2997029" y="4479728"/>
                <a:pt x="3012620" y="4495319"/>
                <a:pt x="3012620" y="4514547"/>
              </a:cubicBezTo>
              <a:cubicBezTo>
                <a:pt x="3012620" y="4533774"/>
                <a:pt x="2997029" y="4549365"/>
                <a:pt x="2977801" y="4549365"/>
              </a:cubicBezTo>
              <a:close/>
              <a:moveTo>
                <a:pt x="3147586" y="4549365"/>
              </a:moveTo>
              <a:cubicBezTo>
                <a:pt x="3128358" y="4549365"/>
                <a:pt x="3112767" y="4533774"/>
                <a:pt x="3112767" y="4514547"/>
              </a:cubicBezTo>
              <a:cubicBezTo>
                <a:pt x="3112767" y="4495319"/>
                <a:pt x="3128358" y="4479728"/>
                <a:pt x="3147586" y="4479728"/>
              </a:cubicBezTo>
              <a:cubicBezTo>
                <a:pt x="3166813" y="4479728"/>
                <a:pt x="3182404" y="4495319"/>
                <a:pt x="3182404" y="4514547"/>
              </a:cubicBezTo>
              <a:cubicBezTo>
                <a:pt x="3182404" y="4533774"/>
                <a:pt x="3166813" y="4549365"/>
                <a:pt x="3147586" y="4549365"/>
              </a:cubicBezTo>
              <a:close/>
              <a:moveTo>
                <a:pt x="3232478" y="4549365"/>
              </a:moveTo>
              <a:cubicBezTo>
                <a:pt x="3213250" y="4549365"/>
                <a:pt x="3197659" y="4533774"/>
                <a:pt x="3197659" y="4514547"/>
              </a:cubicBezTo>
              <a:cubicBezTo>
                <a:pt x="3197659" y="4495319"/>
                <a:pt x="3213250" y="4479728"/>
                <a:pt x="3232478" y="4479728"/>
              </a:cubicBezTo>
              <a:cubicBezTo>
                <a:pt x="3251706" y="4479728"/>
                <a:pt x="3267297" y="4495319"/>
                <a:pt x="3267297" y="4514547"/>
              </a:cubicBezTo>
              <a:cubicBezTo>
                <a:pt x="3267297" y="4533774"/>
                <a:pt x="3251706" y="4549365"/>
                <a:pt x="3232478" y="4549365"/>
              </a:cubicBezTo>
              <a:close/>
              <a:moveTo>
                <a:pt x="3317371" y="4549365"/>
              </a:moveTo>
              <a:cubicBezTo>
                <a:pt x="3298143" y="4549365"/>
                <a:pt x="3282552" y="4533774"/>
                <a:pt x="3282552" y="4514547"/>
              </a:cubicBezTo>
              <a:cubicBezTo>
                <a:pt x="3282552" y="4495319"/>
                <a:pt x="3298143" y="4479728"/>
                <a:pt x="3317371" y="4479728"/>
              </a:cubicBezTo>
              <a:cubicBezTo>
                <a:pt x="3336599" y="4479728"/>
                <a:pt x="3352190" y="4495319"/>
                <a:pt x="3352190" y="4514547"/>
              </a:cubicBezTo>
              <a:cubicBezTo>
                <a:pt x="3352190" y="4533774"/>
                <a:pt x="3336599" y="4549365"/>
                <a:pt x="3317371" y="4549365"/>
              </a:cubicBezTo>
              <a:close/>
              <a:moveTo>
                <a:pt x="3402263" y="4549365"/>
              </a:moveTo>
              <a:cubicBezTo>
                <a:pt x="3383036" y="4549365"/>
                <a:pt x="3367444" y="4533774"/>
                <a:pt x="3367444" y="4514547"/>
              </a:cubicBezTo>
              <a:cubicBezTo>
                <a:pt x="3367444" y="4495319"/>
                <a:pt x="3383036" y="4479728"/>
                <a:pt x="3402263" y="4479728"/>
              </a:cubicBezTo>
              <a:cubicBezTo>
                <a:pt x="3421491" y="4479728"/>
                <a:pt x="3437082" y="4495319"/>
                <a:pt x="3437082" y="4514547"/>
              </a:cubicBezTo>
              <a:cubicBezTo>
                <a:pt x="3437082" y="4533774"/>
                <a:pt x="3421491" y="4549365"/>
                <a:pt x="3402263" y="4549365"/>
              </a:cubicBezTo>
              <a:close/>
              <a:moveTo>
                <a:pt x="3487156" y="4549365"/>
              </a:moveTo>
              <a:cubicBezTo>
                <a:pt x="3467928" y="4549365"/>
                <a:pt x="3452337" y="4533774"/>
                <a:pt x="3452337" y="4514547"/>
              </a:cubicBezTo>
              <a:cubicBezTo>
                <a:pt x="3452337" y="4495319"/>
                <a:pt x="3467928" y="4479728"/>
                <a:pt x="3487156" y="4479728"/>
              </a:cubicBezTo>
              <a:cubicBezTo>
                <a:pt x="3506383" y="4479728"/>
                <a:pt x="3521974" y="4495319"/>
                <a:pt x="3521974" y="4514547"/>
              </a:cubicBezTo>
              <a:cubicBezTo>
                <a:pt x="3521974" y="4533774"/>
                <a:pt x="3506383" y="4549365"/>
                <a:pt x="3487156" y="4549365"/>
              </a:cubicBezTo>
              <a:close/>
              <a:moveTo>
                <a:pt x="3656941" y="4549365"/>
              </a:moveTo>
              <a:cubicBezTo>
                <a:pt x="3637713" y="4549365"/>
                <a:pt x="3622122" y="4533774"/>
                <a:pt x="3622122" y="4514547"/>
              </a:cubicBezTo>
              <a:cubicBezTo>
                <a:pt x="3622122" y="4495319"/>
                <a:pt x="3637713" y="4479728"/>
                <a:pt x="3656941" y="4479728"/>
              </a:cubicBezTo>
              <a:cubicBezTo>
                <a:pt x="3676169" y="4479728"/>
                <a:pt x="3691760" y="4495319"/>
                <a:pt x="3691760" y="4514547"/>
              </a:cubicBezTo>
              <a:cubicBezTo>
                <a:pt x="3691760" y="4533774"/>
                <a:pt x="3676169" y="4549365"/>
                <a:pt x="3656941" y="4549365"/>
              </a:cubicBezTo>
              <a:close/>
              <a:moveTo>
                <a:pt x="3741833" y="4549365"/>
              </a:moveTo>
              <a:cubicBezTo>
                <a:pt x="3722606" y="4549365"/>
                <a:pt x="3707014" y="4533774"/>
                <a:pt x="3707014" y="4514547"/>
              </a:cubicBezTo>
              <a:cubicBezTo>
                <a:pt x="3707014" y="4495319"/>
                <a:pt x="3722606" y="4479728"/>
                <a:pt x="3741833" y="4479728"/>
              </a:cubicBezTo>
              <a:cubicBezTo>
                <a:pt x="3761061" y="4479728"/>
                <a:pt x="3776652" y="4495319"/>
                <a:pt x="3776652" y="4514547"/>
              </a:cubicBezTo>
              <a:cubicBezTo>
                <a:pt x="3776652" y="4533774"/>
                <a:pt x="3761061" y="4549365"/>
                <a:pt x="3741833" y="4549365"/>
              </a:cubicBezTo>
              <a:close/>
              <a:moveTo>
                <a:pt x="3826726" y="4549365"/>
              </a:moveTo>
              <a:cubicBezTo>
                <a:pt x="3807498" y="4549365"/>
                <a:pt x="3791907" y="4533774"/>
                <a:pt x="3791907" y="4514547"/>
              </a:cubicBezTo>
              <a:cubicBezTo>
                <a:pt x="3791907" y="4495319"/>
                <a:pt x="3807498" y="4479728"/>
                <a:pt x="3826726" y="4479728"/>
              </a:cubicBezTo>
              <a:cubicBezTo>
                <a:pt x="3845953" y="4479728"/>
                <a:pt x="3861544" y="4495319"/>
                <a:pt x="3861544" y="4514547"/>
              </a:cubicBezTo>
              <a:cubicBezTo>
                <a:pt x="3861544" y="4533774"/>
                <a:pt x="3845953" y="4549365"/>
                <a:pt x="3826726" y="4549365"/>
              </a:cubicBezTo>
              <a:close/>
              <a:moveTo>
                <a:pt x="3911618" y="4549365"/>
              </a:moveTo>
              <a:cubicBezTo>
                <a:pt x="3892390" y="4549365"/>
                <a:pt x="3876799" y="4533774"/>
                <a:pt x="3876799" y="4514547"/>
              </a:cubicBezTo>
              <a:cubicBezTo>
                <a:pt x="3876799" y="4495319"/>
                <a:pt x="3892390" y="4479728"/>
                <a:pt x="3911618" y="4479728"/>
              </a:cubicBezTo>
              <a:cubicBezTo>
                <a:pt x="3930846" y="4479728"/>
                <a:pt x="3946437" y="4495319"/>
                <a:pt x="3946437" y="4514547"/>
              </a:cubicBezTo>
              <a:cubicBezTo>
                <a:pt x="3946437" y="4533774"/>
                <a:pt x="3930846" y="4549365"/>
                <a:pt x="3911618" y="4549365"/>
              </a:cubicBezTo>
              <a:close/>
              <a:moveTo>
                <a:pt x="3996511" y="4549365"/>
              </a:moveTo>
              <a:cubicBezTo>
                <a:pt x="3977283" y="4549365"/>
                <a:pt x="3961692" y="4533774"/>
                <a:pt x="3961692" y="4514547"/>
              </a:cubicBezTo>
              <a:cubicBezTo>
                <a:pt x="3961692" y="4495319"/>
                <a:pt x="3977283" y="4479728"/>
                <a:pt x="3996511" y="4479728"/>
              </a:cubicBezTo>
              <a:cubicBezTo>
                <a:pt x="4015739" y="4479728"/>
                <a:pt x="4031330" y="4495319"/>
                <a:pt x="4031330" y="4514547"/>
              </a:cubicBezTo>
              <a:cubicBezTo>
                <a:pt x="4031330" y="4533774"/>
                <a:pt x="4015739" y="4549365"/>
                <a:pt x="3996511" y="4549365"/>
              </a:cubicBezTo>
              <a:close/>
              <a:moveTo>
                <a:pt x="4081403" y="4549365"/>
              </a:moveTo>
              <a:cubicBezTo>
                <a:pt x="4062176" y="4549365"/>
                <a:pt x="4046584" y="4533774"/>
                <a:pt x="4046584" y="4514547"/>
              </a:cubicBezTo>
              <a:cubicBezTo>
                <a:pt x="4046584" y="4495319"/>
                <a:pt x="4062176" y="4479728"/>
                <a:pt x="4081403" y="4479728"/>
              </a:cubicBezTo>
              <a:cubicBezTo>
                <a:pt x="4100631" y="4479728"/>
                <a:pt x="4116222" y="4495319"/>
                <a:pt x="4116222" y="4514547"/>
              </a:cubicBezTo>
              <a:cubicBezTo>
                <a:pt x="4116222" y="4533774"/>
                <a:pt x="4100631" y="4549365"/>
                <a:pt x="4081403" y="4549365"/>
              </a:cubicBezTo>
              <a:close/>
              <a:moveTo>
                <a:pt x="4166296" y="4549365"/>
              </a:moveTo>
              <a:cubicBezTo>
                <a:pt x="4147068" y="4549365"/>
                <a:pt x="4131477" y="4533774"/>
                <a:pt x="4131477" y="4514547"/>
              </a:cubicBezTo>
              <a:cubicBezTo>
                <a:pt x="4131477" y="4495319"/>
                <a:pt x="4147068" y="4479728"/>
                <a:pt x="4166296" y="4479728"/>
              </a:cubicBezTo>
              <a:cubicBezTo>
                <a:pt x="4185523" y="4479728"/>
                <a:pt x="4201114" y="4495319"/>
                <a:pt x="4201114" y="4514547"/>
              </a:cubicBezTo>
              <a:cubicBezTo>
                <a:pt x="4201114" y="4533774"/>
                <a:pt x="4185523" y="4549365"/>
                <a:pt x="4166296" y="4549365"/>
              </a:cubicBezTo>
              <a:close/>
              <a:moveTo>
                <a:pt x="5779252" y="4549365"/>
              </a:moveTo>
              <a:cubicBezTo>
                <a:pt x="5760025" y="4549365"/>
                <a:pt x="5744433" y="4533774"/>
                <a:pt x="5744433" y="4514547"/>
              </a:cubicBezTo>
              <a:cubicBezTo>
                <a:pt x="5744433" y="4495319"/>
                <a:pt x="5760025" y="4479728"/>
                <a:pt x="5779252" y="4479728"/>
              </a:cubicBezTo>
              <a:cubicBezTo>
                <a:pt x="5798480" y="4479728"/>
                <a:pt x="5814071" y="4495319"/>
                <a:pt x="5814071" y="4514547"/>
              </a:cubicBezTo>
              <a:cubicBezTo>
                <a:pt x="5814071" y="4533774"/>
                <a:pt x="5798480" y="4549365"/>
                <a:pt x="5779252" y="4549365"/>
              </a:cubicBezTo>
              <a:close/>
              <a:moveTo>
                <a:pt x="6118826" y="4549365"/>
              </a:moveTo>
              <a:cubicBezTo>
                <a:pt x="6099592" y="4549365"/>
                <a:pt x="6084000" y="4533774"/>
                <a:pt x="6084000" y="4514547"/>
              </a:cubicBezTo>
              <a:cubicBezTo>
                <a:pt x="6084000" y="4495319"/>
                <a:pt x="6099592" y="4479728"/>
                <a:pt x="6118826" y="4479728"/>
              </a:cubicBezTo>
              <a:cubicBezTo>
                <a:pt x="6138054" y="4479728"/>
                <a:pt x="6153638" y="4495319"/>
                <a:pt x="6153638" y="4514547"/>
              </a:cubicBezTo>
              <a:cubicBezTo>
                <a:pt x="6153638" y="4533774"/>
                <a:pt x="6138054" y="4549365"/>
                <a:pt x="6118826" y="4549365"/>
              </a:cubicBezTo>
              <a:close/>
              <a:moveTo>
                <a:pt x="6458396" y="4549365"/>
              </a:moveTo>
              <a:cubicBezTo>
                <a:pt x="6439168" y="4549365"/>
                <a:pt x="6423570" y="4533774"/>
                <a:pt x="6423570" y="4514547"/>
              </a:cubicBezTo>
              <a:cubicBezTo>
                <a:pt x="6423570" y="4495319"/>
                <a:pt x="6439168" y="4479728"/>
                <a:pt x="6458396" y="4479728"/>
              </a:cubicBezTo>
              <a:cubicBezTo>
                <a:pt x="6477624" y="4479728"/>
                <a:pt x="6493208" y="4495319"/>
                <a:pt x="6493208" y="4514547"/>
              </a:cubicBezTo>
              <a:cubicBezTo>
                <a:pt x="6493208" y="4533774"/>
                <a:pt x="6477624" y="4549365"/>
                <a:pt x="6458396" y="4549365"/>
              </a:cubicBezTo>
              <a:close/>
              <a:moveTo>
                <a:pt x="6543288" y="4549365"/>
              </a:moveTo>
              <a:cubicBezTo>
                <a:pt x="6524060" y="4549365"/>
                <a:pt x="6508463" y="4533774"/>
                <a:pt x="6508463" y="4514547"/>
              </a:cubicBezTo>
              <a:cubicBezTo>
                <a:pt x="6508463" y="4495319"/>
                <a:pt x="6524060" y="4479728"/>
                <a:pt x="6543288" y="4479728"/>
              </a:cubicBezTo>
              <a:cubicBezTo>
                <a:pt x="6562516" y="4479728"/>
                <a:pt x="6578100" y="4495319"/>
                <a:pt x="6578100" y="4514547"/>
              </a:cubicBezTo>
              <a:cubicBezTo>
                <a:pt x="6578100" y="4533774"/>
                <a:pt x="6562516" y="4549365"/>
                <a:pt x="6543288" y="4549365"/>
              </a:cubicBezTo>
              <a:close/>
              <a:moveTo>
                <a:pt x="6628181" y="4549365"/>
              </a:moveTo>
              <a:cubicBezTo>
                <a:pt x="6608954" y="4549365"/>
                <a:pt x="6593356" y="4533774"/>
                <a:pt x="6593356" y="4514547"/>
              </a:cubicBezTo>
              <a:cubicBezTo>
                <a:pt x="6593356" y="4495319"/>
                <a:pt x="6608954" y="4479728"/>
                <a:pt x="6628181" y="4479728"/>
              </a:cubicBezTo>
              <a:cubicBezTo>
                <a:pt x="6647409" y="4479728"/>
                <a:pt x="6662994" y="4495319"/>
                <a:pt x="6662994" y="4514547"/>
              </a:cubicBezTo>
              <a:cubicBezTo>
                <a:pt x="6662994" y="4533774"/>
                <a:pt x="6647409" y="4549365"/>
                <a:pt x="6628181" y="4549365"/>
              </a:cubicBezTo>
              <a:close/>
              <a:moveTo>
                <a:pt x="6713074" y="4549365"/>
              </a:moveTo>
              <a:cubicBezTo>
                <a:pt x="6693846" y="4549365"/>
                <a:pt x="6678248" y="4533774"/>
                <a:pt x="6678248" y="4514547"/>
              </a:cubicBezTo>
              <a:cubicBezTo>
                <a:pt x="6678248" y="4495319"/>
                <a:pt x="6693846" y="4479728"/>
                <a:pt x="6713074" y="4479728"/>
              </a:cubicBezTo>
              <a:cubicBezTo>
                <a:pt x="6732301" y="4479728"/>
                <a:pt x="6747886" y="4495319"/>
                <a:pt x="6747886" y="4514547"/>
              </a:cubicBezTo>
              <a:cubicBezTo>
                <a:pt x="6747886" y="4533774"/>
                <a:pt x="6732301" y="4549365"/>
                <a:pt x="6713074" y="4549365"/>
              </a:cubicBezTo>
              <a:close/>
              <a:moveTo>
                <a:pt x="6797966" y="4549365"/>
              </a:moveTo>
              <a:cubicBezTo>
                <a:pt x="6778738" y="4549365"/>
                <a:pt x="6763140" y="4533774"/>
                <a:pt x="6763140" y="4514547"/>
              </a:cubicBezTo>
              <a:cubicBezTo>
                <a:pt x="6763140" y="4495319"/>
                <a:pt x="6778738" y="4479728"/>
                <a:pt x="6797966" y="4479728"/>
              </a:cubicBezTo>
              <a:cubicBezTo>
                <a:pt x="6817194" y="4479728"/>
                <a:pt x="6832778" y="4495319"/>
                <a:pt x="6832778" y="4514547"/>
              </a:cubicBezTo>
              <a:cubicBezTo>
                <a:pt x="6832778" y="4533774"/>
                <a:pt x="6817194" y="4549365"/>
                <a:pt x="6797966" y="4549365"/>
              </a:cubicBezTo>
              <a:close/>
              <a:moveTo>
                <a:pt x="6882858" y="4549365"/>
              </a:moveTo>
              <a:cubicBezTo>
                <a:pt x="6863630" y="4549365"/>
                <a:pt x="6848033" y="4533774"/>
                <a:pt x="6848033" y="4514547"/>
              </a:cubicBezTo>
              <a:cubicBezTo>
                <a:pt x="6848033" y="4495319"/>
                <a:pt x="6863630" y="4479728"/>
                <a:pt x="6882858" y="4479728"/>
              </a:cubicBezTo>
              <a:cubicBezTo>
                <a:pt x="6902086" y="4479728"/>
                <a:pt x="6917670" y="4495319"/>
                <a:pt x="6917670" y="4514547"/>
              </a:cubicBezTo>
              <a:cubicBezTo>
                <a:pt x="6917670" y="4533774"/>
                <a:pt x="6902086" y="4549365"/>
                <a:pt x="6882858" y="4549365"/>
              </a:cubicBezTo>
              <a:close/>
              <a:moveTo>
                <a:pt x="6967750" y="4549365"/>
              </a:moveTo>
              <a:cubicBezTo>
                <a:pt x="6948523" y="4549365"/>
                <a:pt x="6932925" y="4533774"/>
                <a:pt x="6932925" y="4514547"/>
              </a:cubicBezTo>
              <a:cubicBezTo>
                <a:pt x="6932925" y="4495319"/>
                <a:pt x="6948523" y="4479728"/>
                <a:pt x="6967750" y="4479728"/>
              </a:cubicBezTo>
              <a:cubicBezTo>
                <a:pt x="6986978" y="4479728"/>
                <a:pt x="7002563" y="4495319"/>
                <a:pt x="7002563" y="4514547"/>
              </a:cubicBezTo>
              <a:cubicBezTo>
                <a:pt x="7002563" y="4533774"/>
                <a:pt x="6986978" y="4549365"/>
                <a:pt x="6967750" y="4549365"/>
              </a:cubicBezTo>
              <a:close/>
              <a:moveTo>
                <a:pt x="7052644" y="4549365"/>
              </a:moveTo>
              <a:cubicBezTo>
                <a:pt x="7033416" y="4549365"/>
                <a:pt x="7017818" y="4533774"/>
                <a:pt x="7017818" y="4514547"/>
              </a:cubicBezTo>
              <a:cubicBezTo>
                <a:pt x="7017818" y="4495319"/>
                <a:pt x="7033416" y="4479728"/>
                <a:pt x="7052644" y="4479728"/>
              </a:cubicBezTo>
              <a:cubicBezTo>
                <a:pt x="7071871" y="4479728"/>
                <a:pt x="7087456" y="4495319"/>
                <a:pt x="7087456" y="4514547"/>
              </a:cubicBezTo>
              <a:cubicBezTo>
                <a:pt x="7087456" y="4533774"/>
                <a:pt x="7071871" y="4549365"/>
                <a:pt x="7052644" y="4549365"/>
              </a:cubicBezTo>
              <a:close/>
              <a:moveTo>
                <a:pt x="7137536" y="4549365"/>
              </a:moveTo>
              <a:cubicBezTo>
                <a:pt x="7118308" y="4549365"/>
                <a:pt x="7102710" y="4533774"/>
                <a:pt x="7102710" y="4514547"/>
              </a:cubicBezTo>
              <a:cubicBezTo>
                <a:pt x="7102710" y="4495319"/>
                <a:pt x="7118308" y="4479728"/>
                <a:pt x="7137536" y="4479728"/>
              </a:cubicBezTo>
              <a:cubicBezTo>
                <a:pt x="7156764" y="4479728"/>
                <a:pt x="7172348" y="4495319"/>
                <a:pt x="7172348" y="4514547"/>
              </a:cubicBezTo>
              <a:cubicBezTo>
                <a:pt x="7172348" y="4533774"/>
                <a:pt x="7156764" y="4549365"/>
                <a:pt x="7137536" y="4549365"/>
              </a:cubicBezTo>
              <a:close/>
              <a:moveTo>
                <a:pt x="7222428" y="4549365"/>
              </a:moveTo>
              <a:cubicBezTo>
                <a:pt x="7203200" y="4549365"/>
                <a:pt x="7187603" y="4533774"/>
                <a:pt x="7187603" y="4514547"/>
              </a:cubicBezTo>
              <a:cubicBezTo>
                <a:pt x="7187603" y="4495319"/>
                <a:pt x="7203200" y="4479728"/>
                <a:pt x="7222428" y="4479728"/>
              </a:cubicBezTo>
              <a:cubicBezTo>
                <a:pt x="7241656" y="4479728"/>
                <a:pt x="7257240" y="4495319"/>
                <a:pt x="7257240" y="4514547"/>
              </a:cubicBezTo>
              <a:cubicBezTo>
                <a:pt x="7257240" y="4533774"/>
                <a:pt x="7241656" y="4549365"/>
                <a:pt x="7222428" y="4549365"/>
              </a:cubicBezTo>
              <a:close/>
              <a:moveTo>
                <a:pt x="7307320" y="4549365"/>
              </a:moveTo>
              <a:cubicBezTo>
                <a:pt x="7288093" y="4549365"/>
                <a:pt x="7272495" y="4533774"/>
                <a:pt x="7272495" y="4514547"/>
              </a:cubicBezTo>
              <a:cubicBezTo>
                <a:pt x="7272495" y="4495319"/>
                <a:pt x="7288093" y="4479728"/>
                <a:pt x="7307320" y="4479728"/>
              </a:cubicBezTo>
              <a:cubicBezTo>
                <a:pt x="7326548" y="4479728"/>
                <a:pt x="7342133" y="4495319"/>
                <a:pt x="7342133" y="4514547"/>
              </a:cubicBezTo>
              <a:cubicBezTo>
                <a:pt x="7342133" y="4533774"/>
                <a:pt x="7326548" y="4549365"/>
                <a:pt x="7307320" y="4549365"/>
              </a:cubicBezTo>
              <a:close/>
              <a:moveTo>
                <a:pt x="7392214" y="4549365"/>
              </a:moveTo>
              <a:cubicBezTo>
                <a:pt x="7372986" y="4549365"/>
                <a:pt x="7357388" y="4533774"/>
                <a:pt x="7357388" y="4514547"/>
              </a:cubicBezTo>
              <a:cubicBezTo>
                <a:pt x="7357388" y="4495319"/>
                <a:pt x="7372986" y="4479728"/>
                <a:pt x="7392214" y="4479728"/>
              </a:cubicBezTo>
              <a:cubicBezTo>
                <a:pt x="7411441" y="4479728"/>
                <a:pt x="7427026" y="4495319"/>
                <a:pt x="7427026" y="4514547"/>
              </a:cubicBezTo>
              <a:cubicBezTo>
                <a:pt x="7427026" y="4533774"/>
                <a:pt x="7411441" y="4549365"/>
                <a:pt x="7392214" y="4549365"/>
              </a:cubicBezTo>
              <a:close/>
              <a:moveTo>
                <a:pt x="7477106" y="4549365"/>
              </a:moveTo>
              <a:cubicBezTo>
                <a:pt x="7457878" y="4549365"/>
                <a:pt x="7442280" y="4533774"/>
                <a:pt x="7442280" y="4514547"/>
              </a:cubicBezTo>
              <a:cubicBezTo>
                <a:pt x="7442280" y="4495319"/>
                <a:pt x="7457878" y="4479728"/>
                <a:pt x="7477106" y="4479728"/>
              </a:cubicBezTo>
              <a:cubicBezTo>
                <a:pt x="7496334" y="4479728"/>
                <a:pt x="7511918" y="4495319"/>
                <a:pt x="7511918" y="4514547"/>
              </a:cubicBezTo>
              <a:cubicBezTo>
                <a:pt x="7511918" y="4533774"/>
                <a:pt x="7496334" y="4549365"/>
                <a:pt x="7477106" y="4549365"/>
              </a:cubicBezTo>
              <a:close/>
              <a:moveTo>
                <a:pt x="7561998" y="4549365"/>
              </a:moveTo>
              <a:cubicBezTo>
                <a:pt x="7542770" y="4549365"/>
                <a:pt x="7527173" y="4533774"/>
                <a:pt x="7527173" y="4514547"/>
              </a:cubicBezTo>
              <a:cubicBezTo>
                <a:pt x="7527173" y="4495319"/>
                <a:pt x="7542770" y="4479728"/>
                <a:pt x="7561998" y="4479728"/>
              </a:cubicBezTo>
              <a:cubicBezTo>
                <a:pt x="7581226" y="4479728"/>
                <a:pt x="7596810" y="4495319"/>
                <a:pt x="7596810" y="4514547"/>
              </a:cubicBezTo>
              <a:cubicBezTo>
                <a:pt x="7596810" y="4533774"/>
                <a:pt x="7581226" y="4549365"/>
                <a:pt x="7561998" y="4549365"/>
              </a:cubicBezTo>
              <a:close/>
              <a:moveTo>
                <a:pt x="7646890" y="4549365"/>
              </a:moveTo>
              <a:cubicBezTo>
                <a:pt x="7627663" y="4549365"/>
                <a:pt x="7612065" y="4533774"/>
                <a:pt x="7612065" y="4514547"/>
              </a:cubicBezTo>
              <a:cubicBezTo>
                <a:pt x="7612065" y="4495319"/>
                <a:pt x="7627663" y="4479728"/>
                <a:pt x="7646890" y="4479728"/>
              </a:cubicBezTo>
              <a:cubicBezTo>
                <a:pt x="7666118" y="4479728"/>
                <a:pt x="7681703" y="4495319"/>
                <a:pt x="7681703" y="4514547"/>
              </a:cubicBezTo>
              <a:cubicBezTo>
                <a:pt x="7681703" y="4533774"/>
                <a:pt x="7666118" y="4549365"/>
                <a:pt x="7646890" y="4549365"/>
              </a:cubicBezTo>
              <a:close/>
              <a:moveTo>
                <a:pt x="7731784" y="4549365"/>
              </a:moveTo>
              <a:cubicBezTo>
                <a:pt x="7712556" y="4549365"/>
                <a:pt x="7696958" y="4533774"/>
                <a:pt x="7696958" y="4514547"/>
              </a:cubicBezTo>
              <a:cubicBezTo>
                <a:pt x="7696958" y="4495319"/>
                <a:pt x="7712556" y="4479728"/>
                <a:pt x="7731784" y="4479728"/>
              </a:cubicBezTo>
              <a:cubicBezTo>
                <a:pt x="7751011" y="4479728"/>
                <a:pt x="7766596" y="4495319"/>
                <a:pt x="7766596" y="4514547"/>
              </a:cubicBezTo>
              <a:cubicBezTo>
                <a:pt x="7766596" y="4533774"/>
                <a:pt x="7751011" y="4549365"/>
                <a:pt x="7731784" y="4549365"/>
              </a:cubicBezTo>
              <a:close/>
              <a:moveTo>
                <a:pt x="7816676" y="4549365"/>
              </a:moveTo>
              <a:cubicBezTo>
                <a:pt x="7797448" y="4549365"/>
                <a:pt x="7781850" y="4533774"/>
                <a:pt x="7781850" y="4514547"/>
              </a:cubicBezTo>
              <a:cubicBezTo>
                <a:pt x="7781850" y="4495319"/>
                <a:pt x="7797448" y="4479728"/>
                <a:pt x="7816676" y="4479728"/>
              </a:cubicBezTo>
              <a:cubicBezTo>
                <a:pt x="7835904" y="4479728"/>
                <a:pt x="7851488" y="4495319"/>
                <a:pt x="7851488" y="4514547"/>
              </a:cubicBezTo>
              <a:cubicBezTo>
                <a:pt x="7851488" y="4533774"/>
                <a:pt x="7835904" y="4549365"/>
                <a:pt x="7816676" y="4549365"/>
              </a:cubicBezTo>
              <a:close/>
              <a:moveTo>
                <a:pt x="7901568" y="4549365"/>
              </a:moveTo>
              <a:cubicBezTo>
                <a:pt x="7882340" y="4549365"/>
                <a:pt x="7866743" y="4533774"/>
                <a:pt x="7866743" y="4514547"/>
              </a:cubicBezTo>
              <a:cubicBezTo>
                <a:pt x="7866743" y="4495319"/>
                <a:pt x="7882340" y="4479728"/>
                <a:pt x="7901568" y="4479728"/>
              </a:cubicBezTo>
              <a:cubicBezTo>
                <a:pt x="7920796" y="4479728"/>
                <a:pt x="7936380" y="4495319"/>
                <a:pt x="7936380" y="4514547"/>
              </a:cubicBezTo>
              <a:cubicBezTo>
                <a:pt x="7936380" y="4533774"/>
                <a:pt x="7920796" y="4549365"/>
                <a:pt x="7901568" y="4549365"/>
              </a:cubicBezTo>
              <a:close/>
              <a:moveTo>
                <a:pt x="7986460" y="4549365"/>
              </a:moveTo>
              <a:cubicBezTo>
                <a:pt x="7967233" y="4549365"/>
                <a:pt x="7951635" y="4533774"/>
                <a:pt x="7951635" y="4514547"/>
              </a:cubicBezTo>
              <a:cubicBezTo>
                <a:pt x="7951635" y="4495319"/>
                <a:pt x="7967233" y="4479728"/>
                <a:pt x="7986460" y="4479728"/>
              </a:cubicBezTo>
              <a:cubicBezTo>
                <a:pt x="8005688" y="4479728"/>
                <a:pt x="8021273" y="4495319"/>
                <a:pt x="8021273" y="4514547"/>
              </a:cubicBezTo>
              <a:cubicBezTo>
                <a:pt x="8021273" y="4533774"/>
                <a:pt x="8005688" y="4549365"/>
                <a:pt x="7986460" y="4549365"/>
              </a:cubicBezTo>
              <a:close/>
              <a:moveTo>
                <a:pt x="8071353" y="4549365"/>
              </a:moveTo>
              <a:cubicBezTo>
                <a:pt x="8052125" y="4549365"/>
                <a:pt x="8036527" y="4533774"/>
                <a:pt x="8036527" y="4514547"/>
              </a:cubicBezTo>
              <a:cubicBezTo>
                <a:pt x="8036527" y="4495319"/>
                <a:pt x="8052125" y="4479728"/>
                <a:pt x="8071353" y="4479728"/>
              </a:cubicBezTo>
              <a:cubicBezTo>
                <a:pt x="8090580" y="4479728"/>
                <a:pt x="8106165" y="4495319"/>
                <a:pt x="8106165" y="4514547"/>
              </a:cubicBezTo>
              <a:cubicBezTo>
                <a:pt x="8106165" y="4533774"/>
                <a:pt x="8090580" y="4549365"/>
                <a:pt x="8071353" y="4549365"/>
              </a:cubicBezTo>
              <a:close/>
              <a:moveTo>
                <a:pt x="8156246" y="4549365"/>
              </a:moveTo>
              <a:cubicBezTo>
                <a:pt x="8137018" y="4549365"/>
                <a:pt x="8121420" y="4533774"/>
                <a:pt x="8121420" y="4514547"/>
              </a:cubicBezTo>
              <a:cubicBezTo>
                <a:pt x="8121420" y="4495319"/>
                <a:pt x="8137018" y="4479728"/>
                <a:pt x="8156246" y="4479728"/>
              </a:cubicBezTo>
              <a:cubicBezTo>
                <a:pt x="8175474" y="4479728"/>
                <a:pt x="8191058" y="4495319"/>
                <a:pt x="8191058" y="4514547"/>
              </a:cubicBezTo>
              <a:cubicBezTo>
                <a:pt x="8191058" y="4533774"/>
                <a:pt x="8175474" y="4549365"/>
                <a:pt x="8156246" y="4549365"/>
              </a:cubicBezTo>
              <a:close/>
              <a:moveTo>
                <a:pt x="8241138" y="4549365"/>
              </a:moveTo>
              <a:cubicBezTo>
                <a:pt x="8221910" y="4549365"/>
                <a:pt x="8206313" y="4533774"/>
                <a:pt x="8206313" y="4514547"/>
              </a:cubicBezTo>
              <a:cubicBezTo>
                <a:pt x="8206313" y="4495319"/>
                <a:pt x="8221910" y="4479728"/>
                <a:pt x="8241138" y="4479728"/>
              </a:cubicBezTo>
              <a:cubicBezTo>
                <a:pt x="8260366" y="4479728"/>
                <a:pt x="8275950" y="4495319"/>
                <a:pt x="8275950" y="4514547"/>
              </a:cubicBezTo>
              <a:cubicBezTo>
                <a:pt x="8275950" y="4533774"/>
                <a:pt x="8260366" y="4549365"/>
                <a:pt x="8241138" y="4549365"/>
              </a:cubicBezTo>
              <a:close/>
              <a:moveTo>
                <a:pt x="8326030" y="4549365"/>
              </a:moveTo>
              <a:cubicBezTo>
                <a:pt x="8306803" y="4549365"/>
                <a:pt x="8291205" y="4533774"/>
                <a:pt x="8291205" y="4514547"/>
              </a:cubicBezTo>
              <a:cubicBezTo>
                <a:pt x="8291205" y="4495319"/>
                <a:pt x="8306803" y="4479728"/>
                <a:pt x="8326030" y="4479728"/>
              </a:cubicBezTo>
              <a:cubicBezTo>
                <a:pt x="8345258" y="4479728"/>
                <a:pt x="8360843" y="4495319"/>
                <a:pt x="8360843" y="4514547"/>
              </a:cubicBezTo>
              <a:cubicBezTo>
                <a:pt x="8360843" y="4533774"/>
                <a:pt x="8345258" y="4549365"/>
                <a:pt x="8326030" y="4549365"/>
              </a:cubicBezTo>
              <a:close/>
              <a:moveTo>
                <a:pt x="8410923" y="4549365"/>
              </a:moveTo>
              <a:cubicBezTo>
                <a:pt x="8391695" y="4549365"/>
                <a:pt x="8376097" y="4533774"/>
                <a:pt x="8376097" y="4514547"/>
              </a:cubicBezTo>
              <a:cubicBezTo>
                <a:pt x="8376097" y="4495319"/>
                <a:pt x="8391695" y="4479728"/>
                <a:pt x="8410923" y="4479728"/>
              </a:cubicBezTo>
              <a:cubicBezTo>
                <a:pt x="8430150" y="4479728"/>
                <a:pt x="8445735" y="4495319"/>
                <a:pt x="8445735" y="4514547"/>
              </a:cubicBezTo>
              <a:cubicBezTo>
                <a:pt x="8445735" y="4533774"/>
                <a:pt x="8430150" y="4549365"/>
                <a:pt x="8410923" y="4549365"/>
              </a:cubicBezTo>
              <a:close/>
              <a:moveTo>
                <a:pt x="8495816" y="4549365"/>
              </a:moveTo>
              <a:cubicBezTo>
                <a:pt x="8476588" y="4549365"/>
                <a:pt x="8460990" y="4533774"/>
                <a:pt x="8460990" y="4514547"/>
              </a:cubicBezTo>
              <a:cubicBezTo>
                <a:pt x="8460990" y="4495319"/>
                <a:pt x="8476588" y="4479728"/>
                <a:pt x="8495816" y="4479728"/>
              </a:cubicBezTo>
              <a:cubicBezTo>
                <a:pt x="8515044" y="4479728"/>
                <a:pt x="8530628" y="4495319"/>
                <a:pt x="8530628" y="4514547"/>
              </a:cubicBezTo>
              <a:cubicBezTo>
                <a:pt x="8530628" y="4533774"/>
                <a:pt x="8515044" y="4549365"/>
                <a:pt x="8495816" y="4549365"/>
              </a:cubicBezTo>
              <a:close/>
              <a:moveTo>
                <a:pt x="8580708" y="4549365"/>
              </a:moveTo>
              <a:cubicBezTo>
                <a:pt x="8561480" y="4549365"/>
                <a:pt x="8545883" y="4533774"/>
                <a:pt x="8545883" y="4514547"/>
              </a:cubicBezTo>
              <a:cubicBezTo>
                <a:pt x="8545883" y="4495319"/>
                <a:pt x="8561480" y="4479728"/>
                <a:pt x="8580708" y="4479728"/>
              </a:cubicBezTo>
              <a:cubicBezTo>
                <a:pt x="8599936" y="4479728"/>
                <a:pt x="8615520" y="4495319"/>
                <a:pt x="8615520" y="4514547"/>
              </a:cubicBezTo>
              <a:cubicBezTo>
                <a:pt x="8615520" y="4533774"/>
                <a:pt x="8599936" y="4549365"/>
                <a:pt x="8580708" y="4549365"/>
              </a:cubicBezTo>
              <a:close/>
              <a:moveTo>
                <a:pt x="8665600" y="4549365"/>
              </a:moveTo>
              <a:cubicBezTo>
                <a:pt x="8646373" y="4549365"/>
                <a:pt x="8630775" y="4533774"/>
                <a:pt x="8630775" y="4514547"/>
              </a:cubicBezTo>
              <a:cubicBezTo>
                <a:pt x="8630775" y="4495319"/>
                <a:pt x="8646373" y="4479728"/>
                <a:pt x="8665600" y="4479728"/>
              </a:cubicBezTo>
              <a:cubicBezTo>
                <a:pt x="8684828" y="4479728"/>
                <a:pt x="8700413" y="4495319"/>
                <a:pt x="8700413" y="4514547"/>
              </a:cubicBezTo>
              <a:cubicBezTo>
                <a:pt x="8700413" y="4533774"/>
                <a:pt x="8684828" y="4549365"/>
                <a:pt x="8665600" y="4549365"/>
              </a:cubicBezTo>
              <a:close/>
              <a:moveTo>
                <a:pt x="8750493" y="4549365"/>
              </a:moveTo>
              <a:cubicBezTo>
                <a:pt x="8731265" y="4549365"/>
                <a:pt x="8715667" y="4533774"/>
                <a:pt x="8715667" y="4514547"/>
              </a:cubicBezTo>
              <a:cubicBezTo>
                <a:pt x="8715667" y="4495319"/>
                <a:pt x="8731265" y="4479728"/>
                <a:pt x="8750493" y="4479728"/>
              </a:cubicBezTo>
              <a:cubicBezTo>
                <a:pt x="8769720" y="4479728"/>
                <a:pt x="8785305" y="4495319"/>
                <a:pt x="8785305" y="4514547"/>
              </a:cubicBezTo>
              <a:cubicBezTo>
                <a:pt x="8785305" y="4533774"/>
                <a:pt x="8769720" y="4549365"/>
                <a:pt x="8750493" y="4549365"/>
              </a:cubicBezTo>
              <a:close/>
              <a:moveTo>
                <a:pt x="9005170" y="4549365"/>
              </a:moveTo>
              <a:cubicBezTo>
                <a:pt x="8985943" y="4549365"/>
                <a:pt x="8970345" y="4533774"/>
                <a:pt x="8970345" y="4514547"/>
              </a:cubicBezTo>
              <a:cubicBezTo>
                <a:pt x="8970345" y="4495319"/>
                <a:pt x="8985943" y="4479728"/>
                <a:pt x="9005170" y="4479728"/>
              </a:cubicBezTo>
              <a:cubicBezTo>
                <a:pt x="9024398" y="4479728"/>
                <a:pt x="9039983" y="4495319"/>
                <a:pt x="9039983" y="4514547"/>
              </a:cubicBezTo>
              <a:cubicBezTo>
                <a:pt x="9039983" y="4533774"/>
                <a:pt x="9024398" y="4549365"/>
                <a:pt x="9005170" y="4549365"/>
              </a:cubicBezTo>
              <a:close/>
              <a:moveTo>
                <a:pt x="9090063" y="4549365"/>
              </a:moveTo>
              <a:cubicBezTo>
                <a:pt x="9070835" y="4549365"/>
                <a:pt x="9055237" y="4533774"/>
                <a:pt x="9055237" y="4514547"/>
              </a:cubicBezTo>
              <a:cubicBezTo>
                <a:pt x="9055237" y="4495319"/>
                <a:pt x="9070835" y="4479728"/>
                <a:pt x="9090063" y="4479728"/>
              </a:cubicBezTo>
              <a:cubicBezTo>
                <a:pt x="9109290" y="4479728"/>
                <a:pt x="9124875" y="4495319"/>
                <a:pt x="9124875" y="4514547"/>
              </a:cubicBezTo>
              <a:cubicBezTo>
                <a:pt x="9124875" y="4533774"/>
                <a:pt x="9109290" y="4549365"/>
                <a:pt x="9090063" y="4549365"/>
              </a:cubicBezTo>
              <a:close/>
              <a:moveTo>
                <a:pt x="9174956" y="4549365"/>
              </a:moveTo>
              <a:cubicBezTo>
                <a:pt x="9155728" y="4549365"/>
                <a:pt x="9140130" y="4533774"/>
                <a:pt x="9140130" y="4514547"/>
              </a:cubicBezTo>
              <a:cubicBezTo>
                <a:pt x="9140130" y="4495319"/>
                <a:pt x="9155728" y="4479728"/>
                <a:pt x="9174956" y="4479728"/>
              </a:cubicBezTo>
              <a:cubicBezTo>
                <a:pt x="9194184" y="4479728"/>
                <a:pt x="9209768" y="4495319"/>
                <a:pt x="9209768" y="4514547"/>
              </a:cubicBezTo>
              <a:cubicBezTo>
                <a:pt x="9209768" y="4533774"/>
                <a:pt x="9194184" y="4549365"/>
                <a:pt x="9174956" y="4549365"/>
              </a:cubicBezTo>
              <a:close/>
              <a:moveTo>
                <a:pt x="9259848" y="4549365"/>
              </a:moveTo>
              <a:cubicBezTo>
                <a:pt x="9240620" y="4549365"/>
                <a:pt x="9225023" y="4533774"/>
                <a:pt x="9225023" y="4514547"/>
              </a:cubicBezTo>
              <a:cubicBezTo>
                <a:pt x="9225023" y="4495319"/>
                <a:pt x="9240620" y="4479728"/>
                <a:pt x="9259848" y="4479728"/>
              </a:cubicBezTo>
              <a:cubicBezTo>
                <a:pt x="9279076" y="4479728"/>
                <a:pt x="9294660" y="4495319"/>
                <a:pt x="9294660" y="4514547"/>
              </a:cubicBezTo>
              <a:cubicBezTo>
                <a:pt x="9294660" y="4533774"/>
                <a:pt x="9279076" y="4549365"/>
                <a:pt x="9259848" y="4549365"/>
              </a:cubicBezTo>
              <a:close/>
              <a:moveTo>
                <a:pt x="9344740" y="4549365"/>
              </a:moveTo>
              <a:cubicBezTo>
                <a:pt x="9325513" y="4549365"/>
                <a:pt x="9309915" y="4533774"/>
                <a:pt x="9309915" y="4514547"/>
              </a:cubicBezTo>
              <a:cubicBezTo>
                <a:pt x="9309915" y="4495319"/>
                <a:pt x="9325513" y="4479728"/>
                <a:pt x="9344740" y="4479728"/>
              </a:cubicBezTo>
              <a:cubicBezTo>
                <a:pt x="9363968" y="4479728"/>
                <a:pt x="9379553" y="4495319"/>
                <a:pt x="9379553" y="4514547"/>
              </a:cubicBezTo>
              <a:cubicBezTo>
                <a:pt x="9379553" y="4533774"/>
                <a:pt x="9363968" y="4549365"/>
                <a:pt x="9344740" y="4549365"/>
              </a:cubicBezTo>
              <a:close/>
              <a:moveTo>
                <a:pt x="9429633" y="4549365"/>
              </a:moveTo>
              <a:cubicBezTo>
                <a:pt x="9410405" y="4549365"/>
                <a:pt x="9394807" y="4533774"/>
                <a:pt x="9394807" y="4514547"/>
              </a:cubicBezTo>
              <a:cubicBezTo>
                <a:pt x="9394807" y="4495319"/>
                <a:pt x="9410405" y="4479728"/>
                <a:pt x="9429633" y="4479728"/>
              </a:cubicBezTo>
              <a:cubicBezTo>
                <a:pt x="9448860" y="4479728"/>
                <a:pt x="9464445" y="4495319"/>
                <a:pt x="9464445" y="4514547"/>
              </a:cubicBezTo>
              <a:cubicBezTo>
                <a:pt x="9464445" y="4533774"/>
                <a:pt x="9448860" y="4549365"/>
                <a:pt x="9429633" y="4549365"/>
              </a:cubicBezTo>
              <a:close/>
              <a:moveTo>
                <a:pt x="9514525" y="4549365"/>
              </a:moveTo>
              <a:cubicBezTo>
                <a:pt x="9495297" y="4549365"/>
                <a:pt x="9479699" y="4533774"/>
                <a:pt x="9479699" y="4514547"/>
              </a:cubicBezTo>
              <a:cubicBezTo>
                <a:pt x="9479699" y="4495319"/>
                <a:pt x="9495297" y="4479728"/>
                <a:pt x="9514525" y="4479728"/>
              </a:cubicBezTo>
              <a:cubicBezTo>
                <a:pt x="9533753" y="4479728"/>
                <a:pt x="9549337" y="4495319"/>
                <a:pt x="9549337" y="4514547"/>
              </a:cubicBezTo>
              <a:cubicBezTo>
                <a:pt x="9549337" y="4533774"/>
                <a:pt x="9533753" y="4549365"/>
                <a:pt x="9514525" y="4549365"/>
              </a:cubicBezTo>
              <a:close/>
              <a:moveTo>
                <a:pt x="9599418" y="4549365"/>
              </a:moveTo>
              <a:cubicBezTo>
                <a:pt x="9580190" y="4549365"/>
                <a:pt x="9564593" y="4533774"/>
                <a:pt x="9564593" y="4514547"/>
              </a:cubicBezTo>
              <a:cubicBezTo>
                <a:pt x="9564593" y="4495319"/>
                <a:pt x="9580190" y="4479728"/>
                <a:pt x="9599418" y="4479728"/>
              </a:cubicBezTo>
              <a:cubicBezTo>
                <a:pt x="9618646" y="4479728"/>
                <a:pt x="9634230" y="4495319"/>
                <a:pt x="9634230" y="4514547"/>
              </a:cubicBezTo>
              <a:cubicBezTo>
                <a:pt x="9634230" y="4533774"/>
                <a:pt x="9618646" y="4549365"/>
                <a:pt x="9599418" y="4549365"/>
              </a:cubicBezTo>
              <a:close/>
              <a:moveTo>
                <a:pt x="9684310" y="4549365"/>
              </a:moveTo>
              <a:cubicBezTo>
                <a:pt x="9665083" y="4549365"/>
                <a:pt x="9649485" y="4533774"/>
                <a:pt x="9649485" y="4514547"/>
              </a:cubicBezTo>
              <a:cubicBezTo>
                <a:pt x="9649485" y="4495319"/>
                <a:pt x="9665083" y="4479728"/>
                <a:pt x="9684310" y="4479728"/>
              </a:cubicBezTo>
              <a:cubicBezTo>
                <a:pt x="9703538" y="4479728"/>
                <a:pt x="9719123" y="4495319"/>
                <a:pt x="9719123" y="4514547"/>
              </a:cubicBezTo>
              <a:cubicBezTo>
                <a:pt x="9719123" y="4533774"/>
                <a:pt x="9703538" y="4549365"/>
                <a:pt x="9684310" y="4549365"/>
              </a:cubicBezTo>
              <a:close/>
              <a:moveTo>
                <a:pt x="9769203" y="4549365"/>
              </a:moveTo>
              <a:cubicBezTo>
                <a:pt x="9749975" y="4549365"/>
                <a:pt x="9734377" y="4533774"/>
                <a:pt x="9734377" y="4514547"/>
              </a:cubicBezTo>
              <a:cubicBezTo>
                <a:pt x="9734377" y="4495319"/>
                <a:pt x="9749975" y="4479728"/>
                <a:pt x="9769203" y="4479728"/>
              </a:cubicBezTo>
              <a:cubicBezTo>
                <a:pt x="9788430" y="4479728"/>
                <a:pt x="9804015" y="4495319"/>
                <a:pt x="9804015" y="4514547"/>
              </a:cubicBezTo>
              <a:cubicBezTo>
                <a:pt x="9804015" y="4533774"/>
                <a:pt x="9788430" y="4549365"/>
                <a:pt x="9769203" y="4549365"/>
              </a:cubicBezTo>
              <a:close/>
              <a:moveTo>
                <a:pt x="9854095" y="4549365"/>
              </a:moveTo>
              <a:cubicBezTo>
                <a:pt x="9834867" y="4549365"/>
                <a:pt x="9819269" y="4533774"/>
                <a:pt x="9819269" y="4514547"/>
              </a:cubicBezTo>
              <a:cubicBezTo>
                <a:pt x="9819269" y="4495319"/>
                <a:pt x="9834867" y="4479728"/>
                <a:pt x="9854095" y="4479728"/>
              </a:cubicBezTo>
              <a:cubicBezTo>
                <a:pt x="9873323" y="4479728"/>
                <a:pt x="9888907" y="4495319"/>
                <a:pt x="9888907" y="4514547"/>
              </a:cubicBezTo>
              <a:cubicBezTo>
                <a:pt x="9888907" y="4533774"/>
                <a:pt x="9873323" y="4549365"/>
                <a:pt x="9854095" y="4549365"/>
              </a:cubicBezTo>
              <a:close/>
              <a:moveTo>
                <a:pt x="9938988" y="4549365"/>
              </a:moveTo>
              <a:cubicBezTo>
                <a:pt x="9919760" y="4549365"/>
                <a:pt x="9904163" y="4533774"/>
                <a:pt x="9904163" y="4514547"/>
              </a:cubicBezTo>
              <a:cubicBezTo>
                <a:pt x="9904163" y="4495319"/>
                <a:pt x="9919760" y="4479728"/>
                <a:pt x="9938988" y="4479728"/>
              </a:cubicBezTo>
              <a:cubicBezTo>
                <a:pt x="9958216" y="4479728"/>
                <a:pt x="9973800" y="4495319"/>
                <a:pt x="9973800" y="4514547"/>
              </a:cubicBezTo>
              <a:cubicBezTo>
                <a:pt x="9973800" y="4533774"/>
                <a:pt x="9958216" y="4549365"/>
                <a:pt x="9938988" y="4549365"/>
              </a:cubicBezTo>
              <a:close/>
              <a:moveTo>
                <a:pt x="10023880" y="4549365"/>
              </a:moveTo>
              <a:cubicBezTo>
                <a:pt x="10004653" y="4549365"/>
                <a:pt x="9989055" y="4533774"/>
                <a:pt x="9989055" y="4514547"/>
              </a:cubicBezTo>
              <a:cubicBezTo>
                <a:pt x="9989055" y="4495319"/>
                <a:pt x="10004653" y="4479728"/>
                <a:pt x="10023880" y="4479728"/>
              </a:cubicBezTo>
              <a:cubicBezTo>
                <a:pt x="10043108" y="4479728"/>
                <a:pt x="10058693" y="4495319"/>
                <a:pt x="10058693" y="4514547"/>
              </a:cubicBezTo>
              <a:cubicBezTo>
                <a:pt x="10058693" y="4533774"/>
                <a:pt x="10043108" y="4549365"/>
                <a:pt x="10023880" y="4549365"/>
              </a:cubicBezTo>
              <a:close/>
              <a:moveTo>
                <a:pt x="10363450" y="4549365"/>
              </a:moveTo>
              <a:cubicBezTo>
                <a:pt x="10344223" y="4549365"/>
                <a:pt x="10328625" y="4533774"/>
                <a:pt x="10328625" y="4514547"/>
              </a:cubicBezTo>
              <a:cubicBezTo>
                <a:pt x="10328625" y="4495319"/>
                <a:pt x="10344223" y="4479728"/>
                <a:pt x="10363450" y="4479728"/>
              </a:cubicBezTo>
              <a:cubicBezTo>
                <a:pt x="10382678" y="4479728"/>
                <a:pt x="10398263" y="4495319"/>
                <a:pt x="10398263" y="4514547"/>
              </a:cubicBezTo>
              <a:cubicBezTo>
                <a:pt x="10398263" y="4533774"/>
                <a:pt x="10382678" y="4549365"/>
                <a:pt x="10363450" y="4549365"/>
              </a:cubicBezTo>
              <a:close/>
              <a:moveTo>
                <a:pt x="2298661" y="4464506"/>
              </a:moveTo>
              <a:cubicBezTo>
                <a:pt x="2279433" y="4464506"/>
                <a:pt x="2263842" y="4448915"/>
                <a:pt x="2263842" y="4429687"/>
              </a:cubicBezTo>
              <a:cubicBezTo>
                <a:pt x="2263842" y="4410459"/>
                <a:pt x="2279433" y="4394868"/>
                <a:pt x="2298661" y="4394868"/>
              </a:cubicBezTo>
              <a:cubicBezTo>
                <a:pt x="2317889" y="4394868"/>
                <a:pt x="2333480" y="4410459"/>
                <a:pt x="2333480" y="4429687"/>
              </a:cubicBezTo>
              <a:cubicBezTo>
                <a:pt x="2333480" y="4448915"/>
                <a:pt x="2317889" y="4464506"/>
                <a:pt x="2298661" y="4464506"/>
              </a:cubicBezTo>
              <a:close/>
              <a:moveTo>
                <a:pt x="2383553" y="4464506"/>
              </a:moveTo>
              <a:cubicBezTo>
                <a:pt x="2364326" y="4464506"/>
                <a:pt x="2348734" y="4448915"/>
                <a:pt x="2348734" y="4429687"/>
              </a:cubicBezTo>
              <a:cubicBezTo>
                <a:pt x="2348734" y="4410459"/>
                <a:pt x="2364326" y="4394868"/>
                <a:pt x="2383553" y="4394868"/>
              </a:cubicBezTo>
              <a:cubicBezTo>
                <a:pt x="2402781" y="4394868"/>
                <a:pt x="2418372" y="4410459"/>
                <a:pt x="2418372" y="4429687"/>
              </a:cubicBezTo>
              <a:cubicBezTo>
                <a:pt x="2418372" y="4448915"/>
                <a:pt x="2402781" y="4464506"/>
                <a:pt x="2383553" y="4464506"/>
              </a:cubicBezTo>
              <a:close/>
              <a:moveTo>
                <a:pt x="2468446" y="4464506"/>
              </a:moveTo>
              <a:cubicBezTo>
                <a:pt x="2449218" y="4464506"/>
                <a:pt x="2433627" y="4448915"/>
                <a:pt x="2433627" y="4429687"/>
              </a:cubicBezTo>
              <a:cubicBezTo>
                <a:pt x="2433627" y="4410459"/>
                <a:pt x="2449218" y="4394868"/>
                <a:pt x="2468446" y="4394868"/>
              </a:cubicBezTo>
              <a:cubicBezTo>
                <a:pt x="2487673" y="4394868"/>
                <a:pt x="2503264" y="4410459"/>
                <a:pt x="2503264" y="4429687"/>
              </a:cubicBezTo>
              <a:cubicBezTo>
                <a:pt x="2503264" y="4448915"/>
                <a:pt x="2487673" y="4464506"/>
                <a:pt x="2468446" y="4464506"/>
              </a:cubicBezTo>
              <a:close/>
              <a:moveTo>
                <a:pt x="2553339" y="4464506"/>
              </a:moveTo>
              <a:cubicBezTo>
                <a:pt x="2534111" y="4464506"/>
                <a:pt x="2518520" y="4448915"/>
                <a:pt x="2518520" y="4429687"/>
              </a:cubicBezTo>
              <a:cubicBezTo>
                <a:pt x="2518520" y="4410459"/>
                <a:pt x="2534111" y="4394868"/>
                <a:pt x="2553339" y="4394868"/>
              </a:cubicBezTo>
              <a:cubicBezTo>
                <a:pt x="2572567" y="4394868"/>
                <a:pt x="2588158" y="4410459"/>
                <a:pt x="2588158" y="4429687"/>
              </a:cubicBezTo>
              <a:cubicBezTo>
                <a:pt x="2588158" y="4448915"/>
                <a:pt x="2572567" y="4464506"/>
                <a:pt x="2553339" y="4464506"/>
              </a:cubicBezTo>
              <a:close/>
              <a:moveTo>
                <a:pt x="2638231" y="4464506"/>
              </a:moveTo>
              <a:cubicBezTo>
                <a:pt x="2619003" y="4464506"/>
                <a:pt x="2603412" y="4448915"/>
                <a:pt x="2603412" y="4429687"/>
              </a:cubicBezTo>
              <a:cubicBezTo>
                <a:pt x="2603412" y="4410459"/>
                <a:pt x="2619003" y="4394868"/>
                <a:pt x="2638231" y="4394868"/>
              </a:cubicBezTo>
              <a:cubicBezTo>
                <a:pt x="2657459" y="4394868"/>
                <a:pt x="2673050" y="4410459"/>
                <a:pt x="2673050" y="4429687"/>
              </a:cubicBezTo>
              <a:cubicBezTo>
                <a:pt x="2673050" y="4448915"/>
                <a:pt x="2657459" y="4464506"/>
                <a:pt x="2638231" y="4464506"/>
              </a:cubicBezTo>
              <a:close/>
              <a:moveTo>
                <a:pt x="2723123" y="4464506"/>
              </a:moveTo>
              <a:cubicBezTo>
                <a:pt x="2703896" y="4464506"/>
                <a:pt x="2688304" y="4448915"/>
                <a:pt x="2688304" y="4429687"/>
              </a:cubicBezTo>
              <a:cubicBezTo>
                <a:pt x="2688304" y="4410459"/>
                <a:pt x="2703896" y="4394868"/>
                <a:pt x="2723123" y="4394868"/>
              </a:cubicBezTo>
              <a:cubicBezTo>
                <a:pt x="2742351" y="4394868"/>
                <a:pt x="2757942" y="4410459"/>
                <a:pt x="2757942" y="4429687"/>
              </a:cubicBezTo>
              <a:cubicBezTo>
                <a:pt x="2757942" y="4448915"/>
                <a:pt x="2742351" y="4464506"/>
                <a:pt x="2723123" y="4464506"/>
              </a:cubicBezTo>
              <a:close/>
              <a:moveTo>
                <a:pt x="2808016" y="4464506"/>
              </a:moveTo>
              <a:cubicBezTo>
                <a:pt x="2788788" y="4464506"/>
                <a:pt x="2773197" y="4448915"/>
                <a:pt x="2773197" y="4429687"/>
              </a:cubicBezTo>
              <a:cubicBezTo>
                <a:pt x="2773197" y="4410459"/>
                <a:pt x="2788788" y="4394868"/>
                <a:pt x="2808016" y="4394868"/>
              </a:cubicBezTo>
              <a:cubicBezTo>
                <a:pt x="2827243" y="4394868"/>
                <a:pt x="2842834" y="4410459"/>
                <a:pt x="2842834" y="4429687"/>
              </a:cubicBezTo>
              <a:cubicBezTo>
                <a:pt x="2842834" y="4448915"/>
                <a:pt x="2827243" y="4464506"/>
                <a:pt x="2808016" y="4464506"/>
              </a:cubicBezTo>
              <a:close/>
              <a:moveTo>
                <a:pt x="2892908" y="4464506"/>
              </a:moveTo>
              <a:cubicBezTo>
                <a:pt x="2873680" y="4464506"/>
                <a:pt x="2858089" y="4448915"/>
                <a:pt x="2858089" y="4429687"/>
              </a:cubicBezTo>
              <a:cubicBezTo>
                <a:pt x="2858089" y="4410459"/>
                <a:pt x="2873680" y="4394868"/>
                <a:pt x="2892908" y="4394868"/>
              </a:cubicBezTo>
              <a:cubicBezTo>
                <a:pt x="2912136" y="4394868"/>
                <a:pt x="2927727" y="4410459"/>
                <a:pt x="2927727" y="4429687"/>
              </a:cubicBezTo>
              <a:cubicBezTo>
                <a:pt x="2927727" y="4448915"/>
                <a:pt x="2912136" y="4464506"/>
                <a:pt x="2892908" y="4464506"/>
              </a:cubicBezTo>
              <a:close/>
              <a:moveTo>
                <a:pt x="2977801" y="4464506"/>
              </a:moveTo>
              <a:cubicBezTo>
                <a:pt x="2958573" y="4464506"/>
                <a:pt x="2942982" y="4448915"/>
                <a:pt x="2942982" y="4429687"/>
              </a:cubicBezTo>
              <a:cubicBezTo>
                <a:pt x="2942982" y="4410459"/>
                <a:pt x="2958573" y="4394868"/>
                <a:pt x="2977801" y="4394868"/>
              </a:cubicBezTo>
              <a:cubicBezTo>
                <a:pt x="2997029" y="4394868"/>
                <a:pt x="3012620" y="4410459"/>
                <a:pt x="3012620" y="4429687"/>
              </a:cubicBezTo>
              <a:cubicBezTo>
                <a:pt x="3012620" y="4448915"/>
                <a:pt x="2997029" y="4464506"/>
                <a:pt x="2977801" y="4464506"/>
              </a:cubicBezTo>
              <a:close/>
              <a:moveTo>
                <a:pt x="3147586" y="4464506"/>
              </a:moveTo>
              <a:cubicBezTo>
                <a:pt x="3128358" y="4464506"/>
                <a:pt x="3112767" y="4448915"/>
                <a:pt x="3112767" y="4429687"/>
              </a:cubicBezTo>
              <a:cubicBezTo>
                <a:pt x="3112767" y="4410459"/>
                <a:pt x="3128358" y="4394868"/>
                <a:pt x="3147586" y="4394868"/>
              </a:cubicBezTo>
              <a:cubicBezTo>
                <a:pt x="3166813" y="4394868"/>
                <a:pt x="3182404" y="4410459"/>
                <a:pt x="3182404" y="4429687"/>
              </a:cubicBezTo>
              <a:cubicBezTo>
                <a:pt x="3182404" y="4448915"/>
                <a:pt x="3166813" y="4464506"/>
                <a:pt x="3147586" y="4464506"/>
              </a:cubicBezTo>
              <a:close/>
              <a:moveTo>
                <a:pt x="3402263" y="4464506"/>
              </a:moveTo>
              <a:cubicBezTo>
                <a:pt x="3383036" y="4464506"/>
                <a:pt x="3367444" y="4448915"/>
                <a:pt x="3367444" y="4429687"/>
              </a:cubicBezTo>
              <a:cubicBezTo>
                <a:pt x="3367444" y="4410459"/>
                <a:pt x="3383036" y="4394868"/>
                <a:pt x="3402263" y="4394868"/>
              </a:cubicBezTo>
              <a:cubicBezTo>
                <a:pt x="3421491" y="4394868"/>
                <a:pt x="3437082" y="4410459"/>
                <a:pt x="3437082" y="4429687"/>
              </a:cubicBezTo>
              <a:cubicBezTo>
                <a:pt x="3437082" y="4448915"/>
                <a:pt x="3421491" y="4464506"/>
                <a:pt x="3402263" y="4464506"/>
              </a:cubicBezTo>
              <a:close/>
              <a:moveTo>
                <a:pt x="3487156" y="4464506"/>
              </a:moveTo>
              <a:cubicBezTo>
                <a:pt x="3467928" y="4464506"/>
                <a:pt x="3452337" y="4448915"/>
                <a:pt x="3452337" y="4429687"/>
              </a:cubicBezTo>
              <a:cubicBezTo>
                <a:pt x="3452337" y="4410459"/>
                <a:pt x="3467928" y="4394868"/>
                <a:pt x="3487156" y="4394868"/>
              </a:cubicBezTo>
              <a:cubicBezTo>
                <a:pt x="3506383" y="4394868"/>
                <a:pt x="3521974" y="4410459"/>
                <a:pt x="3521974" y="4429687"/>
              </a:cubicBezTo>
              <a:cubicBezTo>
                <a:pt x="3521974" y="4448915"/>
                <a:pt x="3506383" y="4464506"/>
                <a:pt x="3487156" y="4464506"/>
              </a:cubicBezTo>
              <a:close/>
              <a:moveTo>
                <a:pt x="3656941" y="4464506"/>
              </a:moveTo>
              <a:cubicBezTo>
                <a:pt x="3637713" y="4464506"/>
                <a:pt x="3622122" y="4448915"/>
                <a:pt x="3622122" y="4429687"/>
              </a:cubicBezTo>
              <a:cubicBezTo>
                <a:pt x="3622122" y="4410459"/>
                <a:pt x="3637713" y="4394868"/>
                <a:pt x="3656941" y="4394868"/>
              </a:cubicBezTo>
              <a:cubicBezTo>
                <a:pt x="3676169" y="4394868"/>
                <a:pt x="3691760" y="4410459"/>
                <a:pt x="3691760" y="4429687"/>
              </a:cubicBezTo>
              <a:cubicBezTo>
                <a:pt x="3691760" y="4448915"/>
                <a:pt x="3676169" y="4464506"/>
                <a:pt x="3656941" y="4464506"/>
              </a:cubicBezTo>
              <a:close/>
              <a:moveTo>
                <a:pt x="3741833" y="4464506"/>
              </a:moveTo>
              <a:cubicBezTo>
                <a:pt x="3722606" y="4464506"/>
                <a:pt x="3707014" y="4448915"/>
                <a:pt x="3707014" y="4429687"/>
              </a:cubicBezTo>
              <a:cubicBezTo>
                <a:pt x="3707014" y="4410459"/>
                <a:pt x="3722606" y="4394868"/>
                <a:pt x="3741833" y="4394868"/>
              </a:cubicBezTo>
              <a:cubicBezTo>
                <a:pt x="3761061" y="4394868"/>
                <a:pt x="3776652" y="4410459"/>
                <a:pt x="3776652" y="4429687"/>
              </a:cubicBezTo>
              <a:cubicBezTo>
                <a:pt x="3776652" y="4448915"/>
                <a:pt x="3761061" y="4464506"/>
                <a:pt x="3741833" y="4464506"/>
              </a:cubicBezTo>
              <a:close/>
              <a:moveTo>
                <a:pt x="3826726" y="4464506"/>
              </a:moveTo>
              <a:cubicBezTo>
                <a:pt x="3807498" y="4464506"/>
                <a:pt x="3791907" y="4448915"/>
                <a:pt x="3791907" y="4429687"/>
              </a:cubicBezTo>
              <a:cubicBezTo>
                <a:pt x="3791907" y="4410459"/>
                <a:pt x="3807498" y="4394868"/>
                <a:pt x="3826726" y="4394868"/>
              </a:cubicBezTo>
              <a:cubicBezTo>
                <a:pt x="3845953" y="4394868"/>
                <a:pt x="3861544" y="4410459"/>
                <a:pt x="3861544" y="4429687"/>
              </a:cubicBezTo>
              <a:cubicBezTo>
                <a:pt x="3861544" y="4448915"/>
                <a:pt x="3845953" y="4464506"/>
                <a:pt x="3826726" y="4464506"/>
              </a:cubicBezTo>
              <a:close/>
              <a:moveTo>
                <a:pt x="3911618" y="4464506"/>
              </a:moveTo>
              <a:cubicBezTo>
                <a:pt x="3892390" y="4464506"/>
                <a:pt x="3876799" y="4448915"/>
                <a:pt x="3876799" y="4429687"/>
              </a:cubicBezTo>
              <a:cubicBezTo>
                <a:pt x="3876799" y="4410459"/>
                <a:pt x="3892390" y="4394868"/>
                <a:pt x="3911618" y="4394868"/>
              </a:cubicBezTo>
              <a:cubicBezTo>
                <a:pt x="3930846" y="4394868"/>
                <a:pt x="3946437" y="4410459"/>
                <a:pt x="3946437" y="4429687"/>
              </a:cubicBezTo>
              <a:cubicBezTo>
                <a:pt x="3946437" y="4448915"/>
                <a:pt x="3930846" y="4464506"/>
                <a:pt x="3911618" y="4464506"/>
              </a:cubicBezTo>
              <a:close/>
              <a:moveTo>
                <a:pt x="3996511" y="4464506"/>
              </a:moveTo>
              <a:cubicBezTo>
                <a:pt x="3977283" y="4464506"/>
                <a:pt x="3961692" y="4448915"/>
                <a:pt x="3961692" y="4429687"/>
              </a:cubicBezTo>
              <a:cubicBezTo>
                <a:pt x="3961692" y="4410459"/>
                <a:pt x="3977283" y="4394868"/>
                <a:pt x="3996511" y="4394868"/>
              </a:cubicBezTo>
              <a:cubicBezTo>
                <a:pt x="4015739" y="4394868"/>
                <a:pt x="4031330" y="4410459"/>
                <a:pt x="4031330" y="4429687"/>
              </a:cubicBezTo>
              <a:cubicBezTo>
                <a:pt x="4031330" y="4448915"/>
                <a:pt x="4015739" y="4464506"/>
                <a:pt x="3996511" y="4464506"/>
              </a:cubicBezTo>
              <a:close/>
              <a:moveTo>
                <a:pt x="4081403" y="4464506"/>
              </a:moveTo>
              <a:cubicBezTo>
                <a:pt x="4062176" y="4464506"/>
                <a:pt x="4046584" y="4448915"/>
                <a:pt x="4046584" y="4429687"/>
              </a:cubicBezTo>
              <a:cubicBezTo>
                <a:pt x="4046584" y="4410459"/>
                <a:pt x="4062176" y="4394868"/>
                <a:pt x="4081403" y="4394868"/>
              </a:cubicBezTo>
              <a:cubicBezTo>
                <a:pt x="4100631" y="4394868"/>
                <a:pt x="4116222" y="4410459"/>
                <a:pt x="4116222" y="4429687"/>
              </a:cubicBezTo>
              <a:cubicBezTo>
                <a:pt x="4116222" y="4448915"/>
                <a:pt x="4100631" y="4464506"/>
                <a:pt x="4081403" y="4464506"/>
              </a:cubicBezTo>
              <a:close/>
              <a:moveTo>
                <a:pt x="4166296" y="4464506"/>
              </a:moveTo>
              <a:cubicBezTo>
                <a:pt x="4147068" y="4464506"/>
                <a:pt x="4131477" y="4448915"/>
                <a:pt x="4131477" y="4429687"/>
              </a:cubicBezTo>
              <a:cubicBezTo>
                <a:pt x="4131477" y="4410459"/>
                <a:pt x="4147068" y="4394868"/>
                <a:pt x="4166296" y="4394868"/>
              </a:cubicBezTo>
              <a:cubicBezTo>
                <a:pt x="4185523" y="4394868"/>
                <a:pt x="4201114" y="4410459"/>
                <a:pt x="4201114" y="4429687"/>
              </a:cubicBezTo>
              <a:cubicBezTo>
                <a:pt x="4201114" y="4448915"/>
                <a:pt x="4185523" y="4464506"/>
                <a:pt x="4166296" y="4464506"/>
              </a:cubicBezTo>
              <a:close/>
              <a:moveTo>
                <a:pt x="4251188" y="4464506"/>
              </a:moveTo>
              <a:cubicBezTo>
                <a:pt x="4231960" y="4464506"/>
                <a:pt x="4216369" y="4448915"/>
                <a:pt x="4216369" y="4429687"/>
              </a:cubicBezTo>
              <a:cubicBezTo>
                <a:pt x="4216369" y="4410459"/>
                <a:pt x="4231960" y="4394868"/>
                <a:pt x="4251188" y="4394868"/>
              </a:cubicBezTo>
              <a:cubicBezTo>
                <a:pt x="4270416" y="4394868"/>
                <a:pt x="4286007" y="4410459"/>
                <a:pt x="4286007" y="4429687"/>
              </a:cubicBezTo>
              <a:cubicBezTo>
                <a:pt x="4286007" y="4448915"/>
                <a:pt x="4270416" y="4464506"/>
                <a:pt x="4251188" y="4464506"/>
              </a:cubicBezTo>
              <a:close/>
              <a:moveTo>
                <a:pt x="5609468" y="4464506"/>
              </a:moveTo>
              <a:cubicBezTo>
                <a:pt x="5590240" y="4464506"/>
                <a:pt x="5574649" y="4448915"/>
                <a:pt x="5574649" y="4429687"/>
              </a:cubicBezTo>
              <a:cubicBezTo>
                <a:pt x="5574649" y="4410459"/>
                <a:pt x="5590240" y="4394868"/>
                <a:pt x="5609468" y="4394868"/>
              </a:cubicBezTo>
              <a:cubicBezTo>
                <a:pt x="5628696" y="4394868"/>
                <a:pt x="5644287" y="4410459"/>
                <a:pt x="5644287" y="4429687"/>
              </a:cubicBezTo>
              <a:cubicBezTo>
                <a:pt x="5644287" y="4448915"/>
                <a:pt x="5628696" y="4464506"/>
                <a:pt x="5609468" y="4464506"/>
              </a:cubicBezTo>
              <a:close/>
              <a:moveTo>
                <a:pt x="5779252" y="4464506"/>
              </a:moveTo>
              <a:cubicBezTo>
                <a:pt x="5760025" y="4464506"/>
                <a:pt x="5744433" y="4448915"/>
                <a:pt x="5744433" y="4429687"/>
              </a:cubicBezTo>
              <a:cubicBezTo>
                <a:pt x="5744433" y="4410459"/>
                <a:pt x="5760025" y="4394868"/>
                <a:pt x="5779252" y="4394868"/>
              </a:cubicBezTo>
              <a:cubicBezTo>
                <a:pt x="5798480" y="4394868"/>
                <a:pt x="5814071" y="4410459"/>
                <a:pt x="5814071" y="4429687"/>
              </a:cubicBezTo>
              <a:cubicBezTo>
                <a:pt x="5814071" y="4448915"/>
                <a:pt x="5798480" y="4464506"/>
                <a:pt x="5779252" y="4464506"/>
              </a:cubicBezTo>
              <a:close/>
              <a:moveTo>
                <a:pt x="6118826" y="4464506"/>
              </a:moveTo>
              <a:cubicBezTo>
                <a:pt x="6099592" y="4464506"/>
                <a:pt x="6084000" y="4448915"/>
                <a:pt x="6084000" y="4429687"/>
              </a:cubicBezTo>
              <a:cubicBezTo>
                <a:pt x="6084000" y="4410459"/>
                <a:pt x="6099592" y="4394868"/>
                <a:pt x="6118826" y="4394868"/>
              </a:cubicBezTo>
              <a:cubicBezTo>
                <a:pt x="6138054" y="4394868"/>
                <a:pt x="6153638" y="4410459"/>
                <a:pt x="6153638" y="4429687"/>
              </a:cubicBezTo>
              <a:cubicBezTo>
                <a:pt x="6153638" y="4448915"/>
                <a:pt x="6138054" y="4464506"/>
                <a:pt x="6118826" y="4464506"/>
              </a:cubicBezTo>
              <a:close/>
              <a:moveTo>
                <a:pt x="6203718" y="4464506"/>
              </a:moveTo>
              <a:cubicBezTo>
                <a:pt x="6184490" y="4464506"/>
                <a:pt x="6168893" y="4448915"/>
                <a:pt x="6168893" y="4429687"/>
              </a:cubicBezTo>
              <a:cubicBezTo>
                <a:pt x="6168893" y="4410459"/>
                <a:pt x="6184490" y="4394868"/>
                <a:pt x="6203718" y="4394868"/>
              </a:cubicBezTo>
              <a:cubicBezTo>
                <a:pt x="6222946" y="4394868"/>
                <a:pt x="6238530" y="4410459"/>
                <a:pt x="6238530" y="4429687"/>
              </a:cubicBezTo>
              <a:cubicBezTo>
                <a:pt x="6238530" y="4448915"/>
                <a:pt x="6222946" y="4464506"/>
                <a:pt x="6203718" y="4464506"/>
              </a:cubicBezTo>
              <a:close/>
              <a:moveTo>
                <a:pt x="6288611" y="4464506"/>
              </a:moveTo>
              <a:cubicBezTo>
                <a:pt x="6269384" y="4464506"/>
                <a:pt x="6253786" y="4448915"/>
                <a:pt x="6253786" y="4429687"/>
              </a:cubicBezTo>
              <a:cubicBezTo>
                <a:pt x="6253786" y="4410459"/>
                <a:pt x="6269384" y="4394868"/>
                <a:pt x="6288611" y="4394868"/>
              </a:cubicBezTo>
              <a:cubicBezTo>
                <a:pt x="6307839" y="4394868"/>
                <a:pt x="6323424" y="4410459"/>
                <a:pt x="6323424" y="4429687"/>
              </a:cubicBezTo>
              <a:cubicBezTo>
                <a:pt x="6323424" y="4448915"/>
                <a:pt x="6307839" y="4464506"/>
                <a:pt x="6288611" y="4464506"/>
              </a:cubicBezTo>
              <a:close/>
              <a:moveTo>
                <a:pt x="6373504" y="4464506"/>
              </a:moveTo>
              <a:cubicBezTo>
                <a:pt x="6354276" y="4464506"/>
                <a:pt x="6338678" y="4448915"/>
                <a:pt x="6338678" y="4429687"/>
              </a:cubicBezTo>
              <a:cubicBezTo>
                <a:pt x="6338678" y="4410459"/>
                <a:pt x="6354276" y="4394868"/>
                <a:pt x="6373504" y="4394868"/>
              </a:cubicBezTo>
              <a:cubicBezTo>
                <a:pt x="6392731" y="4394868"/>
                <a:pt x="6408316" y="4410459"/>
                <a:pt x="6408316" y="4429687"/>
              </a:cubicBezTo>
              <a:cubicBezTo>
                <a:pt x="6408316" y="4448915"/>
                <a:pt x="6392731" y="4464506"/>
                <a:pt x="6373504" y="4464506"/>
              </a:cubicBezTo>
              <a:close/>
              <a:moveTo>
                <a:pt x="6458396" y="4464506"/>
              </a:moveTo>
              <a:cubicBezTo>
                <a:pt x="6439168" y="4464506"/>
                <a:pt x="6423570" y="4448915"/>
                <a:pt x="6423570" y="4429687"/>
              </a:cubicBezTo>
              <a:cubicBezTo>
                <a:pt x="6423570" y="4410459"/>
                <a:pt x="6439168" y="4394868"/>
                <a:pt x="6458396" y="4394868"/>
              </a:cubicBezTo>
              <a:cubicBezTo>
                <a:pt x="6477624" y="4394868"/>
                <a:pt x="6493208" y="4410459"/>
                <a:pt x="6493208" y="4429687"/>
              </a:cubicBezTo>
              <a:cubicBezTo>
                <a:pt x="6493208" y="4448915"/>
                <a:pt x="6477624" y="4464506"/>
                <a:pt x="6458396" y="4464506"/>
              </a:cubicBezTo>
              <a:close/>
              <a:moveTo>
                <a:pt x="6543288" y="4464506"/>
              </a:moveTo>
              <a:cubicBezTo>
                <a:pt x="6524060" y="4464506"/>
                <a:pt x="6508463" y="4448915"/>
                <a:pt x="6508463" y="4429687"/>
              </a:cubicBezTo>
              <a:cubicBezTo>
                <a:pt x="6508463" y="4410459"/>
                <a:pt x="6524060" y="4394868"/>
                <a:pt x="6543288" y="4394868"/>
              </a:cubicBezTo>
              <a:cubicBezTo>
                <a:pt x="6562516" y="4394868"/>
                <a:pt x="6578100" y="4410459"/>
                <a:pt x="6578100" y="4429687"/>
              </a:cubicBezTo>
              <a:cubicBezTo>
                <a:pt x="6578100" y="4448915"/>
                <a:pt x="6562516" y="4464506"/>
                <a:pt x="6543288" y="4464506"/>
              </a:cubicBezTo>
              <a:close/>
              <a:moveTo>
                <a:pt x="6628181" y="4464506"/>
              </a:moveTo>
              <a:cubicBezTo>
                <a:pt x="6608954" y="4464506"/>
                <a:pt x="6593356" y="4448915"/>
                <a:pt x="6593356" y="4429687"/>
              </a:cubicBezTo>
              <a:cubicBezTo>
                <a:pt x="6593356" y="4410459"/>
                <a:pt x="6608954" y="4394868"/>
                <a:pt x="6628181" y="4394868"/>
              </a:cubicBezTo>
              <a:cubicBezTo>
                <a:pt x="6647409" y="4394868"/>
                <a:pt x="6662994" y="4410459"/>
                <a:pt x="6662994" y="4429687"/>
              </a:cubicBezTo>
              <a:cubicBezTo>
                <a:pt x="6662994" y="4448915"/>
                <a:pt x="6647409" y="4464506"/>
                <a:pt x="6628181" y="4464506"/>
              </a:cubicBezTo>
              <a:close/>
              <a:moveTo>
                <a:pt x="6713074" y="4464506"/>
              </a:moveTo>
              <a:cubicBezTo>
                <a:pt x="6693846" y="4464506"/>
                <a:pt x="6678248" y="4448915"/>
                <a:pt x="6678248" y="4429687"/>
              </a:cubicBezTo>
              <a:cubicBezTo>
                <a:pt x="6678248" y="4410459"/>
                <a:pt x="6693846" y="4394868"/>
                <a:pt x="6713074" y="4394868"/>
              </a:cubicBezTo>
              <a:cubicBezTo>
                <a:pt x="6732301" y="4394868"/>
                <a:pt x="6747886" y="4410459"/>
                <a:pt x="6747886" y="4429687"/>
              </a:cubicBezTo>
              <a:cubicBezTo>
                <a:pt x="6747886" y="4448915"/>
                <a:pt x="6732301" y="4464506"/>
                <a:pt x="6713074" y="4464506"/>
              </a:cubicBezTo>
              <a:close/>
              <a:moveTo>
                <a:pt x="6797966" y="4464506"/>
              </a:moveTo>
              <a:cubicBezTo>
                <a:pt x="6778738" y="4464506"/>
                <a:pt x="6763140" y="4448915"/>
                <a:pt x="6763140" y="4429687"/>
              </a:cubicBezTo>
              <a:cubicBezTo>
                <a:pt x="6763140" y="4410459"/>
                <a:pt x="6778738" y="4394868"/>
                <a:pt x="6797966" y="4394868"/>
              </a:cubicBezTo>
              <a:cubicBezTo>
                <a:pt x="6817194" y="4394868"/>
                <a:pt x="6832778" y="4410459"/>
                <a:pt x="6832778" y="4429687"/>
              </a:cubicBezTo>
              <a:cubicBezTo>
                <a:pt x="6832778" y="4448915"/>
                <a:pt x="6817194" y="4464506"/>
                <a:pt x="6797966" y="4464506"/>
              </a:cubicBezTo>
              <a:close/>
              <a:moveTo>
                <a:pt x="6882858" y="4464506"/>
              </a:moveTo>
              <a:cubicBezTo>
                <a:pt x="6863630" y="4464506"/>
                <a:pt x="6848033" y="4448915"/>
                <a:pt x="6848033" y="4429687"/>
              </a:cubicBezTo>
              <a:cubicBezTo>
                <a:pt x="6848033" y="4410459"/>
                <a:pt x="6863630" y="4394868"/>
                <a:pt x="6882858" y="4394868"/>
              </a:cubicBezTo>
              <a:cubicBezTo>
                <a:pt x="6902086" y="4394868"/>
                <a:pt x="6917670" y="4410459"/>
                <a:pt x="6917670" y="4429687"/>
              </a:cubicBezTo>
              <a:cubicBezTo>
                <a:pt x="6917670" y="4448915"/>
                <a:pt x="6902086" y="4464506"/>
                <a:pt x="6882858" y="4464506"/>
              </a:cubicBezTo>
              <a:close/>
              <a:moveTo>
                <a:pt x="6967750" y="4464506"/>
              </a:moveTo>
              <a:cubicBezTo>
                <a:pt x="6948523" y="4464506"/>
                <a:pt x="6932925" y="4448915"/>
                <a:pt x="6932925" y="4429687"/>
              </a:cubicBezTo>
              <a:cubicBezTo>
                <a:pt x="6932925" y="4410459"/>
                <a:pt x="6948523" y="4394868"/>
                <a:pt x="6967750" y="4394868"/>
              </a:cubicBezTo>
              <a:cubicBezTo>
                <a:pt x="6986978" y="4394868"/>
                <a:pt x="7002563" y="4410459"/>
                <a:pt x="7002563" y="4429687"/>
              </a:cubicBezTo>
              <a:cubicBezTo>
                <a:pt x="7002563" y="4448915"/>
                <a:pt x="6986978" y="4464506"/>
                <a:pt x="6967750" y="4464506"/>
              </a:cubicBezTo>
              <a:close/>
              <a:moveTo>
                <a:pt x="7052644" y="4464506"/>
              </a:moveTo>
              <a:cubicBezTo>
                <a:pt x="7033416" y="4464506"/>
                <a:pt x="7017818" y="4448915"/>
                <a:pt x="7017818" y="4429687"/>
              </a:cubicBezTo>
              <a:cubicBezTo>
                <a:pt x="7017818" y="4410459"/>
                <a:pt x="7033416" y="4394868"/>
                <a:pt x="7052644" y="4394868"/>
              </a:cubicBezTo>
              <a:cubicBezTo>
                <a:pt x="7071871" y="4394868"/>
                <a:pt x="7087456" y="4410459"/>
                <a:pt x="7087456" y="4429687"/>
              </a:cubicBezTo>
              <a:cubicBezTo>
                <a:pt x="7087456" y="4448915"/>
                <a:pt x="7071871" y="4464506"/>
                <a:pt x="7052644" y="4464506"/>
              </a:cubicBezTo>
              <a:close/>
              <a:moveTo>
                <a:pt x="7137536" y="4464506"/>
              </a:moveTo>
              <a:cubicBezTo>
                <a:pt x="7118308" y="4464506"/>
                <a:pt x="7102710" y="4448915"/>
                <a:pt x="7102710" y="4429687"/>
              </a:cubicBezTo>
              <a:cubicBezTo>
                <a:pt x="7102710" y="4410459"/>
                <a:pt x="7118308" y="4394868"/>
                <a:pt x="7137536" y="4394868"/>
              </a:cubicBezTo>
              <a:cubicBezTo>
                <a:pt x="7156764" y="4394868"/>
                <a:pt x="7172348" y="4410459"/>
                <a:pt x="7172348" y="4429687"/>
              </a:cubicBezTo>
              <a:cubicBezTo>
                <a:pt x="7172348" y="4448915"/>
                <a:pt x="7156764" y="4464506"/>
                <a:pt x="7137536" y="4464506"/>
              </a:cubicBezTo>
              <a:close/>
              <a:moveTo>
                <a:pt x="7222428" y="4464506"/>
              </a:moveTo>
              <a:cubicBezTo>
                <a:pt x="7203200" y="4464506"/>
                <a:pt x="7187603" y="4448915"/>
                <a:pt x="7187603" y="4429687"/>
              </a:cubicBezTo>
              <a:cubicBezTo>
                <a:pt x="7187603" y="4410459"/>
                <a:pt x="7203200" y="4394868"/>
                <a:pt x="7222428" y="4394868"/>
              </a:cubicBezTo>
              <a:cubicBezTo>
                <a:pt x="7241656" y="4394868"/>
                <a:pt x="7257240" y="4410459"/>
                <a:pt x="7257240" y="4429687"/>
              </a:cubicBezTo>
              <a:cubicBezTo>
                <a:pt x="7257240" y="4448915"/>
                <a:pt x="7241656" y="4464506"/>
                <a:pt x="7222428" y="4464506"/>
              </a:cubicBezTo>
              <a:close/>
              <a:moveTo>
                <a:pt x="7307320" y="4464506"/>
              </a:moveTo>
              <a:cubicBezTo>
                <a:pt x="7288093" y="4464506"/>
                <a:pt x="7272495" y="4448915"/>
                <a:pt x="7272495" y="4429687"/>
              </a:cubicBezTo>
              <a:cubicBezTo>
                <a:pt x="7272495" y="4410459"/>
                <a:pt x="7288093" y="4394868"/>
                <a:pt x="7307320" y="4394868"/>
              </a:cubicBezTo>
              <a:cubicBezTo>
                <a:pt x="7326548" y="4394868"/>
                <a:pt x="7342133" y="4410459"/>
                <a:pt x="7342133" y="4429687"/>
              </a:cubicBezTo>
              <a:cubicBezTo>
                <a:pt x="7342133" y="4448915"/>
                <a:pt x="7326548" y="4464506"/>
                <a:pt x="7307320" y="4464506"/>
              </a:cubicBezTo>
              <a:close/>
              <a:moveTo>
                <a:pt x="7392214" y="4464506"/>
              </a:moveTo>
              <a:cubicBezTo>
                <a:pt x="7372986" y="4464506"/>
                <a:pt x="7357388" y="4448915"/>
                <a:pt x="7357388" y="4429687"/>
              </a:cubicBezTo>
              <a:cubicBezTo>
                <a:pt x="7357388" y="4410459"/>
                <a:pt x="7372986" y="4394868"/>
                <a:pt x="7392214" y="4394868"/>
              </a:cubicBezTo>
              <a:cubicBezTo>
                <a:pt x="7411441" y="4394868"/>
                <a:pt x="7427026" y="4410459"/>
                <a:pt x="7427026" y="4429687"/>
              </a:cubicBezTo>
              <a:cubicBezTo>
                <a:pt x="7427026" y="4448915"/>
                <a:pt x="7411441" y="4464506"/>
                <a:pt x="7392214" y="4464506"/>
              </a:cubicBezTo>
              <a:close/>
              <a:moveTo>
                <a:pt x="7477106" y="4464506"/>
              </a:moveTo>
              <a:cubicBezTo>
                <a:pt x="7457878" y="4464506"/>
                <a:pt x="7442280" y="4448915"/>
                <a:pt x="7442280" y="4429687"/>
              </a:cubicBezTo>
              <a:cubicBezTo>
                <a:pt x="7442280" y="4410459"/>
                <a:pt x="7457878" y="4394868"/>
                <a:pt x="7477106" y="4394868"/>
              </a:cubicBezTo>
              <a:cubicBezTo>
                <a:pt x="7496334" y="4394868"/>
                <a:pt x="7511918" y="4410459"/>
                <a:pt x="7511918" y="4429687"/>
              </a:cubicBezTo>
              <a:cubicBezTo>
                <a:pt x="7511918" y="4448915"/>
                <a:pt x="7496334" y="4464506"/>
                <a:pt x="7477106" y="4464506"/>
              </a:cubicBezTo>
              <a:close/>
              <a:moveTo>
                <a:pt x="7561998" y="4464506"/>
              </a:moveTo>
              <a:cubicBezTo>
                <a:pt x="7542770" y="4464506"/>
                <a:pt x="7527173" y="4448915"/>
                <a:pt x="7527173" y="4429687"/>
              </a:cubicBezTo>
              <a:cubicBezTo>
                <a:pt x="7527173" y="4410459"/>
                <a:pt x="7542770" y="4394868"/>
                <a:pt x="7561998" y="4394868"/>
              </a:cubicBezTo>
              <a:cubicBezTo>
                <a:pt x="7581226" y="4394868"/>
                <a:pt x="7596810" y="4410459"/>
                <a:pt x="7596810" y="4429687"/>
              </a:cubicBezTo>
              <a:cubicBezTo>
                <a:pt x="7596810" y="4448915"/>
                <a:pt x="7581226" y="4464506"/>
                <a:pt x="7561998" y="4464506"/>
              </a:cubicBezTo>
              <a:close/>
              <a:moveTo>
                <a:pt x="7646890" y="4464506"/>
              </a:moveTo>
              <a:cubicBezTo>
                <a:pt x="7627663" y="4464506"/>
                <a:pt x="7612065" y="4448915"/>
                <a:pt x="7612065" y="4429687"/>
              </a:cubicBezTo>
              <a:cubicBezTo>
                <a:pt x="7612065" y="4410459"/>
                <a:pt x="7627663" y="4394868"/>
                <a:pt x="7646890" y="4394868"/>
              </a:cubicBezTo>
              <a:cubicBezTo>
                <a:pt x="7666118" y="4394868"/>
                <a:pt x="7681703" y="4410459"/>
                <a:pt x="7681703" y="4429687"/>
              </a:cubicBezTo>
              <a:cubicBezTo>
                <a:pt x="7681703" y="4448915"/>
                <a:pt x="7666118" y="4464506"/>
                <a:pt x="7646890" y="4464506"/>
              </a:cubicBezTo>
              <a:close/>
              <a:moveTo>
                <a:pt x="7731784" y="4464506"/>
              </a:moveTo>
              <a:cubicBezTo>
                <a:pt x="7712556" y="4464506"/>
                <a:pt x="7696958" y="4448915"/>
                <a:pt x="7696958" y="4429687"/>
              </a:cubicBezTo>
              <a:cubicBezTo>
                <a:pt x="7696958" y="4410459"/>
                <a:pt x="7712556" y="4394868"/>
                <a:pt x="7731784" y="4394868"/>
              </a:cubicBezTo>
              <a:cubicBezTo>
                <a:pt x="7751011" y="4394868"/>
                <a:pt x="7766596" y="4410459"/>
                <a:pt x="7766596" y="4429687"/>
              </a:cubicBezTo>
              <a:cubicBezTo>
                <a:pt x="7766596" y="4448915"/>
                <a:pt x="7751011" y="4464506"/>
                <a:pt x="7731784" y="4464506"/>
              </a:cubicBezTo>
              <a:close/>
              <a:moveTo>
                <a:pt x="7816676" y="4464506"/>
              </a:moveTo>
              <a:cubicBezTo>
                <a:pt x="7797448" y="4464506"/>
                <a:pt x="7781850" y="4448915"/>
                <a:pt x="7781850" y="4429687"/>
              </a:cubicBezTo>
              <a:cubicBezTo>
                <a:pt x="7781850" y="4410459"/>
                <a:pt x="7797448" y="4394868"/>
                <a:pt x="7816676" y="4394868"/>
              </a:cubicBezTo>
              <a:cubicBezTo>
                <a:pt x="7835904" y="4394868"/>
                <a:pt x="7851488" y="4410459"/>
                <a:pt x="7851488" y="4429687"/>
              </a:cubicBezTo>
              <a:cubicBezTo>
                <a:pt x="7851488" y="4448915"/>
                <a:pt x="7835904" y="4464506"/>
                <a:pt x="7816676" y="4464506"/>
              </a:cubicBezTo>
              <a:close/>
              <a:moveTo>
                <a:pt x="7901568" y="4464506"/>
              </a:moveTo>
              <a:cubicBezTo>
                <a:pt x="7882340" y="4464506"/>
                <a:pt x="7866743" y="4448915"/>
                <a:pt x="7866743" y="4429687"/>
              </a:cubicBezTo>
              <a:cubicBezTo>
                <a:pt x="7866743" y="4410459"/>
                <a:pt x="7882340" y="4394868"/>
                <a:pt x="7901568" y="4394868"/>
              </a:cubicBezTo>
              <a:cubicBezTo>
                <a:pt x="7920796" y="4394868"/>
                <a:pt x="7936380" y="4410459"/>
                <a:pt x="7936380" y="4429687"/>
              </a:cubicBezTo>
              <a:cubicBezTo>
                <a:pt x="7936380" y="4448915"/>
                <a:pt x="7920796" y="4464506"/>
                <a:pt x="7901568" y="4464506"/>
              </a:cubicBezTo>
              <a:close/>
              <a:moveTo>
                <a:pt x="7986460" y="4464506"/>
              </a:moveTo>
              <a:cubicBezTo>
                <a:pt x="7967233" y="4464506"/>
                <a:pt x="7951635" y="4448915"/>
                <a:pt x="7951635" y="4429687"/>
              </a:cubicBezTo>
              <a:cubicBezTo>
                <a:pt x="7951635" y="4410459"/>
                <a:pt x="7967233" y="4394868"/>
                <a:pt x="7986460" y="4394868"/>
              </a:cubicBezTo>
              <a:cubicBezTo>
                <a:pt x="8005688" y="4394868"/>
                <a:pt x="8021273" y="4410459"/>
                <a:pt x="8021273" y="4429687"/>
              </a:cubicBezTo>
              <a:cubicBezTo>
                <a:pt x="8021273" y="4448915"/>
                <a:pt x="8005688" y="4464506"/>
                <a:pt x="7986460" y="4464506"/>
              </a:cubicBezTo>
              <a:close/>
              <a:moveTo>
                <a:pt x="8071353" y="4464506"/>
              </a:moveTo>
              <a:cubicBezTo>
                <a:pt x="8052125" y="4464506"/>
                <a:pt x="8036527" y="4448915"/>
                <a:pt x="8036527" y="4429687"/>
              </a:cubicBezTo>
              <a:cubicBezTo>
                <a:pt x="8036527" y="4410459"/>
                <a:pt x="8052125" y="4394868"/>
                <a:pt x="8071353" y="4394868"/>
              </a:cubicBezTo>
              <a:cubicBezTo>
                <a:pt x="8090580" y="4394868"/>
                <a:pt x="8106165" y="4410459"/>
                <a:pt x="8106165" y="4429687"/>
              </a:cubicBezTo>
              <a:cubicBezTo>
                <a:pt x="8106165" y="4448915"/>
                <a:pt x="8090580" y="4464506"/>
                <a:pt x="8071353" y="4464506"/>
              </a:cubicBezTo>
              <a:close/>
              <a:moveTo>
                <a:pt x="8156246" y="4464506"/>
              </a:moveTo>
              <a:cubicBezTo>
                <a:pt x="8137018" y="4464506"/>
                <a:pt x="8121420" y="4448915"/>
                <a:pt x="8121420" y="4429687"/>
              </a:cubicBezTo>
              <a:cubicBezTo>
                <a:pt x="8121420" y="4410459"/>
                <a:pt x="8137018" y="4394868"/>
                <a:pt x="8156246" y="4394868"/>
              </a:cubicBezTo>
              <a:cubicBezTo>
                <a:pt x="8175474" y="4394868"/>
                <a:pt x="8191058" y="4410459"/>
                <a:pt x="8191058" y="4429687"/>
              </a:cubicBezTo>
              <a:cubicBezTo>
                <a:pt x="8191058" y="4448915"/>
                <a:pt x="8175474" y="4464506"/>
                <a:pt x="8156246" y="4464506"/>
              </a:cubicBezTo>
              <a:close/>
              <a:moveTo>
                <a:pt x="8241138" y="4464506"/>
              </a:moveTo>
              <a:cubicBezTo>
                <a:pt x="8221910" y="4464506"/>
                <a:pt x="8206313" y="4448915"/>
                <a:pt x="8206313" y="4429687"/>
              </a:cubicBezTo>
              <a:cubicBezTo>
                <a:pt x="8206313" y="4410459"/>
                <a:pt x="8221910" y="4394868"/>
                <a:pt x="8241138" y="4394868"/>
              </a:cubicBezTo>
              <a:cubicBezTo>
                <a:pt x="8260366" y="4394868"/>
                <a:pt x="8275950" y="4410459"/>
                <a:pt x="8275950" y="4429687"/>
              </a:cubicBezTo>
              <a:cubicBezTo>
                <a:pt x="8275950" y="4448915"/>
                <a:pt x="8260366" y="4464506"/>
                <a:pt x="8241138" y="4464506"/>
              </a:cubicBezTo>
              <a:close/>
              <a:moveTo>
                <a:pt x="8326030" y="4464506"/>
              </a:moveTo>
              <a:cubicBezTo>
                <a:pt x="8306803" y="4464506"/>
                <a:pt x="8291205" y="4448915"/>
                <a:pt x="8291205" y="4429687"/>
              </a:cubicBezTo>
              <a:cubicBezTo>
                <a:pt x="8291205" y="4410459"/>
                <a:pt x="8306803" y="4394868"/>
                <a:pt x="8326030" y="4394868"/>
              </a:cubicBezTo>
              <a:cubicBezTo>
                <a:pt x="8345258" y="4394868"/>
                <a:pt x="8360843" y="4410459"/>
                <a:pt x="8360843" y="4429687"/>
              </a:cubicBezTo>
              <a:cubicBezTo>
                <a:pt x="8360843" y="4448915"/>
                <a:pt x="8345258" y="4464506"/>
                <a:pt x="8326030" y="4464506"/>
              </a:cubicBezTo>
              <a:close/>
              <a:moveTo>
                <a:pt x="8410923" y="4464506"/>
              </a:moveTo>
              <a:cubicBezTo>
                <a:pt x="8391695" y="4464506"/>
                <a:pt x="8376097" y="4448915"/>
                <a:pt x="8376097" y="4429687"/>
              </a:cubicBezTo>
              <a:cubicBezTo>
                <a:pt x="8376097" y="4410459"/>
                <a:pt x="8391695" y="4394868"/>
                <a:pt x="8410923" y="4394868"/>
              </a:cubicBezTo>
              <a:cubicBezTo>
                <a:pt x="8430150" y="4394868"/>
                <a:pt x="8445735" y="4410459"/>
                <a:pt x="8445735" y="4429687"/>
              </a:cubicBezTo>
              <a:cubicBezTo>
                <a:pt x="8445735" y="4448915"/>
                <a:pt x="8430150" y="4464506"/>
                <a:pt x="8410923" y="4464506"/>
              </a:cubicBezTo>
              <a:close/>
              <a:moveTo>
                <a:pt x="8495816" y="4464506"/>
              </a:moveTo>
              <a:cubicBezTo>
                <a:pt x="8476588" y="4464506"/>
                <a:pt x="8460990" y="4448915"/>
                <a:pt x="8460990" y="4429687"/>
              </a:cubicBezTo>
              <a:cubicBezTo>
                <a:pt x="8460990" y="4410459"/>
                <a:pt x="8476588" y="4394868"/>
                <a:pt x="8495816" y="4394868"/>
              </a:cubicBezTo>
              <a:cubicBezTo>
                <a:pt x="8515044" y="4394868"/>
                <a:pt x="8530628" y="4410459"/>
                <a:pt x="8530628" y="4429687"/>
              </a:cubicBezTo>
              <a:cubicBezTo>
                <a:pt x="8530628" y="4448915"/>
                <a:pt x="8515044" y="4464506"/>
                <a:pt x="8495816" y="4464506"/>
              </a:cubicBezTo>
              <a:close/>
              <a:moveTo>
                <a:pt x="8580708" y="4464506"/>
              </a:moveTo>
              <a:cubicBezTo>
                <a:pt x="8561480" y="4464506"/>
                <a:pt x="8545883" y="4448915"/>
                <a:pt x="8545883" y="4429687"/>
              </a:cubicBezTo>
              <a:cubicBezTo>
                <a:pt x="8545883" y="4410459"/>
                <a:pt x="8561480" y="4394868"/>
                <a:pt x="8580708" y="4394868"/>
              </a:cubicBezTo>
              <a:cubicBezTo>
                <a:pt x="8599936" y="4394868"/>
                <a:pt x="8615520" y="4410459"/>
                <a:pt x="8615520" y="4429687"/>
              </a:cubicBezTo>
              <a:cubicBezTo>
                <a:pt x="8615520" y="4448915"/>
                <a:pt x="8599936" y="4464506"/>
                <a:pt x="8580708" y="4464506"/>
              </a:cubicBezTo>
              <a:close/>
              <a:moveTo>
                <a:pt x="8665600" y="4464506"/>
              </a:moveTo>
              <a:cubicBezTo>
                <a:pt x="8646373" y="4464506"/>
                <a:pt x="8630775" y="4448915"/>
                <a:pt x="8630775" y="4429687"/>
              </a:cubicBezTo>
              <a:cubicBezTo>
                <a:pt x="8630775" y="4410459"/>
                <a:pt x="8646373" y="4394868"/>
                <a:pt x="8665600" y="4394868"/>
              </a:cubicBezTo>
              <a:cubicBezTo>
                <a:pt x="8684828" y="4394868"/>
                <a:pt x="8700413" y="4410459"/>
                <a:pt x="8700413" y="4429687"/>
              </a:cubicBezTo>
              <a:cubicBezTo>
                <a:pt x="8700413" y="4448915"/>
                <a:pt x="8684828" y="4464506"/>
                <a:pt x="8665600" y="4464506"/>
              </a:cubicBezTo>
              <a:close/>
              <a:moveTo>
                <a:pt x="8835386" y="4464506"/>
              </a:moveTo>
              <a:cubicBezTo>
                <a:pt x="8816158" y="4464506"/>
                <a:pt x="8800560" y="4448915"/>
                <a:pt x="8800560" y="4429687"/>
              </a:cubicBezTo>
              <a:cubicBezTo>
                <a:pt x="8800560" y="4410459"/>
                <a:pt x="8816158" y="4394868"/>
                <a:pt x="8835386" y="4394868"/>
              </a:cubicBezTo>
              <a:cubicBezTo>
                <a:pt x="8854614" y="4394868"/>
                <a:pt x="8870198" y="4410459"/>
                <a:pt x="8870198" y="4429687"/>
              </a:cubicBezTo>
              <a:cubicBezTo>
                <a:pt x="8870198" y="4448915"/>
                <a:pt x="8854614" y="4464506"/>
                <a:pt x="8835386" y="4464506"/>
              </a:cubicBezTo>
              <a:close/>
              <a:moveTo>
                <a:pt x="8920278" y="4464506"/>
              </a:moveTo>
              <a:cubicBezTo>
                <a:pt x="8901050" y="4464506"/>
                <a:pt x="8885453" y="4448915"/>
                <a:pt x="8885453" y="4429687"/>
              </a:cubicBezTo>
              <a:cubicBezTo>
                <a:pt x="8885453" y="4410459"/>
                <a:pt x="8901050" y="4394868"/>
                <a:pt x="8920278" y="4394868"/>
              </a:cubicBezTo>
              <a:cubicBezTo>
                <a:pt x="8939506" y="4394868"/>
                <a:pt x="8955090" y="4410459"/>
                <a:pt x="8955090" y="4429687"/>
              </a:cubicBezTo>
              <a:cubicBezTo>
                <a:pt x="8955090" y="4448915"/>
                <a:pt x="8939506" y="4464506"/>
                <a:pt x="8920278" y="4464506"/>
              </a:cubicBezTo>
              <a:close/>
              <a:moveTo>
                <a:pt x="9005170" y="4464506"/>
              </a:moveTo>
              <a:cubicBezTo>
                <a:pt x="8985943" y="4464506"/>
                <a:pt x="8970345" y="4448915"/>
                <a:pt x="8970345" y="4429687"/>
              </a:cubicBezTo>
              <a:cubicBezTo>
                <a:pt x="8970345" y="4410459"/>
                <a:pt x="8985943" y="4394868"/>
                <a:pt x="9005170" y="4394868"/>
              </a:cubicBezTo>
              <a:cubicBezTo>
                <a:pt x="9024398" y="4394868"/>
                <a:pt x="9039983" y="4410459"/>
                <a:pt x="9039983" y="4429687"/>
              </a:cubicBezTo>
              <a:cubicBezTo>
                <a:pt x="9039983" y="4448915"/>
                <a:pt x="9024398" y="4464506"/>
                <a:pt x="9005170" y="4464506"/>
              </a:cubicBezTo>
              <a:close/>
              <a:moveTo>
                <a:pt x="9090063" y="4464506"/>
              </a:moveTo>
              <a:cubicBezTo>
                <a:pt x="9070835" y="4464506"/>
                <a:pt x="9055237" y="4448915"/>
                <a:pt x="9055237" y="4429687"/>
              </a:cubicBezTo>
              <a:cubicBezTo>
                <a:pt x="9055237" y="4410459"/>
                <a:pt x="9070835" y="4394868"/>
                <a:pt x="9090063" y="4394868"/>
              </a:cubicBezTo>
              <a:cubicBezTo>
                <a:pt x="9109290" y="4394868"/>
                <a:pt x="9124875" y="4410459"/>
                <a:pt x="9124875" y="4429687"/>
              </a:cubicBezTo>
              <a:cubicBezTo>
                <a:pt x="9124875" y="4448915"/>
                <a:pt x="9109290" y="4464506"/>
                <a:pt x="9090063" y="4464506"/>
              </a:cubicBezTo>
              <a:close/>
              <a:moveTo>
                <a:pt x="9174956" y="4464506"/>
              </a:moveTo>
              <a:cubicBezTo>
                <a:pt x="9155728" y="4464506"/>
                <a:pt x="9140130" y="4448915"/>
                <a:pt x="9140130" y="4429687"/>
              </a:cubicBezTo>
              <a:cubicBezTo>
                <a:pt x="9140130" y="4410459"/>
                <a:pt x="9155728" y="4394868"/>
                <a:pt x="9174956" y="4394868"/>
              </a:cubicBezTo>
              <a:cubicBezTo>
                <a:pt x="9194184" y="4394868"/>
                <a:pt x="9209768" y="4410459"/>
                <a:pt x="9209768" y="4429687"/>
              </a:cubicBezTo>
              <a:cubicBezTo>
                <a:pt x="9209768" y="4448915"/>
                <a:pt x="9194184" y="4464506"/>
                <a:pt x="9174956" y="4464506"/>
              </a:cubicBezTo>
              <a:close/>
              <a:moveTo>
                <a:pt x="9259848" y="4464506"/>
              </a:moveTo>
              <a:cubicBezTo>
                <a:pt x="9240620" y="4464506"/>
                <a:pt x="9225023" y="4448915"/>
                <a:pt x="9225023" y="4429687"/>
              </a:cubicBezTo>
              <a:cubicBezTo>
                <a:pt x="9225023" y="4410459"/>
                <a:pt x="9240620" y="4394868"/>
                <a:pt x="9259848" y="4394868"/>
              </a:cubicBezTo>
              <a:cubicBezTo>
                <a:pt x="9279076" y="4394868"/>
                <a:pt x="9294660" y="4410459"/>
                <a:pt x="9294660" y="4429687"/>
              </a:cubicBezTo>
              <a:cubicBezTo>
                <a:pt x="9294660" y="4448915"/>
                <a:pt x="9279076" y="4464506"/>
                <a:pt x="9259848" y="4464506"/>
              </a:cubicBezTo>
              <a:close/>
              <a:moveTo>
                <a:pt x="9344740" y="4464506"/>
              </a:moveTo>
              <a:cubicBezTo>
                <a:pt x="9325513" y="4464506"/>
                <a:pt x="9309915" y="4448915"/>
                <a:pt x="9309915" y="4429687"/>
              </a:cubicBezTo>
              <a:cubicBezTo>
                <a:pt x="9309915" y="4410459"/>
                <a:pt x="9325513" y="4394868"/>
                <a:pt x="9344740" y="4394868"/>
              </a:cubicBezTo>
              <a:cubicBezTo>
                <a:pt x="9363968" y="4394868"/>
                <a:pt x="9379553" y="4410459"/>
                <a:pt x="9379553" y="4429687"/>
              </a:cubicBezTo>
              <a:cubicBezTo>
                <a:pt x="9379553" y="4448915"/>
                <a:pt x="9363968" y="4464506"/>
                <a:pt x="9344740" y="4464506"/>
              </a:cubicBezTo>
              <a:close/>
              <a:moveTo>
                <a:pt x="9429633" y="4464506"/>
              </a:moveTo>
              <a:cubicBezTo>
                <a:pt x="9410405" y="4464506"/>
                <a:pt x="9394807" y="4448915"/>
                <a:pt x="9394807" y="4429687"/>
              </a:cubicBezTo>
              <a:cubicBezTo>
                <a:pt x="9394807" y="4410459"/>
                <a:pt x="9410405" y="4394868"/>
                <a:pt x="9429633" y="4394868"/>
              </a:cubicBezTo>
              <a:cubicBezTo>
                <a:pt x="9448860" y="4394868"/>
                <a:pt x="9464445" y="4410459"/>
                <a:pt x="9464445" y="4429687"/>
              </a:cubicBezTo>
              <a:cubicBezTo>
                <a:pt x="9464445" y="4448915"/>
                <a:pt x="9448860" y="4464506"/>
                <a:pt x="9429633" y="4464506"/>
              </a:cubicBezTo>
              <a:close/>
              <a:moveTo>
                <a:pt x="9514525" y="4464506"/>
              </a:moveTo>
              <a:cubicBezTo>
                <a:pt x="9495297" y="4464506"/>
                <a:pt x="9479699" y="4448915"/>
                <a:pt x="9479699" y="4429687"/>
              </a:cubicBezTo>
              <a:cubicBezTo>
                <a:pt x="9479699" y="4410459"/>
                <a:pt x="9495297" y="4394868"/>
                <a:pt x="9514525" y="4394868"/>
              </a:cubicBezTo>
              <a:cubicBezTo>
                <a:pt x="9533753" y="4394868"/>
                <a:pt x="9549337" y="4410459"/>
                <a:pt x="9549337" y="4429687"/>
              </a:cubicBezTo>
              <a:cubicBezTo>
                <a:pt x="9549337" y="4448915"/>
                <a:pt x="9533753" y="4464506"/>
                <a:pt x="9514525" y="4464506"/>
              </a:cubicBezTo>
              <a:close/>
              <a:moveTo>
                <a:pt x="9599418" y="4464506"/>
              </a:moveTo>
              <a:cubicBezTo>
                <a:pt x="9580190" y="4464506"/>
                <a:pt x="9564593" y="4448915"/>
                <a:pt x="9564593" y="4429687"/>
              </a:cubicBezTo>
              <a:cubicBezTo>
                <a:pt x="9564593" y="4410459"/>
                <a:pt x="9580190" y="4394868"/>
                <a:pt x="9599418" y="4394868"/>
              </a:cubicBezTo>
              <a:cubicBezTo>
                <a:pt x="9618646" y="4394868"/>
                <a:pt x="9634230" y="4410459"/>
                <a:pt x="9634230" y="4429687"/>
              </a:cubicBezTo>
              <a:cubicBezTo>
                <a:pt x="9634230" y="4448915"/>
                <a:pt x="9618646" y="4464506"/>
                <a:pt x="9599418" y="4464506"/>
              </a:cubicBezTo>
              <a:close/>
              <a:moveTo>
                <a:pt x="9684310" y="4464506"/>
              </a:moveTo>
              <a:cubicBezTo>
                <a:pt x="9665083" y="4464506"/>
                <a:pt x="9649485" y="4448915"/>
                <a:pt x="9649485" y="4429687"/>
              </a:cubicBezTo>
              <a:cubicBezTo>
                <a:pt x="9649485" y="4410459"/>
                <a:pt x="9665083" y="4394868"/>
                <a:pt x="9684310" y="4394868"/>
              </a:cubicBezTo>
              <a:cubicBezTo>
                <a:pt x="9703538" y="4394868"/>
                <a:pt x="9719123" y="4410459"/>
                <a:pt x="9719123" y="4429687"/>
              </a:cubicBezTo>
              <a:cubicBezTo>
                <a:pt x="9719123" y="4448915"/>
                <a:pt x="9703538" y="4464506"/>
                <a:pt x="9684310" y="4464506"/>
              </a:cubicBezTo>
              <a:close/>
              <a:moveTo>
                <a:pt x="9769203" y="4464506"/>
              </a:moveTo>
              <a:cubicBezTo>
                <a:pt x="9749975" y="4464506"/>
                <a:pt x="9734377" y="4448915"/>
                <a:pt x="9734377" y="4429687"/>
              </a:cubicBezTo>
              <a:cubicBezTo>
                <a:pt x="9734377" y="4410459"/>
                <a:pt x="9749975" y="4394868"/>
                <a:pt x="9769203" y="4394868"/>
              </a:cubicBezTo>
              <a:cubicBezTo>
                <a:pt x="9788430" y="4394868"/>
                <a:pt x="9804015" y="4410459"/>
                <a:pt x="9804015" y="4429687"/>
              </a:cubicBezTo>
              <a:cubicBezTo>
                <a:pt x="9804015" y="4448915"/>
                <a:pt x="9788430" y="4464506"/>
                <a:pt x="9769203" y="4464506"/>
              </a:cubicBezTo>
              <a:close/>
              <a:moveTo>
                <a:pt x="9854095" y="4464506"/>
              </a:moveTo>
              <a:cubicBezTo>
                <a:pt x="9834867" y="4464506"/>
                <a:pt x="9819269" y="4448915"/>
                <a:pt x="9819269" y="4429687"/>
              </a:cubicBezTo>
              <a:cubicBezTo>
                <a:pt x="9819269" y="4410459"/>
                <a:pt x="9834867" y="4394868"/>
                <a:pt x="9854095" y="4394868"/>
              </a:cubicBezTo>
              <a:cubicBezTo>
                <a:pt x="9873323" y="4394868"/>
                <a:pt x="9888907" y="4410459"/>
                <a:pt x="9888907" y="4429687"/>
              </a:cubicBezTo>
              <a:cubicBezTo>
                <a:pt x="9888907" y="4448915"/>
                <a:pt x="9873323" y="4464506"/>
                <a:pt x="9854095" y="4464506"/>
              </a:cubicBezTo>
              <a:close/>
              <a:moveTo>
                <a:pt x="10023880" y="4464506"/>
              </a:moveTo>
              <a:cubicBezTo>
                <a:pt x="10004653" y="4464506"/>
                <a:pt x="9989055" y="4448915"/>
                <a:pt x="9989055" y="4429687"/>
              </a:cubicBezTo>
              <a:cubicBezTo>
                <a:pt x="9989055" y="4410459"/>
                <a:pt x="10004653" y="4394868"/>
                <a:pt x="10023880" y="4394868"/>
              </a:cubicBezTo>
              <a:cubicBezTo>
                <a:pt x="10043108" y="4394868"/>
                <a:pt x="10058693" y="4410459"/>
                <a:pt x="10058693" y="4429687"/>
              </a:cubicBezTo>
              <a:cubicBezTo>
                <a:pt x="10058693" y="4448915"/>
                <a:pt x="10043108" y="4464506"/>
                <a:pt x="10023880" y="4464506"/>
              </a:cubicBezTo>
              <a:close/>
              <a:moveTo>
                <a:pt x="2298661" y="4379646"/>
              </a:moveTo>
              <a:cubicBezTo>
                <a:pt x="2279433" y="4379646"/>
                <a:pt x="2263842" y="4364055"/>
                <a:pt x="2263842" y="4344827"/>
              </a:cubicBezTo>
              <a:cubicBezTo>
                <a:pt x="2263842" y="4325599"/>
                <a:pt x="2279433" y="4310008"/>
                <a:pt x="2298661" y="4310008"/>
              </a:cubicBezTo>
              <a:cubicBezTo>
                <a:pt x="2317889" y="4310008"/>
                <a:pt x="2333480" y="4325599"/>
                <a:pt x="2333480" y="4344827"/>
              </a:cubicBezTo>
              <a:cubicBezTo>
                <a:pt x="2333480" y="4364055"/>
                <a:pt x="2317889" y="4379646"/>
                <a:pt x="2298661" y="4379646"/>
              </a:cubicBezTo>
              <a:close/>
              <a:moveTo>
                <a:pt x="2383553" y="4379646"/>
              </a:moveTo>
              <a:cubicBezTo>
                <a:pt x="2364326" y="4379646"/>
                <a:pt x="2348734" y="4364055"/>
                <a:pt x="2348734" y="4344827"/>
              </a:cubicBezTo>
              <a:cubicBezTo>
                <a:pt x="2348734" y="4325599"/>
                <a:pt x="2364326" y="4310008"/>
                <a:pt x="2383553" y="4310008"/>
              </a:cubicBezTo>
              <a:cubicBezTo>
                <a:pt x="2402781" y="4310008"/>
                <a:pt x="2418372" y="4325599"/>
                <a:pt x="2418372" y="4344827"/>
              </a:cubicBezTo>
              <a:cubicBezTo>
                <a:pt x="2418372" y="4364055"/>
                <a:pt x="2402781" y="4379646"/>
                <a:pt x="2383553" y="4379646"/>
              </a:cubicBezTo>
              <a:close/>
              <a:moveTo>
                <a:pt x="2468446" y="4379646"/>
              </a:moveTo>
              <a:cubicBezTo>
                <a:pt x="2449218" y="4379646"/>
                <a:pt x="2433627" y="4364055"/>
                <a:pt x="2433627" y="4344827"/>
              </a:cubicBezTo>
              <a:cubicBezTo>
                <a:pt x="2433627" y="4325599"/>
                <a:pt x="2449218" y="4310008"/>
                <a:pt x="2468446" y="4310008"/>
              </a:cubicBezTo>
              <a:cubicBezTo>
                <a:pt x="2487673" y="4310008"/>
                <a:pt x="2503264" y="4325599"/>
                <a:pt x="2503264" y="4344827"/>
              </a:cubicBezTo>
              <a:cubicBezTo>
                <a:pt x="2503264" y="4364055"/>
                <a:pt x="2487673" y="4379646"/>
                <a:pt x="2468446" y="4379646"/>
              </a:cubicBezTo>
              <a:close/>
              <a:moveTo>
                <a:pt x="2553339" y="4379646"/>
              </a:moveTo>
              <a:cubicBezTo>
                <a:pt x="2534111" y="4379646"/>
                <a:pt x="2518520" y="4364055"/>
                <a:pt x="2518520" y="4344827"/>
              </a:cubicBezTo>
              <a:cubicBezTo>
                <a:pt x="2518520" y="4325599"/>
                <a:pt x="2534111" y="4310008"/>
                <a:pt x="2553339" y="4310008"/>
              </a:cubicBezTo>
              <a:cubicBezTo>
                <a:pt x="2572567" y="4310008"/>
                <a:pt x="2588158" y="4325599"/>
                <a:pt x="2588158" y="4344827"/>
              </a:cubicBezTo>
              <a:cubicBezTo>
                <a:pt x="2588158" y="4364055"/>
                <a:pt x="2572567" y="4379646"/>
                <a:pt x="2553339" y="4379646"/>
              </a:cubicBezTo>
              <a:close/>
              <a:moveTo>
                <a:pt x="2638231" y="4379646"/>
              </a:moveTo>
              <a:cubicBezTo>
                <a:pt x="2619003" y="4379646"/>
                <a:pt x="2603412" y="4364055"/>
                <a:pt x="2603412" y="4344827"/>
              </a:cubicBezTo>
              <a:cubicBezTo>
                <a:pt x="2603412" y="4325599"/>
                <a:pt x="2619003" y="4310008"/>
                <a:pt x="2638231" y="4310008"/>
              </a:cubicBezTo>
              <a:cubicBezTo>
                <a:pt x="2657459" y="4310008"/>
                <a:pt x="2673050" y="4325599"/>
                <a:pt x="2673050" y="4344827"/>
              </a:cubicBezTo>
              <a:cubicBezTo>
                <a:pt x="2673050" y="4364055"/>
                <a:pt x="2657459" y="4379646"/>
                <a:pt x="2638231" y="4379646"/>
              </a:cubicBezTo>
              <a:close/>
              <a:moveTo>
                <a:pt x="2723123" y="4379646"/>
              </a:moveTo>
              <a:cubicBezTo>
                <a:pt x="2703896" y="4379646"/>
                <a:pt x="2688304" y="4364055"/>
                <a:pt x="2688304" y="4344827"/>
              </a:cubicBezTo>
              <a:cubicBezTo>
                <a:pt x="2688304" y="4325599"/>
                <a:pt x="2703896" y="4310008"/>
                <a:pt x="2723123" y="4310008"/>
              </a:cubicBezTo>
              <a:cubicBezTo>
                <a:pt x="2742351" y="4310008"/>
                <a:pt x="2757942" y="4325599"/>
                <a:pt x="2757942" y="4344827"/>
              </a:cubicBezTo>
              <a:cubicBezTo>
                <a:pt x="2757942" y="4364055"/>
                <a:pt x="2742351" y="4379646"/>
                <a:pt x="2723123" y="4379646"/>
              </a:cubicBezTo>
              <a:close/>
              <a:moveTo>
                <a:pt x="2808016" y="4379646"/>
              </a:moveTo>
              <a:cubicBezTo>
                <a:pt x="2788788" y="4379646"/>
                <a:pt x="2773197" y="4364055"/>
                <a:pt x="2773197" y="4344827"/>
              </a:cubicBezTo>
              <a:cubicBezTo>
                <a:pt x="2773197" y="4325599"/>
                <a:pt x="2788788" y="4310008"/>
                <a:pt x="2808016" y="4310008"/>
              </a:cubicBezTo>
              <a:cubicBezTo>
                <a:pt x="2827243" y="4310008"/>
                <a:pt x="2842834" y="4325599"/>
                <a:pt x="2842834" y="4344827"/>
              </a:cubicBezTo>
              <a:cubicBezTo>
                <a:pt x="2842834" y="4364055"/>
                <a:pt x="2827243" y="4379646"/>
                <a:pt x="2808016" y="4379646"/>
              </a:cubicBezTo>
              <a:close/>
              <a:moveTo>
                <a:pt x="2892908" y="4379646"/>
              </a:moveTo>
              <a:cubicBezTo>
                <a:pt x="2873680" y="4379646"/>
                <a:pt x="2858089" y="4364055"/>
                <a:pt x="2858089" y="4344827"/>
              </a:cubicBezTo>
              <a:cubicBezTo>
                <a:pt x="2858089" y="4325599"/>
                <a:pt x="2873680" y="4310008"/>
                <a:pt x="2892908" y="4310008"/>
              </a:cubicBezTo>
              <a:cubicBezTo>
                <a:pt x="2912136" y="4310008"/>
                <a:pt x="2927727" y="4325599"/>
                <a:pt x="2927727" y="4344827"/>
              </a:cubicBezTo>
              <a:cubicBezTo>
                <a:pt x="2927727" y="4364055"/>
                <a:pt x="2912136" y="4379646"/>
                <a:pt x="2892908" y="4379646"/>
              </a:cubicBezTo>
              <a:close/>
              <a:moveTo>
                <a:pt x="2977801" y="4379646"/>
              </a:moveTo>
              <a:cubicBezTo>
                <a:pt x="2958573" y="4379646"/>
                <a:pt x="2942982" y="4364055"/>
                <a:pt x="2942982" y="4344827"/>
              </a:cubicBezTo>
              <a:cubicBezTo>
                <a:pt x="2942982" y="4325599"/>
                <a:pt x="2958573" y="4310008"/>
                <a:pt x="2977801" y="4310008"/>
              </a:cubicBezTo>
              <a:cubicBezTo>
                <a:pt x="2997029" y="4310008"/>
                <a:pt x="3012620" y="4325599"/>
                <a:pt x="3012620" y="4344827"/>
              </a:cubicBezTo>
              <a:cubicBezTo>
                <a:pt x="3012620" y="4364055"/>
                <a:pt x="2997029" y="4379646"/>
                <a:pt x="2977801" y="4379646"/>
              </a:cubicBezTo>
              <a:close/>
              <a:moveTo>
                <a:pt x="3062693" y="4379646"/>
              </a:moveTo>
              <a:cubicBezTo>
                <a:pt x="3043466" y="4379646"/>
                <a:pt x="3027874" y="4364055"/>
                <a:pt x="3027874" y="4344827"/>
              </a:cubicBezTo>
              <a:cubicBezTo>
                <a:pt x="3027874" y="4325599"/>
                <a:pt x="3043466" y="4310008"/>
                <a:pt x="3062693" y="4310008"/>
              </a:cubicBezTo>
              <a:cubicBezTo>
                <a:pt x="3081921" y="4310008"/>
                <a:pt x="3097512" y="4325599"/>
                <a:pt x="3097512" y="4344827"/>
              </a:cubicBezTo>
              <a:cubicBezTo>
                <a:pt x="3097512" y="4364055"/>
                <a:pt x="3081921" y="4379646"/>
                <a:pt x="3062693" y="4379646"/>
              </a:cubicBezTo>
              <a:close/>
              <a:moveTo>
                <a:pt x="3147586" y="4379646"/>
              </a:moveTo>
              <a:cubicBezTo>
                <a:pt x="3128358" y="4379646"/>
                <a:pt x="3112767" y="4364055"/>
                <a:pt x="3112767" y="4344827"/>
              </a:cubicBezTo>
              <a:cubicBezTo>
                <a:pt x="3112767" y="4325599"/>
                <a:pt x="3128358" y="4310008"/>
                <a:pt x="3147586" y="4310008"/>
              </a:cubicBezTo>
              <a:cubicBezTo>
                <a:pt x="3166813" y="4310008"/>
                <a:pt x="3182404" y="4325599"/>
                <a:pt x="3182404" y="4344827"/>
              </a:cubicBezTo>
              <a:cubicBezTo>
                <a:pt x="3182404" y="4364055"/>
                <a:pt x="3166813" y="4379646"/>
                <a:pt x="3147586" y="4379646"/>
              </a:cubicBezTo>
              <a:close/>
              <a:moveTo>
                <a:pt x="3232478" y="4379646"/>
              </a:moveTo>
              <a:cubicBezTo>
                <a:pt x="3213250" y="4379646"/>
                <a:pt x="3197659" y="4364055"/>
                <a:pt x="3197659" y="4344827"/>
              </a:cubicBezTo>
              <a:cubicBezTo>
                <a:pt x="3197659" y="4325599"/>
                <a:pt x="3213250" y="4310008"/>
                <a:pt x="3232478" y="4310008"/>
              </a:cubicBezTo>
              <a:cubicBezTo>
                <a:pt x="3251706" y="4310008"/>
                <a:pt x="3267297" y="4325599"/>
                <a:pt x="3267297" y="4344827"/>
              </a:cubicBezTo>
              <a:cubicBezTo>
                <a:pt x="3267297" y="4364055"/>
                <a:pt x="3251706" y="4379646"/>
                <a:pt x="3232478" y="4379646"/>
              </a:cubicBezTo>
              <a:close/>
              <a:moveTo>
                <a:pt x="3317371" y="4379646"/>
              </a:moveTo>
              <a:cubicBezTo>
                <a:pt x="3298143" y="4379646"/>
                <a:pt x="3282552" y="4364055"/>
                <a:pt x="3282552" y="4344827"/>
              </a:cubicBezTo>
              <a:cubicBezTo>
                <a:pt x="3282552" y="4325599"/>
                <a:pt x="3298143" y="4310008"/>
                <a:pt x="3317371" y="4310008"/>
              </a:cubicBezTo>
              <a:cubicBezTo>
                <a:pt x="3336599" y="4310008"/>
                <a:pt x="3352190" y="4325599"/>
                <a:pt x="3352190" y="4344827"/>
              </a:cubicBezTo>
              <a:cubicBezTo>
                <a:pt x="3352190" y="4364055"/>
                <a:pt x="3336599" y="4379646"/>
                <a:pt x="3317371" y="4379646"/>
              </a:cubicBezTo>
              <a:close/>
              <a:moveTo>
                <a:pt x="3402263" y="4379646"/>
              </a:moveTo>
              <a:cubicBezTo>
                <a:pt x="3383036" y="4379646"/>
                <a:pt x="3367444" y="4364055"/>
                <a:pt x="3367444" y="4344827"/>
              </a:cubicBezTo>
              <a:cubicBezTo>
                <a:pt x="3367444" y="4325599"/>
                <a:pt x="3383036" y="4310008"/>
                <a:pt x="3402263" y="4310008"/>
              </a:cubicBezTo>
              <a:cubicBezTo>
                <a:pt x="3421491" y="4310008"/>
                <a:pt x="3437082" y="4325599"/>
                <a:pt x="3437082" y="4344827"/>
              </a:cubicBezTo>
              <a:cubicBezTo>
                <a:pt x="3437082" y="4364055"/>
                <a:pt x="3421491" y="4379646"/>
                <a:pt x="3402263" y="4379646"/>
              </a:cubicBezTo>
              <a:close/>
              <a:moveTo>
                <a:pt x="3487156" y="4379646"/>
              </a:moveTo>
              <a:cubicBezTo>
                <a:pt x="3467928" y="4379646"/>
                <a:pt x="3452337" y="4364055"/>
                <a:pt x="3452337" y="4344827"/>
              </a:cubicBezTo>
              <a:cubicBezTo>
                <a:pt x="3452337" y="4325599"/>
                <a:pt x="3467928" y="4310008"/>
                <a:pt x="3487156" y="4310008"/>
              </a:cubicBezTo>
              <a:cubicBezTo>
                <a:pt x="3506383" y="4310008"/>
                <a:pt x="3521974" y="4325599"/>
                <a:pt x="3521974" y="4344827"/>
              </a:cubicBezTo>
              <a:cubicBezTo>
                <a:pt x="3521974" y="4364055"/>
                <a:pt x="3506383" y="4379646"/>
                <a:pt x="3487156" y="4379646"/>
              </a:cubicBezTo>
              <a:close/>
              <a:moveTo>
                <a:pt x="3572048" y="4379646"/>
              </a:moveTo>
              <a:cubicBezTo>
                <a:pt x="3552820" y="4379646"/>
                <a:pt x="3537229" y="4364055"/>
                <a:pt x="3537229" y="4344827"/>
              </a:cubicBezTo>
              <a:cubicBezTo>
                <a:pt x="3537229" y="4325599"/>
                <a:pt x="3552820" y="4310008"/>
                <a:pt x="3572048" y="4310008"/>
              </a:cubicBezTo>
              <a:cubicBezTo>
                <a:pt x="3591276" y="4310008"/>
                <a:pt x="3606867" y="4325599"/>
                <a:pt x="3606867" y="4344827"/>
              </a:cubicBezTo>
              <a:cubicBezTo>
                <a:pt x="3606867" y="4364055"/>
                <a:pt x="3591276" y="4379646"/>
                <a:pt x="3572048" y="4379646"/>
              </a:cubicBezTo>
              <a:close/>
              <a:moveTo>
                <a:pt x="3656941" y="4379646"/>
              </a:moveTo>
              <a:cubicBezTo>
                <a:pt x="3637713" y="4379646"/>
                <a:pt x="3622122" y="4364055"/>
                <a:pt x="3622122" y="4344827"/>
              </a:cubicBezTo>
              <a:cubicBezTo>
                <a:pt x="3622122" y="4325599"/>
                <a:pt x="3637713" y="4310008"/>
                <a:pt x="3656941" y="4310008"/>
              </a:cubicBezTo>
              <a:cubicBezTo>
                <a:pt x="3676169" y="4310008"/>
                <a:pt x="3691760" y="4325599"/>
                <a:pt x="3691760" y="4344827"/>
              </a:cubicBezTo>
              <a:cubicBezTo>
                <a:pt x="3691760" y="4364055"/>
                <a:pt x="3676169" y="4379646"/>
                <a:pt x="3656941" y="4379646"/>
              </a:cubicBezTo>
              <a:close/>
              <a:moveTo>
                <a:pt x="3741833" y="4379646"/>
              </a:moveTo>
              <a:cubicBezTo>
                <a:pt x="3722606" y="4379646"/>
                <a:pt x="3707014" y="4364055"/>
                <a:pt x="3707014" y="4344827"/>
              </a:cubicBezTo>
              <a:cubicBezTo>
                <a:pt x="3707014" y="4325599"/>
                <a:pt x="3722606" y="4310008"/>
                <a:pt x="3741833" y="4310008"/>
              </a:cubicBezTo>
              <a:cubicBezTo>
                <a:pt x="3761061" y="4310008"/>
                <a:pt x="3776652" y="4325599"/>
                <a:pt x="3776652" y="4344827"/>
              </a:cubicBezTo>
              <a:cubicBezTo>
                <a:pt x="3776652" y="4364055"/>
                <a:pt x="3761061" y="4379646"/>
                <a:pt x="3741833" y="4379646"/>
              </a:cubicBezTo>
              <a:close/>
              <a:moveTo>
                <a:pt x="3826726" y="4379646"/>
              </a:moveTo>
              <a:cubicBezTo>
                <a:pt x="3807498" y="4379646"/>
                <a:pt x="3791907" y="4364055"/>
                <a:pt x="3791907" y="4344827"/>
              </a:cubicBezTo>
              <a:cubicBezTo>
                <a:pt x="3791907" y="4325599"/>
                <a:pt x="3807498" y="4310008"/>
                <a:pt x="3826726" y="4310008"/>
              </a:cubicBezTo>
              <a:cubicBezTo>
                <a:pt x="3845953" y="4310008"/>
                <a:pt x="3861544" y="4325599"/>
                <a:pt x="3861544" y="4344827"/>
              </a:cubicBezTo>
              <a:cubicBezTo>
                <a:pt x="3861544" y="4364055"/>
                <a:pt x="3845953" y="4379646"/>
                <a:pt x="3826726" y="4379646"/>
              </a:cubicBezTo>
              <a:close/>
              <a:moveTo>
                <a:pt x="3911618" y="4379646"/>
              </a:moveTo>
              <a:cubicBezTo>
                <a:pt x="3892390" y="4379646"/>
                <a:pt x="3876799" y="4364055"/>
                <a:pt x="3876799" y="4344827"/>
              </a:cubicBezTo>
              <a:cubicBezTo>
                <a:pt x="3876799" y="4325599"/>
                <a:pt x="3892390" y="4310008"/>
                <a:pt x="3911618" y="4310008"/>
              </a:cubicBezTo>
              <a:cubicBezTo>
                <a:pt x="3930846" y="4310008"/>
                <a:pt x="3946437" y="4325599"/>
                <a:pt x="3946437" y="4344827"/>
              </a:cubicBezTo>
              <a:cubicBezTo>
                <a:pt x="3946437" y="4364055"/>
                <a:pt x="3930846" y="4379646"/>
                <a:pt x="3911618" y="4379646"/>
              </a:cubicBezTo>
              <a:close/>
              <a:moveTo>
                <a:pt x="5779252" y="4379646"/>
              </a:moveTo>
              <a:cubicBezTo>
                <a:pt x="5760025" y="4379646"/>
                <a:pt x="5744433" y="4364055"/>
                <a:pt x="5744433" y="4344827"/>
              </a:cubicBezTo>
              <a:cubicBezTo>
                <a:pt x="5744433" y="4325599"/>
                <a:pt x="5760025" y="4310008"/>
                <a:pt x="5779252" y="4310008"/>
              </a:cubicBezTo>
              <a:cubicBezTo>
                <a:pt x="5798480" y="4310008"/>
                <a:pt x="5814071" y="4325599"/>
                <a:pt x="5814071" y="4344827"/>
              </a:cubicBezTo>
              <a:cubicBezTo>
                <a:pt x="5814071" y="4364055"/>
                <a:pt x="5798480" y="4379646"/>
                <a:pt x="5779252" y="4379646"/>
              </a:cubicBezTo>
              <a:close/>
              <a:moveTo>
                <a:pt x="5864146" y="4379646"/>
              </a:moveTo>
              <a:cubicBezTo>
                <a:pt x="5844918" y="4379646"/>
                <a:pt x="5829327" y="4364055"/>
                <a:pt x="5829327" y="4344827"/>
              </a:cubicBezTo>
              <a:cubicBezTo>
                <a:pt x="5829327" y="4325599"/>
                <a:pt x="5844918" y="4310008"/>
                <a:pt x="5864146" y="4310008"/>
              </a:cubicBezTo>
              <a:cubicBezTo>
                <a:pt x="5883373" y="4310008"/>
                <a:pt x="5898964" y="4325599"/>
                <a:pt x="5898964" y="4344827"/>
              </a:cubicBezTo>
              <a:cubicBezTo>
                <a:pt x="5898964" y="4364055"/>
                <a:pt x="5883373" y="4379646"/>
                <a:pt x="5864146" y="4379646"/>
              </a:cubicBezTo>
              <a:close/>
              <a:moveTo>
                <a:pt x="6033930" y="4379646"/>
              </a:moveTo>
              <a:cubicBezTo>
                <a:pt x="6014702" y="4379646"/>
                <a:pt x="5999111" y="4364055"/>
                <a:pt x="5999111" y="4344827"/>
              </a:cubicBezTo>
              <a:cubicBezTo>
                <a:pt x="5999111" y="4325599"/>
                <a:pt x="6014702" y="4310008"/>
                <a:pt x="6033930" y="4310008"/>
              </a:cubicBezTo>
              <a:cubicBezTo>
                <a:pt x="6053158" y="4310008"/>
                <a:pt x="6068749" y="4325599"/>
                <a:pt x="6068749" y="4344827"/>
              </a:cubicBezTo>
              <a:cubicBezTo>
                <a:pt x="6068749" y="4364055"/>
                <a:pt x="6053158" y="4379646"/>
                <a:pt x="6033930" y="4379646"/>
              </a:cubicBezTo>
              <a:close/>
              <a:moveTo>
                <a:pt x="6118826" y="4379646"/>
              </a:moveTo>
              <a:cubicBezTo>
                <a:pt x="6099592" y="4379646"/>
                <a:pt x="6084000" y="4364055"/>
                <a:pt x="6084000" y="4344827"/>
              </a:cubicBezTo>
              <a:cubicBezTo>
                <a:pt x="6084000" y="4325599"/>
                <a:pt x="6099592" y="4310008"/>
                <a:pt x="6118826" y="4310008"/>
              </a:cubicBezTo>
              <a:cubicBezTo>
                <a:pt x="6138054" y="4310008"/>
                <a:pt x="6153638" y="4325599"/>
                <a:pt x="6153638" y="4344827"/>
              </a:cubicBezTo>
              <a:cubicBezTo>
                <a:pt x="6153638" y="4364055"/>
                <a:pt x="6138054" y="4379646"/>
                <a:pt x="6118826" y="4379646"/>
              </a:cubicBezTo>
              <a:close/>
              <a:moveTo>
                <a:pt x="6203718" y="4379646"/>
              </a:moveTo>
              <a:cubicBezTo>
                <a:pt x="6184490" y="4379646"/>
                <a:pt x="6168893" y="4364055"/>
                <a:pt x="6168893" y="4344827"/>
              </a:cubicBezTo>
              <a:cubicBezTo>
                <a:pt x="6168893" y="4325599"/>
                <a:pt x="6184490" y="4310008"/>
                <a:pt x="6203718" y="4310008"/>
              </a:cubicBezTo>
              <a:cubicBezTo>
                <a:pt x="6222946" y="4310008"/>
                <a:pt x="6238530" y="4325599"/>
                <a:pt x="6238530" y="4344827"/>
              </a:cubicBezTo>
              <a:cubicBezTo>
                <a:pt x="6238530" y="4364055"/>
                <a:pt x="6222946" y="4379646"/>
                <a:pt x="6203718" y="4379646"/>
              </a:cubicBezTo>
              <a:close/>
              <a:moveTo>
                <a:pt x="6288611" y="4379646"/>
              </a:moveTo>
              <a:cubicBezTo>
                <a:pt x="6269384" y="4379646"/>
                <a:pt x="6253786" y="4364055"/>
                <a:pt x="6253786" y="4344827"/>
              </a:cubicBezTo>
              <a:cubicBezTo>
                <a:pt x="6253786" y="4325599"/>
                <a:pt x="6269384" y="4310008"/>
                <a:pt x="6288611" y="4310008"/>
              </a:cubicBezTo>
              <a:cubicBezTo>
                <a:pt x="6307839" y="4310008"/>
                <a:pt x="6323424" y="4325599"/>
                <a:pt x="6323424" y="4344827"/>
              </a:cubicBezTo>
              <a:cubicBezTo>
                <a:pt x="6323424" y="4364055"/>
                <a:pt x="6307839" y="4379646"/>
                <a:pt x="6288611" y="4379646"/>
              </a:cubicBezTo>
              <a:close/>
              <a:moveTo>
                <a:pt x="6373504" y="4379646"/>
              </a:moveTo>
              <a:cubicBezTo>
                <a:pt x="6354276" y="4379646"/>
                <a:pt x="6338678" y="4364055"/>
                <a:pt x="6338678" y="4344827"/>
              </a:cubicBezTo>
              <a:cubicBezTo>
                <a:pt x="6338678" y="4325599"/>
                <a:pt x="6354276" y="4310008"/>
                <a:pt x="6373504" y="4310008"/>
              </a:cubicBezTo>
              <a:cubicBezTo>
                <a:pt x="6392731" y="4310008"/>
                <a:pt x="6408316" y="4325599"/>
                <a:pt x="6408316" y="4344827"/>
              </a:cubicBezTo>
              <a:cubicBezTo>
                <a:pt x="6408316" y="4364055"/>
                <a:pt x="6392731" y="4379646"/>
                <a:pt x="6373504" y="4379646"/>
              </a:cubicBezTo>
              <a:close/>
              <a:moveTo>
                <a:pt x="6458396" y="4379646"/>
              </a:moveTo>
              <a:cubicBezTo>
                <a:pt x="6439168" y="4379646"/>
                <a:pt x="6423570" y="4364055"/>
                <a:pt x="6423570" y="4344827"/>
              </a:cubicBezTo>
              <a:cubicBezTo>
                <a:pt x="6423570" y="4325599"/>
                <a:pt x="6439168" y="4310008"/>
                <a:pt x="6458396" y="4310008"/>
              </a:cubicBezTo>
              <a:cubicBezTo>
                <a:pt x="6477624" y="4310008"/>
                <a:pt x="6493208" y="4325599"/>
                <a:pt x="6493208" y="4344827"/>
              </a:cubicBezTo>
              <a:cubicBezTo>
                <a:pt x="6493208" y="4364055"/>
                <a:pt x="6477624" y="4379646"/>
                <a:pt x="6458396" y="4379646"/>
              </a:cubicBezTo>
              <a:close/>
              <a:moveTo>
                <a:pt x="6543288" y="4379646"/>
              </a:moveTo>
              <a:cubicBezTo>
                <a:pt x="6524060" y="4379646"/>
                <a:pt x="6508463" y="4364055"/>
                <a:pt x="6508463" y="4344827"/>
              </a:cubicBezTo>
              <a:cubicBezTo>
                <a:pt x="6508463" y="4325599"/>
                <a:pt x="6524060" y="4310008"/>
                <a:pt x="6543288" y="4310008"/>
              </a:cubicBezTo>
              <a:cubicBezTo>
                <a:pt x="6562516" y="4310008"/>
                <a:pt x="6578100" y="4325599"/>
                <a:pt x="6578100" y="4344827"/>
              </a:cubicBezTo>
              <a:cubicBezTo>
                <a:pt x="6578100" y="4364055"/>
                <a:pt x="6562516" y="4379646"/>
                <a:pt x="6543288" y="4379646"/>
              </a:cubicBezTo>
              <a:close/>
              <a:moveTo>
                <a:pt x="6628181" y="4379646"/>
              </a:moveTo>
              <a:cubicBezTo>
                <a:pt x="6608954" y="4379646"/>
                <a:pt x="6593356" y="4364055"/>
                <a:pt x="6593356" y="4344827"/>
              </a:cubicBezTo>
              <a:cubicBezTo>
                <a:pt x="6593356" y="4325599"/>
                <a:pt x="6608954" y="4310008"/>
                <a:pt x="6628181" y="4310008"/>
              </a:cubicBezTo>
              <a:cubicBezTo>
                <a:pt x="6647409" y="4310008"/>
                <a:pt x="6662994" y="4325599"/>
                <a:pt x="6662994" y="4344827"/>
              </a:cubicBezTo>
              <a:cubicBezTo>
                <a:pt x="6662994" y="4364055"/>
                <a:pt x="6647409" y="4379646"/>
                <a:pt x="6628181" y="4379646"/>
              </a:cubicBezTo>
              <a:close/>
              <a:moveTo>
                <a:pt x="6713074" y="4379646"/>
              </a:moveTo>
              <a:cubicBezTo>
                <a:pt x="6693846" y="4379646"/>
                <a:pt x="6678248" y="4364055"/>
                <a:pt x="6678248" y="4344827"/>
              </a:cubicBezTo>
              <a:cubicBezTo>
                <a:pt x="6678248" y="4325599"/>
                <a:pt x="6693846" y="4310008"/>
                <a:pt x="6713074" y="4310008"/>
              </a:cubicBezTo>
              <a:cubicBezTo>
                <a:pt x="6732301" y="4310008"/>
                <a:pt x="6747886" y="4325599"/>
                <a:pt x="6747886" y="4344827"/>
              </a:cubicBezTo>
              <a:cubicBezTo>
                <a:pt x="6747886" y="4364055"/>
                <a:pt x="6732301" y="4379646"/>
                <a:pt x="6713074" y="4379646"/>
              </a:cubicBezTo>
              <a:close/>
              <a:moveTo>
                <a:pt x="6797966" y="4379646"/>
              </a:moveTo>
              <a:cubicBezTo>
                <a:pt x="6778738" y="4379646"/>
                <a:pt x="6763140" y="4364055"/>
                <a:pt x="6763140" y="4344827"/>
              </a:cubicBezTo>
              <a:cubicBezTo>
                <a:pt x="6763140" y="4325599"/>
                <a:pt x="6778738" y="4310008"/>
                <a:pt x="6797966" y="4310008"/>
              </a:cubicBezTo>
              <a:cubicBezTo>
                <a:pt x="6817194" y="4310008"/>
                <a:pt x="6832778" y="4325599"/>
                <a:pt x="6832778" y="4344827"/>
              </a:cubicBezTo>
              <a:cubicBezTo>
                <a:pt x="6832778" y="4364055"/>
                <a:pt x="6817194" y="4379646"/>
                <a:pt x="6797966" y="4379646"/>
              </a:cubicBezTo>
              <a:close/>
              <a:moveTo>
                <a:pt x="6882858" y="4379646"/>
              </a:moveTo>
              <a:cubicBezTo>
                <a:pt x="6863630" y="4379646"/>
                <a:pt x="6848033" y="4364055"/>
                <a:pt x="6848033" y="4344827"/>
              </a:cubicBezTo>
              <a:cubicBezTo>
                <a:pt x="6848033" y="4325599"/>
                <a:pt x="6863630" y="4310008"/>
                <a:pt x="6882858" y="4310008"/>
              </a:cubicBezTo>
              <a:cubicBezTo>
                <a:pt x="6902086" y="4310008"/>
                <a:pt x="6917670" y="4325599"/>
                <a:pt x="6917670" y="4344827"/>
              </a:cubicBezTo>
              <a:cubicBezTo>
                <a:pt x="6917670" y="4364055"/>
                <a:pt x="6902086" y="4379646"/>
                <a:pt x="6882858" y="4379646"/>
              </a:cubicBezTo>
              <a:close/>
              <a:moveTo>
                <a:pt x="6967750" y="4379646"/>
              </a:moveTo>
              <a:cubicBezTo>
                <a:pt x="6948523" y="4379646"/>
                <a:pt x="6932925" y="4364055"/>
                <a:pt x="6932925" y="4344827"/>
              </a:cubicBezTo>
              <a:cubicBezTo>
                <a:pt x="6932925" y="4325599"/>
                <a:pt x="6948523" y="4310008"/>
                <a:pt x="6967750" y="4310008"/>
              </a:cubicBezTo>
              <a:cubicBezTo>
                <a:pt x="6986978" y="4310008"/>
                <a:pt x="7002563" y="4325599"/>
                <a:pt x="7002563" y="4344827"/>
              </a:cubicBezTo>
              <a:cubicBezTo>
                <a:pt x="7002563" y="4364055"/>
                <a:pt x="6986978" y="4379646"/>
                <a:pt x="6967750" y="4379646"/>
              </a:cubicBezTo>
              <a:close/>
              <a:moveTo>
                <a:pt x="7052644" y="4379646"/>
              </a:moveTo>
              <a:cubicBezTo>
                <a:pt x="7033416" y="4379646"/>
                <a:pt x="7017818" y="4364055"/>
                <a:pt x="7017818" y="4344827"/>
              </a:cubicBezTo>
              <a:cubicBezTo>
                <a:pt x="7017818" y="4325599"/>
                <a:pt x="7033416" y="4310008"/>
                <a:pt x="7052644" y="4310008"/>
              </a:cubicBezTo>
              <a:cubicBezTo>
                <a:pt x="7071871" y="4310008"/>
                <a:pt x="7087456" y="4325599"/>
                <a:pt x="7087456" y="4344827"/>
              </a:cubicBezTo>
              <a:cubicBezTo>
                <a:pt x="7087456" y="4364055"/>
                <a:pt x="7071871" y="4379646"/>
                <a:pt x="7052644" y="4379646"/>
              </a:cubicBezTo>
              <a:close/>
              <a:moveTo>
                <a:pt x="7137536" y="4379646"/>
              </a:moveTo>
              <a:cubicBezTo>
                <a:pt x="7118308" y="4379646"/>
                <a:pt x="7102710" y="4364055"/>
                <a:pt x="7102710" y="4344827"/>
              </a:cubicBezTo>
              <a:cubicBezTo>
                <a:pt x="7102710" y="4325599"/>
                <a:pt x="7118308" y="4310008"/>
                <a:pt x="7137536" y="4310008"/>
              </a:cubicBezTo>
              <a:cubicBezTo>
                <a:pt x="7156764" y="4310008"/>
                <a:pt x="7172348" y="4325599"/>
                <a:pt x="7172348" y="4344827"/>
              </a:cubicBezTo>
              <a:cubicBezTo>
                <a:pt x="7172348" y="4364055"/>
                <a:pt x="7156764" y="4379646"/>
                <a:pt x="7137536" y="4379646"/>
              </a:cubicBezTo>
              <a:close/>
              <a:moveTo>
                <a:pt x="7222428" y="4379646"/>
              </a:moveTo>
              <a:cubicBezTo>
                <a:pt x="7203200" y="4379646"/>
                <a:pt x="7187603" y="4364055"/>
                <a:pt x="7187603" y="4344827"/>
              </a:cubicBezTo>
              <a:cubicBezTo>
                <a:pt x="7187603" y="4325599"/>
                <a:pt x="7203200" y="4310008"/>
                <a:pt x="7222428" y="4310008"/>
              </a:cubicBezTo>
              <a:cubicBezTo>
                <a:pt x="7241656" y="4310008"/>
                <a:pt x="7257240" y="4325599"/>
                <a:pt x="7257240" y="4344827"/>
              </a:cubicBezTo>
              <a:cubicBezTo>
                <a:pt x="7257240" y="4364055"/>
                <a:pt x="7241656" y="4379646"/>
                <a:pt x="7222428" y="4379646"/>
              </a:cubicBezTo>
              <a:close/>
              <a:moveTo>
                <a:pt x="7307320" y="4379646"/>
              </a:moveTo>
              <a:cubicBezTo>
                <a:pt x="7288093" y="4379646"/>
                <a:pt x="7272495" y="4364055"/>
                <a:pt x="7272495" y="4344827"/>
              </a:cubicBezTo>
              <a:cubicBezTo>
                <a:pt x="7272495" y="4325599"/>
                <a:pt x="7288093" y="4310008"/>
                <a:pt x="7307320" y="4310008"/>
              </a:cubicBezTo>
              <a:cubicBezTo>
                <a:pt x="7326548" y="4310008"/>
                <a:pt x="7342133" y="4325599"/>
                <a:pt x="7342133" y="4344827"/>
              </a:cubicBezTo>
              <a:cubicBezTo>
                <a:pt x="7342133" y="4364055"/>
                <a:pt x="7326548" y="4379646"/>
                <a:pt x="7307320" y="4379646"/>
              </a:cubicBezTo>
              <a:close/>
              <a:moveTo>
                <a:pt x="7392214" y="4379646"/>
              </a:moveTo>
              <a:cubicBezTo>
                <a:pt x="7372986" y="4379646"/>
                <a:pt x="7357388" y="4364055"/>
                <a:pt x="7357388" y="4344827"/>
              </a:cubicBezTo>
              <a:cubicBezTo>
                <a:pt x="7357388" y="4325599"/>
                <a:pt x="7372986" y="4310008"/>
                <a:pt x="7392214" y="4310008"/>
              </a:cubicBezTo>
              <a:cubicBezTo>
                <a:pt x="7411441" y="4310008"/>
                <a:pt x="7427026" y="4325599"/>
                <a:pt x="7427026" y="4344827"/>
              </a:cubicBezTo>
              <a:cubicBezTo>
                <a:pt x="7427026" y="4364055"/>
                <a:pt x="7411441" y="4379646"/>
                <a:pt x="7392214" y="4379646"/>
              </a:cubicBezTo>
              <a:close/>
              <a:moveTo>
                <a:pt x="7477106" y="4379646"/>
              </a:moveTo>
              <a:cubicBezTo>
                <a:pt x="7457878" y="4379646"/>
                <a:pt x="7442280" y="4364055"/>
                <a:pt x="7442280" y="4344827"/>
              </a:cubicBezTo>
              <a:cubicBezTo>
                <a:pt x="7442280" y="4325599"/>
                <a:pt x="7457878" y="4310008"/>
                <a:pt x="7477106" y="4310008"/>
              </a:cubicBezTo>
              <a:cubicBezTo>
                <a:pt x="7496334" y="4310008"/>
                <a:pt x="7511918" y="4325599"/>
                <a:pt x="7511918" y="4344827"/>
              </a:cubicBezTo>
              <a:cubicBezTo>
                <a:pt x="7511918" y="4364055"/>
                <a:pt x="7496334" y="4379646"/>
                <a:pt x="7477106" y="4379646"/>
              </a:cubicBezTo>
              <a:close/>
              <a:moveTo>
                <a:pt x="7561998" y="4379646"/>
              </a:moveTo>
              <a:cubicBezTo>
                <a:pt x="7542770" y="4379646"/>
                <a:pt x="7527173" y="4364055"/>
                <a:pt x="7527173" y="4344827"/>
              </a:cubicBezTo>
              <a:cubicBezTo>
                <a:pt x="7527173" y="4325599"/>
                <a:pt x="7542770" y="4310008"/>
                <a:pt x="7561998" y="4310008"/>
              </a:cubicBezTo>
              <a:cubicBezTo>
                <a:pt x="7581226" y="4310008"/>
                <a:pt x="7596810" y="4325599"/>
                <a:pt x="7596810" y="4344827"/>
              </a:cubicBezTo>
              <a:cubicBezTo>
                <a:pt x="7596810" y="4364055"/>
                <a:pt x="7581226" y="4379646"/>
                <a:pt x="7561998" y="4379646"/>
              </a:cubicBezTo>
              <a:close/>
              <a:moveTo>
                <a:pt x="7646890" y="4379646"/>
              </a:moveTo>
              <a:cubicBezTo>
                <a:pt x="7627663" y="4379646"/>
                <a:pt x="7612065" y="4364055"/>
                <a:pt x="7612065" y="4344827"/>
              </a:cubicBezTo>
              <a:cubicBezTo>
                <a:pt x="7612065" y="4325599"/>
                <a:pt x="7627663" y="4310008"/>
                <a:pt x="7646890" y="4310008"/>
              </a:cubicBezTo>
              <a:cubicBezTo>
                <a:pt x="7666118" y="4310008"/>
                <a:pt x="7681703" y="4325599"/>
                <a:pt x="7681703" y="4344827"/>
              </a:cubicBezTo>
              <a:cubicBezTo>
                <a:pt x="7681703" y="4364055"/>
                <a:pt x="7666118" y="4379646"/>
                <a:pt x="7646890" y="4379646"/>
              </a:cubicBezTo>
              <a:close/>
              <a:moveTo>
                <a:pt x="7731784" y="4379646"/>
              </a:moveTo>
              <a:cubicBezTo>
                <a:pt x="7712556" y="4379646"/>
                <a:pt x="7696958" y="4364055"/>
                <a:pt x="7696958" y="4344827"/>
              </a:cubicBezTo>
              <a:cubicBezTo>
                <a:pt x="7696958" y="4325599"/>
                <a:pt x="7712556" y="4310008"/>
                <a:pt x="7731784" y="4310008"/>
              </a:cubicBezTo>
              <a:cubicBezTo>
                <a:pt x="7751011" y="4310008"/>
                <a:pt x="7766596" y="4325599"/>
                <a:pt x="7766596" y="4344827"/>
              </a:cubicBezTo>
              <a:cubicBezTo>
                <a:pt x="7766596" y="4364055"/>
                <a:pt x="7751011" y="4379646"/>
                <a:pt x="7731784" y="4379646"/>
              </a:cubicBezTo>
              <a:close/>
              <a:moveTo>
                <a:pt x="7816676" y="4379646"/>
              </a:moveTo>
              <a:cubicBezTo>
                <a:pt x="7797448" y="4379646"/>
                <a:pt x="7781850" y="4364055"/>
                <a:pt x="7781850" y="4344827"/>
              </a:cubicBezTo>
              <a:cubicBezTo>
                <a:pt x="7781850" y="4325599"/>
                <a:pt x="7797448" y="4310008"/>
                <a:pt x="7816676" y="4310008"/>
              </a:cubicBezTo>
              <a:cubicBezTo>
                <a:pt x="7835904" y="4310008"/>
                <a:pt x="7851488" y="4325599"/>
                <a:pt x="7851488" y="4344827"/>
              </a:cubicBezTo>
              <a:cubicBezTo>
                <a:pt x="7851488" y="4364055"/>
                <a:pt x="7835904" y="4379646"/>
                <a:pt x="7816676" y="4379646"/>
              </a:cubicBezTo>
              <a:close/>
              <a:moveTo>
                <a:pt x="7901568" y="4379646"/>
              </a:moveTo>
              <a:cubicBezTo>
                <a:pt x="7882340" y="4379646"/>
                <a:pt x="7866743" y="4364055"/>
                <a:pt x="7866743" y="4344827"/>
              </a:cubicBezTo>
              <a:cubicBezTo>
                <a:pt x="7866743" y="4325599"/>
                <a:pt x="7882340" y="4310008"/>
                <a:pt x="7901568" y="4310008"/>
              </a:cubicBezTo>
              <a:cubicBezTo>
                <a:pt x="7920796" y="4310008"/>
                <a:pt x="7936380" y="4325599"/>
                <a:pt x="7936380" y="4344827"/>
              </a:cubicBezTo>
              <a:cubicBezTo>
                <a:pt x="7936380" y="4364055"/>
                <a:pt x="7920796" y="4379646"/>
                <a:pt x="7901568" y="4379646"/>
              </a:cubicBezTo>
              <a:close/>
              <a:moveTo>
                <a:pt x="7986460" y="4379646"/>
              </a:moveTo>
              <a:cubicBezTo>
                <a:pt x="7967233" y="4379646"/>
                <a:pt x="7951635" y="4364055"/>
                <a:pt x="7951635" y="4344827"/>
              </a:cubicBezTo>
              <a:cubicBezTo>
                <a:pt x="7951635" y="4325599"/>
                <a:pt x="7967233" y="4310008"/>
                <a:pt x="7986460" y="4310008"/>
              </a:cubicBezTo>
              <a:cubicBezTo>
                <a:pt x="8005688" y="4310008"/>
                <a:pt x="8021273" y="4325599"/>
                <a:pt x="8021273" y="4344827"/>
              </a:cubicBezTo>
              <a:cubicBezTo>
                <a:pt x="8021273" y="4364055"/>
                <a:pt x="8005688" y="4379646"/>
                <a:pt x="7986460" y="4379646"/>
              </a:cubicBezTo>
              <a:close/>
              <a:moveTo>
                <a:pt x="8071353" y="4379646"/>
              </a:moveTo>
              <a:cubicBezTo>
                <a:pt x="8052125" y="4379646"/>
                <a:pt x="8036527" y="4364055"/>
                <a:pt x="8036527" y="4344827"/>
              </a:cubicBezTo>
              <a:cubicBezTo>
                <a:pt x="8036527" y="4325599"/>
                <a:pt x="8052125" y="4310008"/>
                <a:pt x="8071353" y="4310008"/>
              </a:cubicBezTo>
              <a:cubicBezTo>
                <a:pt x="8090580" y="4310008"/>
                <a:pt x="8106165" y="4325599"/>
                <a:pt x="8106165" y="4344827"/>
              </a:cubicBezTo>
              <a:cubicBezTo>
                <a:pt x="8106165" y="4364055"/>
                <a:pt x="8090580" y="4379646"/>
                <a:pt x="8071353" y="4379646"/>
              </a:cubicBezTo>
              <a:close/>
              <a:moveTo>
                <a:pt x="8156246" y="4379646"/>
              </a:moveTo>
              <a:cubicBezTo>
                <a:pt x="8137018" y="4379646"/>
                <a:pt x="8121420" y="4364055"/>
                <a:pt x="8121420" y="4344827"/>
              </a:cubicBezTo>
              <a:cubicBezTo>
                <a:pt x="8121420" y="4325599"/>
                <a:pt x="8137018" y="4310008"/>
                <a:pt x="8156246" y="4310008"/>
              </a:cubicBezTo>
              <a:cubicBezTo>
                <a:pt x="8175474" y="4310008"/>
                <a:pt x="8191058" y="4325599"/>
                <a:pt x="8191058" y="4344827"/>
              </a:cubicBezTo>
              <a:cubicBezTo>
                <a:pt x="8191058" y="4364055"/>
                <a:pt x="8175474" y="4379646"/>
                <a:pt x="8156246" y="4379646"/>
              </a:cubicBezTo>
              <a:close/>
              <a:moveTo>
                <a:pt x="8241138" y="4379646"/>
              </a:moveTo>
              <a:cubicBezTo>
                <a:pt x="8221910" y="4379646"/>
                <a:pt x="8206313" y="4364055"/>
                <a:pt x="8206313" y="4344827"/>
              </a:cubicBezTo>
              <a:cubicBezTo>
                <a:pt x="8206313" y="4325599"/>
                <a:pt x="8221910" y="4310008"/>
                <a:pt x="8241138" y="4310008"/>
              </a:cubicBezTo>
              <a:cubicBezTo>
                <a:pt x="8260366" y="4310008"/>
                <a:pt x="8275950" y="4325599"/>
                <a:pt x="8275950" y="4344827"/>
              </a:cubicBezTo>
              <a:cubicBezTo>
                <a:pt x="8275950" y="4364055"/>
                <a:pt x="8260366" y="4379646"/>
                <a:pt x="8241138" y="4379646"/>
              </a:cubicBezTo>
              <a:close/>
              <a:moveTo>
                <a:pt x="8326030" y="4379646"/>
              </a:moveTo>
              <a:cubicBezTo>
                <a:pt x="8306803" y="4379646"/>
                <a:pt x="8291205" y="4364055"/>
                <a:pt x="8291205" y="4344827"/>
              </a:cubicBezTo>
              <a:cubicBezTo>
                <a:pt x="8291205" y="4325599"/>
                <a:pt x="8306803" y="4310008"/>
                <a:pt x="8326030" y="4310008"/>
              </a:cubicBezTo>
              <a:cubicBezTo>
                <a:pt x="8345258" y="4310008"/>
                <a:pt x="8360843" y="4325599"/>
                <a:pt x="8360843" y="4344827"/>
              </a:cubicBezTo>
              <a:cubicBezTo>
                <a:pt x="8360843" y="4364055"/>
                <a:pt x="8345258" y="4379646"/>
                <a:pt x="8326030" y="4379646"/>
              </a:cubicBezTo>
              <a:close/>
              <a:moveTo>
                <a:pt x="8410923" y="4379646"/>
              </a:moveTo>
              <a:cubicBezTo>
                <a:pt x="8391695" y="4379646"/>
                <a:pt x="8376097" y="4364055"/>
                <a:pt x="8376097" y="4344827"/>
              </a:cubicBezTo>
              <a:cubicBezTo>
                <a:pt x="8376097" y="4325599"/>
                <a:pt x="8391695" y="4310008"/>
                <a:pt x="8410923" y="4310008"/>
              </a:cubicBezTo>
              <a:cubicBezTo>
                <a:pt x="8430150" y="4310008"/>
                <a:pt x="8445735" y="4325599"/>
                <a:pt x="8445735" y="4344827"/>
              </a:cubicBezTo>
              <a:cubicBezTo>
                <a:pt x="8445735" y="4364055"/>
                <a:pt x="8430150" y="4379646"/>
                <a:pt x="8410923" y="4379646"/>
              </a:cubicBezTo>
              <a:close/>
              <a:moveTo>
                <a:pt x="8495816" y="4379646"/>
              </a:moveTo>
              <a:cubicBezTo>
                <a:pt x="8476588" y="4379646"/>
                <a:pt x="8460990" y="4364055"/>
                <a:pt x="8460990" y="4344827"/>
              </a:cubicBezTo>
              <a:cubicBezTo>
                <a:pt x="8460990" y="4325599"/>
                <a:pt x="8476588" y="4310008"/>
                <a:pt x="8495816" y="4310008"/>
              </a:cubicBezTo>
              <a:cubicBezTo>
                <a:pt x="8515044" y="4310008"/>
                <a:pt x="8530628" y="4325599"/>
                <a:pt x="8530628" y="4344827"/>
              </a:cubicBezTo>
              <a:cubicBezTo>
                <a:pt x="8530628" y="4364055"/>
                <a:pt x="8515044" y="4379646"/>
                <a:pt x="8495816" y="4379646"/>
              </a:cubicBezTo>
              <a:close/>
              <a:moveTo>
                <a:pt x="8580708" y="4379646"/>
              </a:moveTo>
              <a:cubicBezTo>
                <a:pt x="8561480" y="4379646"/>
                <a:pt x="8545883" y="4364055"/>
                <a:pt x="8545883" y="4344827"/>
              </a:cubicBezTo>
              <a:cubicBezTo>
                <a:pt x="8545883" y="4325599"/>
                <a:pt x="8561480" y="4310008"/>
                <a:pt x="8580708" y="4310008"/>
              </a:cubicBezTo>
              <a:cubicBezTo>
                <a:pt x="8599936" y="4310008"/>
                <a:pt x="8615520" y="4325599"/>
                <a:pt x="8615520" y="4344827"/>
              </a:cubicBezTo>
              <a:cubicBezTo>
                <a:pt x="8615520" y="4364055"/>
                <a:pt x="8599936" y="4379646"/>
                <a:pt x="8580708" y="4379646"/>
              </a:cubicBezTo>
              <a:close/>
              <a:moveTo>
                <a:pt x="8665600" y="4379646"/>
              </a:moveTo>
              <a:cubicBezTo>
                <a:pt x="8646373" y="4379646"/>
                <a:pt x="8630775" y="4364055"/>
                <a:pt x="8630775" y="4344827"/>
              </a:cubicBezTo>
              <a:cubicBezTo>
                <a:pt x="8630775" y="4325599"/>
                <a:pt x="8646373" y="4310008"/>
                <a:pt x="8665600" y="4310008"/>
              </a:cubicBezTo>
              <a:cubicBezTo>
                <a:pt x="8684828" y="4310008"/>
                <a:pt x="8700413" y="4325599"/>
                <a:pt x="8700413" y="4344827"/>
              </a:cubicBezTo>
              <a:cubicBezTo>
                <a:pt x="8700413" y="4364055"/>
                <a:pt x="8684828" y="4379646"/>
                <a:pt x="8665600" y="4379646"/>
              </a:cubicBezTo>
              <a:close/>
              <a:moveTo>
                <a:pt x="8750493" y="4379646"/>
              </a:moveTo>
              <a:cubicBezTo>
                <a:pt x="8731265" y="4379646"/>
                <a:pt x="8715667" y="4364055"/>
                <a:pt x="8715667" y="4344827"/>
              </a:cubicBezTo>
              <a:cubicBezTo>
                <a:pt x="8715667" y="4325599"/>
                <a:pt x="8731265" y="4310008"/>
                <a:pt x="8750493" y="4310008"/>
              </a:cubicBezTo>
              <a:cubicBezTo>
                <a:pt x="8769720" y="4310008"/>
                <a:pt x="8785305" y="4325599"/>
                <a:pt x="8785305" y="4344827"/>
              </a:cubicBezTo>
              <a:cubicBezTo>
                <a:pt x="8785305" y="4364055"/>
                <a:pt x="8769720" y="4379646"/>
                <a:pt x="8750493" y="4379646"/>
              </a:cubicBezTo>
              <a:close/>
              <a:moveTo>
                <a:pt x="8835386" y="4379646"/>
              </a:moveTo>
              <a:cubicBezTo>
                <a:pt x="8816158" y="4379646"/>
                <a:pt x="8800560" y="4364055"/>
                <a:pt x="8800560" y="4344827"/>
              </a:cubicBezTo>
              <a:cubicBezTo>
                <a:pt x="8800560" y="4325599"/>
                <a:pt x="8816158" y="4310008"/>
                <a:pt x="8835386" y="4310008"/>
              </a:cubicBezTo>
              <a:cubicBezTo>
                <a:pt x="8854614" y="4310008"/>
                <a:pt x="8870198" y="4325599"/>
                <a:pt x="8870198" y="4344827"/>
              </a:cubicBezTo>
              <a:cubicBezTo>
                <a:pt x="8870198" y="4364055"/>
                <a:pt x="8854614" y="4379646"/>
                <a:pt x="8835386" y="4379646"/>
              </a:cubicBezTo>
              <a:close/>
              <a:moveTo>
                <a:pt x="8920278" y="4379646"/>
              </a:moveTo>
              <a:cubicBezTo>
                <a:pt x="8901050" y="4379646"/>
                <a:pt x="8885453" y="4364055"/>
                <a:pt x="8885453" y="4344827"/>
              </a:cubicBezTo>
              <a:cubicBezTo>
                <a:pt x="8885453" y="4325599"/>
                <a:pt x="8901050" y="4310008"/>
                <a:pt x="8920278" y="4310008"/>
              </a:cubicBezTo>
              <a:cubicBezTo>
                <a:pt x="8939506" y="4310008"/>
                <a:pt x="8955090" y="4325599"/>
                <a:pt x="8955090" y="4344827"/>
              </a:cubicBezTo>
              <a:cubicBezTo>
                <a:pt x="8955090" y="4364055"/>
                <a:pt x="8939506" y="4379646"/>
                <a:pt x="8920278" y="4379646"/>
              </a:cubicBezTo>
              <a:close/>
              <a:moveTo>
                <a:pt x="9005170" y="4379646"/>
              </a:moveTo>
              <a:cubicBezTo>
                <a:pt x="8985943" y="4379646"/>
                <a:pt x="8970345" y="4364055"/>
                <a:pt x="8970345" y="4344827"/>
              </a:cubicBezTo>
              <a:cubicBezTo>
                <a:pt x="8970345" y="4325599"/>
                <a:pt x="8985943" y="4310008"/>
                <a:pt x="9005170" y="4310008"/>
              </a:cubicBezTo>
              <a:cubicBezTo>
                <a:pt x="9024398" y="4310008"/>
                <a:pt x="9039983" y="4325599"/>
                <a:pt x="9039983" y="4344827"/>
              </a:cubicBezTo>
              <a:cubicBezTo>
                <a:pt x="9039983" y="4364055"/>
                <a:pt x="9024398" y="4379646"/>
                <a:pt x="9005170" y="4379646"/>
              </a:cubicBezTo>
              <a:close/>
              <a:moveTo>
                <a:pt x="9090063" y="4379646"/>
              </a:moveTo>
              <a:cubicBezTo>
                <a:pt x="9070835" y="4379646"/>
                <a:pt x="9055237" y="4364055"/>
                <a:pt x="9055237" y="4344827"/>
              </a:cubicBezTo>
              <a:cubicBezTo>
                <a:pt x="9055237" y="4325599"/>
                <a:pt x="9070835" y="4310008"/>
                <a:pt x="9090063" y="4310008"/>
              </a:cubicBezTo>
              <a:cubicBezTo>
                <a:pt x="9109290" y="4310008"/>
                <a:pt x="9124875" y="4325599"/>
                <a:pt x="9124875" y="4344827"/>
              </a:cubicBezTo>
              <a:cubicBezTo>
                <a:pt x="9124875" y="4364055"/>
                <a:pt x="9109290" y="4379646"/>
                <a:pt x="9090063" y="4379646"/>
              </a:cubicBezTo>
              <a:close/>
              <a:moveTo>
                <a:pt x="9174956" y="4379646"/>
              </a:moveTo>
              <a:cubicBezTo>
                <a:pt x="9155728" y="4379646"/>
                <a:pt x="9140130" y="4364055"/>
                <a:pt x="9140130" y="4344827"/>
              </a:cubicBezTo>
              <a:cubicBezTo>
                <a:pt x="9140130" y="4325599"/>
                <a:pt x="9155728" y="4310008"/>
                <a:pt x="9174956" y="4310008"/>
              </a:cubicBezTo>
              <a:cubicBezTo>
                <a:pt x="9194184" y="4310008"/>
                <a:pt x="9209768" y="4325599"/>
                <a:pt x="9209768" y="4344827"/>
              </a:cubicBezTo>
              <a:cubicBezTo>
                <a:pt x="9209768" y="4364055"/>
                <a:pt x="9194184" y="4379646"/>
                <a:pt x="9174956" y="4379646"/>
              </a:cubicBezTo>
              <a:close/>
              <a:moveTo>
                <a:pt x="9259848" y="4379646"/>
              </a:moveTo>
              <a:cubicBezTo>
                <a:pt x="9240620" y="4379646"/>
                <a:pt x="9225023" y="4364055"/>
                <a:pt x="9225023" y="4344827"/>
              </a:cubicBezTo>
              <a:cubicBezTo>
                <a:pt x="9225023" y="4325599"/>
                <a:pt x="9240620" y="4310008"/>
                <a:pt x="9259848" y="4310008"/>
              </a:cubicBezTo>
              <a:cubicBezTo>
                <a:pt x="9279076" y="4310008"/>
                <a:pt x="9294660" y="4325599"/>
                <a:pt x="9294660" y="4344827"/>
              </a:cubicBezTo>
              <a:cubicBezTo>
                <a:pt x="9294660" y="4364055"/>
                <a:pt x="9279076" y="4379646"/>
                <a:pt x="9259848" y="4379646"/>
              </a:cubicBezTo>
              <a:close/>
              <a:moveTo>
                <a:pt x="9344740" y="4379646"/>
              </a:moveTo>
              <a:cubicBezTo>
                <a:pt x="9325513" y="4379646"/>
                <a:pt x="9309915" y="4364055"/>
                <a:pt x="9309915" y="4344827"/>
              </a:cubicBezTo>
              <a:cubicBezTo>
                <a:pt x="9309915" y="4325599"/>
                <a:pt x="9325513" y="4310008"/>
                <a:pt x="9344740" y="4310008"/>
              </a:cubicBezTo>
              <a:cubicBezTo>
                <a:pt x="9363968" y="4310008"/>
                <a:pt x="9379553" y="4325599"/>
                <a:pt x="9379553" y="4344827"/>
              </a:cubicBezTo>
              <a:cubicBezTo>
                <a:pt x="9379553" y="4364055"/>
                <a:pt x="9363968" y="4379646"/>
                <a:pt x="9344740" y="4379646"/>
              </a:cubicBezTo>
              <a:close/>
              <a:moveTo>
                <a:pt x="9429633" y="4379646"/>
              </a:moveTo>
              <a:cubicBezTo>
                <a:pt x="9410405" y="4379646"/>
                <a:pt x="9394807" y="4364055"/>
                <a:pt x="9394807" y="4344827"/>
              </a:cubicBezTo>
              <a:cubicBezTo>
                <a:pt x="9394807" y="4325599"/>
                <a:pt x="9410405" y="4310008"/>
                <a:pt x="9429633" y="4310008"/>
              </a:cubicBezTo>
              <a:cubicBezTo>
                <a:pt x="9448860" y="4310008"/>
                <a:pt x="9464445" y="4325599"/>
                <a:pt x="9464445" y="4344827"/>
              </a:cubicBezTo>
              <a:cubicBezTo>
                <a:pt x="9464445" y="4364055"/>
                <a:pt x="9448860" y="4379646"/>
                <a:pt x="9429633" y="4379646"/>
              </a:cubicBezTo>
              <a:close/>
              <a:moveTo>
                <a:pt x="9514525" y="4379646"/>
              </a:moveTo>
              <a:cubicBezTo>
                <a:pt x="9495297" y="4379646"/>
                <a:pt x="9479699" y="4364055"/>
                <a:pt x="9479699" y="4344827"/>
              </a:cubicBezTo>
              <a:cubicBezTo>
                <a:pt x="9479699" y="4325599"/>
                <a:pt x="9495297" y="4310008"/>
                <a:pt x="9514525" y="4310008"/>
              </a:cubicBezTo>
              <a:cubicBezTo>
                <a:pt x="9533753" y="4310008"/>
                <a:pt x="9549337" y="4325599"/>
                <a:pt x="9549337" y="4344827"/>
              </a:cubicBezTo>
              <a:cubicBezTo>
                <a:pt x="9549337" y="4364055"/>
                <a:pt x="9533753" y="4379646"/>
                <a:pt x="9514525" y="4379646"/>
              </a:cubicBezTo>
              <a:close/>
              <a:moveTo>
                <a:pt x="9599418" y="4379646"/>
              </a:moveTo>
              <a:cubicBezTo>
                <a:pt x="9580190" y="4379646"/>
                <a:pt x="9564593" y="4364055"/>
                <a:pt x="9564593" y="4344827"/>
              </a:cubicBezTo>
              <a:cubicBezTo>
                <a:pt x="9564593" y="4325599"/>
                <a:pt x="9580190" y="4310008"/>
                <a:pt x="9599418" y="4310008"/>
              </a:cubicBezTo>
              <a:cubicBezTo>
                <a:pt x="9618646" y="4310008"/>
                <a:pt x="9634230" y="4325599"/>
                <a:pt x="9634230" y="4344827"/>
              </a:cubicBezTo>
              <a:cubicBezTo>
                <a:pt x="9634230" y="4364055"/>
                <a:pt x="9618646" y="4379646"/>
                <a:pt x="9599418" y="4379646"/>
              </a:cubicBezTo>
              <a:close/>
              <a:moveTo>
                <a:pt x="9684310" y="4379646"/>
              </a:moveTo>
              <a:cubicBezTo>
                <a:pt x="9665083" y="4379646"/>
                <a:pt x="9649485" y="4364055"/>
                <a:pt x="9649485" y="4344827"/>
              </a:cubicBezTo>
              <a:cubicBezTo>
                <a:pt x="9649485" y="4325599"/>
                <a:pt x="9665083" y="4310008"/>
                <a:pt x="9684310" y="4310008"/>
              </a:cubicBezTo>
              <a:cubicBezTo>
                <a:pt x="9703538" y="4310008"/>
                <a:pt x="9719123" y="4325599"/>
                <a:pt x="9719123" y="4344827"/>
              </a:cubicBezTo>
              <a:cubicBezTo>
                <a:pt x="9719123" y="4364055"/>
                <a:pt x="9703538" y="4379646"/>
                <a:pt x="9684310" y="4379646"/>
              </a:cubicBezTo>
              <a:close/>
              <a:moveTo>
                <a:pt x="9769203" y="4379646"/>
              </a:moveTo>
              <a:cubicBezTo>
                <a:pt x="9749975" y="4379646"/>
                <a:pt x="9734377" y="4364055"/>
                <a:pt x="9734377" y="4344827"/>
              </a:cubicBezTo>
              <a:cubicBezTo>
                <a:pt x="9734377" y="4325599"/>
                <a:pt x="9749975" y="4310008"/>
                <a:pt x="9769203" y="4310008"/>
              </a:cubicBezTo>
              <a:cubicBezTo>
                <a:pt x="9788430" y="4310008"/>
                <a:pt x="9804015" y="4325599"/>
                <a:pt x="9804015" y="4344827"/>
              </a:cubicBezTo>
              <a:cubicBezTo>
                <a:pt x="9804015" y="4364055"/>
                <a:pt x="9788430" y="4379646"/>
                <a:pt x="9769203" y="4379646"/>
              </a:cubicBezTo>
              <a:close/>
              <a:moveTo>
                <a:pt x="9854095" y="4379646"/>
              </a:moveTo>
              <a:cubicBezTo>
                <a:pt x="9834867" y="4379646"/>
                <a:pt x="9819269" y="4364055"/>
                <a:pt x="9819269" y="4344827"/>
              </a:cubicBezTo>
              <a:cubicBezTo>
                <a:pt x="9819269" y="4325599"/>
                <a:pt x="9834867" y="4310008"/>
                <a:pt x="9854095" y="4310008"/>
              </a:cubicBezTo>
              <a:cubicBezTo>
                <a:pt x="9873323" y="4310008"/>
                <a:pt x="9888907" y="4325599"/>
                <a:pt x="9888907" y="4344827"/>
              </a:cubicBezTo>
              <a:cubicBezTo>
                <a:pt x="9888907" y="4364055"/>
                <a:pt x="9873323" y="4379646"/>
                <a:pt x="9854095" y="4379646"/>
              </a:cubicBezTo>
              <a:close/>
              <a:moveTo>
                <a:pt x="10278558" y="4379646"/>
              </a:moveTo>
              <a:cubicBezTo>
                <a:pt x="10259330" y="4379646"/>
                <a:pt x="10243733" y="4364055"/>
                <a:pt x="10243733" y="4344827"/>
              </a:cubicBezTo>
              <a:cubicBezTo>
                <a:pt x="10243733" y="4325599"/>
                <a:pt x="10259330" y="4310008"/>
                <a:pt x="10278558" y="4310008"/>
              </a:cubicBezTo>
              <a:cubicBezTo>
                <a:pt x="10297786" y="4310008"/>
                <a:pt x="10313370" y="4325599"/>
                <a:pt x="10313370" y="4344827"/>
              </a:cubicBezTo>
              <a:cubicBezTo>
                <a:pt x="10313370" y="4364055"/>
                <a:pt x="10297786" y="4379646"/>
                <a:pt x="10278558" y="4379646"/>
              </a:cubicBezTo>
              <a:close/>
              <a:moveTo>
                <a:pt x="2213769" y="4294786"/>
              </a:moveTo>
              <a:cubicBezTo>
                <a:pt x="2194541" y="4294786"/>
                <a:pt x="2178950" y="4279195"/>
                <a:pt x="2178950" y="4259967"/>
              </a:cubicBezTo>
              <a:cubicBezTo>
                <a:pt x="2178950" y="4240740"/>
                <a:pt x="2194541" y="4225149"/>
                <a:pt x="2213769" y="4225149"/>
              </a:cubicBezTo>
              <a:cubicBezTo>
                <a:pt x="2232997" y="4225149"/>
                <a:pt x="2248588" y="4240740"/>
                <a:pt x="2248588" y="4259967"/>
              </a:cubicBezTo>
              <a:cubicBezTo>
                <a:pt x="2248588" y="4279195"/>
                <a:pt x="2232997" y="4294786"/>
                <a:pt x="2213769" y="4294786"/>
              </a:cubicBezTo>
              <a:close/>
              <a:moveTo>
                <a:pt x="2298661" y="4294786"/>
              </a:moveTo>
              <a:cubicBezTo>
                <a:pt x="2279433" y="4294786"/>
                <a:pt x="2263842" y="4279195"/>
                <a:pt x="2263842" y="4259967"/>
              </a:cubicBezTo>
              <a:cubicBezTo>
                <a:pt x="2263842" y="4240740"/>
                <a:pt x="2279433" y="4225149"/>
                <a:pt x="2298661" y="4225149"/>
              </a:cubicBezTo>
              <a:cubicBezTo>
                <a:pt x="2317889" y="4225149"/>
                <a:pt x="2333480" y="4240740"/>
                <a:pt x="2333480" y="4259967"/>
              </a:cubicBezTo>
              <a:cubicBezTo>
                <a:pt x="2333480" y="4279195"/>
                <a:pt x="2317889" y="4294786"/>
                <a:pt x="2298661" y="4294786"/>
              </a:cubicBezTo>
              <a:close/>
              <a:moveTo>
                <a:pt x="2383553" y="4294786"/>
              </a:moveTo>
              <a:cubicBezTo>
                <a:pt x="2364326" y="4294786"/>
                <a:pt x="2348734" y="4279195"/>
                <a:pt x="2348734" y="4259967"/>
              </a:cubicBezTo>
              <a:cubicBezTo>
                <a:pt x="2348734" y="4240740"/>
                <a:pt x="2364326" y="4225149"/>
                <a:pt x="2383553" y="4225149"/>
              </a:cubicBezTo>
              <a:cubicBezTo>
                <a:pt x="2402781" y="4225149"/>
                <a:pt x="2418372" y="4240740"/>
                <a:pt x="2418372" y="4259967"/>
              </a:cubicBezTo>
              <a:cubicBezTo>
                <a:pt x="2418372" y="4279195"/>
                <a:pt x="2402781" y="4294786"/>
                <a:pt x="2383553" y="4294786"/>
              </a:cubicBezTo>
              <a:close/>
              <a:moveTo>
                <a:pt x="2468446" y="4294786"/>
              </a:moveTo>
              <a:cubicBezTo>
                <a:pt x="2449218" y="4294786"/>
                <a:pt x="2433627" y="4279195"/>
                <a:pt x="2433627" y="4259967"/>
              </a:cubicBezTo>
              <a:cubicBezTo>
                <a:pt x="2433627" y="4240740"/>
                <a:pt x="2449218" y="4225149"/>
                <a:pt x="2468446" y="4225149"/>
              </a:cubicBezTo>
              <a:cubicBezTo>
                <a:pt x="2487673" y="4225149"/>
                <a:pt x="2503264" y="4240740"/>
                <a:pt x="2503264" y="4259967"/>
              </a:cubicBezTo>
              <a:cubicBezTo>
                <a:pt x="2503264" y="4279195"/>
                <a:pt x="2487673" y="4294786"/>
                <a:pt x="2468446" y="4294786"/>
              </a:cubicBezTo>
              <a:close/>
              <a:moveTo>
                <a:pt x="2553339" y="4294786"/>
              </a:moveTo>
              <a:cubicBezTo>
                <a:pt x="2534111" y="4294786"/>
                <a:pt x="2518520" y="4279195"/>
                <a:pt x="2518520" y="4259967"/>
              </a:cubicBezTo>
              <a:cubicBezTo>
                <a:pt x="2518520" y="4240740"/>
                <a:pt x="2534111" y="4225149"/>
                <a:pt x="2553339" y="4225149"/>
              </a:cubicBezTo>
              <a:cubicBezTo>
                <a:pt x="2572567" y="4225149"/>
                <a:pt x="2588158" y="4240740"/>
                <a:pt x="2588158" y="4259967"/>
              </a:cubicBezTo>
              <a:cubicBezTo>
                <a:pt x="2588158" y="4279195"/>
                <a:pt x="2572567" y="4294786"/>
                <a:pt x="2553339" y="4294786"/>
              </a:cubicBezTo>
              <a:close/>
              <a:moveTo>
                <a:pt x="2638231" y="4294786"/>
              </a:moveTo>
              <a:cubicBezTo>
                <a:pt x="2619003" y="4294786"/>
                <a:pt x="2603412" y="4279195"/>
                <a:pt x="2603412" y="4259967"/>
              </a:cubicBezTo>
              <a:cubicBezTo>
                <a:pt x="2603412" y="4240740"/>
                <a:pt x="2619003" y="4225149"/>
                <a:pt x="2638231" y="4225149"/>
              </a:cubicBezTo>
              <a:cubicBezTo>
                <a:pt x="2657459" y="4225149"/>
                <a:pt x="2673050" y="4240740"/>
                <a:pt x="2673050" y="4259967"/>
              </a:cubicBezTo>
              <a:cubicBezTo>
                <a:pt x="2673050" y="4279195"/>
                <a:pt x="2657459" y="4294786"/>
                <a:pt x="2638231" y="4294786"/>
              </a:cubicBezTo>
              <a:close/>
              <a:moveTo>
                <a:pt x="2723123" y="4294786"/>
              </a:moveTo>
              <a:cubicBezTo>
                <a:pt x="2703896" y="4294786"/>
                <a:pt x="2688304" y="4279195"/>
                <a:pt x="2688304" y="4259967"/>
              </a:cubicBezTo>
              <a:cubicBezTo>
                <a:pt x="2688304" y="4240740"/>
                <a:pt x="2703896" y="4225149"/>
                <a:pt x="2723123" y="4225149"/>
              </a:cubicBezTo>
              <a:cubicBezTo>
                <a:pt x="2742351" y="4225149"/>
                <a:pt x="2757942" y="4240740"/>
                <a:pt x="2757942" y="4259967"/>
              </a:cubicBezTo>
              <a:cubicBezTo>
                <a:pt x="2757942" y="4279195"/>
                <a:pt x="2742351" y="4294786"/>
                <a:pt x="2723123" y="4294786"/>
              </a:cubicBezTo>
              <a:close/>
              <a:moveTo>
                <a:pt x="2808016" y="4294786"/>
              </a:moveTo>
              <a:cubicBezTo>
                <a:pt x="2788788" y="4294786"/>
                <a:pt x="2773197" y="4279195"/>
                <a:pt x="2773197" y="4259967"/>
              </a:cubicBezTo>
              <a:cubicBezTo>
                <a:pt x="2773197" y="4240740"/>
                <a:pt x="2788788" y="4225149"/>
                <a:pt x="2808016" y="4225149"/>
              </a:cubicBezTo>
              <a:cubicBezTo>
                <a:pt x="2827243" y="4225149"/>
                <a:pt x="2842834" y="4240740"/>
                <a:pt x="2842834" y="4259967"/>
              </a:cubicBezTo>
              <a:cubicBezTo>
                <a:pt x="2842834" y="4279195"/>
                <a:pt x="2827243" y="4294786"/>
                <a:pt x="2808016" y="4294786"/>
              </a:cubicBezTo>
              <a:close/>
              <a:moveTo>
                <a:pt x="2892908" y="4294786"/>
              </a:moveTo>
              <a:cubicBezTo>
                <a:pt x="2873680" y="4294786"/>
                <a:pt x="2858089" y="4279195"/>
                <a:pt x="2858089" y="4259967"/>
              </a:cubicBezTo>
              <a:cubicBezTo>
                <a:pt x="2858089" y="4240740"/>
                <a:pt x="2873680" y="4225149"/>
                <a:pt x="2892908" y="4225149"/>
              </a:cubicBezTo>
              <a:cubicBezTo>
                <a:pt x="2912136" y="4225149"/>
                <a:pt x="2927727" y="4240740"/>
                <a:pt x="2927727" y="4259967"/>
              </a:cubicBezTo>
              <a:cubicBezTo>
                <a:pt x="2927727" y="4279195"/>
                <a:pt x="2912136" y="4294786"/>
                <a:pt x="2892908" y="4294786"/>
              </a:cubicBezTo>
              <a:close/>
              <a:moveTo>
                <a:pt x="2977801" y="4294786"/>
              </a:moveTo>
              <a:cubicBezTo>
                <a:pt x="2958573" y="4294786"/>
                <a:pt x="2942982" y="4279195"/>
                <a:pt x="2942982" y="4259967"/>
              </a:cubicBezTo>
              <a:cubicBezTo>
                <a:pt x="2942982" y="4240740"/>
                <a:pt x="2958573" y="4225149"/>
                <a:pt x="2977801" y="4225149"/>
              </a:cubicBezTo>
              <a:cubicBezTo>
                <a:pt x="2997029" y="4225149"/>
                <a:pt x="3012620" y="4240740"/>
                <a:pt x="3012620" y="4259967"/>
              </a:cubicBezTo>
              <a:cubicBezTo>
                <a:pt x="3012620" y="4279195"/>
                <a:pt x="2997029" y="4294786"/>
                <a:pt x="2977801" y="4294786"/>
              </a:cubicBezTo>
              <a:close/>
              <a:moveTo>
                <a:pt x="3062693" y="4294786"/>
              </a:moveTo>
              <a:cubicBezTo>
                <a:pt x="3043466" y="4294786"/>
                <a:pt x="3027874" y="4279195"/>
                <a:pt x="3027874" y="4259967"/>
              </a:cubicBezTo>
              <a:cubicBezTo>
                <a:pt x="3027874" y="4240740"/>
                <a:pt x="3043466" y="4225149"/>
                <a:pt x="3062693" y="4225149"/>
              </a:cubicBezTo>
              <a:cubicBezTo>
                <a:pt x="3081921" y="4225149"/>
                <a:pt x="3097512" y="4240740"/>
                <a:pt x="3097512" y="4259967"/>
              </a:cubicBezTo>
              <a:cubicBezTo>
                <a:pt x="3097512" y="4279195"/>
                <a:pt x="3081921" y="4294786"/>
                <a:pt x="3062693" y="4294786"/>
              </a:cubicBezTo>
              <a:close/>
              <a:moveTo>
                <a:pt x="3147586" y="4294786"/>
              </a:moveTo>
              <a:cubicBezTo>
                <a:pt x="3128358" y="4294786"/>
                <a:pt x="3112767" y="4279195"/>
                <a:pt x="3112767" y="4259967"/>
              </a:cubicBezTo>
              <a:cubicBezTo>
                <a:pt x="3112767" y="4240740"/>
                <a:pt x="3128358" y="4225149"/>
                <a:pt x="3147586" y="4225149"/>
              </a:cubicBezTo>
              <a:cubicBezTo>
                <a:pt x="3166813" y="4225149"/>
                <a:pt x="3182404" y="4240740"/>
                <a:pt x="3182404" y="4259967"/>
              </a:cubicBezTo>
              <a:cubicBezTo>
                <a:pt x="3182404" y="4279195"/>
                <a:pt x="3166813" y="4294786"/>
                <a:pt x="3147586" y="4294786"/>
              </a:cubicBezTo>
              <a:close/>
              <a:moveTo>
                <a:pt x="3402263" y="4294786"/>
              </a:moveTo>
              <a:cubicBezTo>
                <a:pt x="3383036" y="4294786"/>
                <a:pt x="3367444" y="4279195"/>
                <a:pt x="3367444" y="4259967"/>
              </a:cubicBezTo>
              <a:cubicBezTo>
                <a:pt x="3367444" y="4240740"/>
                <a:pt x="3383036" y="4225149"/>
                <a:pt x="3402263" y="4225149"/>
              </a:cubicBezTo>
              <a:cubicBezTo>
                <a:pt x="3421491" y="4225149"/>
                <a:pt x="3437082" y="4240740"/>
                <a:pt x="3437082" y="4259967"/>
              </a:cubicBezTo>
              <a:cubicBezTo>
                <a:pt x="3437082" y="4279195"/>
                <a:pt x="3421491" y="4294786"/>
                <a:pt x="3402263" y="4294786"/>
              </a:cubicBezTo>
              <a:close/>
              <a:moveTo>
                <a:pt x="3487156" y="4294786"/>
              </a:moveTo>
              <a:cubicBezTo>
                <a:pt x="3467928" y="4294786"/>
                <a:pt x="3452337" y="4279195"/>
                <a:pt x="3452337" y="4259967"/>
              </a:cubicBezTo>
              <a:cubicBezTo>
                <a:pt x="3452337" y="4240740"/>
                <a:pt x="3467928" y="4225149"/>
                <a:pt x="3487156" y="4225149"/>
              </a:cubicBezTo>
              <a:cubicBezTo>
                <a:pt x="3506383" y="4225149"/>
                <a:pt x="3521974" y="4240740"/>
                <a:pt x="3521974" y="4259967"/>
              </a:cubicBezTo>
              <a:cubicBezTo>
                <a:pt x="3521974" y="4279195"/>
                <a:pt x="3506383" y="4294786"/>
                <a:pt x="3487156" y="4294786"/>
              </a:cubicBezTo>
              <a:close/>
              <a:moveTo>
                <a:pt x="3572048" y="4294786"/>
              </a:moveTo>
              <a:cubicBezTo>
                <a:pt x="3552820" y="4294786"/>
                <a:pt x="3537229" y="4279195"/>
                <a:pt x="3537229" y="4259967"/>
              </a:cubicBezTo>
              <a:cubicBezTo>
                <a:pt x="3537229" y="4240740"/>
                <a:pt x="3552820" y="4225149"/>
                <a:pt x="3572048" y="4225149"/>
              </a:cubicBezTo>
              <a:cubicBezTo>
                <a:pt x="3591276" y="4225149"/>
                <a:pt x="3606867" y="4240740"/>
                <a:pt x="3606867" y="4259967"/>
              </a:cubicBezTo>
              <a:cubicBezTo>
                <a:pt x="3606867" y="4279195"/>
                <a:pt x="3591276" y="4294786"/>
                <a:pt x="3572048" y="4294786"/>
              </a:cubicBezTo>
              <a:close/>
              <a:moveTo>
                <a:pt x="3656941" y="4294786"/>
              </a:moveTo>
              <a:cubicBezTo>
                <a:pt x="3637713" y="4294786"/>
                <a:pt x="3622122" y="4279195"/>
                <a:pt x="3622122" y="4259967"/>
              </a:cubicBezTo>
              <a:cubicBezTo>
                <a:pt x="3622122" y="4240740"/>
                <a:pt x="3637713" y="4225149"/>
                <a:pt x="3656941" y="4225149"/>
              </a:cubicBezTo>
              <a:cubicBezTo>
                <a:pt x="3676169" y="4225149"/>
                <a:pt x="3691760" y="4240740"/>
                <a:pt x="3691760" y="4259967"/>
              </a:cubicBezTo>
              <a:cubicBezTo>
                <a:pt x="3691760" y="4279195"/>
                <a:pt x="3676169" y="4294786"/>
                <a:pt x="3656941" y="4294786"/>
              </a:cubicBezTo>
              <a:close/>
              <a:moveTo>
                <a:pt x="3741833" y="4294786"/>
              </a:moveTo>
              <a:cubicBezTo>
                <a:pt x="3722606" y="4294786"/>
                <a:pt x="3707014" y="4279195"/>
                <a:pt x="3707014" y="4259967"/>
              </a:cubicBezTo>
              <a:cubicBezTo>
                <a:pt x="3707014" y="4240740"/>
                <a:pt x="3722606" y="4225149"/>
                <a:pt x="3741833" y="4225149"/>
              </a:cubicBezTo>
              <a:cubicBezTo>
                <a:pt x="3761061" y="4225149"/>
                <a:pt x="3776652" y="4240740"/>
                <a:pt x="3776652" y="4259967"/>
              </a:cubicBezTo>
              <a:cubicBezTo>
                <a:pt x="3776652" y="4279195"/>
                <a:pt x="3761061" y="4294786"/>
                <a:pt x="3741833" y="4294786"/>
              </a:cubicBezTo>
              <a:close/>
              <a:moveTo>
                <a:pt x="3911618" y="4294786"/>
              </a:moveTo>
              <a:cubicBezTo>
                <a:pt x="3892390" y="4294786"/>
                <a:pt x="3876799" y="4279195"/>
                <a:pt x="3876799" y="4259967"/>
              </a:cubicBezTo>
              <a:cubicBezTo>
                <a:pt x="3876799" y="4240740"/>
                <a:pt x="3892390" y="4225149"/>
                <a:pt x="3911618" y="4225149"/>
              </a:cubicBezTo>
              <a:cubicBezTo>
                <a:pt x="3930846" y="4225149"/>
                <a:pt x="3946437" y="4240740"/>
                <a:pt x="3946437" y="4259967"/>
              </a:cubicBezTo>
              <a:cubicBezTo>
                <a:pt x="3946437" y="4279195"/>
                <a:pt x="3930846" y="4294786"/>
                <a:pt x="3911618" y="4294786"/>
              </a:cubicBezTo>
              <a:close/>
              <a:moveTo>
                <a:pt x="4166296" y="4294786"/>
              </a:moveTo>
              <a:cubicBezTo>
                <a:pt x="4147068" y="4294786"/>
                <a:pt x="4131477" y="4279195"/>
                <a:pt x="4131477" y="4259967"/>
              </a:cubicBezTo>
              <a:cubicBezTo>
                <a:pt x="4131477" y="4240740"/>
                <a:pt x="4147068" y="4225149"/>
                <a:pt x="4166296" y="4225149"/>
              </a:cubicBezTo>
              <a:cubicBezTo>
                <a:pt x="4185523" y="4225149"/>
                <a:pt x="4201114" y="4240740"/>
                <a:pt x="4201114" y="4259967"/>
              </a:cubicBezTo>
              <a:cubicBezTo>
                <a:pt x="4201114" y="4279195"/>
                <a:pt x="4185523" y="4294786"/>
                <a:pt x="4166296" y="4294786"/>
              </a:cubicBezTo>
              <a:close/>
              <a:moveTo>
                <a:pt x="4251188" y="4294786"/>
              </a:moveTo>
              <a:cubicBezTo>
                <a:pt x="4231960" y="4294786"/>
                <a:pt x="4216369" y="4279195"/>
                <a:pt x="4216369" y="4259967"/>
              </a:cubicBezTo>
              <a:cubicBezTo>
                <a:pt x="4216369" y="4240740"/>
                <a:pt x="4231960" y="4225149"/>
                <a:pt x="4251188" y="4225149"/>
              </a:cubicBezTo>
              <a:cubicBezTo>
                <a:pt x="4270416" y="4225149"/>
                <a:pt x="4286007" y="4240740"/>
                <a:pt x="4286007" y="4259967"/>
              </a:cubicBezTo>
              <a:cubicBezTo>
                <a:pt x="4286007" y="4279195"/>
                <a:pt x="4270416" y="4294786"/>
                <a:pt x="4251188" y="4294786"/>
              </a:cubicBezTo>
              <a:close/>
              <a:moveTo>
                <a:pt x="5949038" y="4294786"/>
              </a:moveTo>
              <a:cubicBezTo>
                <a:pt x="5929810" y="4294786"/>
                <a:pt x="5914219" y="4279195"/>
                <a:pt x="5914219" y="4259967"/>
              </a:cubicBezTo>
              <a:cubicBezTo>
                <a:pt x="5914219" y="4240740"/>
                <a:pt x="5929810" y="4225149"/>
                <a:pt x="5949038" y="4225149"/>
              </a:cubicBezTo>
              <a:cubicBezTo>
                <a:pt x="5968266" y="4225149"/>
                <a:pt x="5983857" y="4240740"/>
                <a:pt x="5983857" y="4259967"/>
              </a:cubicBezTo>
              <a:cubicBezTo>
                <a:pt x="5983857" y="4279195"/>
                <a:pt x="5968266" y="4294786"/>
                <a:pt x="5949038" y="4294786"/>
              </a:cubicBezTo>
              <a:close/>
              <a:moveTo>
                <a:pt x="6033930" y="4294786"/>
              </a:moveTo>
              <a:cubicBezTo>
                <a:pt x="6014702" y="4294786"/>
                <a:pt x="5999111" y="4279195"/>
                <a:pt x="5999111" y="4259967"/>
              </a:cubicBezTo>
              <a:cubicBezTo>
                <a:pt x="5999111" y="4240740"/>
                <a:pt x="6014702" y="4225149"/>
                <a:pt x="6033930" y="4225149"/>
              </a:cubicBezTo>
              <a:cubicBezTo>
                <a:pt x="6053158" y="4225149"/>
                <a:pt x="6068749" y="4240740"/>
                <a:pt x="6068749" y="4259967"/>
              </a:cubicBezTo>
              <a:cubicBezTo>
                <a:pt x="6068749" y="4279195"/>
                <a:pt x="6053158" y="4294786"/>
                <a:pt x="6033930" y="4294786"/>
              </a:cubicBezTo>
              <a:close/>
              <a:moveTo>
                <a:pt x="6118826" y="4294786"/>
              </a:moveTo>
              <a:cubicBezTo>
                <a:pt x="6099592" y="4294786"/>
                <a:pt x="6084000" y="4279195"/>
                <a:pt x="6084000" y="4259967"/>
              </a:cubicBezTo>
              <a:cubicBezTo>
                <a:pt x="6084000" y="4240740"/>
                <a:pt x="6099592" y="4225149"/>
                <a:pt x="6118826" y="4225149"/>
              </a:cubicBezTo>
              <a:cubicBezTo>
                <a:pt x="6138054" y="4225149"/>
                <a:pt x="6153638" y="4240740"/>
                <a:pt x="6153638" y="4259967"/>
              </a:cubicBezTo>
              <a:cubicBezTo>
                <a:pt x="6153638" y="4279195"/>
                <a:pt x="6138054" y="4294786"/>
                <a:pt x="6118826" y="4294786"/>
              </a:cubicBezTo>
              <a:close/>
              <a:moveTo>
                <a:pt x="6203718" y="4294786"/>
              </a:moveTo>
              <a:cubicBezTo>
                <a:pt x="6184490" y="4294786"/>
                <a:pt x="6168893" y="4279195"/>
                <a:pt x="6168893" y="4259967"/>
              </a:cubicBezTo>
              <a:cubicBezTo>
                <a:pt x="6168893" y="4240740"/>
                <a:pt x="6184490" y="4225149"/>
                <a:pt x="6203718" y="4225149"/>
              </a:cubicBezTo>
              <a:cubicBezTo>
                <a:pt x="6222946" y="4225149"/>
                <a:pt x="6238530" y="4240740"/>
                <a:pt x="6238530" y="4259967"/>
              </a:cubicBezTo>
              <a:cubicBezTo>
                <a:pt x="6238530" y="4279195"/>
                <a:pt x="6222946" y="4294786"/>
                <a:pt x="6203718" y="4294786"/>
              </a:cubicBezTo>
              <a:close/>
              <a:moveTo>
                <a:pt x="6288611" y="4294786"/>
              </a:moveTo>
              <a:cubicBezTo>
                <a:pt x="6269384" y="4294786"/>
                <a:pt x="6253786" y="4279195"/>
                <a:pt x="6253786" y="4259967"/>
              </a:cubicBezTo>
              <a:cubicBezTo>
                <a:pt x="6253786" y="4240740"/>
                <a:pt x="6269384" y="4225149"/>
                <a:pt x="6288611" y="4225149"/>
              </a:cubicBezTo>
              <a:cubicBezTo>
                <a:pt x="6307839" y="4225149"/>
                <a:pt x="6323424" y="4240740"/>
                <a:pt x="6323424" y="4259967"/>
              </a:cubicBezTo>
              <a:cubicBezTo>
                <a:pt x="6323424" y="4279195"/>
                <a:pt x="6307839" y="4294786"/>
                <a:pt x="6288611" y="4294786"/>
              </a:cubicBezTo>
              <a:close/>
              <a:moveTo>
                <a:pt x="6373504" y="4294786"/>
              </a:moveTo>
              <a:cubicBezTo>
                <a:pt x="6354276" y="4294786"/>
                <a:pt x="6338678" y="4279195"/>
                <a:pt x="6338678" y="4259967"/>
              </a:cubicBezTo>
              <a:cubicBezTo>
                <a:pt x="6338678" y="4240740"/>
                <a:pt x="6354276" y="4225149"/>
                <a:pt x="6373504" y="4225149"/>
              </a:cubicBezTo>
              <a:cubicBezTo>
                <a:pt x="6392731" y="4225149"/>
                <a:pt x="6408316" y="4240740"/>
                <a:pt x="6408316" y="4259967"/>
              </a:cubicBezTo>
              <a:cubicBezTo>
                <a:pt x="6408316" y="4279195"/>
                <a:pt x="6392731" y="4294786"/>
                <a:pt x="6373504" y="4294786"/>
              </a:cubicBezTo>
              <a:close/>
              <a:moveTo>
                <a:pt x="6458396" y="4294786"/>
              </a:moveTo>
              <a:cubicBezTo>
                <a:pt x="6439168" y="4294786"/>
                <a:pt x="6423570" y="4279195"/>
                <a:pt x="6423570" y="4259967"/>
              </a:cubicBezTo>
              <a:cubicBezTo>
                <a:pt x="6423570" y="4240740"/>
                <a:pt x="6439168" y="4225149"/>
                <a:pt x="6458396" y="4225149"/>
              </a:cubicBezTo>
              <a:cubicBezTo>
                <a:pt x="6477624" y="4225149"/>
                <a:pt x="6493208" y="4240740"/>
                <a:pt x="6493208" y="4259967"/>
              </a:cubicBezTo>
              <a:cubicBezTo>
                <a:pt x="6493208" y="4279195"/>
                <a:pt x="6477624" y="4294786"/>
                <a:pt x="6458396" y="4294786"/>
              </a:cubicBezTo>
              <a:close/>
              <a:moveTo>
                <a:pt x="6543288" y="4294786"/>
              </a:moveTo>
              <a:cubicBezTo>
                <a:pt x="6524060" y="4294786"/>
                <a:pt x="6508463" y="4279195"/>
                <a:pt x="6508463" y="4259967"/>
              </a:cubicBezTo>
              <a:cubicBezTo>
                <a:pt x="6508463" y="4240740"/>
                <a:pt x="6524060" y="4225149"/>
                <a:pt x="6543288" y="4225149"/>
              </a:cubicBezTo>
              <a:cubicBezTo>
                <a:pt x="6562516" y="4225149"/>
                <a:pt x="6578100" y="4240740"/>
                <a:pt x="6578100" y="4259967"/>
              </a:cubicBezTo>
              <a:cubicBezTo>
                <a:pt x="6578100" y="4279195"/>
                <a:pt x="6562516" y="4294786"/>
                <a:pt x="6543288" y="4294786"/>
              </a:cubicBezTo>
              <a:close/>
              <a:moveTo>
                <a:pt x="6628181" y="4294786"/>
              </a:moveTo>
              <a:cubicBezTo>
                <a:pt x="6608954" y="4294786"/>
                <a:pt x="6593356" y="4279195"/>
                <a:pt x="6593356" y="4259967"/>
              </a:cubicBezTo>
              <a:cubicBezTo>
                <a:pt x="6593356" y="4240740"/>
                <a:pt x="6608954" y="4225149"/>
                <a:pt x="6628181" y="4225149"/>
              </a:cubicBezTo>
              <a:cubicBezTo>
                <a:pt x="6647409" y="4225149"/>
                <a:pt x="6662994" y="4240740"/>
                <a:pt x="6662994" y="4259967"/>
              </a:cubicBezTo>
              <a:cubicBezTo>
                <a:pt x="6662994" y="4279195"/>
                <a:pt x="6647409" y="4294786"/>
                <a:pt x="6628181" y="4294786"/>
              </a:cubicBezTo>
              <a:close/>
              <a:moveTo>
                <a:pt x="6713074" y="4294786"/>
              </a:moveTo>
              <a:cubicBezTo>
                <a:pt x="6693846" y="4294786"/>
                <a:pt x="6678248" y="4279195"/>
                <a:pt x="6678248" y="4259967"/>
              </a:cubicBezTo>
              <a:cubicBezTo>
                <a:pt x="6678248" y="4240740"/>
                <a:pt x="6693846" y="4225149"/>
                <a:pt x="6713074" y="4225149"/>
              </a:cubicBezTo>
              <a:cubicBezTo>
                <a:pt x="6732301" y="4225149"/>
                <a:pt x="6747886" y="4240740"/>
                <a:pt x="6747886" y="4259967"/>
              </a:cubicBezTo>
              <a:cubicBezTo>
                <a:pt x="6747886" y="4279195"/>
                <a:pt x="6732301" y="4294786"/>
                <a:pt x="6713074" y="4294786"/>
              </a:cubicBezTo>
              <a:close/>
              <a:moveTo>
                <a:pt x="6797966" y="4294786"/>
              </a:moveTo>
              <a:cubicBezTo>
                <a:pt x="6778738" y="4294786"/>
                <a:pt x="6763140" y="4279195"/>
                <a:pt x="6763140" y="4259967"/>
              </a:cubicBezTo>
              <a:cubicBezTo>
                <a:pt x="6763140" y="4240740"/>
                <a:pt x="6778738" y="4225149"/>
                <a:pt x="6797966" y="4225149"/>
              </a:cubicBezTo>
              <a:cubicBezTo>
                <a:pt x="6817194" y="4225149"/>
                <a:pt x="6832778" y="4240740"/>
                <a:pt x="6832778" y="4259967"/>
              </a:cubicBezTo>
              <a:cubicBezTo>
                <a:pt x="6832778" y="4279195"/>
                <a:pt x="6817194" y="4294786"/>
                <a:pt x="6797966" y="4294786"/>
              </a:cubicBezTo>
              <a:close/>
              <a:moveTo>
                <a:pt x="6882858" y="4294786"/>
              </a:moveTo>
              <a:cubicBezTo>
                <a:pt x="6863630" y="4294786"/>
                <a:pt x="6848033" y="4279195"/>
                <a:pt x="6848033" y="4259967"/>
              </a:cubicBezTo>
              <a:cubicBezTo>
                <a:pt x="6848033" y="4240740"/>
                <a:pt x="6863630" y="4225149"/>
                <a:pt x="6882858" y="4225149"/>
              </a:cubicBezTo>
              <a:cubicBezTo>
                <a:pt x="6902086" y="4225149"/>
                <a:pt x="6917670" y="4240740"/>
                <a:pt x="6917670" y="4259967"/>
              </a:cubicBezTo>
              <a:cubicBezTo>
                <a:pt x="6917670" y="4279195"/>
                <a:pt x="6902086" y="4294786"/>
                <a:pt x="6882858" y="4294786"/>
              </a:cubicBezTo>
              <a:close/>
              <a:moveTo>
                <a:pt x="6967750" y="4294786"/>
              </a:moveTo>
              <a:cubicBezTo>
                <a:pt x="6948523" y="4294786"/>
                <a:pt x="6932925" y="4279195"/>
                <a:pt x="6932925" y="4259967"/>
              </a:cubicBezTo>
              <a:cubicBezTo>
                <a:pt x="6932925" y="4240740"/>
                <a:pt x="6948523" y="4225149"/>
                <a:pt x="6967750" y="4225149"/>
              </a:cubicBezTo>
              <a:cubicBezTo>
                <a:pt x="6986978" y="4225149"/>
                <a:pt x="7002563" y="4240740"/>
                <a:pt x="7002563" y="4259967"/>
              </a:cubicBezTo>
              <a:cubicBezTo>
                <a:pt x="7002563" y="4279195"/>
                <a:pt x="6986978" y="4294786"/>
                <a:pt x="6967750" y="4294786"/>
              </a:cubicBezTo>
              <a:close/>
              <a:moveTo>
                <a:pt x="7052644" y="4294786"/>
              </a:moveTo>
              <a:cubicBezTo>
                <a:pt x="7033416" y="4294786"/>
                <a:pt x="7017818" y="4279195"/>
                <a:pt x="7017818" y="4259967"/>
              </a:cubicBezTo>
              <a:cubicBezTo>
                <a:pt x="7017818" y="4240740"/>
                <a:pt x="7033416" y="4225149"/>
                <a:pt x="7052644" y="4225149"/>
              </a:cubicBezTo>
              <a:cubicBezTo>
                <a:pt x="7071871" y="4225149"/>
                <a:pt x="7087456" y="4240740"/>
                <a:pt x="7087456" y="4259967"/>
              </a:cubicBezTo>
              <a:cubicBezTo>
                <a:pt x="7087456" y="4279195"/>
                <a:pt x="7071871" y="4294786"/>
                <a:pt x="7052644" y="4294786"/>
              </a:cubicBezTo>
              <a:close/>
              <a:moveTo>
                <a:pt x="7137536" y="4294786"/>
              </a:moveTo>
              <a:cubicBezTo>
                <a:pt x="7118308" y="4294786"/>
                <a:pt x="7102710" y="4279195"/>
                <a:pt x="7102710" y="4259967"/>
              </a:cubicBezTo>
              <a:cubicBezTo>
                <a:pt x="7102710" y="4240740"/>
                <a:pt x="7118308" y="4225149"/>
                <a:pt x="7137536" y="4225149"/>
              </a:cubicBezTo>
              <a:cubicBezTo>
                <a:pt x="7156764" y="4225149"/>
                <a:pt x="7172348" y="4240740"/>
                <a:pt x="7172348" y="4259967"/>
              </a:cubicBezTo>
              <a:cubicBezTo>
                <a:pt x="7172348" y="4279195"/>
                <a:pt x="7156764" y="4294786"/>
                <a:pt x="7137536" y="4294786"/>
              </a:cubicBezTo>
              <a:close/>
              <a:moveTo>
                <a:pt x="7222428" y="4294786"/>
              </a:moveTo>
              <a:cubicBezTo>
                <a:pt x="7203200" y="4294786"/>
                <a:pt x="7187603" y="4279195"/>
                <a:pt x="7187603" y="4259967"/>
              </a:cubicBezTo>
              <a:cubicBezTo>
                <a:pt x="7187603" y="4240740"/>
                <a:pt x="7203200" y="4225149"/>
                <a:pt x="7222428" y="4225149"/>
              </a:cubicBezTo>
              <a:cubicBezTo>
                <a:pt x="7241656" y="4225149"/>
                <a:pt x="7257240" y="4240740"/>
                <a:pt x="7257240" y="4259967"/>
              </a:cubicBezTo>
              <a:cubicBezTo>
                <a:pt x="7257240" y="4279195"/>
                <a:pt x="7241656" y="4294786"/>
                <a:pt x="7222428" y="4294786"/>
              </a:cubicBezTo>
              <a:close/>
              <a:moveTo>
                <a:pt x="7307320" y="4294786"/>
              </a:moveTo>
              <a:cubicBezTo>
                <a:pt x="7288093" y="4294786"/>
                <a:pt x="7272495" y="4279195"/>
                <a:pt x="7272495" y="4259967"/>
              </a:cubicBezTo>
              <a:cubicBezTo>
                <a:pt x="7272495" y="4240740"/>
                <a:pt x="7288093" y="4225149"/>
                <a:pt x="7307320" y="4225149"/>
              </a:cubicBezTo>
              <a:cubicBezTo>
                <a:pt x="7326548" y="4225149"/>
                <a:pt x="7342133" y="4240740"/>
                <a:pt x="7342133" y="4259967"/>
              </a:cubicBezTo>
              <a:cubicBezTo>
                <a:pt x="7342133" y="4279195"/>
                <a:pt x="7326548" y="4294786"/>
                <a:pt x="7307320" y="4294786"/>
              </a:cubicBezTo>
              <a:close/>
              <a:moveTo>
                <a:pt x="7392214" y="4294786"/>
              </a:moveTo>
              <a:cubicBezTo>
                <a:pt x="7372986" y="4294786"/>
                <a:pt x="7357388" y="4279195"/>
                <a:pt x="7357388" y="4259967"/>
              </a:cubicBezTo>
              <a:cubicBezTo>
                <a:pt x="7357388" y="4240740"/>
                <a:pt x="7372986" y="4225149"/>
                <a:pt x="7392214" y="4225149"/>
              </a:cubicBezTo>
              <a:cubicBezTo>
                <a:pt x="7411441" y="4225149"/>
                <a:pt x="7427026" y="4240740"/>
                <a:pt x="7427026" y="4259967"/>
              </a:cubicBezTo>
              <a:cubicBezTo>
                <a:pt x="7427026" y="4279195"/>
                <a:pt x="7411441" y="4294786"/>
                <a:pt x="7392214" y="4294786"/>
              </a:cubicBezTo>
              <a:close/>
              <a:moveTo>
                <a:pt x="7477106" y="4294786"/>
              </a:moveTo>
              <a:cubicBezTo>
                <a:pt x="7457878" y="4294786"/>
                <a:pt x="7442280" y="4279195"/>
                <a:pt x="7442280" y="4259967"/>
              </a:cubicBezTo>
              <a:cubicBezTo>
                <a:pt x="7442280" y="4240740"/>
                <a:pt x="7457878" y="4225149"/>
                <a:pt x="7477106" y="4225149"/>
              </a:cubicBezTo>
              <a:cubicBezTo>
                <a:pt x="7496334" y="4225149"/>
                <a:pt x="7511918" y="4240740"/>
                <a:pt x="7511918" y="4259967"/>
              </a:cubicBezTo>
              <a:cubicBezTo>
                <a:pt x="7511918" y="4279195"/>
                <a:pt x="7496334" y="4294786"/>
                <a:pt x="7477106" y="4294786"/>
              </a:cubicBezTo>
              <a:close/>
              <a:moveTo>
                <a:pt x="7561998" y="4294786"/>
              </a:moveTo>
              <a:cubicBezTo>
                <a:pt x="7542770" y="4294786"/>
                <a:pt x="7527173" y="4279195"/>
                <a:pt x="7527173" y="4259967"/>
              </a:cubicBezTo>
              <a:cubicBezTo>
                <a:pt x="7527173" y="4240740"/>
                <a:pt x="7542770" y="4225149"/>
                <a:pt x="7561998" y="4225149"/>
              </a:cubicBezTo>
              <a:cubicBezTo>
                <a:pt x="7581226" y="4225149"/>
                <a:pt x="7596810" y="4240740"/>
                <a:pt x="7596810" y="4259967"/>
              </a:cubicBezTo>
              <a:cubicBezTo>
                <a:pt x="7596810" y="4279195"/>
                <a:pt x="7581226" y="4294786"/>
                <a:pt x="7561998" y="4294786"/>
              </a:cubicBezTo>
              <a:close/>
              <a:moveTo>
                <a:pt x="7646890" y="4294786"/>
              </a:moveTo>
              <a:cubicBezTo>
                <a:pt x="7627663" y="4294786"/>
                <a:pt x="7612065" y="4279195"/>
                <a:pt x="7612065" y="4259967"/>
              </a:cubicBezTo>
              <a:cubicBezTo>
                <a:pt x="7612065" y="4240740"/>
                <a:pt x="7627663" y="4225149"/>
                <a:pt x="7646890" y="4225149"/>
              </a:cubicBezTo>
              <a:cubicBezTo>
                <a:pt x="7666118" y="4225149"/>
                <a:pt x="7681703" y="4240740"/>
                <a:pt x="7681703" y="4259967"/>
              </a:cubicBezTo>
              <a:cubicBezTo>
                <a:pt x="7681703" y="4279195"/>
                <a:pt x="7666118" y="4294786"/>
                <a:pt x="7646890" y="4294786"/>
              </a:cubicBezTo>
              <a:close/>
              <a:moveTo>
                <a:pt x="7731784" y="4294786"/>
              </a:moveTo>
              <a:cubicBezTo>
                <a:pt x="7712556" y="4294786"/>
                <a:pt x="7696958" y="4279195"/>
                <a:pt x="7696958" y="4259967"/>
              </a:cubicBezTo>
              <a:cubicBezTo>
                <a:pt x="7696958" y="4240740"/>
                <a:pt x="7712556" y="4225149"/>
                <a:pt x="7731784" y="4225149"/>
              </a:cubicBezTo>
              <a:cubicBezTo>
                <a:pt x="7751011" y="4225149"/>
                <a:pt x="7766596" y="4240740"/>
                <a:pt x="7766596" y="4259967"/>
              </a:cubicBezTo>
              <a:cubicBezTo>
                <a:pt x="7766596" y="4279195"/>
                <a:pt x="7751011" y="4294786"/>
                <a:pt x="7731784" y="4294786"/>
              </a:cubicBezTo>
              <a:close/>
              <a:moveTo>
                <a:pt x="7816676" y="4294786"/>
              </a:moveTo>
              <a:cubicBezTo>
                <a:pt x="7797448" y="4294786"/>
                <a:pt x="7781850" y="4279195"/>
                <a:pt x="7781850" y="4259967"/>
              </a:cubicBezTo>
              <a:cubicBezTo>
                <a:pt x="7781850" y="4240740"/>
                <a:pt x="7797448" y="4225149"/>
                <a:pt x="7816676" y="4225149"/>
              </a:cubicBezTo>
              <a:cubicBezTo>
                <a:pt x="7835904" y="4225149"/>
                <a:pt x="7851488" y="4240740"/>
                <a:pt x="7851488" y="4259967"/>
              </a:cubicBezTo>
              <a:cubicBezTo>
                <a:pt x="7851488" y="4279195"/>
                <a:pt x="7835904" y="4294786"/>
                <a:pt x="7816676" y="4294786"/>
              </a:cubicBezTo>
              <a:close/>
              <a:moveTo>
                <a:pt x="7901568" y="4294786"/>
              </a:moveTo>
              <a:cubicBezTo>
                <a:pt x="7882340" y="4294786"/>
                <a:pt x="7866743" y="4279195"/>
                <a:pt x="7866743" y="4259967"/>
              </a:cubicBezTo>
              <a:cubicBezTo>
                <a:pt x="7866743" y="4240740"/>
                <a:pt x="7882340" y="4225149"/>
                <a:pt x="7901568" y="4225149"/>
              </a:cubicBezTo>
              <a:cubicBezTo>
                <a:pt x="7920796" y="4225149"/>
                <a:pt x="7936380" y="4240740"/>
                <a:pt x="7936380" y="4259967"/>
              </a:cubicBezTo>
              <a:cubicBezTo>
                <a:pt x="7936380" y="4279195"/>
                <a:pt x="7920796" y="4294786"/>
                <a:pt x="7901568" y="4294786"/>
              </a:cubicBezTo>
              <a:close/>
              <a:moveTo>
                <a:pt x="7986460" y="4294786"/>
              </a:moveTo>
              <a:cubicBezTo>
                <a:pt x="7967233" y="4294786"/>
                <a:pt x="7951635" y="4279195"/>
                <a:pt x="7951635" y="4259967"/>
              </a:cubicBezTo>
              <a:cubicBezTo>
                <a:pt x="7951635" y="4240740"/>
                <a:pt x="7967233" y="4225149"/>
                <a:pt x="7986460" y="4225149"/>
              </a:cubicBezTo>
              <a:cubicBezTo>
                <a:pt x="8005688" y="4225149"/>
                <a:pt x="8021273" y="4240740"/>
                <a:pt x="8021273" y="4259967"/>
              </a:cubicBezTo>
              <a:cubicBezTo>
                <a:pt x="8021273" y="4279195"/>
                <a:pt x="8005688" y="4294786"/>
                <a:pt x="7986460" y="4294786"/>
              </a:cubicBezTo>
              <a:close/>
              <a:moveTo>
                <a:pt x="8071353" y="4294786"/>
              </a:moveTo>
              <a:cubicBezTo>
                <a:pt x="8052125" y="4294786"/>
                <a:pt x="8036527" y="4279195"/>
                <a:pt x="8036527" y="4259967"/>
              </a:cubicBezTo>
              <a:cubicBezTo>
                <a:pt x="8036527" y="4240740"/>
                <a:pt x="8052125" y="4225149"/>
                <a:pt x="8071353" y="4225149"/>
              </a:cubicBezTo>
              <a:cubicBezTo>
                <a:pt x="8090580" y="4225149"/>
                <a:pt x="8106165" y="4240740"/>
                <a:pt x="8106165" y="4259967"/>
              </a:cubicBezTo>
              <a:cubicBezTo>
                <a:pt x="8106165" y="4279195"/>
                <a:pt x="8090580" y="4294786"/>
                <a:pt x="8071353" y="4294786"/>
              </a:cubicBezTo>
              <a:close/>
              <a:moveTo>
                <a:pt x="8156246" y="4294786"/>
              </a:moveTo>
              <a:cubicBezTo>
                <a:pt x="8137018" y="4294786"/>
                <a:pt x="8121420" y="4279195"/>
                <a:pt x="8121420" y="4259967"/>
              </a:cubicBezTo>
              <a:cubicBezTo>
                <a:pt x="8121420" y="4240740"/>
                <a:pt x="8137018" y="4225149"/>
                <a:pt x="8156246" y="4225149"/>
              </a:cubicBezTo>
              <a:cubicBezTo>
                <a:pt x="8175474" y="4225149"/>
                <a:pt x="8191058" y="4240740"/>
                <a:pt x="8191058" y="4259967"/>
              </a:cubicBezTo>
              <a:cubicBezTo>
                <a:pt x="8191058" y="4279195"/>
                <a:pt x="8175474" y="4294786"/>
                <a:pt x="8156246" y="4294786"/>
              </a:cubicBezTo>
              <a:close/>
              <a:moveTo>
                <a:pt x="8241138" y="4294786"/>
              </a:moveTo>
              <a:cubicBezTo>
                <a:pt x="8221910" y="4294786"/>
                <a:pt x="8206313" y="4279195"/>
                <a:pt x="8206313" y="4259967"/>
              </a:cubicBezTo>
              <a:cubicBezTo>
                <a:pt x="8206313" y="4240740"/>
                <a:pt x="8221910" y="4225149"/>
                <a:pt x="8241138" y="4225149"/>
              </a:cubicBezTo>
              <a:cubicBezTo>
                <a:pt x="8260366" y="4225149"/>
                <a:pt x="8275950" y="4240740"/>
                <a:pt x="8275950" y="4259967"/>
              </a:cubicBezTo>
              <a:cubicBezTo>
                <a:pt x="8275950" y="4279195"/>
                <a:pt x="8260366" y="4294786"/>
                <a:pt x="8241138" y="4294786"/>
              </a:cubicBezTo>
              <a:close/>
              <a:moveTo>
                <a:pt x="8326030" y="4294786"/>
              </a:moveTo>
              <a:cubicBezTo>
                <a:pt x="8306803" y="4294786"/>
                <a:pt x="8291205" y="4279195"/>
                <a:pt x="8291205" y="4259967"/>
              </a:cubicBezTo>
              <a:cubicBezTo>
                <a:pt x="8291205" y="4240740"/>
                <a:pt x="8306803" y="4225149"/>
                <a:pt x="8326030" y="4225149"/>
              </a:cubicBezTo>
              <a:cubicBezTo>
                <a:pt x="8345258" y="4225149"/>
                <a:pt x="8360843" y="4240740"/>
                <a:pt x="8360843" y="4259967"/>
              </a:cubicBezTo>
              <a:cubicBezTo>
                <a:pt x="8360843" y="4279195"/>
                <a:pt x="8345258" y="4294786"/>
                <a:pt x="8326030" y="4294786"/>
              </a:cubicBezTo>
              <a:close/>
              <a:moveTo>
                <a:pt x="8410923" y="4294786"/>
              </a:moveTo>
              <a:cubicBezTo>
                <a:pt x="8391695" y="4294786"/>
                <a:pt x="8376097" y="4279195"/>
                <a:pt x="8376097" y="4259967"/>
              </a:cubicBezTo>
              <a:cubicBezTo>
                <a:pt x="8376097" y="4240740"/>
                <a:pt x="8391695" y="4225149"/>
                <a:pt x="8410923" y="4225149"/>
              </a:cubicBezTo>
              <a:cubicBezTo>
                <a:pt x="8430150" y="4225149"/>
                <a:pt x="8445735" y="4240740"/>
                <a:pt x="8445735" y="4259967"/>
              </a:cubicBezTo>
              <a:cubicBezTo>
                <a:pt x="8445735" y="4279195"/>
                <a:pt x="8430150" y="4294786"/>
                <a:pt x="8410923" y="4294786"/>
              </a:cubicBezTo>
              <a:close/>
              <a:moveTo>
                <a:pt x="8495816" y="4294786"/>
              </a:moveTo>
              <a:cubicBezTo>
                <a:pt x="8476588" y="4294786"/>
                <a:pt x="8460990" y="4279195"/>
                <a:pt x="8460990" y="4259967"/>
              </a:cubicBezTo>
              <a:cubicBezTo>
                <a:pt x="8460990" y="4240740"/>
                <a:pt x="8476588" y="4225149"/>
                <a:pt x="8495816" y="4225149"/>
              </a:cubicBezTo>
              <a:cubicBezTo>
                <a:pt x="8515044" y="4225149"/>
                <a:pt x="8530628" y="4240740"/>
                <a:pt x="8530628" y="4259967"/>
              </a:cubicBezTo>
              <a:cubicBezTo>
                <a:pt x="8530628" y="4279195"/>
                <a:pt x="8515044" y="4294786"/>
                <a:pt x="8495816" y="4294786"/>
              </a:cubicBezTo>
              <a:close/>
              <a:moveTo>
                <a:pt x="8580708" y="4294786"/>
              </a:moveTo>
              <a:cubicBezTo>
                <a:pt x="8561480" y="4294786"/>
                <a:pt x="8545883" y="4279195"/>
                <a:pt x="8545883" y="4259967"/>
              </a:cubicBezTo>
              <a:cubicBezTo>
                <a:pt x="8545883" y="4240740"/>
                <a:pt x="8561480" y="4225149"/>
                <a:pt x="8580708" y="4225149"/>
              </a:cubicBezTo>
              <a:cubicBezTo>
                <a:pt x="8599936" y="4225149"/>
                <a:pt x="8615520" y="4240740"/>
                <a:pt x="8615520" y="4259967"/>
              </a:cubicBezTo>
              <a:cubicBezTo>
                <a:pt x="8615520" y="4279195"/>
                <a:pt x="8599936" y="4294786"/>
                <a:pt x="8580708" y="4294786"/>
              </a:cubicBezTo>
              <a:close/>
              <a:moveTo>
                <a:pt x="8665600" y="4294786"/>
              </a:moveTo>
              <a:cubicBezTo>
                <a:pt x="8646373" y="4294786"/>
                <a:pt x="8630775" y="4279195"/>
                <a:pt x="8630775" y="4259967"/>
              </a:cubicBezTo>
              <a:cubicBezTo>
                <a:pt x="8630775" y="4240740"/>
                <a:pt x="8646373" y="4225149"/>
                <a:pt x="8665600" y="4225149"/>
              </a:cubicBezTo>
              <a:cubicBezTo>
                <a:pt x="8684828" y="4225149"/>
                <a:pt x="8700413" y="4240740"/>
                <a:pt x="8700413" y="4259967"/>
              </a:cubicBezTo>
              <a:cubicBezTo>
                <a:pt x="8700413" y="4279195"/>
                <a:pt x="8684828" y="4294786"/>
                <a:pt x="8665600" y="4294786"/>
              </a:cubicBezTo>
              <a:close/>
              <a:moveTo>
                <a:pt x="8750493" y="4294786"/>
              </a:moveTo>
              <a:cubicBezTo>
                <a:pt x="8731265" y="4294786"/>
                <a:pt x="8715667" y="4279195"/>
                <a:pt x="8715667" y="4259967"/>
              </a:cubicBezTo>
              <a:cubicBezTo>
                <a:pt x="8715667" y="4240740"/>
                <a:pt x="8731265" y="4225149"/>
                <a:pt x="8750493" y="4225149"/>
              </a:cubicBezTo>
              <a:cubicBezTo>
                <a:pt x="8769720" y="4225149"/>
                <a:pt x="8785305" y="4240740"/>
                <a:pt x="8785305" y="4259967"/>
              </a:cubicBezTo>
              <a:cubicBezTo>
                <a:pt x="8785305" y="4279195"/>
                <a:pt x="8769720" y="4294786"/>
                <a:pt x="8750493" y="4294786"/>
              </a:cubicBezTo>
              <a:close/>
              <a:moveTo>
                <a:pt x="8835386" y="4294786"/>
              </a:moveTo>
              <a:cubicBezTo>
                <a:pt x="8816158" y="4294786"/>
                <a:pt x="8800560" y="4279195"/>
                <a:pt x="8800560" y="4259967"/>
              </a:cubicBezTo>
              <a:cubicBezTo>
                <a:pt x="8800560" y="4240740"/>
                <a:pt x="8816158" y="4225149"/>
                <a:pt x="8835386" y="4225149"/>
              </a:cubicBezTo>
              <a:cubicBezTo>
                <a:pt x="8854614" y="4225149"/>
                <a:pt x="8870198" y="4240740"/>
                <a:pt x="8870198" y="4259967"/>
              </a:cubicBezTo>
              <a:cubicBezTo>
                <a:pt x="8870198" y="4279195"/>
                <a:pt x="8854614" y="4294786"/>
                <a:pt x="8835386" y="4294786"/>
              </a:cubicBezTo>
              <a:close/>
              <a:moveTo>
                <a:pt x="8920278" y="4294786"/>
              </a:moveTo>
              <a:cubicBezTo>
                <a:pt x="8901050" y="4294786"/>
                <a:pt x="8885453" y="4279195"/>
                <a:pt x="8885453" y="4259967"/>
              </a:cubicBezTo>
              <a:cubicBezTo>
                <a:pt x="8885453" y="4240740"/>
                <a:pt x="8901050" y="4225149"/>
                <a:pt x="8920278" y="4225149"/>
              </a:cubicBezTo>
              <a:cubicBezTo>
                <a:pt x="8939506" y="4225149"/>
                <a:pt x="8955090" y="4240740"/>
                <a:pt x="8955090" y="4259967"/>
              </a:cubicBezTo>
              <a:cubicBezTo>
                <a:pt x="8955090" y="4279195"/>
                <a:pt x="8939506" y="4294786"/>
                <a:pt x="8920278" y="4294786"/>
              </a:cubicBezTo>
              <a:close/>
              <a:moveTo>
                <a:pt x="9005170" y="4294786"/>
              </a:moveTo>
              <a:cubicBezTo>
                <a:pt x="8985943" y="4294786"/>
                <a:pt x="8970345" y="4279195"/>
                <a:pt x="8970345" y="4259967"/>
              </a:cubicBezTo>
              <a:cubicBezTo>
                <a:pt x="8970345" y="4240740"/>
                <a:pt x="8985943" y="4225149"/>
                <a:pt x="9005170" y="4225149"/>
              </a:cubicBezTo>
              <a:cubicBezTo>
                <a:pt x="9024398" y="4225149"/>
                <a:pt x="9039983" y="4240740"/>
                <a:pt x="9039983" y="4259967"/>
              </a:cubicBezTo>
              <a:cubicBezTo>
                <a:pt x="9039983" y="4279195"/>
                <a:pt x="9024398" y="4294786"/>
                <a:pt x="9005170" y="4294786"/>
              </a:cubicBezTo>
              <a:close/>
              <a:moveTo>
                <a:pt x="9090063" y="4294786"/>
              </a:moveTo>
              <a:cubicBezTo>
                <a:pt x="9070835" y="4294786"/>
                <a:pt x="9055237" y="4279195"/>
                <a:pt x="9055237" y="4259967"/>
              </a:cubicBezTo>
              <a:cubicBezTo>
                <a:pt x="9055237" y="4240740"/>
                <a:pt x="9070835" y="4225149"/>
                <a:pt x="9090063" y="4225149"/>
              </a:cubicBezTo>
              <a:cubicBezTo>
                <a:pt x="9109290" y="4225149"/>
                <a:pt x="9124875" y="4240740"/>
                <a:pt x="9124875" y="4259967"/>
              </a:cubicBezTo>
              <a:cubicBezTo>
                <a:pt x="9124875" y="4279195"/>
                <a:pt x="9109290" y="4294786"/>
                <a:pt x="9090063" y="4294786"/>
              </a:cubicBezTo>
              <a:close/>
              <a:moveTo>
                <a:pt x="9174956" y="4294786"/>
              </a:moveTo>
              <a:cubicBezTo>
                <a:pt x="9155728" y="4294786"/>
                <a:pt x="9140130" y="4279195"/>
                <a:pt x="9140130" y="4259967"/>
              </a:cubicBezTo>
              <a:cubicBezTo>
                <a:pt x="9140130" y="4240740"/>
                <a:pt x="9155728" y="4225149"/>
                <a:pt x="9174956" y="4225149"/>
              </a:cubicBezTo>
              <a:cubicBezTo>
                <a:pt x="9194184" y="4225149"/>
                <a:pt x="9209768" y="4240740"/>
                <a:pt x="9209768" y="4259967"/>
              </a:cubicBezTo>
              <a:cubicBezTo>
                <a:pt x="9209768" y="4279195"/>
                <a:pt x="9194184" y="4294786"/>
                <a:pt x="9174956" y="4294786"/>
              </a:cubicBezTo>
              <a:close/>
              <a:moveTo>
                <a:pt x="9259848" y="4294786"/>
              </a:moveTo>
              <a:cubicBezTo>
                <a:pt x="9240620" y="4294786"/>
                <a:pt x="9225023" y="4279195"/>
                <a:pt x="9225023" y="4259967"/>
              </a:cubicBezTo>
              <a:cubicBezTo>
                <a:pt x="9225023" y="4240740"/>
                <a:pt x="9240620" y="4225149"/>
                <a:pt x="9259848" y="4225149"/>
              </a:cubicBezTo>
              <a:cubicBezTo>
                <a:pt x="9279076" y="4225149"/>
                <a:pt x="9294660" y="4240740"/>
                <a:pt x="9294660" y="4259967"/>
              </a:cubicBezTo>
              <a:cubicBezTo>
                <a:pt x="9294660" y="4279195"/>
                <a:pt x="9279076" y="4294786"/>
                <a:pt x="9259848" y="4294786"/>
              </a:cubicBezTo>
              <a:close/>
              <a:moveTo>
                <a:pt x="9344740" y="4294786"/>
              </a:moveTo>
              <a:cubicBezTo>
                <a:pt x="9325513" y="4294786"/>
                <a:pt x="9309915" y="4279195"/>
                <a:pt x="9309915" y="4259967"/>
              </a:cubicBezTo>
              <a:cubicBezTo>
                <a:pt x="9309915" y="4240740"/>
                <a:pt x="9325513" y="4225149"/>
                <a:pt x="9344740" y="4225149"/>
              </a:cubicBezTo>
              <a:cubicBezTo>
                <a:pt x="9363968" y="4225149"/>
                <a:pt x="9379553" y="4240740"/>
                <a:pt x="9379553" y="4259967"/>
              </a:cubicBezTo>
              <a:cubicBezTo>
                <a:pt x="9379553" y="4279195"/>
                <a:pt x="9363968" y="4294786"/>
                <a:pt x="9344740" y="4294786"/>
              </a:cubicBezTo>
              <a:close/>
              <a:moveTo>
                <a:pt x="9429633" y="4294786"/>
              </a:moveTo>
              <a:cubicBezTo>
                <a:pt x="9410405" y="4294786"/>
                <a:pt x="9394807" y="4279195"/>
                <a:pt x="9394807" y="4259967"/>
              </a:cubicBezTo>
              <a:cubicBezTo>
                <a:pt x="9394807" y="4240740"/>
                <a:pt x="9410405" y="4225149"/>
                <a:pt x="9429633" y="4225149"/>
              </a:cubicBezTo>
              <a:cubicBezTo>
                <a:pt x="9448860" y="4225149"/>
                <a:pt x="9464445" y="4240740"/>
                <a:pt x="9464445" y="4259967"/>
              </a:cubicBezTo>
              <a:cubicBezTo>
                <a:pt x="9464445" y="4279195"/>
                <a:pt x="9448860" y="4294786"/>
                <a:pt x="9429633" y="4294786"/>
              </a:cubicBezTo>
              <a:close/>
              <a:moveTo>
                <a:pt x="9514525" y="4294786"/>
              </a:moveTo>
              <a:cubicBezTo>
                <a:pt x="9495297" y="4294786"/>
                <a:pt x="9479699" y="4279195"/>
                <a:pt x="9479699" y="4259967"/>
              </a:cubicBezTo>
              <a:cubicBezTo>
                <a:pt x="9479699" y="4240740"/>
                <a:pt x="9495297" y="4225149"/>
                <a:pt x="9514525" y="4225149"/>
              </a:cubicBezTo>
              <a:cubicBezTo>
                <a:pt x="9533753" y="4225149"/>
                <a:pt x="9549337" y="4240740"/>
                <a:pt x="9549337" y="4259967"/>
              </a:cubicBezTo>
              <a:cubicBezTo>
                <a:pt x="9549337" y="4279195"/>
                <a:pt x="9533753" y="4294786"/>
                <a:pt x="9514525" y="4294786"/>
              </a:cubicBezTo>
              <a:close/>
              <a:moveTo>
                <a:pt x="9599418" y="4294786"/>
              </a:moveTo>
              <a:cubicBezTo>
                <a:pt x="9580190" y="4294786"/>
                <a:pt x="9564593" y="4279195"/>
                <a:pt x="9564593" y="4259967"/>
              </a:cubicBezTo>
              <a:cubicBezTo>
                <a:pt x="9564593" y="4240740"/>
                <a:pt x="9580190" y="4225149"/>
                <a:pt x="9599418" y="4225149"/>
              </a:cubicBezTo>
              <a:cubicBezTo>
                <a:pt x="9618646" y="4225149"/>
                <a:pt x="9634230" y="4240740"/>
                <a:pt x="9634230" y="4259967"/>
              </a:cubicBezTo>
              <a:cubicBezTo>
                <a:pt x="9634230" y="4279195"/>
                <a:pt x="9618646" y="4294786"/>
                <a:pt x="9599418" y="4294786"/>
              </a:cubicBezTo>
              <a:close/>
              <a:moveTo>
                <a:pt x="9684310" y="4294786"/>
              </a:moveTo>
              <a:cubicBezTo>
                <a:pt x="9665083" y="4294786"/>
                <a:pt x="9649485" y="4279195"/>
                <a:pt x="9649485" y="4259967"/>
              </a:cubicBezTo>
              <a:cubicBezTo>
                <a:pt x="9649485" y="4240740"/>
                <a:pt x="9665083" y="4225149"/>
                <a:pt x="9684310" y="4225149"/>
              </a:cubicBezTo>
              <a:cubicBezTo>
                <a:pt x="9703538" y="4225149"/>
                <a:pt x="9719123" y="4240740"/>
                <a:pt x="9719123" y="4259967"/>
              </a:cubicBezTo>
              <a:cubicBezTo>
                <a:pt x="9719123" y="4279195"/>
                <a:pt x="9703538" y="4294786"/>
                <a:pt x="9684310" y="4294786"/>
              </a:cubicBezTo>
              <a:close/>
              <a:moveTo>
                <a:pt x="9769203" y="4294786"/>
              </a:moveTo>
              <a:cubicBezTo>
                <a:pt x="9749975" y="4294786"/>
                <a:pt x="9734377" y="4279195"/>
                <a:pt x="9734377" y="4259967"/>
              </a:cubicBezTo>
              <a:cubicBezTo>
                <a:pt x="9734377" y="4240740"/>
                <a:pt x="9749975" y="4225149"/>
                <a:pt x="9769203" y="4225149"/>
              </a:cubicBezTo>
              <a:cubicBezTo>
                <a:pt x="9788430" y="4225149"/>
                <a:pt x="9804015" y="4240740"/>
                <a:pt x="9804015" y="4259967"/>
              </a:cubicBezTo>
              <a:cubicBezTo>
                <a:pt x="9804015" y="4279195"/>
                <a:pt x="9788430" y="4294786"/>
                <a:pt x="9769203" y="4294786"/>
              </a:cubicBezTo>
              <a:close/>
              <a:moveTo>
                <a:pt x="9854095" y="4294786"/>
              </a:moveTo>
              <a:cubicBezTo>
                <a:pt x="9834867" y="4294786"/>
                <a:pt x="9819269" y="4279195"/>
                <a:pt x="9819269" y="4259967"/>
              </a:cubicBezTo>
              <a:cubicBezTo>
                <a:pt x="9819269" y="4240740"/>
                <a:pt x="9834867" y="4225149"/>
                <a:pt x="9854095" y="4225149"/>
              </a:cubicBezTo>
              <a:cubicBezTo>
                <a:pt x="9873323" y="4225149"/>
                <a:pt x="9888907" y="4240740"/>
                <a:pt x="9888907" y="4259967"/>
              </a:cubicBezTo>
              <a:cubicBezTo>
                <a:pt x="9888907" y="4279195"/>
                <a:pt x="9873323" y="4294786"/>
                <a:pt x="9854095" y="4294786"/>
              </a:cubicBezTo>
              <a:close/>
              <a:moveTo>
                <a:pt x="10108773" y="4294786"/>
              </a:moveTo>
              <a:cubicBezTo>
                <a:pt x="10089545" y="4294786"/>
                <a:pt x="10073947" y="4279195"/>
                <a:pt x="10073947" y="4259967"/>
              </a:cubicBezTo>
              <a:cubicBezTo>
                <a:pt x="10073947" y="4240740"/>
                <a:pt x="10089545" y="4225149"/>
                <a:pt x="10108773" y="4225149"/>
              </a:cubicBezTo>
              <a:cubicBezTo>
                <a:pt x="10128000" y="4225149"/>
                <a:pt x="10143585" y="4240740"/>
                <a:pt x="10143585" y="4259967"/>
              </a:cubicBezTo>
              <a:cubicBezTo>
                <a:pt x="10143585" y="4279195"/>
                <a:pt x="10128000" y="4294786"/>
                <a:pt x="10108773" y="4294786"/>
              </a:cubicBezTo>
              <a:close/>
              <a:moveTo>
                <a:pt x="10193665" y="4294786"/>
              </a:moveTo>
              <a:cubicBezTo>
                <a:pt x="10174437" y="4294786"/>
                <a:pt x="10158839" y="4279195"/>
                <a:pt x="10158839" y="4259967"/>
              </a:cubicBezTo>
              <a:cubicBezTo>
                <a:pt x="10158839" y="4240740"/>
                <a:pt x="10174437" y="4225149"/>
                <a:pt x="10193665" y="4225149"/>
              </a:cubicBezTo>
              <a:cubicBezTo>
                <a:pt x="10212893" y="4225149"/>
                <a:pt x="10228477" y="4240740"/>
                <a:pt x="10228477" y="4259967"/>
              </a:cubicBezTo>
              <a:cubicBezTo>
                <a:pt x="10228477" y="4279195"/>
                <a:pt x="10212893" y="4294786"/>
                <a:pt x="10193665" y="4294786"/>
              </a:cubicBezTo>
              <a:close/>
              <a:moveTo>
                <a:pt x="2213769" y="4209925"/>
              </a:moveTo>
              <a:cubicBezTo>
                <a:pt x="2194541" y="4209925"/>
                <a:pt x="2178950" y="4194334"/>
                <a:pt x="2178950" y="4175107"/>
              </a:cubicBezTo>
              <a:cubicBezTo>
                <a:pt x="2178950" y="4155879"/>
                <a:pt x="2194541" y="4140288"/>
                <a:pt x="2213769" y="4140288"/>
              </a:cubicBezTo>
              <a:cubicBezTo>
                <a:pt x="2232997" y="4140288"/>
                <a:pt x="2248588" y="4155879"/>
                <a:pt x="2248588" y="4175107"/>
              </a:cubicBezTo>
              <a:cubicBezTo>
                <a:pt x="2248588" y="4194334"/>
                <a:pt x="2232997" y="4209925"/>
                <a:pt x="2213769" y="4209925"/>
              </a:cubicBezTo>
              <a:close/>
              <a:moveTo>
                <a:pt x="2298661" y="4209925"/>
              </a:moveTo>
              <a:cubicBezTo>
                <a:pt x="2279433" y="4209925"/>
                <a:pt x="2263842" y="4194334"/>
                <a:pt x="2263842" y="4175107"/>
              </a:cubicBezTo>
              <a:cubicBezTo>
                <a:pt x="2263842" y="4155879"/>
                <a:pt x="2279433" y="4140288"/>
                <a:pt x="2298661" y="4140288"/>
              </a:cubicBezTo>
              <a:cubicBezTo>
                <a:pt x="2317889" y="4140288"/>
                <a:pt x="2333480" y="4155879"/>
                <a:pt x="2333480" y="4175107"/>
              </a:cubicBezTo>
              <a:cubicBezTo>
                <a:pt x="2333480" y="4194334"/>
                <a:pt x="2317889" y="4209925"/>
                <a:pt x="2298661" y="4209925"/>
              </a:cubicBezTo>
              <a:close/>
              <a:moveTo>
                <a:pt x="2383553" y="4209925"/>
              </a:moveTo>
              <a:cubicBezTo>
                <a:pt x="2364326" y="4209925"/>
                <a:pt x="2348734" y="4194334"/>
                <a:pt x="2348734" y="4175107"/>
              </a:cubicBezTo>
              <a:cubicBezTo>
                <a:pt x="2348734" y="4155879"/>
                <a:pt x="2364326" y="4140288"/>
                <a:pt x="2383553" y="4140288"/>
              </a:cubicBezTo>
              <a:cubicBezTo>
                <a:pt x="2402781" y="4140288"/>
                <a:pt x="2418372" y="4155879"/>
                <a:pt x="2418372" y="4175107"/>
              </a:cubicBezTo>
              <a:cubicBezTo>
                <a:pt x="2418372" y="4194334"/>
                <a:pt x="2402781" y="4209925"/>
                <a:pt x="2383553" y="4209925"/>
              </a:cubicBezTo>
              <a:close/>
              <a:moveTo>
                <a:pt x="2468446" y="4209925"/>
              </a:moveTo>
              <a:cubicBezTo>
                <a:pt x="2449218" y="4209925"/>
                <a:pt x="2433627" y="4194334"/>
                <a:pt x="2433627" y="4175107"/>
              </a:cubicBezTo>
              <a:cubicBezTo>
                <a:pt x="2433627" y="4155879"/>
                <a:pt x="2449218" y="4140288"/>
                <a:pt x="2468446" y="4140288"/>
              </a:cubicBezTo>
              <a:cubicBezTo>
                <a:pt x="2487673" y="4140288"/>
                <a:pt x="2503264" y="4155879"/>
                <a:pt x="2503264" y="4175107"/>
              </a:cubicBezTo>
              <a:cubicBezTo>
                <a:pt x="2503264" y="4194334"/>
                <a:pt x="2487673" y="4209925"/>
                <a:pt x="2468446" y="4209925"/>
              </a:cubicBezTo>
              <a:close/>
              <a:moveTo>
                <a:pt x="2553339" y="4209925"/>
              </a:moveTo>
              <a:cubicBezTo>
                <a:pt x="2534111" y="4209925"/>
                <a:pt x="2518520" y="4194334"/>
                <a:pt x="2518520" y="4175107"/>
              </a:cubicBezTo>
              <a:cubicBezTo>
                <a:pt x="2518520" y="4155879"/>
                <a:pt x="2534111" y="4140288"/>
                <a:pt x="2553339" y="4140288"/>
              </a:cubicBezTo>
              <a:cubicBezTo>
                <a:pt x="2572567" y="4140288"/>
                <a:pt x="2588158" y="4155879"/>
                <a:pt x="2588158" y="4175107"/>
              </a:cubicBezTo>
              <a:cubicBezTo>
                <a:pt x="2588158" y="4194334"/>
                <a:pt x="2572567" y="4209925"/>
                <a:pt x="2553339" y="4209925"/>
              </a:cubicBezTo>
              <a:close/>
              <a:moveTo>
                <a:pt x="2638231" y="4209925"/>
              </a:moveTo>
              <a:cubicBezTo>
                <a:pt x="2619003" y="4209925"/>
                <a:pt x="2603412" y="4194334"/>
                <a:pt x="2603412" y="4175107"/>
              </a:cubicBezTo>
              <a:cubicBezTo>
                <a:pt x="2603412" y="4155879"/>
                <a:pt x="2619003" y="4140288"/>
                <a:pt x="2638231" y="4140288"/>
              </a:cubicBezTo>
              <a:cubicBezTo>
                <a:pt x="2657459" y="4140288"/>
                <a:pt x="2673050" y="4155879"/>
                <a:pt x="2673050" y="4175107"/>
              </a:cubicBezTo>
              <a:cubicBezTo>
                <a:pt x="2673050" y="4194334"/>
                <a:pt x="2657459" y="4209925"/>
                <a:pt x="2638231" y="4209925"/>
              </a:cubicBezTo>
              <a:close/>
              <a:moveTo>
                <a:pt x="2723123" y="4209925"/>
              </a:moveTo>
              <a:cubicBezTo>
                <a:pt x="2703896" y="4209925"/>
                <a:pt x="2688304" y="4194334"/>
                <a:pt x="2688304" y="4175107"/>
              </a:cubicBezTo>
              <a:cubicBezTo>
                <a:pt x="2688304" y="4155879"/>
                <a:pt x="2703896" y="4140288"/>
                <a:pt x="2723123" y="4140288"/>
              </a:cubicBezTo>
              <a:cubicBezTo>
                <a:pt x="2742351" y="4140288"/>
                <a:pt x="2757942" y="4155879"/>
                <a:pt x="2757942" y="4175107"/>
              </a:cubicBezTo>
              <a:cubicBezTo>
                <a:pt x="2757942" y="4194334"/>
                <a:pt x="2742351" y="4209925"/>
                <a:pt x="2723123" y="4209925"/>
              </a:cubicBezTo>
              <a:close/>
              <a:moveTo>
                <a:pt x="2808016" y="4209925"/>
              </a:moveTo>
              <a:cubicBezTo>
                <a:pt x="2788788" y="4209925"/>
                <a:pt x="2773197" y="4194334"/>
                <a:pt x="2773197" y="4175107"/>
              </a:cubicBezTo>
              <a:cubicBezTo>
                <a:pt x="2773197" y="4155879"/>
                <a:pt x="2788788" y="4140288"/>
                <a:pt x="2808016" y="4140288"/>
              </a:cubicBezTo>
              <a:cubicBezTo>
                <a:pt x="2827243" y="4140288"/>
                <a:pt x="2842834" y="4155879"/>
                <a:pt x="2842834" y="4175107"/>
              </a:cubicBezTo>
              <a:cubicBezTo>
                <a:pt x="2842834" y="4194334"/>
                <a:pt x="2827243" y="4209925"/>
                <a:pt x="2808016" y="4209925"/>
              </a:cubicBezTo>
              <a:close/>
              <a:moveTo>
                <a:pt x="2892908" y="4209925"/>
              </a:moveTo>
              <a:cubicBezTo>
                <a:pt x="2873680" y="4209925"/>
                <a:pt x="2858089" y="4194334"/>
                <a:pt x="2858089" y="4175107"/>
              </a:cubicBezTo>
              <a:cubicBezTo>
                <a:pt x="2858089" y="4155879"/>
                <a:pt x="2873680" y="4140288"/>
                <a:pt x="2892908" y="4140288"/>
              </a:cubicBezTo>
              <a:cubicBezTo>
                <a:pt x="2912136" y="4140288"/>
                <a:pt x="2927727" y="4155879"/>
                <a:pt x="2927727" y="4175107"/>
              </a:cubicBezTo>
              <a:cubicBezTo>
                <a:pt x="2927727" y="4194334"/>
                <a:pt x="2912136" y="4209925"/>
                <a:pt x="2892908" y="4209925"/>
              </a:cubicBezTo>
              <a:close/>
              <a:moveTo>
                <a:pt x="2977801" y="4209925"/>
              </a:moveTo>
              <a:cubicBezTo>
                <a:pt x="2958573" y="4209925"/>
                <a:pt x="2942982" y="4194334"/>
                <a:pt x="2942982" y="4175107"/>
              </a:cubicBezTo>
              <a:cubicBezTo>
                <a:pt x="2942982" y="4155879"/>
                <a:pt x="2958573" y="4140288"/>
                <a:pt x="2977801" y="4140288"/>
              </a:cubicBezTo>
              <a:cubicBezTo>
                <a:pt x="2997029" y="4140288"/>
                <a:pt x="3012620" y="4155879"/>
                <a:pt x="3012620" y="4175107"/>
              </a:cubicBezTo>
              <a:cubicBezTo>
                <a:pt x="3012620" y="4194334"/>
                <a:pt x="2997029" y="4209925"/>
                <a:pt x="2977801" y="4209925"/>
              </a:cubicBezTo>
              <a:close/>
              <a:moveTo>
                <a:pt x="3062693" y="4209925"/>
              </a:moveTo>
              <a:cubicBezTo>
                <a:pt x="3043466" y="4209925"/>
                <a:pt x="3027874" y="4194334"/>
                <a:pt x="3027874" y="4175107"/>
              </a:cubicBezTo>
              <a:cubicBezTo>
                <a:pt x="3027874" y="4155879"/>
                <a:pt x="3043466" y="4140288"/>
                <a:pt x="3062693" y="4140288"/>
              </a:cubicBezTo>
              <a:cubicBezTo>
                <a:pt x="3081921" y="4140288"/>
                <a:pt x="3097512" y="4155879"/>
                <a:pt x="3097512" y="4175107"/>
              </a:cubicBezTo>
              <a:cubicBezTo>
                <a:pt x="3097512" y="4194334"/>
                <a:pt x="3081921" y="4209925"/>
                <a:pt x="3062693" y="4209925"/>
              </a:cubicBezTo>
              <a:close/>
              <a:moveTo>
                <a:pt x="3147586" y="4209925"/>
              </a:moveTo>
              <a:cubicBezTo>
                <a:pt x="3128358" y="4209925"/>
                <a:pt x="3112767" y="4194334"/>
                <a:pt x="3112767" y="4175107"/>
              </a:cubicBezTo>
              <a:cubicBezTo>
                <a:pt x="3112767" y="4155879"/>
                <a:pt x="3128358" y="4140288"/>
                <a:pt x="3147586" y="4140288"/>
              </a:cubicBezTo>
              <a:cubicBezTo>
                <a:pt x="3166813" y="4140288"/>
                <a:pt x="3182404" y="4155879"/>
                <a:pt x="3182404" y="4175107"/>
              </a:cubicBezTo>
              <a:cubicBezTo>
                <a:pt x="3182404" y="4194334"/>
                <a:pt x="3166813" y="4209925"/>
                <a:pt x="3147586" y="4209925"/>
              </a:cubicBezTo>
              <a:close/>
              <a:moveTo>
                <a:pt x="3232478" y="4209925"/>
              </a:moveTo>
              <a:cubicBezTo>
                <a:pt x="3213250" y="4209925"/>
                <a:pt x="3197659" y="4194334"/>
                <a:pt x="3197659" y="4175107"/>
              </a:cubicBezTo>
              <a:cubicBezTo>
                <a:pt x="3197659" y="4155879"/>
                <a:pt x="3213250" y="4140288"/>
                <a:pt x="3232478" y="4140288"/>
              </a:cubicBezTo>
              <a:cubicBezTo>
                <a:pt x="3251706" y="4140288"/>
                <a:pt x="3267297" y="4155879"/>
                <a:pt x="3267297" y="4175107"/>
              </a:cubicBezTo>
              <a:cubicBezTo>
                <a:pt x="3267297" y="4194334"/>
                <a:pt x="3251706" y="4209925"/>
                <a:pt x="3232478" y="4209925"/>
              </a:cubicBezTo>
              <a:close/>
              <a:moveTo>
                <a:pt x="3402263" y="4209925"/>
              </a:moveTo>
              <a:cubicBezTo>
                <a:pt x="3383036" y="4209925"/>
                <a:pt x="3367444" y="4194334"/>
                <a:pt x="3367444" y="4175107"/>
              </a:cubicBezTo>
              <a:cubicBezTo>
                <a:pt x="3367444" y="4155879"/>
                <a:pt x="3383036" y="4140288"/>
                <a:pt x="3402263" y="4140288"/>
              </a:cubicBezTo>
              <a:cubicBezTo>
                <a:pt x="3421491" y="4140288"/>
                <a:pt x="3437082" y="4155879"/>
                <a:pt x="3437082" y="4175107"/>
              </a:cubicBezTo>
              <a:cubicBezTo>
                <a:pt x="3437082" y="4194334"/>
                <a:pt x="3421491" y="4209925"/>
                <a:pt x="3402263" y="4209925"/>
              </a:cubicBezTo>
              <a:close/>
              <a:moveTo>
                <a:pt x="3572048" y="4209925"/>
              </a:moveTo>
              <a:cubicBezTo>
                <a:pt x="3552820" y="4209925"/>
                <a:pt x="3537229" y="4194334"/>
                <a:pt x="3537229" y="4175107"/>
              </a:cubicBezTo>
              <a:cubicBezTo>
                <a:pt x="3537229" y="4155879"/>
                <a:pt x="3552820" y="4140288"/>
                <a:pt x="3572048" y="4140288"/>
              </a:cubicBezTo>
              <a:cubicBezTo>
                <a:pt x="3591276" y="4140288"/>
                <a:pt x="3606867" y="4155879"/>
                <a:pt x="3606867" y="4175107"/>
              </a:cubicBezTo>
              <a:cubicBezTo>
                <a:pt x="3606867" y="4194334"/>
                <a:pt x="3591276" y="4209925"/>
                <a:pt x="3572048" y="4209925"/>
              </a:cubicBezTo>
              <a:close/>
              <a:moveTo>
                <a:pt x="3656941" y="4209925"/>
              </a:moveTo>
              <a:cubicBezTo>
                <a:pt x="3637713" y="4209925"/>
                <a:pt x="3622122" y="4194334"/>
                <a:pt x="3622122" y="4175107"/>
              </a:cubicBezTo>
              <a:cubicBezTo>
                <a:pt x="3622122" y="4155879"/>
                <a:pt x="3637713" y="4140288"/>
                <a:pt x="3656941" y="4140288"/>
              </a:cubicBezTo>
              <a:cubicBezTo>
                <a:pt x="3676169" y="4140288"/>
                <a:pt x="3691760" y="4155879"/>
                <a:pt x="3691760" y="4175107"/>
              </a:cubicBezTo>
              <a:cubicBezTo>
                <a:pt x="3691760" y="4194334"/>
                <a:pt x="3676169" y="4209925"/>
                <a:pt x="3656941" y="4209925"/>
              </a:cubicBezTo>
              <a:close/>
              <a:moveTo>
                <a:pt x="3741833" y="4209925"/>
              </a:moveTo>
              <a:cubicBezTo>
                <a:pt x="3722606" y="4209925"/>
                <a:pt x="3707014" y="4194334"/>
                <a:pt x="3707014" y="4175107"/>
              </a:cubicBezTo>
              <a:cubicBezTo>
                <a:pt x="3707014" y="4155879"/>
                <a:pt x="3722606" y="4140288"/>
                <a:pt x="3741833" y="4140288"/>
              </a:cubicBezTo>
              <a:cubicBezTo>
                <a:pt x="3761061" y="4140288"/>
                <a:pt x="3776652" y="4155879"/>
                <a:pt x="3776652" y="4175107"/>
              </a:cubicBezTo>
              <a:cubicBezTo>
                <a:pt x="3776652" y="4194334"/>
                <a:pt x="3761061" y="4209925"/>
                <a:pt x="3741833" y="4209925"/>
              </a:cubicBezTo>
              <a:close/>
              <a:moveTo>
                <a:pt x="3826726" y="4209925"/>
              </a:moveTo>
              <a:cubicBezTo>
                <a:pt x="3807498" y="4209925"/>
                <a:pt x="3791907" y="4194334"/>
                <a:pt x="3791907" y="4175107"/>
              </a:cubicBezTo>
              <a:cubicBezTo>
                <a:pt x="3791907" y="4155879"/>
                <a:pt x="3807498" y="4140288"/>
                <a:pt x="3826726" y="4140288"/>
              </a:cubicBezTo>
              <a:cubicBezTo>
                <a:pt x="3845953" y="4140288"/>
                <a:pt x="3861544" y="4155879"/>
                <a:pt x="3861544" y="4175107"/>
              </a:cubicBezTo>
              <a:cubicBezTo>
                <a:pt x="3861544" y="4194334"/>
                <a:pt x="3845953" y="4209925"/>
                <a:pt x="3826726" y="4209925"/>
              </a:cubicBezTo>
              <a:close/>
              <a:moveTo>
                <a:pt x="3911618" y="4209925"/>
              </a:moveTo>
              <a:cubicBezTo>
                <a:pt x="3892390" y="4209925"/>
                <a:pt x="3876799" y="4194334"/>
                <a:pt x="3876799" y="4175107"/>
              </a:cubicBezTo>
              <a:cubicBezTo>
                <a:pt x="3876799" y="4155879"/>
                <a:pt x="3892390" y="4140288"/>
                <a:pt x="3911618" y="4140288"/>
              </a:cubicBezTo>
              <a:cubicBezTo>
                <a:pt x="3930846" y="4140288"/>
                <a:pt x="3946437" y="4155879"/>
                <a:pt x="3946437" y="4175107"/>
              </a:cubicBezTo>
              <a:cubicBezTo>
                <a:pt x="3946437" y="4194334"/>
                <a:pt x="3930846" y="4209925"/>
                <a:pt x="3911618" y="4209925"/>
              </a:cubicBezTo>
              <a:close/>
              <a:moveTo>
                <a:pt x="4081403" y="4209925"/>
              </a:moveTo>
              <a:cubicBezTo>
                <a:pt x="4062176" y="4209925"/>
                <a:pt x="4046584" y="4194334"/>
                <a:pt x="4046584" y="4175107"/>
              </a:cubicBezTo>
              <a:cubicBezTo>
                <a:pt x="4046584" y="4155879"/>
                <a:pt x="4062176" y="4140288"/>
                <a:pt x="4081403" y="4140288"/>
              </a:cubicBezTo>
              <a:cubicBezTo>
                <a:pt x="4100631" y="4140288"/>
                <a:pt x="4116222" y="4155879"/>
                <a:pt x="4116222" y="4175107"/>
              </a:cubicBezTo>
              <a:cubicBezTo>
                <a:pt x="4116222" y="4194334"/>
                <a:pt x="4100631" y="4209925"/>
                <a:pt x="4081403" y="4209925"/>
              </a:cubicBezTo>
              <a:close/>
              <a:moveTo>
                <a:pt x="5779252" y="4209925"/>
              </a:moveTo>
              <a:cubicBezTo>
                <a:pt x="5760025" y="4209925"/>
                <a:pt x="5744433" y="4194334"/>
                <a:pt x="5744433" y="4175107"/>
              </a:cubicBezTo>
              <a:cubicBezTo>
                <a:pt x="5744433" y="4155879"/>
                <a:pt x="5760025" y="4140288"/>
                <a:pt x="5779252" y="4140288"/>
              </a:cubicBezTo>
              <a:cubicBezTo>
                <a:pt x="5798480" y="4140288"/>
                <a:pt x="5814071" y="4155879"/>
                <a:pt x="5814071" y="4175107"/>
              </a:cubicBezTo>
              <a:cubicBezTo>
                <a:pt x="5814071" y="4194334"/>
                <a:pt x="5798480" y="4209925"/>
                <a:pt x="5779252" y="4209925"/>
              </a:cubicBezTo>
              <a:close/>
              <a:moveTo>
                <a:pt x="5864146" y="4209925"/>
              </a:moveTo>
              <a:cubicBezTo>
                <a:pt x="5844918" y="4209925"/>
                <a:pt x="5829327" y="4194334"/>
                <a:pt x="5829327" y="4175107"/>
              </a:cubicBezTo>
              <a:cubicBezTo>
                <a:pt x="5829327" y="4155879"/>
                <a:pt x="5844918" y="4140288"/>
                <a:pt x="5864146" y="4140288"/>
              </a:cubicBezTo>
              <a:cubicBezTo>
                <a:pt x="5883373" y="4140288"/>
                <a:pt x="5898964" y="4155879"/>
                <a:pt x="5898964" y="4175107"/>
              </a:cubicBezTo>
              <a:cubicBezTo>
                <a:pt x="5898964" y="4194334"/>
                <a:pt x="5883373" y="4209925"/>
                <a:pt x="5864146" y="4209925"/>
              </a:cubicBezTo>
              <a:close/>
              <a:moveTo>
                <a:pt x="5949038" y="4209925"/>
              </a:moveTo>
              <a:cubicBezTo>
                <a:pt x="5929810" y="4209925"/>
                <a:pt x="5914219" y="4194334"/>
                <a:pt x="5914219" y="4175107"/>
              </a:cubicBezTo>
              <a:cubicBezTo>
                <a:pt x="5914219" y="4155879"/>
                <a:pt x="5929810" y="4140288"/>
                <a:pt x="5949038" y="4140288"/>
              </a:cubicBezTo>
              <a:cubicBezTo>
                <a:pt x="5968266" y="4140288"/>
                <a:pt x="5983857" y="4155879"/>
                <a:pt x="5983857" y="4175107"/>
              </a:cubicBezTo>
              <a:cubicBezTo>
                <a:pt x="5983857" y="4194334"/>
                <a:pt x="5968266" y="4209925"/>
                <a:pt x="5949038" y="4209925"/>
              </a:cubicBezTo>
              <a:close/>
              <a:moveTo>
                <a:pt x="6033930" y="4209925"/>
              </a:moveTo>
              <a:cubicBezTo>
                <a:pt x="6014702" y="4209925"/>
                <a:pt x="5999111" y="4194334"/>
                <a:pt x="5999111" y="4175107"/>
              </a:cubicBezTo>
              <a:cubicBezTo>
                <a:pt x="5999111" y="4155879"/>
                <a:pt x="6014702" y="4140288"/>
                <a:pt x="6033930" y="4140288"/>
              </a:cubicBezTo>
              <a:cubicBezTo>
                <a:pt x="6053158" y="4140288"/>
                <a:pt x="6068749" y="4155879"/>
                <a:pt x="6068749" y="4175107"/>
              </a:cubicBezTo>
              <a:cubicBezTo>
                <a:pt x="6068749" y="4194334"/>
                <a:pt x="6053158" y="4209925"/>
                <a:pt x="6033930" y="4209925"/>
              </a:cubicBezTo>
              <a:close/>
              <a:moveTo>
                <a:pt x="6118826" y="4209925"/>
              </a:moveTo>
              <a:cubicBezTo>
                <a:pt x="6099592" y="4209925"/>
                <a:pt x="6084000" y="4194334"/>
                <a:pt x="6084000" y="4175107"/>
              </a:cubicBezTo>
              <a:cubicBezTo>
                <a:pt x="6084000" y="4155879"/>
                <a:pt x="6099592" y="4140288"/>
                <a:pt x="6118826" y="4140288"/>
              </a:cubicBezTo>
              <a:cubicBezTo>
                <a:pt x="6138054" y="4140288"/>
                <a:pt x="6153638" y="4155879"/>
                <a:pt x="6153638" y="4175107"/>
              </a:cubicBezTo>
              <a:cubicBezTo>
                <a:pt x="6153638" y="4194334"/>
                <a:pt x="6138054" y="4209925"/>
                <a:pt x="6118826" y="4209925"/>
              </a:cubicBezTo>
              <a:close/>
              <a:moveTo>
                <a:pt x="6203718" y="4209925"/>
              </a:moveTo>
              <a:cubicBezTo>
                <a:pt x="6184490" y="4209925"/>
                <a:pt x="6168893" y="4194334"/>
                <a:pt x="6168893" y="4175107"/>
              </a:cubicBezTo>
              <a:cubicBezTo>
                <a:pt x="6168893" y="4155879"/>
                <a:pt x="6184490" y="4140288"/>
                <a:pt x="6203718" y="4140288"/>
              </a:cubicBezTo>
              <a:cubicBezTo>
                <a:pt x="6222946" y="4140288"/>
                <a:pt x="6238530" y="4155879"/>
                <a:pt x="6238530" y="4175107"/>
              </a:cubicBezTo>
              <a:cubicBezTo>
                <a:pt x="6238530" y="4194334"/>
                <a:pt x="6222946" y="4209925"/>
                <a:pt x="6203718" y="4209925"/>
              </a:cubicBezTo>
              <a:close/>
              <a:moveTo>
                <a:pt x="6288611" y="4209925"/>
              </a:moveTo>
              <a:cubicBezTo>
                <a:pt x="6269384" y="4209925"/>
                <a:pt x="6253786" y="4194334"/>
                <a:pt x="6253786" y="4175107"/>
              </a:cubicBezTo>
              <a:cubicBezTo>
                <a:pt x="6253786" y="4155879"/>
                <a:pt x="6269384" y="4140288"/>
                <a:pt x="6288611" y="4140288"/>
              </a:cubicBezTo>
              <a:cubicBezTo>
                <a:pt x="6307839" y="4140288"/>
                <a:pt x="6323424" y="4155879"/>
                <a:pt x="6323424" y="4175107"/>
              </a:cubicBezTo>
              <a:cubicBezTo>
                <a:pt x="6323424" y="4194334"/>
                <a:pt x="6307839" y="4209925"/>
                <a:pt x="6288611" y="4209925"/>
              </a:cubicBezTo>
              <a:close/>
              <a:moveTo>
                <a:pt x="6373504" y="4209925"/>
              </a:moveTo>
              <a:cubicBezTo>
                <a:pt x="6354276" y="4209925"/>
                <a:pt x="6338678" y="4194334"/>
                <a:pt x="6338678" y="4175107"/>
              </a:cubicBezTo>
              <a:cubicBezTo>
                <a:pt x="6338678" y="4155879"/>
                <a:pt x="6354276" y="4140288"/>
                <a:pt x="6373504" y="4140288"/>
              </a:cubicBezTo>
              <a:cubicBezTo>
                <a:pt x="6392731" y="4140288"/>
                <a:pt x="6408316" y="4155879"/>
                <a:pt x="6408316" y="4175107"/>
              </a:cubicBezTo>
              <a:cubicBezTo>
                <a:pt x="6408316" y="4194334"/>
                <a:pt x="6392731" y="4209925"/>
                <a:pt x="6373504" y="4209925"/>
              </a:cubicBezTo>
              <a:close/>
              <a:moveTo>
                <a:pt x="6458396" y="4209925"/>
              </a:moveTo>
              <a:cubicBezTo>
                <a:pt x="6439168" y="4209925"/>
                <a:pt x="6423570" y="4194334"/>
                <a:pt x="6423570" y="4175107"/>
              </a:cubicBezTo>
              <a:cubicBezTo>
                <a:pt x="6423570" y="4155879"/>
                <a:pt x="6439168" y="4140288"/>
                <a:pt x="6458396" y="4140288"/>
              </a:cubicBezTo>
              <a:cubicBezTo>
                <a:pt x="6477624" y="4140288"/>
                <a:pt x="6493208" y="4155879"/>
                <a:pt x="6493208" y="4175107"/>
              </a:cubicBezTo>
              <a:cubicBezTo>
                <a:pt x="6493208" y="4194334"/>
                <a:pt x="6477624" y="4209925"/>
                <a:pt x="6458396" y="4209925"/>
              </a:cubicBezTo>
              <a:close/>
              <a:moveTo>
                <a:pt x="6543288" y="4209925"/>
              </a:moveTo>
              <a:cubicBezTo>
                <a:pt x="6524060" y="4209925"/>
                <a:pt x="6508463" y="4194334"/>
                <a:pt x="6508463" y="4175107"/>
              </a:cubicBezTo>
              <a:cubicBezTo>
                <a:pt x="6508463" y="4155879"/>
                <a:pt x="6524060" y="4140288"/>
                <a:pt x="6543288" y="4140288"/>
              </a:cubicBezTo>
              <a:cubicBezTo>
                <a:pt x="6562516" y="4140288"/>
                <a:pt x="6578100" y="4155879"/>
                <a:pt x="6578100" y="4175107"/>
              </a:cubicBezTo>
              <a:cubicBezTo>
                <a:pt x="6578100" y="4194334"/>
                <a:pt x="6562516" y="4209925"/>
                <a:pt x="6543288" y="4209925"/>
              </a:cubicBezTo>
              <a:close/>
              <a:moveTo>
                <a:pt x="6628181" y="4209925"/>
              </a:moveTo>
              <a:cubicBezTo>
                <a:pt x="6608954" y="4209925"/>
                <a:pt x="6593356" y="4194334"/>
                <a:pt x="6593356" y="4175107"/>
              </a:cubicBezTo>
              <a:cubicBezTo>
                <a:pt x="6593356" y="4155879"/>
                <a:pt x="6608954" y="4140288"/>
                <a:pt x="6628181" y="4140288"/>
              </a:cubicBezTo>
              <a:cubicBezTo>
                <a:pt x="6647409" y="4140288"/>
                <a:pt x="6662994" y="4155879"/>
                <a:pt x="6662994" y="4175107"/>
              </a:cubicBezTo>
              <a:cubicBezTo>
                <a:pt x="6662994" y="4194334"/>
                <a:pt x="6647409" y="4209925"/>
                <a:pt x="6628181" y="4209925"/>
              </a:cubicBezTo>
              <a:close/>
              <a:moveTo>
                <a:pt x="6713074" y="4209925"/>
              </a:moveTo>
              <a:cubicBezTo>
                <a:pt x="6693846" y="4209925"/>
                <a:pt x="6678248" y="4194334"/>
                <a:pt x="6678248" y="4175107"/>
              </a:cubicBezTo>
              <a:cubicBezTo>
                <a:pt x="6678248" y="4155879"/>
                <a:pt x="6693846" y="4140288"/>
                <a:pt x="6713074" y="4140288"/>
              </a:cubicBezTo>
              <a:cubicBezTo>
                <a:pt x="6732301" y="4140288"/>
                <a:pt x="6747886" y="4155879"/>
                <a:pt x="6747886" y="4175107"/>
              </a:cubicBezTo>
              <a:cubicBezTo>
                <a:pt x="6747886" y="4194334"/>
                <a:pt x="6732301" y="4209925"/>
                <a:pt x="6713074" y="4209925"/>
              </a:cubicBezTo>
              <a:close/>
              <a:moveTo>
                <a:pt x="6882858" y="4209925"/>
              </a:moveTo>
              <a:cubicBezTo>
                <a:pt x="6863630" y="4209925"/>
                <a:pt x="6848033" y="4194334"/>
                <a:pt x="6848033" y="4175107"/>
              </a:cubicBezTo>
              <a:cubicBezTo>
                <a:pt x="6848033" y="4155879"/>
                <a:pt x="6863630" y="4140288"/>
                <a:pt x="6882858" y="4140288"/>
              </a:cubicBezTo>
              <a:cubicBezTo>
                <a:pt x="6902086" y="4140288"/>
                <a:pt x="6917670" y="4155879"/>
                <a:pt x="6917670" y="4175107"/>
              </a:cubicBezTo>
              <a:cubicBezTo>
                <a:pt x="6917670" y="4194334"/>
                <a:pt x="6902086" y="4209925"/>
                <a:pt x="6882858" y="4209925"/>
              </a:cubicBezTo>
              <a:close/>
              <a:moveTo>
                <a:pt x="7052644" y="4209925"/>
              </a:moveTo>
              <a:cubicBezTo>
                <a:pt x="7033416" y="4209925"/>
                <a:pt x="7017818" y="4194334"/>
                <a:pt x="7017818" y="4175107"/>
              </a:cubicBezTo>
              <a:cubicBezTo>
                <a:pt x="7017818" y="4155879"/>
                <a:pt x="7033416" y="4140288"/>
                <a:pt x="7052644" y="4140288"/>
              </a:cubicBezTo>
              <a:cubicBezTo>
                <a:pt x="7071871" y="4140288"/>
                <a:pt x="7087456" y="4155879"/>
                <a:pt x="7087456" y="4175107"/>
              </a:cubicBezTo>
              <a:cubicBezTo>
                <a:pt x="7087456" y="4194334"/>
                <a:pt x="7071871" y="4209925"/>
                <a:pt x="7052644" y="4209925"/>
              </a:cubicBezTo>
              <a:close/>
              <a:moveTo>
                <a:pt x="7137536" y="4209925"/>
              </a:moveTo>
              <a:cubicBezTo>
                <a:pt x="7118308" y="4209925"/>
                <a:pt x="7102710" y="4194334"/>
                <a:pt x="7102710" y="4175107"/>
              </a:cubicBezTo>
              <a:cubicBezTo>
                <a:pt x="7102710" y="4155879"/>
                <a:pt x="7118308" y="4140288"/>
                <a:pt x="7137536" y="4140288"/>
              </a:cubicBezTo>
              <a:cubicBezTo>
                <a:pt x="7156764" y="4140288"/>
                <a:pt x="7172348" y="4155879"/>
                <a:pt x="7172348" y="4175107"/>
              </a:cubicBezTo>
              <a:cubicBezTo>
                <a:pt x="7172348" y="4194334"/>
                <a:pt x="7156764" y="4209925"/>
                <a:pt x="7137536" y="4209925"/>
              </a:cubicBezTo>
              <a:close/>
              <a:moveTo>
                <a:pt x="7222428" y="4209925"/>
              </a:moveTo>
              <a:cubicBezTo>
                <a:pt x="7203200" y="4209925"/>
                <a:pt x="7187603" y="4194334"/>
                <a:pt x="7187603" y="4175107"/>
              </a:cubicBezTo>
              <a:cubicBezTo>
                <a:pt x="7187603" y="4155879"/>
                <a:pt x="7203200" y="4140288"/>
                <a:pt x="7222428" y="4140288"/>
              </a:cubicBezTo>
              <a:cubicBezTo>
                <a:pt x="7241656" y="4140288"/>
                <a:pt x="7257240" y="4155879"/>
                <a:pt x="7257240" y="4175107"/>
              </a:cubicBezTo>
              <a:cubicBezTo>
                <a:pt x="7257240" y="4194334"/>
                <a:pt x="7241656" y="4209925"/>
                <a:pt x="7222428" y="4209925"/>
              </a:cubicBezTo>
              <a:close/>
              <a:moveTo>
                <a:pt x="7477106" y="4209925"/>
              </a:moveTo>
              <a:cubicBezTo>
                <a:pt x="7457878" y="4209925"/>
                <a:pt x="7442280" y="4194334"/>
                <a:pt x="7442280" y="4175107"/>
              </a:cubicBezTo>
              <a:cubicBezTo>
                <a:pt x="7442280" y="4155879"/>
                <a:pt x="7457878" y="4140288"/>
                <a:pt x="7477106" y="4140288"/>
              </a:cubicBezTo>
              <a:cubicBezTo>
                <a:pt x="7496334" y="4140288"/>
                <a:pt x="7511918" y="4155879"/>
                <a:pt x="7511918" y="4175107"/>
              </a:cubicBezTo>
              <a:cubicBezTo>
                <a:pt x="7511918" y="4194334"/>
                <a:pt x="7496334" y="4209925"/>
                <a:pt x="7477106" y="4209925"/>
              </a:cubicBezTo>
              <a:close/>
              <a:moveTo>
                <a:pt x="7561998" y="4209925"/>
              </a:moveTo>
              <a:cubicBezTo>
                <a:pt x="7542770" y="4209925"/>
                <a:pt x="7527173" y="4194334"/>
                <a:pt x="7527173" y="4175107"/>
              </a:cubicBezTo>
              <a:cubicBezTo>
                <a:pt x="7527173" y="4155879"/>
                <a:pt x="7542770" y="4140288"/>
                <a:pt x="7561998" y="4140288"/>
              </a:cubicBezTo>
              <a:cubicBezTo>
                <a:pt x="7581226" y="4140288"/>
                <a:pt x="7596810" y="4155879"/>
                <a:pt x="7596810" y="4175107"/>
              </a:cubicBezTo>
              <a:cubicBezTo>
                <a:pt x="7596810" y="4194334"/>
                <a:pt x="7581226" y="4209925"/>
                <a:pt x="7561998" y="4209925"/>
              </a:cubicBezTo>
              <a:close/>
              <a:moveTo>
                <a:pt x="7646890" y="4209925"/>
              </a:moveTo>
              <a:cubicBezTo>
                <a:pt x="7627663" y="4209925"/>
                <a:pt x="7612065" y="4194334"/>
                <a:pt x="7612065" y="4175107"/>
              </a:cubicBezTo>
              <a:cubicBezTo>
                <a:pt x="7612065" y="4155879"/>
                <a:pt x="7627663" y="4140288"/>
                <a:pt x="7646890" y="4140288"/>
              </a:cubicBezTo>
              <a:cubicBezTo>
                <a:pt x="7666118" y="4140288"/>
                <a:pt x="7681703" y="4155879"/>
                <a:pt x="7681703" y="4175107"/>
              </a:cubicBezTo>
              <a:cubicBezTo>
                <a:pt x="7681703" y="4194334"/>
                <a:pt x="7666118" y="4209925"/>
                <a:pt x="7646890" y="4209925"/>
              </a:cubicBezTo>
              <a:close/>
              <a:moveTo>
                <a:pt x="7731784" y="4209925"/>
              </a:moveTo>
              <a:cubicBezTo>
                <a:pt x="7712556" y="4209925"/>
                <a:pt x="7696958" y="4194334"/>
                <a:pt x="7696958" y="4175107"/>
              </a:cubicBezTo>
              <a:cubicBezTo>
                <a:pt x="7696958" y="4155879"/>
                <a:pt x="7712556" y="4140288"/>
                <a:pt x="7731784" y="4140288"/>
              </a:cubicBezTo>
              <a:cubicBezTo>
                <a:pt x="7751011" y="4140288"/>
                <a:pt x="7766596" y="4155879"/>
                <a:pt x="7766596" y="4175107"/>
              </a:cubicBezTo>
              <a:cubicBezTo>
                <a:pt x="7766596" y="4194334"/>
                <a:pt x="7751011" y="4209925"/>
                <a:pt x="7731784" y="4209925"/>
              </a:cubicBezTo>
              <a:close/>
              <a:moveTo>
                <a:pt x="7816676" y="4209925"/>
              </a:moveTo>
              <a:cubicBezTo>
                <a:pt x="7797448" y="4209925"/>
                <a:pt x="7781850" y="4194334"/>
                <a:pt x="7781850" y="4175107"/>
              </a:cubicBezTo>
              <a:cubicBezTo>
                <a:pt x="7781850" y="4155879"/>
                <a:pt x="7797448" y="4140288"/>
                <a:pt x="7816676" y="4140288"/>
              </a:cubicBezTo>
              <a:cubicBezTo>
                <a:pt x="7835904" y="4140288"/>
                <a:pt x="7851488" y="4155879"/>
                <a:pt x="7851488" y="4175107"/>
              </a:cubicBezTo>
              <a:cubicBezTo>
                <a:pt x="7851488" y="4194334"/>
                <a:pt x="7835904" y="4209925"/>
                <a:pt x="7816676" y="4209925"/>
              </a:cubicBezTo>
              <a:close/>
              <a:moveTo>
                <a:pt x="7901568" y="4209925"/>
              </a:moveTo>
              <a:cubicBezTo>
                <a:pt x="7882340" y="4209925"/>
                <a:pt x="7866743" y="4194334"/>
                <a:pt x="7866743" y="4175107"/>
              </a:cubicBezTo>
              <a:cubicBezTo>
                <a:pt x="7866743" y="4155879"/>
                <a:pt x="7882340" y="4140288"/>
                <a:pt x="7901568" y="4140288"/>
              </a:cubicBezTo>
              <a:cubicBezTo>
                <a:pt x="7920796" y="4140288"/>
                <a:pt x="7936380" y="4155879"/>
                <a:pt x="7936380" y="4175107"/>
              </a:cubicBezTo>
              <a:cubicBezTo>
                <a:pt x="7936380" y="4194334"/>
                <a:pt x="7920796" y="4209925"/>
                <a:pt x="7901568" y="4209925"/>
              </a:cubicBezTo>
              <a:close/>
              <a:moveTo>
                <a:pt x="7986460" y="4209925"/>
              </a:moveTo>
              <a:cubicBezTo>
                <a:pt x="7967233" y="4209925"/>
                <a:pt x="7951635" y="4194334"/>
                <a:pt x="7951635" y="4175107"/>
              </a:cubicBezTo>
              <a:cubicBezTo>
                <a:pt x="7951635" y="4155879"/>
                <a:pt x="7967233" y="4140288"/>
                <a:pt x="7986460" y="4140288"/>
              </a:cubicBezTo>
              <a:cubicBezTo>
                <a:pt x="8005688" y="4140288"/>
                <a:pt x="8021273" y="4155879"/>
                <a:pt x="8021273" y="4175107"/>
              </a:cubicBezTo>
              <a:cubicBezTo>
                <a:pt x="8021273" y="4194334"/>
                <a:pt x="8005688" y="4209925"/>
                <a:pt x="7986460" y="4209925"/>
              </a:cubicBezTo>
              <a:close/>
              <a:moveTo>
                <a:pt x="8156246" y="4209925"/>
              </a:moveTo>
              <a:cubicBezTo>
                <a:pt x="8137018" y="4209925"/>
                <a:pt x="8121420" y="4194334"/>
                <a:pt x="8121420" y="4175107"/>
              </a:cubicBezTo>
              <a:cubicBezTo>
                <a:pt x="8121420" y="4155879"/>
                <a:pt x="8137018" y="4140288"/>
                <a:pt x="8156246" y="4140288"/>
              </a:cubicBezTo>
              <a:cubicBezTo>
                <a:pt x="8175474" y="4140288"/>
                <a:pt x="8191058" y="4155879"/>
                <a:pt x="8191058" y="4175107"/>
              </a:cubicBezTo>
              <a:cubicBezTo>
                <a:pt x="8191058" y="4194334"/>
                <a:pt x="8175474" y="4209925"/>
                <a:pt x="8156246" y="4209925"/>
              </a:cubicBezTo>
              <a:close/>
              <a:moveTo>
                <a:pt x="8241138" y="4209925"/>
              </a:moveTo>
              <a:cubicBezTo>
                <a:pt x="8221910" y="4209925"/>
                <a:pt x="8206313" y="4194334"/>
                <a:pt x="8206313" y="4175107"/>
              </a:cubicBezTo>
              <a:cubicBezTo>
                <a:pt x="8206313" y="4155879"/>
                <a:pt x="8221910" y="4140288"/>
                <a:pt x="8241138" y="4140288"/>
              </a:cubicBezTo>
              <a:cubicBezTo>
                <a:pt x="8260366" y="4140288"/>
                <a:pt x="8275950" y="4155879"/>
                <a:pt x="8275950" y="4175107"/>
              </a:cubicBezTo>
              <a:cubicBezTo>
                <a:pt x="8275950" y="4194334"/>
                <a:pt x="8260366" y="4209925"/>
                <a:pt x="8241138" y="4209925"/>
              </a:cubicBezTo>
              <a:close/>
              <a:moveTo>
                <a:pt x="8326030" y="4209925"/>
              </a:moveTo>
              <a:cubicBezTo>
                <a:pt x="8306803" y="4209925"/>
                <a:pt x="8291205" y="4194334"/>
                <a:pt x="8291205" y="4175107"/>
              </a:cubicBezTo>
              <a:cubicBezTo>
                <a:pt x="8291205" y="4155879"/>
                <a:pt x="8306803" y="4140288"/>
                <a:pt x="8326030" y="4140288"/>
              </a:cubicBezTo>
              <a:cubicBezTo>
                <a:pt x="8345258" y="4140288"/>
                <a:pt x="8360843" y="4155879"/>
                <a:pt x="8360843" y="4175107"/>
              </a:cubicBezTo>
              <a:cubicBezTo>
                <a:pt x="8360843" y="4194334"/>
                <a:pt x="8345258" y="4209925"/>
                <a:pt x="8326030" y="4209925"/>
              </a:cubicBezTo>
              <a:close/>
              <a:moveTo>
                <a:pt x="8410923" y="4209925"/>
              </a:moveTo>
              <a:cubicBezTo>
                <a:pt x="8391695" y="4209925"/>
                <a:pt x="8376097" y="4194334"/>
                <a:pt x="8376097" y="4175107"/>
              </a:cubicBezTo>
              <a:cubicBezTo>
                <a:pt x="8376097" y="4155879"/>
                <a:pt x="8391695" y="4140288"/>
                <a:pt x="8410923" y="4140288"/>
              </a:cubicBezTo>
              <a:cubicBezTo>
                <a:pt x="8430150" y="4140288"/>
                <a:pt x="8445735" y="4155879"/>
                <a:pt x="8445735" y="4175107"/>
              </a:cubicBezTo>
              <a:cubicBezTo>
                <a:pt x="8445735" y="4194334"/>
                <a:pt x="8430150" y="4209925"/>
                <a:pt x="8410923" y="4209925"/>
              </a:cubicBezTo>
              <a:close/>
              <a:moveTo>
                <a:pt x="8495816" y="4209925"/>
              </a:moveTo>
              <a:cubicBezTo>
                <a:pt x="8476588" y="4209925"/>
                <a:pt x="8460990" y="4194334"/>
                <a:pt x="8460990" y="4175107"/>
              </a:cubicBezTo>
              <a:cubicBezTo>
                <a:pt x="8460990" y="4155879"/>
                <a:pt x="8476588" y="4140288"/>
                <a:pt x="8495816" y="4140288"/>
              </a:cubicBezTo>
              <a:cubicBezTo>
                <a:pt x="8515044" y="4140288"/>
                <a:pt x="8530628" y="4155879"/>
                <a:pt x="8530628" y="4175107"/>
              </a:cubicBezTo>
              <a:cubicBezTo>
                <a:pt x="8530628" y="4194334"/>
                <a:pt x="8515044" y="4209925"/>
                <a:pt x="8495816" y="4209925"/>
              </a:cubicBezTo>
              <a:close/>
              <a:moveTo>
                <a:pt x="8580708" y="4209925"/>
              </a:moveTo>
              <a:cubicBezTo>
                <a:pt x="8561480" y="4209925"/>
                <a:pt x="8545883" y="4194334"/>
                <a:pt x="8545883" y="4175107"/>
              </a:cubicBezTo>
              <a:cubicBezTo>
                <a:pt x="8545883" y="4155879"/>
                <a:pt x="8561480" y="4140288"/>
                <a:pt x="8580708" y="4140288"/>
              </a:cubicBezTo>
              <a:cubicBezTo>
                <a:pt x="8599936" y="4140288"/>
                <a:pt x="8615520" y="4155879"/>
                <a:pt x="8615520" y="4175107"/>
              </a:cubicBezTo>
              <a:cubicBezTo>
                <a:pt x="8615520" y="4194334"/>
                <a:pt x="8599936" y="4209925"/>
                <a:pt x="8580708" y="4209925"/>
              </a:cubicBezTo>
              <a:close/>
              <a:moveTo>
                <a:pt x="8665600" y="4209925"/>
              </a:moveTo>
              <a:cubicBezTo>
                <a:pt x="8646373" y="4209925"/>
                <a:pt x="8630775" y="4194334"/>
                <a:pt x="8630775" y="4175107"/>
              </a:cubicBezTo>
              <a:cubicBezTo>
                <a:pt x="8630775" y="4155879"/>
                <a:pt x="8646373" y="4140288"/>
                <a:pt x="8665600" y="4140288"/>
              </a:cubicBezTo>
              <a:cubicBezTo>
                <a:pt x="8684828" y="4140288"/>
                <a:pt x="8700413" y="4155879"/>
                <a:pt x="8700413" y="4175107"/>
              </a:cubicBezTo>
              <a:cubicBezTo>
                <a:pt x="8700413" y="4194334"/>
                <a:pt x="8684828" y="4209925"/>
                <a:pt x="8665600" y="4209925"/>
              </a:cubicBezTo>
              <a:close/>
              <a:moveTo>
                <a:pt x="8750493" y="4209925"/>
              </a:moveTo>
              <a:cubicBezTo>
                <a:pt x="8731265" y="4209925"/>
                <a:pt x="8715667" y="4194334"/>
                <a:pt x="8715667" y="4175107"/>
              </a:cubicBezTo>
              <a:cubicBezTo>
                <a:pt x="8715667" y="4155879"/>
                <a:pt x="8731265" y="4140288"/>
                <a:pt x="8750493" y="4140288"/>
              </a:cubicBezTo>
              <a:cubicBezTo>
                <a:pt x="8769720" y="4140288"/>
                <a:pt x="8785305" y="4155879"/>
                <a:pt x="8785305" y="4175107"/>
              </a:cubicBezTo>
              <a:cubicBezTo>
                <a:pt x="8785305" y="4194334"/>
                <a:pt x="8769720" y="4209925"/>
                <a:pt x="8750493" y="4209925"/>
              </a:cubicBezTo>
              <a:close/>
              <a:moveTo>
                <a:pt x="8835386" y="4209925"/>
              </a:moveTo>
              <a:cubicBezTo>
                <a:pt x="8816158" y="4209925"/>
                <a:pt x="8800560" y="4194334"/>
                <a:pt x="8800560" y="4175107"/>
              </a:cubicBezTo>
              <a:cubicBezTo>
                <a:pt x="8800560" y="4155879"/>
                <a:pt x="8816158" y="4140288"/>
                <a:pt x="8835386" y="4140288"/>
              </a:cubicBezTo>
              <a:cubicBezTo>
                <a:pt x="8854614" y="4140288"/>
                <a:pt x="8870198" y="4155879"/>
                <a:pt x="8870198" y="4175107"/>
              </a:cubicBezTo>
              <a:cubicBezTo>
                <a:pt x="8870198" y="4194334"/>
                <a:pt x="8854614" y="4209925"/>
                <a:pt x="8835386" y="4209925"/>
              </a:cubicBezTo>
              <a:close/>
              <a:moveTo>
                <a:pt x="8920278" y="4209925"/>
              </a:moveTo>
              <a:cubicBezTo>
                <a:pt x="8901050" y="4209925"/>
                <a:pt x="8885453" y="4194334"/>
                <a:pt x="8885453" y="4175107"/>
              </a:cubicBezTo>
              <a:cubicBezTo>
                <a:pt x="8885453" y="4155879"/>
                <a:pt x="8901050" y="4140288"/>
                <a:pt x="8920278" y="4140288"/>
              </a:cubicBezTo>
              <a:cubicBezTo>
                <a:pt x="8939506" y="4140288"/>
                <a:pt x="8955090" y="4155879"/>
                <a:pt x="8955090" y="4175107"/>
              </a:cubicBezTo>
              <a:cubicBezTo>
                <a:pt x="8955090" y="4194334"/>
                <a:pt x="8939506" y="4209925"/>
                <a:pt x="8920278" y="4209925"/>
              </a:cubicBezTo>
              <a:close/>
              <a:moveTo>
                <a:pt x="9005170" y="4209925"/>
              </a:moveTo>
              <a:cubicBezTo>
                <a:pt x="8985943" y="4209925"/>
                <a:pt x="8970345" y="4194334"/>
                <a:pt x="8970345" y="4175107"/>
              </a:cubicBezTo>
              <a:cubicBezTo>
                <a:pt x="8970345" y="4155879"/>
                <a:pt x="8985943" y="4140288"/>
                <a:pt x="9005170" y="4140288"/>
              </a:cubicBezTo>
              <a:cubicBezTo>
                <a:pt x="9024398" y="4140288"/>
                <a:pt x="9039983" y="4155879"/>
                <a:pt x="9039983" y="4175107"/>
              </a:cubicBezTo>
              <a:cubicBezTo>
                <a:pt x="9039983" y="4194334"/>
                <a:pt x="9024398" y="4209925"/>
                <a:pt x="9005170" y="4209925"/>
              </a:cubicBezTo>
              <a:close/>
              <a:moveTo>
                <a:pt x="9090063" y="4209925"/>
              </a:moveTo>
              <a:cubicBezTo>
                <a:pt x="9070835" y="4209925"/>
                <a:pt x="9055237" y="4194334"/>
                <a:pt x="9055237" y="4175107"/>
              </a:cubicBezTo>
              <a:cubicBezTo>
                <a:pt x="9055237" y="4155879"/>
                <a:pt x="9070835" y="4140288"/>
                <a:pt x="9090063" y="4140288"/>
              </a:cubicBezTo>
              <a:cubicBezTo>
                <a:pt x="9109290" y="4140288"/>
                <a:pt x="9124875" y="4155879"/>
                <a:pt x="9124875" y="4175107"/>
              </a:cubicBezTo>
              <a:cubicBezTo>
                <a:pt x="9124875" y="4194334"/>
                <a:pt x="9109290" y="4209925"/>
                <a:pt x="9090063" y="4209925"/>
              </a:cubicBezTo>
              <a:close/>
              <a:moveTo>
                <a:pt x="9174956" y="4209925"/>
              </a:moveTo>
              <a:cubicBezTo>
                <a:pt x="9155728" y="4209925"/>
                <a:pt x="9140130" y="4194334"/>
                <a:pt x="9140130" y="4175107"/>
              </a:cubicBezTo>
              <a:cubicBezTo>
                <a:pt x="9140130" y="4155879"/>
                <a:pt x="9155728" y="4140288"/>
                <a:pt x="9174956" y="4140288"/>
              </a:cubicBezTo>
              <a:cubicBezTo>
                <a:pt x="9194184" y="4140288"/>
                <a:pt x="9209768" y="4155879"/>
                <a:pt x="9209768" y="4175107"/>
              </a:cubicBezTo>
              <a:cubicBezTo>
                <a:pt x="9209768" y="4194334"/>
                <a:pt x="9194184" y="4209925"/>
                <a:pt x="9174956" y="4209925"/>
              </a:cubicBezTo>
              <a:close/>
              <a:moveTo>
                <a:pt x="9259848" y="4209925"/>
              </a:moveTo>
              <a:cubicBezTo>
                <a:pt x="9240620" y="4209925"/>
                <a:pt x="9225023" y="4194334"/>
                <a:pt x="9225023" y="4175107"/>
              </a:cubicBezTo>
              <a:cubicBezTo>
                <a:pt x="9225023" y="4155879"/>
                <a:pt x="9240620" y="4140288"/>
                <a:pt x="9259848" y="4140288"/>
              </a:cubicBezTo>
              <a:cubicBezTo>
                <a:pt x="9279076" y="4140288"/>
                <a:pt x="9294660" y="4155879"/>
                <a:pt x="9294660" y="4175107"/>
              </a:cubicBezTo>
              <a:cubicBezTo>
                <a:pt x="9294660" y="4194334"/>
                <a:pt x="9279076" y="4209925"/>
                <a:pt x="9259848" y="4209925"/>
              </a:cubicBezTo>
              <a:close/>
              <a:moveTo>
                <a:pt x="9344740" y="4209925"/>
              </a:moveTo>
              <a:cubicBezTo>
                <a:pt x="9325513" y="4209925"/>
                <a:pt x="9309915" y="4194334"/>
                <a:pt x="9309915" y="4175107"/>
              </a:cubicBezTo>
              <a:cubicBezTo>
                <a:pt x="9309915" y="4155879"/>
                <a:pt x="9325513" y="4140288"/>
                <a:pt x="9344740" y="4140288"/>
              </a:cubicBezTo>
              <a:cubicBezTo>
                <a:pt x="9363968" y="4140288"/>
                <a:pt x="9379553" y="4155879"/>
                <a:pt x="9379553" y="4175107"/>
              </a:cubicBezTo>
              <a:cubicBezTo>
                <a:pt x="9379553" y="4194334"/>
                <a:pt x="9363968" y="4209925"/>
                <a:pt x="9344740" y="4209925"/>
              </a:cubicBezTo>
              <a:close/>
              <a:moveTo>
                <a:pt x="9429633" y="4209925"/>
              </a:moveTo>
              <a:cubicBezTo>
                <a:pt x="9410405" y="4209925"/>
                <a:pt x="9394807" y="4194334"/>
                <a:pt x="9394807" y="4175107"/>
              </a:cubicBezTo>
              <a:cubicBezTo>
                <a:pt x="9394807" y="4155879"/>
                <a:pt x="9410405" y="4140288"/>
                <a:pt x="9429633" y="4140288"/>
              </a:cubicBezTo>
              <a:cubicBezTo>
                <a:pt x="9448860" y="4140288"/>
                <a:pt x="9464445" y="4155879"/>
                <a:pt x="9464445" y="4175107"/>
              </a:cubicBezTo>
              <a:cubicBezTo>
                <a:pt x="9464445" y="4194334"/>
                <a:pt x="9448860" y="4209925"/>
                <a:pt x="9429633" y="4209925"/>
              </a:cubicBezTo>
              <a:close/>
              <a:moveTo>
                <a:pt x="9514525" y="4209925"/>
              </a:moveTo>
              <a:cubicBezTo>
                <a:pt x="9495297" y="4209925"/>
                <a:pt x="9479699" y="4194334"/>
                <a:pt x="9479699" y="4175107"/>
              </a:cubicBezTo>
              <a:cubicBezTo>
                <a:pt x="9479699" y="4155879"/>
                <a:pt x="9495297" y="4140288"/>
                <a:pt x="9514525" y="4140288"/>
              </a:cubicBezTo>
              <a:cubicBezTo>
                <a:pt x="9533753" y="4140288"/>
                <a:pt x="9549337" y="4155879"/>
                <a:pt x="9549337" y="4175107"/>
              </a:cubicBezTo>
              <a:cubicBezTo>
                <a:pt x="9549337" y="4194334"/>
                <a:pt x="9533753" y="4209925"/>
                <a:pt x="9514525" y="4209925"/>
              </a:cubicBezTo>
              <a:close/>
              <a:moveTo>
                <a:pt x="9599418" y="4209925"/>
              </a:moveTo>
              <a:cubicBezTo>
                <a:pt x="9580190" y="4209925"/>
                <a:pt x="9564593" y="4194334"/>
                <a:pt x="9564593" y="4175107"/>
              </a:cubicBezTo>
              <a:cubicBezTo>
                <a:pt x="9564593" y="4155879"/>
                <a:pt x="9580190" y="4140288"/>
                <a:pt x="9599418" y="4140288"/>
              </a:cubicBezTo>
              <a:cubicBezTo>
                <a:pt x="9618646" y="4140288"/>
                <a:pt x="9634230" y="4155879"/>
                <a:pt x="9634230" y="4175107"/>
              </a:cubicBezTo>
              <a:cubicBezTo>
                <a:pt x="9634230" y="4194334"/>
                <a:pt x="9618646" y="4209925"/>
                <a:pt x="9599418" y="4209925"/>
              </a:cubicBezTo>
              <a:close/>
              <a:moveTo>
                <a:pt x="9684310" y="4209925"/>
              </a:moveTo>
              <a:cubicBezTo>
                <a:pt x="9665083" y="4209925"/>
                <a:pt x="9649485" y="4194334"/>
                <a:pt x="9649485" y="4175107"/>
              </a:cubicBezTo>
              <a:cubicBezTo>
                <a:pt x="9649485" y="4155879"/>
                <a:pt x="9665083" y="4140288"/>
                <a:pt x="9684310" y="4140288"/>
              </a:cubicBezTo>
              <a:cubicBezTo>
                <a:pt x="9703538" y="4140288"/>
                <a:pt x="9719123" y="4155879"/>
                <a:pt x="9719123" y="4175107"/>
              </a:cubicBezTo>
              <a:cubicBezTo>
                <a:pt x="9719123" y="4194334"/>
                <a:pt x="9703538" y="4209925"/>
                <a:pt x="9684310" y="4209925"/>
              </a:cubicBezTo>
              <a:close/>
              <a:moveTo>
                <a:pt x="10108773" y="4209925"/>
              </a:moveTo>
              <a:cubicBezTo>
                <a:pt x="10089545" y="4209925"/>
                <a:pt x="10073947" y="4194334"/>
                <a:pt x="10073947" y="4175107"/>
              </a:cubicBezTo>
              <a:cubicBezTo>
                <a:pt x="10073947" y="4155879"/>
                <a:pt x="10089545" y="4140288"/>
                <a:pt x="10108773" y="4140288"/>
              </a:cubicBezTo>
              <a:cubicBezTo>
                <a:pt x="10128000" y="4140288"/>
                <a:pt x="10143585" y="4155879"/>
                <a:pt x="10143585" y="4175107"/>
              </a:cubicBezTo>
              <a:cubicBezTo>
                <a:pt x="10143585" y="4194334"/>
                <a:pt x="10128000" y="4209925"/>
                <a:pt x="10108773" y="4209925"/>
              </a:cubicBezTo>
              <a:close/>
              <a:moveTo>
                <a:pt x="2213769" y="4125066"/>
              </a:moveTo>
              <a:cubicBezTo>
                <a:pt x="2194541" y="4125066"/>
                <a:pt x="2178950" y="4109475"/>
                <a:pt x="2178950" y="4090247"/>
              </a:cubicBezTo>
              <a:cubicBezTo>
                <a:pt x="2178950" y="4071019"/>
                <a:pt x="2194541" y="4055428"/>
                <a:pt x="2213769" y="4055428"/>
              </a:cubicBezTo>
              <a:cubicBezTo>
                <a:pt x="2232997" y="4055428"/>
                <a:pt x="2248588" y="4071019"/>
                <a:pt x="2248588" y="4090247"/>
              </a:cubicBezTo>
              <a:cubicBezTo>
                <a:pt x="2248588" y="4109475"/>
                <a:pt x="2232997" y="4125066"/>
                <a:pt x="2213769" y="4125066"/>
              </a:cubicBezTo>
              <a:close/>
              <a:moveTo>
                <a:pt x="2298661" y="4125066"/>
              </a:moveTo>
              <a:cubicBezTo>
                <a:pt x="2279433" y="4125066"/>
                <a:pt x="2263842" y="4109475"/>
                <a:pt x="2263842" y="4090247"/>
              </a:cubicBezTo>
              <a:cubicBezTo>
                <a:pt x="2263842" y="4071019"/>
                <a:pt x="2279433" y="4055428"/>
                <a:pt x="2298661" y="4055428"/>
              </a:cubicBezTo>
              <a:cubicBezTo>
                <a:pt x="2317889" y="4055428"/>
                <a:pt x="2333480" y="4071019"/>
                <a:pt x="2333480" y="4090247"/>
              </a:cubicBezTo>
              <a:cubicBezTo>
                <a:pt x="2333480" y="4109475"/>
                <a:pt x="2317889" y="4125066"/>
                <a:pt x="2298661" y="4125066"/>
              </a:cubicBezTo>
              <a:close/>
              <a:moveTo>
                <a:pt x="2383553" y="4125066"/>
              </a:moveTo>
              <a:cubicBezTo>
                <a:pt x="2364326" y="4125066"/>
                <a:pt x="2348734" y="4109475"/>
                <a:pt x="2348734" y="4090247"/>
              </a:cubicBezTo>
              <a:cubicBezTo>
                <a:pt x="2348734" y="4071019"/>
                <a:pt x="2364326" y="4055428"/>
                <a:pt x="2383553" y="4055428"/>
              </a:cubicBezTo>
              <a:cubicBezTo>
                <a:pt x="2402781" y="4055428"/>
                <a:pt x="2418372" y="4071019"/>
                <a:pt x="2418372" y="4090247"/>
              </a:cubicBezTo>
              <a:cubicBezTo>
                <a:pt x="2418372" y="4109475"/>
                <a:pt x="2402781" y="4125066"/>
                <a:pt x="2383553" y="4125066"/>
              </a:cubicBezTo>
              <a:close/>
              <a:moveTo>
                <a:pt x="2468446" y="4125066"/>
              </a:moveTo>
              <a:cubicBezTo>
                <a:pt x="2449218" y="4125066"/>
                <a:pt x="2433627" y="4109475"/>
                <a:pt x="2433627" y="4090247"/>
              </a:cubicBezTo>
              <a:cubicBezTo>
                <a:pt x="2433627" y="4071019"/>
                <a:pt x="2449218" y="4055428"/>
                <a:pt x="2468446" y="4055428"/>
              </a:cubicBezTo>
              <a:cubicBezTo>
                <a:pt x="2487673" y="4055428"/>
                <a:pt x="2503264" y="4071019"/>
                <a:pt x="2503264" y="4090247"/>
              </a:cubicBezTo>
              <a:cubicBezTo>
                <a:pt x="2503264" y="4109475"/>
                <a:pt x="2487673" y="4125066"/>
                <a:pt x="2468446" y="4125066"/>
              </a:cubicBezTo>
              <a:close/>
              <a:moveTo>
                <a:pt x="2553339" y="4125066"/>
              </a:moveTo>
              <a:cubicBezTo>
                <a:pt x="2534111" y="4125066"/>
                <a:pt x="2518520" y="4109475"/>
                <a:pt x="2518520" y="4090247"/>
              </a:cubicBezTo>
              <a:cubicBezTo>
                <a:pt x="2518520" y="4071019"/>
                <a:pt x="2534111" y="4055428"/>
                <a:pt x="2553339" y="4055428"/>
              </a:cubicBezTo>
              <a:cubicBezTo>
                <a:pt x="2572567" y="4055428"/>
                <a:pt x="2588158" y="4071019"/>
                <a:pt x="2588158" y="4090247"/>
              </a:cubicBezTo>
              <a:cubicBezTo>
                <a:pt x="2588158" y="4109475"/>
                <a:pt x="2572567" y="4125066"/>
                <a:pt x="2553339" y="4125066"/>
              </a:cubicBezTo>
              <a:close/>
              <a:moveTo>
                <a:pt x="2638231" y="4125066"/>
              </a:moveTo>
              <a:cubicBezTo>
                <a:pt x="2619003" y="4125066"/>
                <a:pt x="2603412" y="4109475"/>
                <a:pt x="2603412" y="4090247"/>
              </a:cubicBezTo>
              <a:cubicBezTo>
                <a:pt x="2603412" y="4071019"/>
                <a:pt x="2619003" y="4055428"/>
                <a:pt x="2638231" y="4055428"/>
              </a:cubicBezTo>
              <a:cubicBezTo>
                <a:pt x="2657459" y="4055428"/>
                <a:pt x="2673050" y="4071019"/>
                <a:pt x="2673050" y="4090247"/>
              </a:cubicBezTo>
              <a:cubicBezTo>
                <a:pt x="2673050" y="4109475"/>
                <a:pt x="2657459" y="4125066"/>
                <a:pt x="2638231" y="4125066"/>
              </a:cubicBezTo>
              <a:close/>
              <a:moveTo>
                <a:pt x="2723123" y="4125066"/>
              </a:moveTo>
              <a:cubicBezTo>
                <a:pt x="2703896" y="4125066"/>
                <a:pt x="2688304" y="4109475"/>
                <a:pt x="2688304" y="4090247"/>
              </a:cubicBezTo>
              <a:cubicBezTo>
                <a:pt x="2688304" y="4071019"/>
                <a:pt x="2703896" y="4055428"/>
                <a:pt x="2723123" y="4055428"/>
              </a:cubicBezTo>
              <a:cubicBezTo>
                <a:pt x="2742351" y="4055428"/>
                <a:pt x="2757942" y="4071019"/>
                <a:pt x="2757942" y="4090247"/>
              </a:cubicBezTo>
              <a:cubicBezTo>
                <a:pt x="2757942" y="4109475"/>
                <a:pt x="2742351" y="4125066"/>
                <a:pt x="2723123" y="4125066"/>
              </a:cubicBezTo>
              <a:close/>
              <a:moveTo>
                <a:pt x="2808016" y="4125066"/>
              </a:moveTo>
              <a:cubicBezTo>
                <a:pt x="2788788" y="4125066"/>
                <a:pt x="2773197" y="4109475"/>
                <a:pt x="2773197" y="4090247"/>
              </a:cubicBezTo>
              <a:cubicBezTo>
                <a:pt x="2773197" y="4071019"/>
                <a:pt x="2788788" y="4055428"/>
                <a:pt x="2808016" y="4055428"/>
              </a:cubicBezTo>
              <a:cubicBezTo>
                <a:pt x="2827243" y="4055428"/>
                <a:pt x="2842834" y="4071019"/>
                <a:pt x="2842834" y="4090247"/>
              </a:cubicBezTo>
              <a:cubicBezTo>
                <a:pt x="2842834" y="4109475"/>
                <a:pt x="2827243" y="4125066"/>
                <a:pt x="2808016" y="4125066"/>
              </a:cubicBezTo>
              <a:close/>
              <a:moveTo>
                <a:pt x="2892908" y="4125066"/>
              </a:moveTo>
              <a:cubicBezTo>
                <a:pt x="2873680" y="4125066"/>
                <a:pt x="2858089" y="4109475"/>
                <a:pt x="2858089" y="4090247"/>
              </a:cubicBezTo>
              <a:cubicBezTo>
                <a:pt x="2858089" y="4071019"/>
                <a:pt x="2873680" y="4055428"/>
                <a:pt x="2892908" y="4055428"/>
              </a:cubicBezTo>
              <a:cubicBezTo>
                <a:pt x="2912136" y="4055428"/>
                <a:pt x="2927727" y="4071019"/>
                <a:pt x="2927727" y="4090247"/>
              </a:cubicBezTo>
              <a:cubicBezTo>
                <a:pt x="2927727" y="4109475"/>
                <a:pt x="2912136" y="4125066"/>
                <a:pt x="2892908" y="4125066"/>
              </a:cubicBezTo>
              <a:close/>
              <a:moveTo>
                <a:pt x="2977801" y="4125066"/>
              </a:moveTo>
              <a:cubicBezTo>
                <a:pt x="2958573" y="4125066"/>
                <a:pt x="2942982" y="4109475"/>
                <a:pt x="2942982" y="4090247"/>
              </a:cubicBezTo>
              <a:cubicBezTo>
                <a:pt x="2942982" y="4071019"/>
                <a:pt x="2958573" y="4055428"/>
                <a:pt x="2977801" y="4055428"/>
              </a:cubicBezTo>
              <a:cubicBezTo>
                <a:pt x="2997029" y="4055428"/>
                <a:pt x="3012620" y="4071019"/>
                <a:pt x="3012620" y="4090247"/>
              </a:cubicBezTo>
              <a:cubicBezTo>
                <a:pt x="3012620" y="4109475"/>
                <a:pt x="2997029" y="4125066"/>
                <a:pt x="2977801" y="4125066"/>
              </a:cubicBezTo>
              <a:close/>
              <a:moveTo>
                <a:pt x="3062693" y="4125066"/>
              </a:moveTo>
              <a:cubicBezTo>
                <a:pt x="3043466" y="4125066"/>
                <a:pt x="3027874" y="4109475"/>
                <a:pt x="3027874" y="4090247"/>
              </a:cubicBezTo>
              <a:cubicBezTo>
                <a:pt x="3027874" y="4071019"/>
                <a:pt x="3043466" y="4055428"/>
                <a:pt x="3062693" y="4055428"/>
              </a:cubicBezTo>
              <a:cubicBezTo>
                <a:pt x="3081921" y="4055428"/>
                <a:pt x="3097512" y="4071019"/>
                <a:pt x="3097512" y="4090247"/>
              </a:cubicBezTo>
              <a:cubicBezTo>
                <a:pt x="3097512" y="4109475"/>
                <a:pt x="3081921" y="4125066"/>
                <a:pt x="3062693" y="4125066"/>
              </a:cubicBezTo>
              <a:close/>
              <a:moveTo>
                <a:pt x="3147586" y="4125066"/>
              </a:moveTo>
              <a:cubicBezTo>
                <a:pt x="3128358" y="4125066"/>
                <a:pt x="3112767" y="4109475"/>
                <a:pt x="3112767" y="4090247"/>
              </a:cubicBezTo>
              <a:cubicBezTo>
                <a:pt x="3112767" y="4071019"/>
                <a:pt x="3128358" y="4055428"/>
                <a:pt x="3147586" y="4055428"/>
              </a:cubicBezTo>
              <a:cubicBezTo>
                <a:pt x="3166813" y="4055428"/>
                <a:pt x="3182404" y="4071019"/>
                <a:pt x="3182404" y="4090247"/>
              </a:cubicBezTo>
              <a:cubicBezTo>
                <a:pt x="3182404" y="4109475"/>
                <a:pt x="3166813" y="4125066"/>
                <a:pt x="3147586" y="4125066"/>
              </a:cubicBezTo>
              <a:close/>
              <a:moveTo>
                <a:pt x="3232478" y="4125066"/>
              </a:moveTo>
              <a:cubicBezTo>
                <a:pt x="3213250" y="4125066"/>
                <a:pt x="3197659" y="4109475"/>
                <a:pt x="3197659" y="4090247"/>
              </a:cubicBezTo>
              <a:cubicBezTo>
                <a:pt x="3197659" y="4071019"/>
                <a:pt x="3213250" y="4055428"/>
                <a:pt x="3232478" y="4055428"/>
              </a:cubicBezTo>
              <a:cubicBezTo>
                <a:pt x="3251706" y="4055428"/>
                <a:pt x="3267297" y="4071019"/>
                <a:pt x="3267297" y="4090247"/>
              </a:cubicBezTo>
              <a:cubicBezTo>
                <a:pt x="3267297" y="4109475"/>
                <a:pt x="3251706" y="4125066"/>
                <a:pt x="3232478" y="4125066"/>
              </a:cubicBezTo>
              <a:close/>
              <a:moveTo>
                <a:pt x="3402263" y="4125066"/>
              </a:moveTo>
              <a:cubicBezTo>
                <a:pt x="3383036" y="4125066"/>
                <a:pt x="3367444" y="4109475"/>
                <a:pt x="3367444" y="4090247"/>
              </a:cubicBezTo>
              <a:cubicBezTo>
                <a:pt x="3367444" y="4071019"/>
                <a:pt x="3383036" y="4055428"/>
                <a:pt x="3402263" y="4055428"/>
              </a:cubicBezTo>
              <a:cubicBezTo>
                <a:pt x="3421491" y="4055428"/>
                <a:pt x="3437082" y="4071019"/>
                <a:pt x="3437082" y="4090247"/>
              </a:cubicBezTo>
              <a:cubicBezTo>
                <a:pt x="3437082" y="4109475"/>
                <a:pt x="3421491" y="4125066"/>
                <a:pt x="3402263" y="4125066"/>
              </a:cubicBezTo>
              <a:close/>
              <a:moveTo>
                <a:pt x="3656941" y="4125066"/>
              </a:moveTo>
              <a:cubicBezTo>
                <a:pt x="3637713" y="4125066"/>
                <a:pt x="3622122" y="4109475"/>
                <a:pt x="3622122" y="4090247"/>
              </a:cubicBezTo>
              <a:cubicBezTo>
                <a:pt x="3622122" y="4071019"/>
                <a:pt x="3637713" y="4055428"/>
                <a:pt x="3656941" y="4055428"/>
              </a:cubicBezTo>
              <a:cubicBezTo>
                <a:pt x="3676169" y="4055428"/>
                <a:pt x="3691760" y="4071019"/>
                <a:pt x="3691760" y="4090247"/>
              </a:cubicBezTo>
              <a:cubicBezTo>
                <a:pt x="3691760" y="4109475"/>
                <a:pt x="3676169" y="4125066"/>
                <a:pt x="3656941" y="4125066"/>
              </a:cubicBezTo>
              <a:close/>
              <a:moveTo>
                <a:pt x="3741833" y="4125066"/>
              </a:moveTo>
              <a:cubicBezTo>
                <a:pt x="3722606" y="4125066"/>
                <a:pt x="3707014" y="4109475"/>
                <a:pt x="3707014" y="4090247"/>
              </a:cubicBezTo>
              <a:cubicBezTo>
                <a:pt x="3707014" y="4071019"/>
                <a:pt x="3722606" y="4055428"/>
                <a:pt x="3741833" y="4055428"/>
              </a:cubicBezTo>
              <a:cubicBezTo>
                <a:pt x="3761061" y="4055428"/>
                <a:pt x="3776652" y="4071019"/>
                <a:pt x="3776652" y="4090247"/>
              </a:cubicBezTo>
              <a:cubicBezTo>
                <a:pt x="3776652" y="4109475"/>
                <a:pt x="3761061" y="4125066"/>
                <a:pt x="3741833" y="4125066"/>
              </a:cubicBezTo>
              <a:close/>
              <a:moveTo>
                <a:pt x="3996511" y="4125066"/>
              </a:moveTo>
              <a:cubicBezTo>
                <a:pt x="3977283" y="4125066"/>
                <a:pt x="3961692" y="4109475"/>
                <a:pt x="3961692" y="4090247"/>
              </a:cubicBezTo>
              <a:cubicBezTo>
                <a:pt x="3961692" y="4071019"/>
                <a:pt x="3977283" y="4055428"/>
                <a:pt x="3996511" y="4055428"/>
              </a:cubicBezTo>
              <a:cubicBezTo>
                <a:pt x="4015739" y="4055428"/>
                <a:pt x="4031330" y="4071019"/>
                <a:pt x="4031330" y="4090247"/>
              </a:cubicBezTo>
              <a:cubicBezTo>
                <a:pt x="4031330" y="4109475"/>
                <a:pt x="4015739" y="4125066"/>
                <a:pt x="3996511" y="4125066"/>
              </a:cubicBezTo>
              <a:close/>
              <a:moveTo>
                <a:pt x="5864146" y="4125066"/>
              </a:moveTo>
              <a:cubicBezTo>
                <a:pt x="5844918" y="4125066"/>
                <a:pt x="5829327" y="4109475"/>
                <a:pt x="5829327" y="4090247"/>
              </a:cubicBezTo>
              <a:cubicBezTo>
                <a:pt x="5829327" y="4071019"/>
                <a:pt x="5844918" y="4055428"/>
                <a:pt x="5864146" y="4055428"/>
              </a:cubicBezTo>
              <a:cubicBezTo>
                <a:pt x="5883373" y="4055428"/>
                <a:pt x="5898964" y="4071019"/>
                <a:pt x="5898964" y="4090247"/>
              </a:cubicBezTo>
              <a:cubicBezTo>
                <a:pt x="5898964" y="4109475"/>
                <a:pt x="5883373" y="4125066"/>
                <a:pt x="5864146" y="4125066"/>
              </a:cubicBezTo>
              <a:close/>
              <a:moveTo>
                <a:pt x="5949038" y="4125066"/>
              </a:moveTo>
              <a:cubicBezTo>
                <a:pt x="5929810" y="4125066"/>
                <a:pt x="5914219" y="4109475"/>
                <a:pt x="5914219" y="4090247"/>
              </a:cubicBezTo>
              <a:cubicBezTo>
                <a:pt x="5914219" y="4071019"/>
                <a:pt x="5929810" y="4055428"/>
                <a:pt x="5949038" y="4055428"/>
              </a:cubicBezTo>
              <a:cubicBezTo>
                <a:pt x="5968266" y="4055428"/>
                <a:pt x="5983857" y="4071019"/>
                <a:pt x="5983857" y="4090247"/>
              </a:cubicBezTo>
              <a:cubicBezTo>
                <a:pt x="5983857" y="4109475"/>
                <a:pt x="5968266" y="4125066"/>
                <a:pt x="5949038" y="4125066"/>
              </a:cubicBezTo>
              <a:close/>
              <a:moveTo>
                <a:pt x="6033930" y="4125066"/>
              </a:moveTo>
              <a:cubicBezTo>
                <a:pt x="6014702" y="4125066"/>
                <a:pt x="5999111" y="4109475"/>
                <a:pt x="5999111" y="4090247"/>
              </a:cubicBezTo>
              <a:cubicBezTo>
                <a:pt x="5999111" y="4071019"/>
                <a:pt x="6014702" y="4055428"/>
                <a:pt x="6033930" y="4055428"/>
              </a:cubicBezTo>
              <a:cubicBezTo>
                <a:pt x="6053158" y="4055428"/>
                <a:pt x="6068749" y="4071019"/>
                <a:pt x="6068749" y="4090247"/>
              </a:cubicBezTo>
              <a:cubicBezTo>
                <a:pt x="6068749" y="4109475"/>
                <a:pt x="6053158" y="4125066"/>
                <a:pt x="6033930" y="4125066"/>
              </a:cubicBezTo>
              <a:close/>
              <a:moveTo>
                <a:pt x="6118826" y="4125066"/>
              </a:moveTo>
              <a:cubicBezTo>
                <a:pt x="6099592" y="4125066"/>
                <a:pt x="6084000" y="4109475"/>
                <a:pt x="6084000" y="4090247"/>
              </a:cubicBezTo>
              <a:cubicBezTo>
                <a:pt x="6084000" y="4071019"/>
                <a:pt x="6099592" y="4055428"/>
                <a:pt x="6118826" y="4055428"/>
              </a:cubicBezTo>
              <a:cubicBezTo>
                <a:pt x="6138054" y="4055428"/>
                <a:pt x="6153638" y="4071019"/>
                <a:pt x="6153638" y="4090247"/>
              </a:cubicBezTo>
              <a:cubicBezTo>
                <a:pt x="6153638" y="4109475"/>
                <a:pt x="6138054" y="4125066"/>
                <a:pt x="6118826" y="4125066"/>
              </a:cubicBezTo>
              <a:close/>
              <a:moveTo>
                <a:pt x="6203718" y="4125066"/>
              </a:moveTo>
              <a:cubicBezTo>
                <a:pt x="6184490" y="4125066"/>
                <a:pt x="6168893" y="4109475"/>
                <a:pt x="6168893" y="4090247"/>
              </a:cubicBezTo>
              <a:cubicBezTo>
                <a:pt x="6168893" y="4071019"/>
                <a:pt x="6184490" y="4055428"/>
                <a:pt x="6203718" y="4055428"/>
              </a:cubicBezTo>
              <a:cubicBezTo>
                <a:pt x="6222946" y="4055428"/>
                <a:pt x="6238530" y="4071019"/>
                <a:pt x="6238530" y="4090247"/>
              </a:cubicBezTo>
              <a:cubicBezTo>
                <a:pt x="6238530" y="4109475"/>
                <a:pt x="6222946" y="4125066"/>
                <a:pt x="6203718" y="4125066"/>
              </a:cubicBezTo>
              <a:close/>
              <a:moveTo>
                <a:pt x="6373504" y="4125066"/>
              </a:moveTo>
              <a:cubicBezTo>
                <a:pt x="6354276" y="4125066"/>
                <a:pt x="6338678" y="4109475"/>
                <a:pt x="6338678" y="4090247"/>
              </a:cubicBezTo>
              <a:cubicBezTo>
                <a:pt x="6338678" y="4071019"/>
                <a:pt x="6354276" y="4055428"/>
                <a:pt x="6373504" y="4055428"/>
              </a:cubicBezTo>
              <a:cubicBezTo>
                <a:pt x="6392731" y="4055428"/>
                <a:pt x="6408316" y="4071019"/>
                <a:pt x="6408316" y="4090247"/>
              </a:cubicBezTo>
              <a:cubicBezTo>
                <a:pt x="6408316" y="4109475"/>
                <a:pt x="6392731" y="4125066"/>
                <a:pt x="6373504" y="4125066"/>
              </a:cubicBezTo>
              <a:close/>
              <a:moveTo>
                <a:pt x="6458396" y="4125066"/>
              </a:moveTo>
              <a:cubicBezTo>
                <a:pt x="6439168" y="4125066"/>
                <a:pt x="6423570" y="4109475"/>
                <a:pt x="6423570" y="4090247"/>
              </a:cubicBezTo>
              <a:cubicBezTo>
                <a:pt x="6423570" y="4071019"/>
                <a:pt x="6439168" y="4055428"/>
                <a:pt x="6458396" y="4055428"/>
              </a:cubicBezTo>
              <a:cubicBezTo>
                <a:pt x="6477624" y="4055428"/>
                <a:pt x="6493208" y="4071019"/>
                <a:pt x="6493208" y="4090247"/>
              </a:cubicBezTo>
              <a:cubicBezTo>
                <a:pt x="6493208" y="4109475"/>
                <a:pt x="6477624" y="4125066"/>
                <a:pt x="6458396" y="4125066"/>
              </a:cubicBezTo>
              <a:close/>
              <a:moveTo>
                <a:pt x="6543288" y="4125066"/>
              </a:moveTo>
              <a:cubicBezTo>
                <a:pt x="6524060" y="4125066"/>
                <a:pt x="6508463" y="4109475"/>
                <a:pt x="6508463" y="4090247"/>
              </a:cubicBezTo>
              <a:cubicBezTo>
                <a:pt x="6508463" y="4071019"/>
                <a:pt x="6524060" y="4055428"/>
                <a:pt x="6543288" y="4055428"/>
              </a:cubicBezTo>
              <a:cubicBezTo>
                <a:pt x="6562516" y="4055428"/>
                <a:pt x="6578100" y="4071019"/>
                <a:pt x="6578100" y="4090247"/>
              </a:cubicBezTo>
              <a:cubicBezTo>
                <a:pt x="6578100" y="4109475"/>
                <a:pt x="6562516" y="4125066"/>
                <a:pt x="6543288" y="4125066"/>
              </a:cubicBezTo>
              <a:close/>
              <a:moveTo>
                <a:pt x="6628181" y="4125066"/>
              </a:moveTo>
              <a:cubicBezTo>
                <a:pt x="6608954" y="4125066"/>
                <a:pt x="6593356" y="4109475"/>
                <a:pt x="6593356" y="4090247"/>
              </a:cubicBezTo>
              <a:cubicBezTo>
                <a:pt x="6593356" y="4071019"/>
                <a:pt x="6608954" y="4055428"/>
                <a:pt x="6628181" y="4055428"/>
              </a:cubicBezTo>
              <a:cubicBezTo>
                <a:pt x="6647409" y="4055428"/>
                <a:pt x="6662994" y="4071019"/>
                <a:pt x="6662994" y="4090247"/>
              </a:cubicBezTo>
              <a:cubicBezTo>
                <a:pt x="6662994" y="4109475"/>
                <a:pt x="6647409" y="4125066"/>
                <a:pt x="6628181" y="4125066"/>
              </a:cubicBezTo>
              <a:close/>
              <a:moveTo>
                <a:pt x="6882858" y="4125066"/>
              </a:moveTo>
              <a:cubicBezTo>
                <a:pt x="6863630" y="4125066"/>
                <a:pt x="6848033" y="4109475"/>
                <a:pt x="6848033" y="4090247"/>
              </a:cubicBezTo>
              <a:cubicBezTo>
                <a:pt x="6848033" y="4071019"/>
                <a:pt x="6863630" y="4055428"/>
                <a:pt x="6882858" y="4055428"/>
              </a:cubicBezTo>
              <a:cubicBezTo>
                <a:pt x="6902086" y="4055428"/>
                <a:pt x="6917670" y="4071019"/>
                <a:pt x="6917670" y="4090247"/>
              </a:cubicBezTo>
              <a:cubicBezTo>
                <a:pt x="6917670" y="4109475"/>
                <a:pt x="6902086" y="4125066"/>
                <a:pt x="6882858" y="4125066"/>
              </a:cubicBezTo>
              <a:close/>
              <a:moveTo>
                <a:pt x="6967750" y="4125066"/>
              </a:moveTo>
              <a:cubicBezTo>
                <a:pt x="6948523" y="4125066"/>
                <a:pt x="6932925" y="4109475"/>
                <a:pt x="6932925" y="4090247"/>
              </a:cubicBezTo>
              <a:cubicBezTo>
                <a:pt x="6932925" y="4071019"/>
                <a:pt x="6948523" y="4055428"/>
                <a:pt x="6967750" y="4055428"/>
              </a:cubicBezTo>
              <a:cubicBezTo>
                <a:pt x="6986978" y="4055428"/>
                <a:pt x="7002563" y="4071019"/>
                <a:pt x="7002563" y="4090247"/>
              </a:cubicBezTo>
              <a:cubicBezTo>
                <a:pt x="7002563" y="4109475"/>
                <a:pt x="6986978" y="4125066"/>
                <a:pt x="6967750" y="4125066"/>
              </a:cubicBezTo>
              <a:close/>
              <a:moveTo>
                <a:pt x="7052644" y="4125066"/>
              </a:moveTo>
              <a:cubicBezTo>
                <a:pt x="7033416" y="4125066"/>
                <a:pt x="7017818" y="4109475"/>
                <a:pt x="7017818" y="4090247"/>
              </a:cubicBezTo>
              <a:cubicBezTo>
                <a:pt x="7017818" y="4071019"/>
                <a:pt x="7033416" y="4055428"/>
                <a:pt x="7052644" y="4055428"/>
              </a:cubicBezTo>
              <a:cubicBezTo>
                <a:pt x="7071871" y="4055428"/>
                <a:pt x="7087456" y="4071019"/>
                <a:pt x="7087456" y="4090247"/>
              </a:cubicBezTo>
              <a:cubicBezTo>
                <a:pt x="7087456" y="4109475"/>
                <a:pt x="7071871" y="4125066"/>
                <a:pt x="7052644" y="4125066"/>
              </a:cubicBezTo>
              <a:close/>
              <a:moveTo>
                <a:pt x="7137536" y="4125066"/>
              </a:moveTo>
              <a:cubicBezTo>
                <a:pt x="7118308" y="4125066"/>
                <a:pt x="7102710" y="4109475"/>
                <a:pt x="7102710" y="4090247"/>
              </a:cubicBezTo>
              <a:cubicBezTo>
                <a:pt x="7102710" y="4071019"/>
                <a:pt x="7118308" y="4055428"/>
                <a:pt x="7137536" y="4055428"/>
              </a:cubicBezTo>
              <a:cubicBezTo>
                <a:pt x="7156764" y="4055428"/>
                <a:pt x="7172348" y="4071019"/>
                <a:pt x="7172348" y="4090247"/>
              </a:cubicBezTo>
              <a:cubicBezTo>
                <a:pt x="7172348" y="4109475"/>
                <a:pt x="7156764" y="4125066"/>
                <a:pt x="7137536" y="4125066"/>
              </a:cubicBezTo>
              <a:close/>
              <a:moveTo>
                <a:pt x="7392214" y="4125066"/>
              </a:moveTo>
              <a:cubicBezTo>
                <a:pt x="7372986" y="4125066"/>
                <a:pt x="7357388" y="4109475"/>
                <a:pt x="7357388" y="4090247"/>
              </a:cubicBezTo>
              <a:cubicBezTo>
                <a:pt x="7357388" y="4071019"/>
                <a:pt x="7372986" y="4055428"/>
                <a:pt x="7392214" y="4055428"/>
              </a:cubicBezTo>
              <a:cubicBezTo>
                <a:pt x="7411441" y="4055428"/>
                <a:pt x="7427026" y="4071019"/>
                <a:pt x="7427026" y="4090247"/>
              </a:cubicBezTo>
              <a:cubicBezTo>
                <a:pt x="7427026" y="4109475"/>
                <a:pt x="7411441" y="4125066"/>
                <a:pt x="7392214" y="4125066"/>
              </a:cubicBezTo>
              <a:close/>
              <a:moveTo>
                <a:pt x="7477106" y="4125066"/>
              </a:moveTo>
              <a:cubicBezTo>
                <a:pt x="7457878" y="4125066"/>
                <a:pt x="7442280" y="4109475"/>
                <a:pt x="7442280" y="4090247"/>
              </a:cubicBezTo>
              <a:cubicBezTo>
                <a:pt x="7442280" y="4071019"/>
                <a:pt x="7457878" y="4055428"/>
                <a:pt x="7477106" y="4055428"/>
              </a:cubicBezTo>
              <a:cubicBezTo>
                <a:pt x="7496334" y="4055428"/>
                <a:pt x="7511918" y="4071019"/>
                <a:pt x="7511918" y="4090247"/>
              </a:cubicBezTo>
              <a:cubicBezTo>
                <a:pt x="7511918" y="4109475"/>
                <a:pt x="7496334" y="4125066"/>
                <a:pt x="7477106" y="4125066"/>
              </a:cubicBezTo>
              <a:close/>
              <a:moveTo>
                <a:pt x="7561998" y="4125066"/>
              </a:moveTo>
              <a:cubicBezTo>
                <a:pt x="7542770" y="4125066"/>
                <a:pt x="7527173" y="4109475"/>
                <a:pt x="7527173" y="4090247"/>
              </a:cubicBezTo>
              <a:cubicBezTo>
                <a:pt x="7527173" y="4071019"/>
                <a:pt x="7542770" y="4055428"/>
                <a:pt x="7561998" y="4055428"/>
              </a:cubicBezTo>
              <a:cubicBezTo>
                <a:pt x="7581226" y="4055428"/>
                <a:pt x="7596810" y="4071019"/>
                <a:pt x="7596810" y="4090247"/>
              </a:cubicBezTo>
              <a:cubicBezTo>
                <a:pt x="7596810" y="4109475"/>
                <a:pt x="7581226" y="4125066"/>
                <a:pt x="7561998" y="4125066"/>
              </a:cubicBezTo>
              <a:close/>
              <a:moveTo>
                <a:pt x="7731784" y="4125066"/>
              </a:moveTo>
              <a:cubicBezTo>
                <a:pt x="7712556" y="4125066"/>
                <a:pt x="7696958" y="4109475"/>
                <a:pt x="7696958" y="4090247"/>
              </a:cubicBezTo>
              <a:cubicBezTo>
                <a:pt x="7696958" y="4071019"/>
                <a:pt x="7712556" y="4055428"/>
                <a:pt x="7731784" y="4055428"/>
              </a:cubicBezTo>
              <a:cubicBezTo>
                <a:pt x="7751011" y="4055428"/>
                <a:pt x="7766596" y="4071019"/>
                <a:pt x="7766596" y="4090247"/>
              </a:cubicBezTo>
              <a:cubicBezTo>
                <a:pt x="7766596" y="4109475"/>
                <a:pt x="7751011" y="4125066"/>
                <a:pt x="7731784" y="4125066"/>
              </a:cubicBezTo>
              <a:close/>
              <a:moveTo>
                <a:pt x="7816676" y="4125066"/>
              </a:moveTo>
              <a:cubicBezTo>
                <a:pt x="7797448" y="4125066"/>
                <a:pt x="7781850" y="4109475"/>
                <a:pt x="7781850" y="4090247"/>
              </a:cubicBezTo>
              <a:cubicBezTo>
                <a:pt x="7781850" y="4071019"/>
                <a:pt x="7797448" y="4055428"/>
                <a:pt x="7816676" y="4055428"/>
              </a:cubicBezTo>
              <a:cubicBezTo>
                <a:pt x="7835904" y="4055428"/>
                <a:pt x="7851488" y="4071019"/>
                <a:pt x="7851488" y="4090247"/>
              </a:cubicBezTo>
              <a:cubicBezTo>
                <a:pt x="7851488" y="4109475"/>
                <a:pt x="7835904" y="4125066"/>
                <a:pt x="7816676" y="4125066"/>
              </a:cubicBezTo>
              <a:close/>
              <a:moveTo>
                <a:pt x="7901568" y="4125066"/>
              </a:moveTo>
              <a:cubicBezTo>
                <a:pt x="7882340" y="4125066"/>
                <a:pt x="7866743" y="4109475"/>
                <a:pt x="7866743" y="4090247"/>
              </a:cubicBezTo>
              <a:cubicBezTo>
                <a:pt x="7866743" y="4071019"/>
                <a:pt x="7882340" y="4055428"/>
                <a:pt x="7901568" y="4055428"/>
              </a:cubicBezTo>
              <a:cubicBezTo>
                <a:pt x="7920796" y="4055428"/>
                <a:pt x="7936380" y="4071019"/>
                <a:pt x="7936380" y="4090247"/>
              </a:cubicBezTo>
              <a:cubicBezTo>
                <a:pt x="7936380" y="4109475"/>
                <a:pt x="7920796" y="4125066"/>
                <a:pt x="7901568" y="4125066"/>
              </a:cubicBezTo>
              <a:close/>
              <a:moveTo>
                <a:pt x="7986460" y="4125066"/>
              </a:moveTo>
              <a:cubicBezTo>
                <a:pt x="7967233" y="4125066"/>
                <a:pt x="7951635" y="4109475"/>
                <a:pt x="7951635" y="4090247"/>
              </a:cubicBezTo>
              <a:cubicBezTo>
                <a:pt x="7951635" y="4071019"/>
                <a:pt x="7967233" y="4055428"/>
                <a:pt x="7986460" y="4055428"/>
              </a:cubicBezTo>
              <a:cubicBezTo>
                <a:pt x="8005688" y="4055428"/>
                <a:pt x="8021273" y="4071019"/>
                <a:pt x="8021273" y="4090247"/>
              </a:cubicBezTo>
              <a:cubicBezTo>
                <a:pt x="8021273" y="4109475"/>
                <a:pt x="8005688" y="4125066"/>
                <a:pt x="7986460" y="4125066"/>
              </a:cubicBezTo>
              <a:close/>
              <a:moveTo>
                <a:pt x="8071353" y="4125066"/>
              </a:moveTo>
              <a:cubicBezTo>
                <a:pt x="8052125" y="4125066"/>
                <a:pt x="8036527" y="4109475"/>
                <a:pt x="8036527" y="4090247"/>
              </a:cubicBezTo>
              <a:cubicBezTo>
                <a:pt x="8036527" y="4071019"/>
                <a:pt x="8052125" y="4055428"/>
                <a:pt x="8071353" y="4055428"/>
              </a:cubicBezTo>
              <a:cubicBezTo>
                <a:pt x="8090580" y="4055428"/>
                <a:pt x="8106165" y="4071019"/>
                <a:pt x="8106165" y="4090247"/>
              </a:cubicBezTo>
              <a:cubicBezTo>
                <a:pt x="8106165" y="4109475"/>
                <a:pt x="8090580" y="4125066"/>
                <a:pt x="8071353" y="4125066"/>
              </a:cubicBezTo>
              <a:close/>
              <a:moveTo>
                <a:pt x="8156246" y="4125066"/>
              </a:moveTo>
              <a:cubicBezTo>
                <a:pt x="8137018" y="4125066"/>
                <a:pt x="8121420" y="4109475"/>
                <a:pt x="8121420" y="4090247"/>
              </a:cubicBezTo>
              <a:cubicBezTo>
                <a:pt x="8121420" y="4071019"/>
                <a:pt x="8137018" y="4055428"/>
                <a:pt x="8156246" y="4055428"/>
              </a:cubicBezTo>
              <a:cubicBezTo>
                <a:pt x="8175474" y="4055428"/>
                <a:pt x="8191058" y="4071019"/>
                <a:pt x="8191058" y="4090247"/>
              </a:cubicBezTo>
              <a:cubicBezTo>
                <a:pt x="8191058" y="4109475"/>
                <a:pt x="8175474" y="4125066"/>
                <a:pt x="8156246" y="4125066"/>
              </a:cubicBezTo>
              <a:close/>
              <a:moveTo>
                <a:pt x="8241138" y="4125066"/>
              </a:moveTo>
              <a:cubicBezTo>
                <a:pt x="8221910" y="4125066"/>
                <a:pt x="8206313" y="4109475"/>
                <a:pt x="8206313" y="4090247"/>
              </a:cubicBezTo>
              <a:cubicBezTo>
                <a:pt x="8206313" y="4071019"/>
                <a:pt x="8221910" y="4055428"/>
                <a:pt x="8241138" y="4055428"/>
              </a:cubicBezTo>
              <a:cubicBezTo>
                <a:pt x="8260366" y="4055428"/>
                <a:pt x="8275950" y="4071019"/>
                <a:pt x="8275950" y="4090247"/>
              </a:cubicBezTo>
              <a:cubicBezTo>
                <a:pt x="8275950" y="4109475"/>
                <a:pt x="8260366" y="4125066"/>
                <a:pt x="8241138" y="4125066"/>
              </a:cubicBezTo>
              <a:close/>
              <a:moveTo>
                <a:pt x="8326030" y="4125066"/>
              </a:moveTo>
              <a:cubicBezTo>
                <a:pt x="8306803" y="4125066"/>
                <a:pt x="8291205" y="4109475"/>
                <a:pt x="8291205" y="4090247"/>
              </a:cubicBezTo>
              <a:cubicBezTo>
                <a:pt x="8291205" y="4071019"/>
                <a:pt x="8306803" y="4055428"/>
                <a:pt x="8326030" y="4055428"/>
              </a:cubicBezTo>
              <a:cubicBezTo>
                <a:pt x="8345258" y="4055428"/>
                <a:pt x="8360843" y="4071019"/>
                <a:pt x="8360843" y="4090247"/>
              </a:cubicBezTo>
              <a:cubicBezTo>
                <a:pt x="8360843" y="4109475"/>
                <a:pt x="8345258" y="4125066"/>
                <a:pt x="8326030" y="4125066"/>
              </a:cubicBezTo>
              <a:close/>
              <a:moveTo>
                <a:pt x="8410923" y="4125066"/>
              </a:moveTo>
              <a:cubicBezTo>
                <a:pt x="8391695" y="4125066"/>
                <a:pt x="8376097" y="4109475"/>
                <a:pt x="8376097" y="4090247"/>
              </a:cubicBezTo>
              <a:cubicBezTo>
                <a:pt x="8376097" y="4071019"/>
                <a:pt x="8391695" y="4055428"/>
                <a:pt x="8410923" y="4055428"/>
              </a:cubicBezTo>
              <a:cubicBezTo>
                <a:pt x="8430150" y="4055428"/>
                <a:pt x="8445735" y="4071019"/>
                <a:pt x="8445735" y="4090247"/>
              </a:cubicBezTo>
              <a:cubicBezTo>
                <a:pt x="8445735" y="4109475"/>
                <a:pt x="8430150" y="4125066"/>
                <a:pt x="8410923" y="4125066"/>
              </a:cubicBezTo>
              <a:close/>
              <a:moveTo>
                <a:pt x="8495816" y="4125066"/>
              </a:moveTo>
              <a:cubicBezTo>
                <a:pt x="8476588" y="4125066"/>
                <a:pt x="8460990" y="4109475"/>
                <a:pt x="8460990" y="4090247"/>
              </a:cubicBezTo>
              <a:cubicBezTo>
                <a:pt x="8460990" y="4071019"/>
                <a:pt x="8476588" y="4055428"/>
                <a:pt x="8495816" y="4055428"/>
              </a:cubicBezTo>
              <a:cubicBezTo>
                <a:pt x="8515044" y="4055428"/>
                <a:pt x="8530628" y="4071019"/>
                <a:pt x="8530628" y="4090247"/>
              </a:cubicBezTo>
              <a:cubicBezTo>
                <a:pt x="8530628" y="4109475"/>
                <a:pt x="8515044" y="4125066"/>
                <a:pt x="8495816" y="4125066"/>
              </a:cubicBezTo>
              <a:close/>
              <a:moveTo>
                <a:pt x="8580708" y="4125066"/>
              </a:moveTo>
              <a:cubicBezTo>
                <a:pt x="8561480" y="4125066"/>
                <a:pt x="8545883" y="4109475"/>
                <a:pt x="8545883" y="4090247"/>
              </a:cubicBezTo>
              <a:cubicBezTo>
                <a:pt x="8545883" y="4071019"/>
                <a:pt x="8561480" y="4055428"/>
                <a:pt x="8580708" y="4055428"/>
              </a:cubicBezTo>
              <a:cubicBezTo>
                <a:pt x="8599936" y="4055428"/>
                <a:pt x="8615520" y="4071019"/>
                <a:pt x="8615520" y="4090247"/>
              </a:cubicBezTo>
              <a:cubicBezTo>
                <a:pt x="8615520" y="4109475"/>
                <a:pt x="8599936" y="4125066"/>
                <a:pt x="8580708" y="4125066"/>
              </a:cubicBezTo>
              <a:close/>
              <a:moveTo>
                <a:pt x="8665600" y="4125066"/>
              </a:moveTo>
              <a:cubicBezTo>
                <a:pt x="8646373" y="4125066"/>
                <a:pt x="8630775" y="4109475"/>
                <a:pt x="8630775" y="4090247"/>
              </a:cubicBezTo>
              <a:cubicBezTo>
                <a:pt x="8630775" y="4071019"/>
                <a:pt x="8646373" y="4055428"/>
                <a:pt x="8665600" y="4055428"/>
              </a:cubicBezTo>
              <a:cubicBezTo>
                <a:pt x="8684828" y="4055428"/>
                <a:pt x="8700413" y="4071019"/>
                <a:pt x="8700413" y="4090247"/>
              </a:cubicBezTo>
              <a:cubicBezTo>
                <a:pt x="8700413" y="4109475"/>
                <a:pt x="8684828" y="4125066"/>
                <a:pt x="8665600" y="4125066"/>
              </a:cubicBezTo>
              <a:close/>
              <a:moveTo>
                <a:pt x="8750493" y="4125066"/>
              </a:moveTo>
              <a:cubicBezTo>
                <a:pt x="8731265" y="4125066"/>
                <a:pt x="8715667" y="4109475"/>
                <a:pt x="8715667" y="4090247"/>
              </a:cubicBezTo>
              <a:cubicBezTo>
                <a:pt x="8715667" y="4071019"/>
                <a:pt x="8731265" y="4055428"/>
                <a:pt x="8750493" y="4055428"/>
              </a:cubicBezTo>
              <a:cubicBezTo>
                <a:pt x="8769720" y="4055428"/>
                <a:pt x="8785305" y="4071019"/>
                <a:pt x="8785305" y="4090247"/>
              </a:cubicBezTo>
              <a:cubicBezTo>
                <a:pt x="8785305" y="4109475"/>
                <a:pt x="8769720" y="4125066"/>
                <a:pt x="8750493" y="4125066"/>
              </a:cubicBezTo>
              <a:close/>
              <a:moveTo>
                <a:pt x="8835386" y="4125066"/>
              </a:moveTo>
              <a:cubicBezTo>
                <a:pt x="8816158" y="4125066"/>
                <a:pt x="8800560" y="4109475"/>
                <a:pt x="8800560" y="4090247"/>
              </a:cubicBezTo>
              <a:cubicBezTo>
                <a:pt x="8800560" y="4071019"/>
                <a:pt x="8816158" y="4055428"/>
                <a:pt x="8835386" y="4055428"/>
              </a:cubicBezTo>
              <a:cubicBezTo>
                <a:pt x="8854614" y="4055428"/>
                <a:pt x="8870198" y="4071019"/>
                <a:pt x="8870198" y="4090247"/>
              </a:cubicBezTo>
              <a:cubicBezTo>
                <a:pt x="8870198" y="4109475"/>
                <a:pt x="8854614" y="4125066"/>
                <a:pt x="8835386" y="4125066"/>
              </a:cubicBezTo>
              <a:close/>
              <a:moveTo>
                <a:pt x="8920278" y="4125066"/>
              </a:moveTo>
              <a:cubicBezTo>
                <a:pt x="8901050" y="4125066"/>
                <a:pt x="8885453" y="4109475"/>
                <a:pt x="8885453" y="4090247"/>
              </a:cubicBezTo>
              <a:cubicBezTo>
                <a:pt x="8885453" y="4071019"/>
                <a:pt x="8901050" y="4055428"/>
                <a:pt x="8920278" y="4055428"/>
              </a:cubicBezTo>
              <a:cubicBezTo>
                <a:pt x="8939506" y="4055428"/>
                <a:pt x="8955090" y="4071019"/>
                <a:pt x="8955090" y="4090247"/>
              </a:cubicBezTo>
              <a:cubicBezTo>
                <a:pt x="8955090" y="4109475"/>
                <a:pt x="8939506" y="4125066"/>
                <a:pt x="8920278" y="4125066"/>
              </a:cubicBezTo>
              <a:close/>
              <a:moveTo>
                <a:pt x="9005170" y="4125066"/>
              </a:moveTo>
              <a:cubicBezTo>
                <a:pt x="8985943" y="4125066"/>
                <a:pt x="8970345" y="4109475"/>
                <a:pt x="8970345" y="4090247"/>
              </a:cubicBezTo>
              <a:cubicBezTo>
                <a:pt x="8970345" y="4071019"/>
                <a:pt x="8985943" y="4055428"/>
                <a:pt x="9005170" y="4055428"/>
              </a:cubicBezTo>
              <a:cubicBezTo>
                <a:pt x="9024398" y="4055428"/>
                <a:pt x="9039983" y="4071019"/>
                <a:pt x="9039983" y="4090247"/>
              </a:cubicBezTo>
              <a:cubicBezTo>
                <a:pt x="9039983" y="4109475"/>
                <a:pt x="9024398" y="4125066"/>
                <a:pt x="9005170" y="4125066"/>
              </a:cubicBezTo>
              <a:close/>
              <a:moveTo>
                <a:pt x="9090063" y="4125066"/>
              </a:moveTo>
              <a:cubicBezTo>
                <a:pt x="9070835" y="4125066"/>
                <a:pt x="9055237" y="4109475"/>
                <a:pt x="9055237" y="4090247"/>
              </a:cubicBezTo>
              <a:cubicBezTo>
                <a:pt x="9055237" y="4071019"/>
                <a:pt x="9070835" y="4055428"/>
                <a:pt x="9090063" y="4055428"/>
              </a:cubicBezTo>
              <a:cubicBezTo>
                <a:pt x="9109290" y="4055428"/>
                <a:pt x="9124875" y="4071019"/>
                <a:pt x="9124875" y="4090247"/>
              </a:cubicBezTo>
              <a:cubicBezTo>
                <a:pt x="9124875" y="4109475"/>
                <a:pt x="9109290" y="4125066"/>
                <a:pt x="9090063" y="4125066"/>
              </a:cubicBezTo>
              <a:close/>
              <a:moveTo>
                <a:pt x="9174956" y="4125066"/>
              </a:moveTo>
              <a:cubicBezTo>
                <a:pt x="9155728" y="4125066"/>
                <a:pt x="9140130" y="4109475"/>
                <a:pt x="9140130" y="4090247"/>
              </a:cubicBezTo>
              <a:cubicBezTo>
                <a:pt x="9140130" y="4071019"/>
                <a:pt x="9155728" y="4055428"/>
                <a:pt x="9174956" y="4055428"/>
              </a:cubicBezTo>
              <a:cubicBezTo>
                <a:pt x="9194184" y="4055428"/>
                <a:pt x="9209768" y="4071019"/>
                <a:pt x="9209768" y="4090247"/>
              </a:cubicBezTo>
              <a:cubicBezTo>
                <a:pt x="9209768" y="4109475"/>
                <a:pt x="9194184" y="4125066"/>
                <a:pt x="9174956" y="4125066"/>
              </a:cubicBezTo>
              <a:close/>
              <a:moveTo>
                <a:pt x="9259848" y="4125066"/>
              </a:moveTo>
              <a:cubicBezTo>
                <a:pt x="9240620" y="4125066"/>
                <a:pt x="9225023" y="4109475"/>
                <a:pt x="9225023" y="4090247"/>
              </a:cubicBezTo>
              <a:cubicBezTo>
                <a:pt x="9225023" y="4071019"/>
                <a:pt x="9240620" y="4055428"/>
                <a:pt x="9259848" y="4055428"/>
              </a:cubicBezTo>
              <a:cubicBezTo>
                <a:pt x="9279076" y="4055428"/>
                <a:pt x="9294660" y="4071019"/>
                <a:pt x="9294660" y="4090247"/>
              </a:cubicBezTo>
              <a:cubicBezTo>
                <a:pt x="9294660" y="4109475"/>
                <a:pt x="9279076" y="4125066"/>
                <a:pt x="9259848" y="4125066"/>
              </a:cubicBezTo>
              <a:close/>
              <a:moveTo>
                <a:pt x="9344740" y="4125066"/>
              </a:moveTo>
              <a:cubicBezTo>
                <a:pt x="9325513" y="4125066"/>
                <a:pt x="9309915" y="4109475"/>
                <a:pt x="9309915" y="4090247"/>
              </a:cubicBezTo>
              <a:cubicBezTo>
                <a:pt x="9309915" y="4071019"/>
                <a:pt x="9325513" y="4055428"/>
                <a:pt x="9344740" y="4055428"/>
              </a:cubicBezTo>
              <a:cubicBezTo>
                <a:pt x="9363968" y="4055428"/>
                <a:pt x="9379553" y="4071019"/>
                <a:pt x="9379553" y="4090247"/>
              </a:cubicBezTo>
              <a:cubicBezTo>
                <a:pt x="9379553" y="4109475"/>
                <a:pt x="9363968" y="4125066"/>
                <a:pt x="9344740" y="4125066"/>
              </a:cubicBezTo>
              <a:close/>
              <a:moveTo>
                <a:pt x="9429633" y="4125066"/>
              </a:moveTo>
              <a:cubicBezTo>
                <a:pt x="9410405" y="4125066"/>
                <a:pt x="9394807" y="4109475"/>
                <a:pt x="9394807" y="4090247"/>
              </a:cubicBezTo>
              <a:cubicBezTo>
                <a:pt x="9394807" y="4071019"/>
                <a:pt x="9410405" y="4055428"/>
                <a:pt x="9429633" y="4055428"/>
              </a:cubicBezTo>
              <a:cubicBezTo>
                <a:pt x="9448860" y="4055428"/>
                <a:pt x="9464445" y="4071019"/>
                <a:pt x="9464445" y="4090247"/>
              </a:cubicBezTo>
              <a:cubicBezTo>
                <a:pt x="9464445" y="4109475"/>
                <a:pt x="9448860" y="4125066"/>
                <a:pt x="9429633" y="4125066"/>
              </a:cubicBezTo>
              <a:close/>
              <a:moveTo>
                <a:pt x="9514525" y="4125066"/>
              </a:moveTo>
              <a:cubicBezTo>
                <a:pt x="9495297" y="4125066"/>
                <a:pt x="9479699" y="4109475"/>
                <a:pt x="9479699" y="4090247"/>
              </a:cubicBezTo>
              <a:cubicBezTo>
                <a:pt x="9479699" y="4071019"/>
                <a:pt x="9495297" y="4055428"/>
                <a:pt x="9514525" y="4055428"/>
              </a:cubicBezTo>
              <a:cubicBezTo>
                <a:pt x="9533753" y="4055428"/>
                <a:pt x="9549337" y="4071019"/>
                <a:pt x="9549337" y="4090247"/>
              </a:cubicBezTo>
              <a:cubicBezTo>
                <a:pt x="9549337" y="4109475"/>
                <a:pt x="9533753" y="4125066"/>
                <a:pt x="9514525" y="4125066"/>
              </a:cubicBezTo>
              <a:close/>
              <a:moveTo>
                <a:pt x="9599418" y="4125066"/>
              </a:moveTo>
              <a:cubicBezTo>
                <a:pt x="9580190" y="4125066"/>
                <a:pt x="9564593" y="4109475"/>
                <a:pt x="9564593" y="4090247"/>
              </a:cubicBezTo>
              <a:cubicBezTo>
                <a:pt x="9564593" y="4071019"/>
                <a:pt x="9580190" y="4055428"/>
                <a:pt x="9599418" y="4055428"/>
              </a:cubicBezTo>
              <a:cubicBezTo>
                <a:pt x="9618646" y="4055428"/>
                <a:pt x="9634230" y="4071019"/>
                <a:pt x="9634230" y="4090247"/>
              </a:cubicBezTo>
              <a:cubicBezTo>
                <a:pt x="9634230" y="4109475"/>
                <a:pt x="9618646" y="4125066"/>
                <a:pt x="9599418" y="4125066"/>
              </a:cubicBezTo>
              <a:close/>
              <a:moveTo>
                <a:pt x="9684310" y="4125066"/>
              </a:moveTo>
              <a:cubicBezTo>
                <a:pt x="9665083" y="4125066"/>
                <a:pt x="9649485" y="4109475"/>
                <a:pt x="9649485" y="4090247"/>
              </a:cubicBezTo>
              <a:cubicBezTo>
                <a:pt x="9649485" y="4071019"/>
                <a:pt x="9665083" y="4055428"/>
                <a:pt x="9684310" y="4055428"/>
              </a:cubicBezTo>
              <a:cubicBezTo>
                <a:pt x="9703538" y="4055428"/>
                <a:pt x="9719123" y="4071019"/>
                <a:pt x="9719123" y="4090247"/>
              </a:cubicBezTo>
              <a:cubicBezTo>
                <a:pt x="9719123" y="4109475"/>
                <a:pt x="9703538" y="4125066"/>
                <a:pt x="9684310" y="4125066"/>
              </a:cubicBezTo>
              <a:close/>
              <a:moveTo>
                <a:pt x="10108773" y="4125066"/>
              </a:moveTo>
              <a:cubicBezTo>
                <a:pt x="10089545" y="4125066"/>
                <a:pt x="10073947" y="4109475"/>
                <a:pt x="10073947" y="4090247"/>
              </a:cubicBezTo>
              <a:cubicBezTo>
                <a:pt x="10073947" y="4071019"/>
                <a:pt x="10089545" y="4055428"/>
                <a:pt x="10108773" y="4055428"/>
              </a:cubicBezTo>
              <a:cubicBezTo>
                <a:pt x="10128000" y="4055428"/>
                <a:pt x="10143585" y="4071019"/>
                <a:pt x="10143585" y="4090247"/>
              </a:cubicBezTo>
              <a:cubicBezTo>
                <a:pt x="10143585" y="4109475"/>
                <a:pt x="10128000" y="4125066"/>
                <a:pt x="10108773" y="4125066"/>
              </a:cubicBezTo>
              <a:close/>
              <a:moveTo>
                <a:pt x="2128876" y="4040206"/>
              </a:moveTo>
              <a:cubicBezTo>
                <a:pt x="2109648" y="4040206"/>
                <a:pt x="2094057" y="4024615"/>
                <a:pt x="2094057" y="4005387"/>
              </a:cubicBezTo>
              <a:cubicBezTo>
                <a:pt x="2094057" y="3986159"/>
                <a:pt x="2109648" y="3970568"/>
                <a:pt x="2128876" y="3970568"/>
              </a:cubicBezTo>
              <a:cubicBezTo>
                <a:pt x="2148103" y="3970568"/>
                <a:pt x="2163694" y="3986159"/>
                <a:pt x="2163694" y="4005387"/>
              </a:cubicBezTo>
              <a:cubicBezTo>
                <a:pt x="2163694" y="4024615"/>
                <a:pt x="2148103" y="4040206"/>
                <a:pt x="2128876" y="4040206"/>
              </a:cubicBezTo>
              <a:close/>
              <a:moveTo>
                <a:pt x="2213769" y="4040206"/>
              </a:moveTo>
              <a:cubicBezTo>
                <a:pt x="2194541" y="4040206"/>
                <a:pt x="2178950" y="4024615"/>
                <a:pt x="2178950" y="4005387"/>
              </a:cubicBezTo>
              <a:cubicBezTo>
                <a:pt x="2178950" y="3986159"/>
                <a:pt x="2194541" y="3970568"/>
                <a:pt x="2213769" y="3970568"/>
              </a:cubicBezTo>
              <a:cubicBezTo>
                <a:pt x="2232997" y="3970568"/>
                <a:pt x="2248588" y="3986159"/>
                <a:pt x="2248588" y="4005387"/>
              </a:cubicBezTo>
              <a:cubicBezTo>
                <a:pt x="2248588" y="4024615"/>
                <a:pt x="2232997" y="4040206"/>
                <a:pt x="2213769" y="4040206"/>
              </a:cubicBezTo>
              <a:close/>
              <a:moveTo>
                <a:pt x="2298661" y="4040206"/>
              </a:moveTo>
              <a:cubicBezTo>
                <a:pt x="2279433" y="4040206"/>
                <a:pt x="2263842" y="4024615"/>
                <a:pt x="2263842" y="4005387"/>
              </a:cubicBezTo>
              <a:cubicBezTo>
                <a:pt x="2263842" y="3986159"/>
                <a:pt x="2279433" y="3970568"/>
                <a:pt x="2298661" y="3970568"/>
              </a:cubicBezTo>
              <a:cubicBezTo>
                <a:pt x="2317889" y="3970568"/>
                <a:pt x="2333480" y="3986159"/>
                <a:pt x="2333480" y="4005387"/>
              </a:cubicBezTo>
              <a:cubicBezTo>
                <a:pt x="2333480" y="4024615"/>
                <a:pt x="2317889" y="4040206"/>
                <a:pt x="2298661" y="4040206"/>
              </a:cubicBezTo>
              <a:close/>
              <a:moveTo>
                <a:pt x="2383553" y="4040206"/>
              </a:moveTo>
              <a:cubicBezTo>
                <a:pt x="2364326" y="4040206"/>
                <a:pt x="2348734" y="4024615"/>
                <a:pt x="2348734" y="4005387"/>
              </a:cubicBezTo>
              <a:cubicBezTo>
                <a:pt x="2348734" y="3986159"/>
                <a:pt x="2364326" y="3970568"/>
                <a:pt x="2383553" y="3970568"/>
              </a:cubicBezTo>
              <a:cubicBezTo>
                <a:pt x="2402781" y="3970568"/>
                <a:pt x="2418372" y="3986159"/>
                <a:pt x="2418372" y="4005387"/>
              </a:cubicBezTo>
              <a:cubicBezTo>
                <a:pt x="2418372" y="4024615"/>
                <a:pt x="2402781" y="4040206"/>
                <a:pt x="2383553" y="4040206"/>
              </a:cubicBezTo>
              <a:close/>
              <a:moveTo>
                <a:pt x="2468446" y="4040206"/>
              </a:moveTo>
              <a:cubicBezTo>
                <a:pt x="2449218" y="4040206"/>
                <a:pt x="2433627" y="4024615"/>
                <a:pt x="2433627" y="4005387"/>
              </a:cubicBezTo>
              <a:cubicBezTo>
                <a:pt x="2433627" y="3986159"/>
                <a:pt x="2449218" y="3970568"/>
                <a:pt x="2468446" y="3970568"/>
              </a:cubicBezTo>
              <a:cubicBezTo>
                <a:pt x="2487673" y="3970568"/>
                <a:pt x="2503264" y="3986159"/>
                <a:pt x="2503264" y="4005387"/>
              </a:cubicBezTo>
              <a:cubicBezTo>
                <a:pt x="2503264" y="4024615"/>
                <a:pt x="2487673" y="4040206"/>
                <a:pt x="2468446" y="4040206"/>
              </a:cubicBezTo>
              <a:close/>
              <a:moveTo>
                <a:pt x="2553339" y="4040206"/>
              </a:moveTo>
              <a:cubicBezTo>
                <a:pt x="2534111" y="4040206"/>
                <a:pt x="2518520" y="4024615"/>
                <a:pt x="2518520" y="4005387"/>
              </a:cubicBezTo>
              <a:cubicBezTo>
                <a:pt x="2518520" y="3986159"/>
                <a:pt x="2534111" y="3970568"/>
                <a:pt x="2553339" y="3970568"/>
              </a:cubicBezTo>
              <a:cubicBezTo>
                <a:pt x="2572567" y="3970568"/>
                <a:pt x="2588158" y="3986159"/>
                <a:pt x="2588158" y="4005387"/>
              </a:cubicBezTo>
              <a:cubicBezTo>
                <a:pt x="2588158" y="4024615"/>
                <a:pt x="2572567" y="4040206"/>
                <a:pt x="2553339" y="4040206"/>
              </a:cubicBezTo>
              <a:close/>
              <a:moveTo>
                <a:pt x="2638231" y="4040206"/>
              </a:moveTo>
              <a:cubicBezTo>
                <a:pt x="2619003" y="4040206"/>
                <a:pt x="2603412" y="4024615"/>
                <a:pt x="2603412" y="4005387"/>
              </a:cubicBezTo>
              <a:cubicBezTo>
                <a:pt x="2603412" y="3986159"/>
                <a:pt x="2619003" y="3970568"/>
                <a:pt x="2638231" y="3970568"/>
              </a:cubicBezTo>
              <a:cubicBezTo>
                <a:pt x="2657459" y="3970568"/>
                <a:pt x="2673050" y="3986159"/>
                <a:pt x="2673050" y="4005387"/>
              </a:cubicBezTo>
              <a:cubicBezTo>
                <a:pt x="2673050" y="4024615"/>
                <a:pt x="2657459" y="4040206"/>
                <a:pt x="2638231" y="4040206"/>
              </a:cubicBezTo>
              <a:close/>
              <a:moveTo>
                <a:pt x="2723123" y="4040206"/>
              </a:moveTo>
              <a:cubicBezTo>
                <a:pt x="2703896" y="4040206"/>
                <a:pt x="2688304" y="4024615"/>
                <a:pt x="2688304" y="4005387"/>
              </a:cubicBezTo>
              <a:cubicBezTo>
                <a:pt x="2688304" y="3986159"/>
                <a:pt x="2703896" y="3970568"/>
                <a:pt x="2723123" y="3970568"/>
              </a:cubicBezTo>
              <a:cubicBezTo>
                <a:pt x="2742351" y="3970568"/>
                <a:pt x="2757942" y="3986159"/>
                <a:pt x="2757942" y="4005387"/>
              </a:cubicBezTo>
              <a:cubicBezTo>
                <a:pt x="2757942" y="4024615"/>
                <a:pt x="2742351" y="4040206"/>
                <a:pt x="2723123" y="4040206"/>
              </a:cubicBezTo>
              <a:close/>
              <a:moveTo>
                <a:pt x="2808016" y="4040206"/>
              </a:moveTo>
              <a:cubicBezTo>
                <a:pt x="2788788" y="4040206"/>
                <a:pt x="2773197" y="4024615"/>
                <a:pt x="2773197" y="4005387"/>
              </a:cubicBezTo>
              <a:cubicBezTo>
                <a:pt x="2773197" y="3986159"/>
                <a:pt x="2788788" y="3970568"/>
                <a:pt x="2808016" y="3970568"/>
              </a:cubicBezTo>
              <a:cubicBezTo>
                <a:pt x="2827243" y="3970568"/>
                <a:pt x="2842834" y="3986159"/>
                <a:pt x="2842834" y="4005387"/>
              </a:cubicBezTo>
              <a:cubicBezTo>
                <a:pt x="2842834" y="4024615"/>
                <a:pt x="2827243" y="4040206"/>
                <a:pt x="2808016" y="4040206"/>
              </a:cubicBezTo>
              <a:close/>
              <a:moveTo>
                <a:pt x="2892908" y="4040206"/>
              </a:moveTo>
              <a:cubicBezTo>
                <a:pt x="2873680" y="4040206"/>
                <a:pt x="2858089" y="4024615"/>
                <a:pt x="2858089" y="4005387"/>
              </a:cubicBezTo>
              <a:cubicBezTo>
                <a:pt x="2858089" y="3986159"/>
                <a:pt x="2873680" y="3970568"/>
                <a:pt x="2892908" y="3970568"/>
              </a:cubicBezTo>
              <a:cubicBezTo>
                <a:pt x="2912136" y="3970568"/>
                <a:pt x="2927727" y="3986159"/>
                <a:pt x="2927727" y="4005387"/>
              </a:cubicBezTo>
              <a:cubicBezTo>
                <a:pt x="2927727" y="4024615"/>
                <a:pt x="2912136" y="4040206"/>
                <a:pt x="2892908" y="4040206"/>
              </a:cubicBezTo>
              <a:close/>
              <a:moveTo>
                <a:pt x="2977801" y="4040206"/>
              </a:moveTo>
              <a:cubicBezTo>
                <a:pt x="2958573" y="4040206"/>
                <a:pt x="2942982" y="4024615"/>
                <a:pt x="2942982" y="4005387"/>
              </a:cubicBezTo>
              <a:cubicBezTo>
                <a:pt x="2942982" y="3986159"/>
                <a:pt x="2958573" y="3970568"/>
                <a:pt x="2977801" y="3970568"/>
              </a:cubicBezTo>
              <a:cubicBezTo>
                <a:pt x="2997029" y="3970568"/>
                <a:pt x="3012620" y="3986159"/>
                <a:pt x="3012620" y="4005387"/>
              </a:cubicBezTo>
              <a:cubicBezTo>
                <a:pt x="3012620" y="4024615"/>
                <a:pt x="2997029" y="4040206"/>
                <a:pt x="2977801" y="4040206"/>
              </a:cubicBezTo>
              <a:close/>
              <a:moveTo>
                <a:pt x="3062693" y="4040206"/>
              </a:moveTo>
              <a:cubicBezTo>
                <a:pt x="3043466" y="4040206"/>
                <a:pt x="3027874" y="4024615"/>
                <a:pt x="3027874" y="4005387"/>
              </a:cubicBezTo>
              <a:cubicBezTo>
                <a:pt x="3027874" y="3986159"/>
                <a:pt x="3043466" y="3970568"/>
                <a:pt x="3062693" y="3970568"/>
              </a:cubicBezTo>
              <a:cubicBezTo>
                <a:pt x="3081921" y="3970568"/>
                <a:pt x="3097512" y="3986159"/>
                <a:pt x="3097512" y="4005387"/>
              </a:cubicBezTo>
              <a:cubicBezTo>
                <a:pt x="3097512" y="4024615"/>
                <a:pt x="3081921" y="4040206"/>
                <a:pt x="3062693" y="4040206"/>
              </a:cubicBezTo>
              <a:close/>
              <a:moveTo>
                <a:pt x="3147586" y="4040206"/>
              </a:moveTo>
              <a:cubicBezTo>
                <a:pt x="3128358" y="4040206"/>
                <a:pt x="3112767" y="4024615"/>
                <a:pt x="3112767" y="4005387"/>
              </a:cubicBezTo>
              <a:cubicBezTo>
                <a:pt x="3112767" y="3986159"/>
                <a:pt x="3128358" y="3970568"/>
                <a:pt x="3147586" y="3970568"/>
              </a:cubicBezTo>
              <a:cubicBezTo>
                <a:pt x="3166813" y="3970568"/>
                <a:pt x="3182404" y="3986159"/>
                <a:pt x="3182404" y="4005387"/>
              </a:cubicBezTo>
              <a:cubicBezTo>
                <a:pt x="3182404" y="4024615"/>
                <a:pt x="3166813" y="4040206"/>
                <a:pt x="3147586" y="4040206"/>
              </a:cubicBezTo>
              <a:close/>
              <a:moveTo>
                <a:pt x="3232478" y="4040206"/>
              </a:moveTo>
              <a:cubicBezTo>
                <a:pt x="3213250" y="4040206"/>
                <a:pt x="3197659" y="4024615"/>
                <a:pt x="3197659" y="4005387"/>
              </a:cubicBezTo>
              <a:cubicBezTo>
                <a:pt x="3197659" y="3986159"/>
                <a:pt x="3213250" y="3970568"/>
                <a:pt x="3232478" y="3970568"/>
              </a:cubicBezTo>
              <a:cubicBezTo>
                <a:pt x="3251706" y="3970568"/>
                <a:pt x="3267297" y="3986159"/>
                <a:pt x="3267297" y="4005387"/>
              </a:cubicBezTo>
              <a:cubicBezTo>
                <a:pt x="3267297" y="4024615"/>
                <a:pt x="3251706" y="4040206"/>
                <a:pt x="3232478" y="4040206"/>
              </a:cubicBezTo>
              <a:close/>
              <a:moveTo>
                <a:pt x="3317371" y="4040206"/>
              </a:moveTo>
              <a:cubicBezTo>
                <a:pt x="3298143" y="4040206"/>
                <a:pt x="3282552" y="4024615"/>
                <a:pt x="3282552" y="4005387"/>
              </a:cubicBezTo>
              <a:cubicBezTo>
                <a:pt x="3282552" y="3986159"/>
                <a:pt x="3298143" y="3970568"/>
                <a:pt x="3317371" y="3970568"/>
              </a:cubicBezTo>
              <a:cubicBezTo>
                <a:pt x="3336599" y="3970568"/>
                <a:pt x="3352190" y="3986159"/>
                <a:pt x="3352190" y="4005387"/>
              </a:cubicBezTo>
              <a:cubicBezTo>
                <a:pt x="3352190" y="4024615"/>
                <a:pt x="3336599" y="4040206"/>
                <a:pt x="3317371" y="4040206"/>
              </a:cubicBezTo>
              <a:close/>
              <a:moveTo>
                <a:pt x="3487156" y="4040206"/>
              </a:moveTo>
              <a:cubicBezTo>
                <a:pt x="3467928" y="4040206"/>
                <a:pt x="3452337" y="4024615"/>
                <a:pt x="3452337" y="4005387"/>
              </a:cubicBezTo>
              <a:cubicBezTo>
                <a:pt x="3452337" y="3986159"/>
                <a:pt x="3467928" y="3970568"/>
                <a:pt x="3487156" y="3970568"/>
              </a:cubicBezTo>
              <a:cubicBezTo>
                <a:pt x="3506383" y="3970568"/>
                <a:pt x="3521974" y="3986159"/>
                <a:pt x="3521974" y="4005387"/>
              </a:cubicBezTo>
              <a:cubicBezTo>
                <a:pt x="3521974" y="4024615"/>
                <a:pt x="3506383" y="4040206"/>
                <a:pt x="3487156" y="4040206"/>
              </a:cubicBezTo>
              <a:close/>
              <a:moveTo>
                <a:pt x="3572048" y="4040206"/>
              </a:moveTo>
              <a:cubicBezTo>
                <a:pt x="3552820" y="4040206"/>
                <a:pt x="3537229" y="4024615"/>
                <a:pt x="3537229" y="4005387"/>
              </a:cubicBezTo>
              <a:cubicBezTo>
                <a:pt x="3537229" y="3986159"/>
                <a:pt x="3552820" y="3970568"/>
                <a:pt x="3572048" y="3970568"/>
              </a:cubicBezTo>
              <a:cubicBezTo>
                <a:pt x="3591276" y="3970568"/>
                <a:pt x="3606867" y="3986159"/>
                <a:pt x="3606867" y="4005387"/>
              </a:cubicBezTo>
              <a:cubicBezTo>
                <a:pt x="3606867" y="4024615"/>
                <a:pt x="3591276" y="4040206"/>
                <a:pt x="3572048" y="4040206"/>
              </a:cubicBezTo>
              <a:close/>
              <a:moveTo>
                <a:pt x="3656941" y="4040206"/>
              </a:moveTo>
              <a:cubicBezTo>
                <a:pt x="3637713" y="4040206"/>
                <a:pt x="3622122" y="4024615"/>
                <a:pt x="3622122" y="4005387"/>
              </a:cubicBezTo>
              <a:cubicBezTo>
                <a:pt x="3622122" y="3986159"/>
                <a:pt x="3637713" y="3970568"/>
                <a:pt x="3656941" y="3970568"/>
              </a:cubicBezTo>
              <a:cubicBezTo>
                <a:pt x="3676169" y="3970568"/>
                <a:pt x="3691760" y="3986159"/>
                <a:pt x="3691760" y="4005387"/>
              </a:cubicBezTo>
              <a:cubicBezTo>
                <a:pt x="3691760" y="4024615"/>
                <a:pt x="3676169" y="4040206"/>
                <a:pt x="3656941" y="4040206"/>
              </a:cubicBezTo>
              <a:close/>
              <a:moveTo>
                <a:pt x="5694360" y="4040206"/>
              </a:moveTo>
              <a:cubicBezTo>
                <a:pt x="5675132" y="4040206"/>
                <a:pt x="5659541" y="4024615"/>
                <a:pt x="5659541" y="4005387"/>
              </a:cubicBezTo>
              <a:cubicBezTo>
                <a:pt x="5659541" y="3986159"/>
                <a:pt x="5675132" y="3970568"/>
                <a:pt x="5694360" y="3970568"/>
              </a:cubicBezTo>
              <a:cubicBezTo>
                <a:pt x="5713588" y="3970568"/>
                <a:pt x="5729179" y="3986159"/>
                <a:pt x="5729179" y="4005387"/>
              </a:cubicBezTo>
              <a:cubicBezTo>
                <a:pt x="5729179" y="4024615"/>
                <a:pt x="5713588" y="4040206"/>
                <a:pt x="5694360" y="4040206"/>
              </a:cubicBezTo>
              <a:close/>
              <a:moveTo>
                <a:pt x="5779252" y="4040206"/>
              </a:moveTo>
              <a:cubicBezTo>
                <a:pt x="5760025" y="4040206"/>
                <a:pt x="5744433" y="4024615"/>
                <a:pt x="5744433" y="4005387"/>
              </a:cubicBezTo>
              <a:cubicBezTo>
                <a:pt x="5744433" y="3986159"/>
                <a:pt x="5760025" y="3970568"/>
                <a:pt x="5779252" y="3970568"/>
              </a:cubicBezTo>
              <a:cubicBezTo>
                <a:pt x="5798480" y="3970568"/>
                <a:pt x="5814071" y="3986159"/>
                <a:pt x="5814071" y="4005387"/>
              </a:cubicBezTo>
              <a:cubicBezTo>
                <a:pt x="5814071" y="4024615"/>
                <a:pt x="5798480" y="4040206"/>
                <a:pt x="5779252" y="4040206"/>
              </a:cubicBezTo>
              <a:close/>
              <a:moveTo>
                <a:pt x="5864146" y="4040206"/>
              </a:moveTo>
              <a:cubicBezTo>
                <a:pt x="5844918" y="4040206"/>
                <a:pt x="5829327" y="4024615"/>
                <a:pt x="5829327" y="4005387"/>
              </a:cubicBezTo>
              <a:cubicBezTo>
                <a:pt x="5829327" y="3986159"/>
                <a:pt x="5844918" y="3970568"/>
                <a:pt x="5864146" y="3970568"/>
              </a:cubicBezTo>
              <a:cubicBezTo>
                <a:pt x="5883373" y="3970568"/>
                <a:pt x="5898964" y="3986159"/>
                <a:pt x="5898964" y="4005387"/>
              </a:cubicBezTo>
              <a:cubicBezTo>
                <a:pt x="5898964" y="4024615"/>
                <a:pt x="5883373" y="4040206"/>
                <a:pt x="5864146" y="4040206"/>
              </a:cubicBezTo>
              <a:close/>
              <a:moveTo>
                <a:pt x="6033930" y="4040206"/>
              </a:moveTo>
              <a:cubicBezTo>
                <a:pt x="6014702" y="4040206"/>
                <a:pt x="5999111" y="4024615"/>
                <a:pt x="5999111" y="4005387"/>
              </a:cubicBezTo>
              <a:cubicBezTo>
                <a:pt x="5999111" y="3986159"/>
                <a:pt x="6014702" y="3970568"/>
                <a:pt x="6033930" y="3970568"/>
              </a:cubicBezTo>
              <a:cubicBezTo>
                <a:pt x="6053158" y="3970568"/>
                <a:pt x="6068749" y="3986159"/>
                <a:pt x="6068749" y="4005387"/>
              </a:cubicBezTo>
              <a:cubicBezTo>
                <a:pt x="6068749" y="4024615"/>
                <a:pt x="6053158" y="4040206"/>
                <a:pt x="6033930" y="4040206"/>
              </a:cubicBezTo>
              <a:close/>
              <a:moveTo>
                <a:pt x="6203718" y="4040206"/>
              </a:moveTo>
              <a:cubicBezTo>
                <a:pt x="6184490" y="4040206"/>
                <a:pt x="6168893" y="4024615"/>
                <a:pt x="6168893" y="4005387"/>
              </a:cubicBezTo>
              <a:cubicBezTo>
                <a:pt x="6168893" y="3986159"/>
                <a:pt x="6184490" y="3970568"/>
                <a:pt x="6203718" y="3970568"/>
              </a:cubicBezTo>
              <a:cubicBezTo>
                <a:pt x="6222946" y="3970568"/>
                <a:pt x="6238530" y="3986159"/>
                <a:pt x="6238530" y="4005387"/>
              </a:cubicBezTo>
              <a:cubicBezTo>
                <a:pt x="6238530" y="4024615"/>
                <a:pt x="6222946" y="4040206"/>
                <a:pt x="6203718" y="4040206"/>
              </a:cubicBezTo>
              <a:close/>
              <a:moveTo>
                <a:pt x="6458396" y="4040206"/>
              </a:moveTo>
              <a:cubicBezTo>
                <a:pt x="6439168" y="4040206"/>
                <a:pt x="6423570" y="4024615"/>
                <a:pt x="6423570" y="4005387"/>
              </a:cubicBezTo>
              <a:cubicBezTo>
                <a:pt x="6423570" y="3986159"/>
                <a:pt x="6439168" y="3970568"/>
                <a:pt x="6458396" y="3970568"/>
              </a:cubicBezTo>
              <a:cubicBezTo>
                <a:pt x="6477624" y="3970568"/>
                <a:pt x="6493208" y="3986159"/>
                <a:pt x="6493208" y="4005387"/>
              </a:cubicBezTo>
              <a:cubicBezTo>
                <a:pt x="6493208" y="4024615"/>
                <a:pt x="6477624" y="4040206"/>
                <a:pt x="6458396" y="4040206"/>
              </a:cubicBezTo>
              <a:close/>
              <a:moveTo>
                <a:pt x="6543288" y="4040206"/>
              </a:moveTo>
              <a:cubicBezTo>
                <a:pt x="6524060" y="4040206"/>
                <a:pt x="6508463" y="4024615"/>
                <a:pt x="6508463" y="4005387"/>
              </a:cubicBezTo>
              <a:cubicBezTo>
                <a:pt x="6508463" y="3986159"/>
                <a:pt x="6524060" y="3970568"/>
                <a:pt x="6543288" y="3970568"/>
              </a:cubicBezTo>
              <a:cubicBezTo>
                <a:pt x="6562516" y="3970568"/>
                <a:pt x="6578100" y="3986159"/>
                <a:pt x="6578100" y="4005387"/>
              </a:cubicBezTo>
              <a:cubicBezTo>
                <a:pt x="6578100" y="4024615"/>
                <a:pt x="6562516" y="4040206"/>
                <a:pt x="6543288" y="4040206"/>
              </a:cubicBezTo>
              <a:close/>
              <a:moveTo>
                <a:pt x="6628181" y="4040206"/>
              </a:moveTo>
              <a:cubicBezTo>
                <a:pt x="6608954" y="4040206"/>
                <a:pt x="6593356" y="4024615"/>
                <a:pt x="6593356" y="4005387"/>
              </a:cubicBezTo>
              <a:cubicBezTo>
                <a:pt x="6593356" y="3986159"/>
                <a:pt x="6608954" y="3970568"/>
                <a:pt x="6628181" y="3970568"/>
              </a:cubicBezTo>
              <a:cubicBezTo>
                <a:pt x="6647409" y="3970568"/>
                <a:pt x="6662994" y="3986159"/>
                <a:pt x="6662994" y="4005387"/>
              </a:cubicBezTo>
              <a:cubicBezTo>
                <a:pt x="6662994" y="4024615"/>
                <a:pt x="6647409" y="4040206"/>
                <a:pt x="6628181" y="4040206"/>
              </a:cubicBezTo>
              <a:close/>
              <a:moveTo>
                <a:pt x="7137536" y="4040206"/>
              </a:moveTo>
              <a:cubicBezTo>
                <a:pt x="7118308" y="4040206"/>
                <a:pt x="7102710" y="4024615"/>
                <a:pt x="7102710" y="4005387"/>
              </a:cubicBezTo>
              <a:cubicBezTo>
                <a:pt x="7102710" y="3986159"/>
                <a:pt x="7118308" y="3970568"/>
                <a:pt x="7137536" y="3970568"/>
              </a:cubicBezTo>
              <a:cubicBezTo>
                <a:pt x="7156764" y="3970568"/>
                <a:pt x="7172348" y="3986159"/>
                <a:pt x="7172348" y="4005387"/>
              </a:cubicBezTo>
              <a:cubicBezTo>
                <a:pt x="7172348" y="4024615"/>
                <a:pt x="7156764" y="4040206"/>
                <a:pt x="7137536" y="4040206"/>
              </a:cubicBezTo>
              <a:close/>
              <a:moveTo>
                <a:pt x="7222428" y="4040206"/>
              </a:moveTo>
              <a:cubicBezTo>
                <a:pt x="7203200" y="4040206"/>
                <a:pt x="7187603" y="4024615"/>
                <a:pt x="7187603" y="4005387"/>
              </a:cubicBezTo>
              <a:cubicBezTo>
                <a:pt x="7187603" y="3986159"/>
                <a:pt x="7203200" y="3970568"/>
                <a:pt x="7222428" y="3970568"/>
              </a:cubicBezTo>
              <a:cubicBezTo>
                <a:pt x="7241656" y="3970568"/>
                <a:pt x="7257240" y="3986159"/>
                <a:pt x="7257240" y="4005387"/>
              </a:cubicBezTo>
              <a:cubicBezTo>
                <a:pt x="7257240" y="4024615"/>
                <a:pt x="7241656" y="4040206"/>
                <a:pt x="7222428" y="4040206"/>
              </a:cubicBezTo>
              <a:close/>
              <a:moveTo>
                <a:pt x="7477106" y="4040206"/>
              </a:moveTo>
              <a:cubicBezTo>
                <a:pt x="7457878" y="4040206"/>
                <a:pt x="7442280" y="4024615"/>
                <a:pt x="7442280" y="4005387"/>
              </a:cubicBezTo>
              <a:cubicBezTo>
                <a:pt x="7442280" y="3986159"/>
                <a:pt x="7457878" y="3970568"/>
                <a:pt x="7477106" y="3970568"/>
              </a:cubicBezTo>
              <a:cubicBezTo>
                <a:pt x="7496334" y="3970568"/>
                <a:pt x="7511918" y="3986159"/>
                <a:pt x="7511918" y="4005387"/>
              </a:cubicBezTo>
              <a:cubicBezTo>
                <a:pt x="7511918" y="4024615"/>
                <a:pt x="7496334" y="4040206"/>
                <a:pt x="7477106" y="4040206"/>
              </a:cubicBezTo>
              <a:close/>
              <a:moveTo>
                <a:pt x="7561998" y="4040206"/>
              </a:moveTo>
              <a:cubicBezTo>
                <a:pt x="7542770" y="4040206"/>
                <a:pt x="7527173" y="4024615"/>
                <a:pt x="7527173" y="4005387"/>
              </a:cubicBezTo>
              <a:cubicBezTo>
                <a:pt x="7527173" y="3986159"/>
                <a:pt x="7542770" y="3970568"/>
                <a:pt x="7561998" y="3970568"/>
              </a:cubicBezTo>
              <a:cubicBezTo>
                <a:pt x="7581226" y="3970568"/>
                <a:pt x="7596810" y="3986159"/>
                <a:pt x="7596810" y="4005387"/>
              </a:cubicBezTo>
              <a:cubicBezTo>
                <a:pt x="7596810" y="4024615"/>
                <a:pt x="7581226" y="4040206"/>
                <a:pt x="7561998" y="4040206"/>
              </a:cubicBezTo>
              <a:close/>
              <a:moveTo>
                <a:pt x="7646890" y="4040206"/>
              </a:moveTo>
              <a:cubicBezTo>
                <a:pt x="7627663" y="4040206"/>
                <a:pt x="7612065" y="4024615"/>
                <a:pt x="7612065" y="4005387"/>
              </a:cubicBezTo>
              <a:cubicBezTo>
                <a:pt x="7612065" y="3986159"/>
                <a:pt x="7627663" y="3970568"/>
                <a:pt x="7646890" y="3970568"/>
              </a:cubicBezTo>
              <a:cubicBezTo>
                <a:pt x="7666118" y="3970568"/>
                <a:pt x="7681703" y="3986159"/>
                <a:pt x="7681703" y="4005387"/>
              </a:cubicBezTo>
              <a:cubicBezTo>
                <a:pt x="7681703" y="4024615"/>
                <a:pt x="7666118" y="4040206"/>
                <a:pt x="7646890" y="4040206"/>
              </a:cubicBezTo>
              <a:close/>
              <a:moveTo>
                <a:pt x="7731784" y="4040206"/>
              </a:moveTo>
              <a:cubicBezTo>
                <a:pt x="7712556" y="4040206"/>
                <a:pt x="7696958" y="4024615"/>
                <a:pt x="7696958" y="4005387"/>
              </a:cubicBezTo>
              <a:cubicBezTo>
                <a:pt x="7696958" y="3986159"/>
                <a:pt x="7712556" y="3970568"/>
                <a:pt x="7731784" y="3970568"/>
              </a:cubicBezTo>
              <a:cubicBezTo>
                <a:pt x="7751011" y="3970568"/>
                <a:pt x="7766596" y="3986159"/>
                <a:pt x="7766596" y="4005387"/>
              </a:cubicBezTo>
              <a:cubicBezTo>
                <a:pt x="7766596" y="4024615"/>
                <a:pt x="7751011" y="4040206"/>
                <a:pt x="7731784" y="4040206"/>
              </a:cubicBezTo>
              <a:close/>
              <a:moveTo>
                <a:pt x="7816676" y="4040206"/>
              </a:moveTo>
              <a:cubicBezTo>
                <a:pt x="7797448" y="4040206"/>
                <a:pt x="7781850" y="4024615"/>
                <a:pt x="7781850" y="4005387"/>
              </a:cubicBezTo>
              <a:cubicBezTo>
                <a:pt x="7781850" y="3986159"/>
                <a:pt x="7797448" y="3970568"/>
                <a:pt x="7816676" y="3970568"/>
              </a:cubicBezTo>
              <a:cubicBezTo>
                <a:pt x="7835904" y="3970568"/>
                <a:pt x="7851488" y="3986159"/>
                <a:pt x="7851488" y="4005387"/>
              </a:cubicBezTo>
              <a:cubicBezTo>
                <a:pt x="7851488" y="4024615"/>
                <a:pt x="7835904" y="4040206"/>
                <a:pt x="7816676" y="4040206"/>
              </a:cubicBezTo>
              <a:close/>
              <a:moveTo>
                <a:pt x="7901568" y="4040206"/>
              </a:moveTo>
              <a:cubicBezTo>
                <a:pt x="7882340" y="4040206"/>
                <a:pt x="7866743" y="4024615"/>
                <a:pt x="7866743" y="4005387"/>
              </a:cubicBezTo>
              <a:cubicBezTo>
                <a:pt x="7866743" y="3986159"/>
                <a:pt x="7882340" y="3970568"/>
                <a:pt x="7901568" y="3970568"/>
              </a:cubicBezTo>
              <a:cubicBezTo>
                <a:pt x="7920796" y="3970568"/>
                <a:pt x="7936380" y="3986159"/>
                <a:pt x="7936380" y="4005387"/>
              </a:cubicBezTo>
              <a:cubicBezTo>
                <a:pt x="7936380" y="4024615"/>
                <a:pt x="7920796" y="4040206"/>
                <a:pt x="7901568" y="4040206"/>
              </a:cubicBezTo>
              <a:close/>
              <a:moveTo>
                <a:pt x="7986460" y="4040206"/>
              </a:moveTo>
              <a:cubicBezTo>
                <a:pt x="7967233" y="4040206"/>
                <a:pt x="7951635" y="4024615"/>
                <a:pt x="7951635" y="4005387"/>
              </a:cubicBezTo>
              <a:cubicBezTo>
                <a:pt x="7951635" y="3986159"/>
                <a:pt x="7967233" y="3970568"/>
                <a:pt x="7986460" y="3970568"/>
              </a:cubicBezTo>
              <a:cubicBezTo>
                <a:pt x="8005688" y="3970568"/>
                <a:pt x="8021273" y="3986159"/>
                <a:pt x="8021273" y="4005387"/>
              </a:cubicBezTo>
              <a:cubicBezTo>
                <a:pt x="8021273" y="4024615"/>
                <a:pt x="8005688" y="4040206"/>
                <a:pt x="7986460" y="4040206"/>
              </a:cubicBezTo>
              <a:close/>
              <a:moveTo>
                <a:pt x="8071353" y="4040206"/>
              </a:moveTo>
              <a:cubicBezTo>
                <a:pt x="8052125" y="4040206"/>
                <a:pt x="8036527" y="4024615"/>
                <a:pt x="8036527" y="4005387"/>
              </a:cubicBezTo>
              <a:cubicBezTo>
                <a:pt x="8036527" y="3986159"/>
                <a:pt x="8052125" y="3970568"/>
                <a:pt x="8071353" y="3970568"/>
              </a:cubicBezTo>
              <a:cubicBezTo>
                <a:pt x="8090580" y="3970568"/>
                <a:pt x="8106165" y="3986159"/>
                <a:pt x="8106165" y="4005387"/>
              </a:cubicBezTo>
              <a:cubicBezTo>
                <a:pt x="8106165" y="4024615"/>
                <a:pt x="8090580" y="4040206"/>
                <a:pt x="8071353" y="4040206"/>
              </a:cubicBezTo>
              <a:close/>
              <a:moveTo>
                <a:pt x="8156246" y="4040206"/>
              </a:moveTo>
              <a:cubicBezTo>
                <a:pt x="8137018" y="4040206"/>
                <a:pt x="8121420" y="4024615"/>
                <a:pt x="8121420" y="4005387"/>
              </a:cubicBezTo>
              <a:cubicBezTo>
                <a:pt x="8121420" y="3986159"/>
                <a:pt x="8137018" y="3970568"/>
                <a:pt x="8156246" y="3970568"/>
              </a:cubicBezTo>
              <a:cubicBezTo>
                <a:pt x="8175474" y="3970568"/>
                <a:pt x="8191058" y="3986159"/>
                <a:pt x="8191058" y="4005387"/>
              </a:cubicBezTo>
              <a:cubicBezTo>
                <a:pt x="8191058" y="4024615"/>
                <a:pt x="8175474" y="4040206"/>
                <a:pt x="8156246" y="4040206"/>
              </a:cubicBezTo>
              <a:close/>
              <a:moveTo>
                <a:pt x="8241138" y="4040206"/>
              </a:moveTo>
              <a:cubicBezTo>
                <a:pt x="8221910" y="4040206"/>
                <a:pt x="8206313" y="4024615"/>
                <a:pt x="8206313" y="4005387"/>
              </a:cubicBezTo>
              <a:cubicBezTo>
                <a:pt x="8206313" y="3986159"/>
                <a:pt x="8221910" y="3970568"/>
                <a:pt x="8241138" y="3970568"/>
              </a:cubicBezTo>
              <a:cubicBezTo>
                <a:pt x="8260366" y="3970568"/>
                <a:pt x="8275950" y="3986159"/>
                <a:pt x="8275950" y="4005387"/>
              </a:cubicBezTo>
              <a:cubicBezTo>
                <a:pt x="8275950" y="4024615"/>
                <a:pt x="8260366" y="4040206"/>
                <a:pt x="8241138" y="4040206"/>
              </a:cubicBezTo>
              <a:close/>
              <a:moveTo>
                <a:pt x="8326030" y="4040206"/>
              </a:moveTo>
              <a:cubicBezTo>
                <a:pt x="8306803" y="4040206"/>
                <a:pt x="8291205" y="4024615"/>
                <a:pt x="8291205" y="4005387"/>
              </a:cubicBezTo>
              <a:cubicBezTo>
                <a:pt x="8291205" y="3986159"/>
                <a:pt x="8306803" y="3970568"/>
                <a:pt x="8326030" y="3970568"/>
              </a:cubicBezTo>
              <a:cubicBezTo>
                <a:pt x="8345258" y="3970568"/>
                <a:pt x="8360843" y="3986159"/>
                <a:pt x="8360843" y="4005387"/>
              </a:cubicBezTo>
              <a:cubicBezTo>
                <a:pt x="8360843" y="4024615"/>
                <a:pt x="8345258" y="4040206"/>
                <a:pt x="8326030" y="4040206"/>
              </a:cubicBezTo>
              <a:close/>
              <a:moveTo>
                <a:pt x="8410923" y="4040206"/>
              </a:moveTo>
              <a:cubicBezTo>
                <a:pt x="8391695" y="4040206"/>
                <a:pt x="8376097" y="4024615"/>
                <a:pt x="8376097" y="4005387"/>
              </a:cubicBezTo>
              <a:cubicBezTo>
                <a:pt x="8376097" y="3986159"/>
                <a:pt x="8391695" y="3970568"/>
                <a:pt x="8410923" y="3970568"/>
              </a:cubicBezTo>
              <a:cubicBezTo>
                <a:pt x="8430150" y="3970568"/>
                <a:pt x="8445735" y="3986159"/>
                <a:pt x="8445735" y="4005387"/>
              </a:cubicBezTo>
              <a:cubicBezTo>
                <a:pt x="8445735" y="4024615"/>
                <a:pt x="8430150" y="4040206"/>
                <a:pt x="8410923" y="4040206"/>
              </a:cubicBezTo>
              <a:close/>
              <a:moveTo>
                <a:pt x="8495816" y="4040206"/>
              </a:moveTo>
              <a:cubicBezTo>
                <a:pt x="8476588" y="4040206"/>
                <a:pt x="8460990" y="4024615"/>
                <a:pt x="8460990" y="4005387"/>
              </a:cubicBezTo>
              <a:cubicBezTo>
                <a:pt x="8460990" y="3986159"/>
                <a:pt x="8476588" y="3970568"/>
                <a:pt x="8495816" y="3970568"/>
              </a:cubicBezTo>
              <a:cubicBezTo>
                <a:pt x="8515044" y="3970568"/>
                <a:pt x="8530628" y="3986159"/>
                <a:pt x="8530628" y="4005387"/>
              </a:cubicBezTo>
              <a:cubicBezTo>
                <a:pt x="8530628" y="4024615"/>
                <a:pt x="8515044" y="4040206"/>
                <a:pt x="8495816" y="4040206"/>
              </a:cubicBezTo>
              <a:close/>
              <a:moveTo>
                <a:pt x="8580708" y="4040206"/>
              </a:moveTo>
              <a:cubicBezTo>
                <a:pt x="8561480" y="4040206"/>
                <a:pt x="8545883" y="4024615"/>
                <a:pt x="8545883" y="4005387"/>
              </a:cubicBezTo>
              <a:cubicBezTo>
                <a:pt x="8545883" y="3986159"/>
                <a:pt x="8561480" y="3970568"/>
                <a:pt x="8580708" y="3970568"/>
              </a:cubicBezTo>
              <a:cubicBezTo>
                <a:pt x="8599936" y="3970568"/>
                <a:pt x="8615520" y="3986159"/>
                <a:pt x="8615520" y="4005387"/>
              </a:cubicBezTo>
              <a:cubicBezTo>
                <a:pt x="8615520" y="4024615"/>
                <a:pt x="8599936" y="4040206"/>
                <a:pt x="8580708" y="4040206"/>
              </a:cubicBezTo>
              <a:close/>
              <a:moveTo>
                <a:pt x="8665600" y="4040206"/>
              </a:moveTo>
              <a:cubicBezTo>
                <a:pt x="8646373" y="4040206"/>
                <a:pt x="8630775" y="4024615"/>
                <a:pt x="8630775" y="4005387"/>
              </a:cubicBezTo>
              <a:cubicBezTo>
                <a:pt x="8630775" y="3986159"/>
                <a:pt x="8646373" y="3970568"/>
                <a:pt x="8665600" y="3970568"/>
              </a:cubicBezTo>
              <a:cubicBezTo>
                <a:pt x="8684828" y="3970568"/>
                <a:pt x="8700413" y="3986159"/>
                <a:pt x="8700413" y="4005387"/>
              </a:cubicBezTo>
              <a:cubicBezTo>
                <a:pt x="8700413" y="4024615"/>
                <a:pt x="8684828" y="4040206"/>
                <a:pt x="8665600" y="4040206"/>
              </a:cubicBezTo>
              <a:close/>
              <a:moveTo>
                <a:pt x="8750493" y="4040206"/>
              </a:moveTo>
              <a:cubicBezTo>
                <a:pt x="8731265" y="4040206"/>
                <a:pt x="8715667" y="4024615"/>
                <a:pt x="8715667" y="4005387"/>
              </a:cubicBezTo>
              <a:cubicBezTo>
                <a:pt x="8715667" y="3986159"/>
                <a:pt x="8731265" y="3970568"/>
                <a:pt x="8750493" y="3970568"/>
              </a:cubicBezTo>
              <a:cubicBezTo>
                <a:pt x="8769720" y="3970568"/>
                <a:pt x="8785305" y="3986159"/>
                <a:pt x="8785305" y="4005387"/>
              </a:cubicBezTo>
              <a:cubicBezTo>
                <a:pt x="8785305" y="4024615"/>
                <a:pt x="8769720" y="4040206"/>
                <a:pt x="8750493" y="4040206"/>
              </a:cubicBezTo>
              <a:close/>
              <a:moveTo>
                <a:pt x="8835386" y="4040206"/>
              </a:moveTo>
              <a:cubicBezTo>
                <a:pt x="8816158" y="4040206"/>
                <a:pt x="8800560" y="4024615"/>
                <a:pt x="8800560" y="4005387"/>
              </a:cubicBezTo>
              <a:cubicBezTo>
                <a:pt x="8800560" y="3986159"/>
                <a:pt x="8816158" y="3970568"/>
                <a:pt x="8835386" y="3970568"/>
              </a:cubicBezTo>
              <a:cubicBezTo>
                <a:pt x="8854614" y="3970568"/>
                <a:pt x="8870198" y="3986159"/>
                <a:pt x="8870198" y="4005387"/>
              </a:cubicBezTo>
              <a:cubicBezTo>
                <a:pt x="8870198" y="4024615"/>
                <a:pt x="8854614" y="4040206"/>
                <a:pt x="8835386" y="4040206"/>
              </a:cubicBezTo>
              <a:close/>
              <a:moveTo>
                <a:pt x="8920278" y="4040206"/>
              </a:moveTo>
              <a:cubicBezTo>
                <a:pt x="8901050" y="4040206"/>
                <a:pt x="8885453" y="4024615"/>
                <a:pt x="8885453" y="4005387"/>
              </a:cubicBezTo>
              <a:cubicBezTo>
                <a:pt x="8885453" y="3986159"/>
                <a:pt x="8901050" y="3970568"/>
                <a:pt x="8920278" y="3970568"/>
              </a:cubicBezTo>
              <a:cubicBezTo>
                <a:pt x="8939506" y="3970568"/>
                <a:pt x="8955090" y="3986159"/>
                <a:pt x="8955090" y="4005387"/>
              </a:cubicBezTo>
              <a:cubicBezTo>
                <a:pt x="8955090" y="4024615"/>
                <a:pt x="8939506" y="4040206"/>
                <a:pt x="8920278" y="4040206"/>
              </a:cubicBezTo>
              <a:close/>
              <a:moveTo>
                <a:pt x="9005170" y="4040206"/>
              </a:moveTo>
              <a:cubicBezTo>
                <a:pt x="8985943" y="4040206"/>
                <a:pt x="8970345" y="4024615"/>
                <a:pt x="8970345" y="4005387"/>
              </a:cubicBezTo>
              <a:cubicBezTo>
                <a:pt x="8970345" y="3986159"/>
                <a:pt x="8985943" y="3970568"/>
                <a:pt x="9005170" y="3970568"/>
              </a:cubicBezTo>
              <a:cubicBezTo>
                <a:pt x="9024398" y="3970568"/>
                <a:pt x="9039983" y="3986159"/>
                <a:pt x="9039983" y="4005387"/>
              </a:cubicBezTo>
              <a:cubicBezTo>
                <a:pt x="9039983" y="4024615"/>
                <a:pt x="9024398" y="4040206"/>
                <a:pt x="9005170" y="4040206"/>
              </a:cubicBezTo>
              <a:close/>
              <a:moveTo>
                <a:pt x="9090063" y="4040206"/>
              </a:moveTo>
              <a:cubicBezTo>
                <a:pt x="9070835" y="4040206"/>
                <a:pt x="9055237" y="4024615"/>
                <a:pt x="9055237" y="4005387"/>
              </a:cubicBezTo>
              <a:cubicBezTo>
                <a:pt x="9055237" y="3986159"/>
                <a:pt x="9070835" y="3970568"/>
                <a:pt x="9090063" y="3970568"/>
              </a:cubicBezTo>
              <a:cubicBezTo>
                <a:pt x="9109290" y="3970568"/>
                <a:pt x="9124875" y="3986159"/>
                <a:pt x="9124875" y="4005387"/>
              </a:cubicBezTo>
              <a:cubicBezTo>
                <a:pt x="9124875" y="4024615"/>
                <a:pt x="9109290" y="4040206"/>
                <a:pt x="9090063" y="4040206"/>
              </a:cubicBezTo>
              <a:close/>
              <a:moveTo>
                <a:pt x="9174956" y="4040206"/>
              </a:moveTo>
              <a:cubicBezTo>
                <a:pt x="9155728" y="4040206"/>
                <a:pt x="9140130" y="4024615"/>
                <a:pt x="9140130" y="4005387"/>
              </a:cubicBezTo>
              <a:cubicBezTo>
                <a:pt x="9140130" y="3986159"/>
                <a:pt x="9155728" y="3970568"/>
                <a:pt x="9174956" y="3970568"/>
              </a:cubicBezTo>
              <a:cubicBezTo>
                <a:pt x="9194184" y="3970568"/>
                <a:pt x="9209768" y="3986159"/>
                <a:pt x="9209768" y="4005387"/>
              </a:cubicBezTo>
              <a:cubicBezTo>
                <a:pt x="9209768" y="4024615"/>
                <a:pt x="9194184" y="4040206"/>
                <a:pt x="9174956" y="4040206"/>
              </a:cubicBezTo>
              <a:close/>
              <a:moveTo>
                <a:pt x="9259848" y="4040206"/>
              </a:moveTo>
              <a:cubicBezTo>
                <a:pt x="9240620" y="4040206"/>
                <a:pt x="9225023" y="4024615"/>
                <a:pt x="9225023" y="4005387"/>
              </a:cubicBezTo>
              <a:cubicBezTo>
                <a:pt x="9225023" y="3986159"/>
                <a:pt x="9240620" y="3970568"/>
                <a:pt x="9259848" y="3970568"/>
              </a:cubicBezTo>
              <a:cubicBezTo>
                <a:pt x="9279076" y="3970568"/>
                <a:pt x="9294660" y="3986159"/>
                <a:pt x="9294660" y="4005387"/>
              </a:cubicBezTo>
              <a:cubicBezTo>
                <a:pt x="9294660" y="4024615"/>
                <a:pt x="9279076" y="4040206"/>
                <a:pt x="9259848" y="4040206"/>
              </a:cubicBezTo>
              <a:close/>
              <a:moveTo>
                <a:pt x="9344740" y="4040206"/>
              </a:moveTo>
              <a:cubicBezTo>
                <a:pt x="9325513" y="4040206"/>
                <a:pt x="9309915" y="4024615"/>
                <a:pt x="9309915" y="4005387"/>
              </a:cubicBezTo>
              <a:cubicBezTo>
                <a:pt x="9309915" y="3986159"/>
                <a:pt x="9325513" y="3970568"/>
                <a:pt x="9344740" y="3970568"/>
              </a:cubicBezTo>
              <a:cubicBezTo>
                <a:pt x="9363968" y="3970568"/>
                <a:pt x="9379553" y="3986159"/>
                <a:pt x="9379553" y="4005387"/>
              </a:cubicBezTo>
              <a:cubicBezTo>
                <a:pt x="9379553" y="4024615"/>
                <a:pt x="9363968" y="4040206"/>
                <a:pt x="9344740" y="4040206"/>
              </a:cubicBezTo>
              <a:close/>
              <a:moveTo>
                <a:pt x="9429633" y="4040206"/>
              </a:moveTo>
              <a:cubicBezTo>
                <a:pt x="9410405" y="4040206"/>
                <a:pt x="9394807" y="4024615"/>
                <a:pt x="9394807" y="4005387"/>
              </a:cubicBezTo>
              <a:cubicBezTo>
                <a:pt x="9394807" y="3986159"/>
                <a:pt x="9410405" y="3970568"/>
                <a:pt x="9429633" y="3970568"/>
              </a:cubicBezTo>
              <a:cubicBezTo>
                <a:pt x="9448860" y="3970568"/>
                <a:pt x="9464445" y="3986159"/>
                <a:pt x="9464445" y="4005387"/>
              </a:cubicBezTo>
              <a:cubicBezTo>
                <a:pt x="9464445" y="4024615"/>
                <a:pt x="9448860" y="4040206"/>
                <a:pt x="9429633" y="4040206"/>
              </a:cubicBezTo>
              <a:close/>
              <a:moveTo>
                <a:pt x="9684310" y="4040206"/>
              </a:moveTo>
              <a:cubicBezTo>
                <a:pt x="9665083" y="4040206"/>
                <a:pt x="9649485" y="4024615"/>
                <a:pt x="9649485" y="4005387"/>
              </a:cubicBezTo>
              <a:cubicBezTo>
                <a:pt x="9649485" y="3986159"/>
                <a:pt x="9665083" y="3970568"/>
                <a:pt x="9684310" y="3970568"/>
              </a:cubicBezTo>
              <a:cubicBezTo>
                <a:pt x="9703538" y="3970568"/>
                <a:pt x="9719123" y="3986159"/>
                <a:pt x="9719123" y="4005387"/>
              </a:cubicBezTo>
              <a:cubicBezTo>
                <a:pt x="9719123" y="4024615"/>
                <a:pt x="9703538" y="4040206"/>
                <a:pt x="9684310" y="4040206"/>
              </a:cubicBezTo>
              <a:close/>
              <a:moveTo>
                <a:pt x="10108773" y="4040206"/>
              </a:moveTo>
              <a:cubicBezTo>
                <a:pt x="10089545" y="4040206"/>
                <a:pt x="10073947" y="4024615"/>
                <a:pt x="10073947" y="4005387"/>
              </a:cubicBezTo>
              <a:cubicBezTo>
                <a:pt x="10073947" y="3986159"/>
                <a:pt x="10089545" y="3970568"/>
                <a:pt x="10108773" y="3970568"/>
              </a:cubicBezTo>
              <a:cubicBezTo>
                <a:pt x="10128000" y="3970568"/>
                <a:pt x="10143585" y="3986159"/>
                <a:pt x="10143585" y="4005387"/>
              </a:cubicBezTo>
              <a:cubicBezTo>
                <a:pt x="10143585" y="4024615"/>
                <a:pt x="10128000" y="4040206"/>
                <a:pt x="10108773" y="4040206"/>
              </a:cubicBezTo>
              <a:close/>
              <a:moveTo>
                <a:pt x="2213769" y="3955346"/>
              </a:moveTo>
              <a:cubicBezTo>
                <a:pt x="2194541" y="3955346"/>
                <a:pt x="2178950" y="3939755"/>
                <a:pt x="2178950" y="3920527"/>
              </a:cubicBezTo>
              <a:cubicBezTo>
                <a:pt x="2178950" y="3901300"/>
                <a:pt x="2194541" y="3885709"/>
                <a:pt x="2213769" y="3885709"/>
              </a:cubicBezTo>
              <a:cubicBezTo>
                <a:pt x="2232997" y="3885709"/>
                <a:pt x="2248588" y="3901300"/>
                <a:pt x="2248588" y="3920527"/>
              </a:cubicBezTo>
              <a:cubicBezTo>
                <a:pt x="2248588" y="3939755"/>
                <a:pt x="2232997" y="3955346"/>
                <a:pt x="2213769" y="3955346"/>
              </a:cubicBezTo>
              <a:close/>
              <a:moveTo>
                <a:pt x="2298661" y="3955346"/>
              </a:moveTo>
              <a:cubicBezTo>
                <a:pt x="2279433" y="3955346"/>
                <a:pt x="2263842" y="3939755"/>
                <a:pt x="2263842" y="3920527"/>
              </a:cubicBezTo>
              <a:cubicBezTo>
                <a:pt x="2263842" y="3901300"/>
                <a:pt x="2279433" y="3885709"/>
                <a:pt x="2298661" y="3885709"/>
              </a:cubicBezTo>
              <a:cubicBezTo>
                <a:pt x="2317889" y="3885709"/>
                <a:pt x="2333480" y="3901300"/>
                <a:pt x="2333480" y="3920527"/>
              </a:cubicBezTo>
              <a:cubicBezTo>
                <a:pt x="2333480" y="3939755"/>
                <a:pt x="2317889" y="3955346"/>
                <a:pt x="2298661" y="3955346"/>
              </a:cubicBezTo>
              <a:close/>
              <a:moveTo>
                <a:pt x="2383553" y="3955346"/>
              </a:moveTo>
              <a:cubicBezTo>
                <a:pt x="2364326" y="3955346"/>
                <a:pt x="2348734" y="3939755"/>
                <a:pt x="2348734" y="3920527"/>
              </a:cubicBezTo>
              <a:cubicBezTo>
                <a:pt x="2348734" y="3901300"/>
                <a:pt x="2364326" y="3885709"/>
                <a:pt x="2383553" y="3885709"/>
              </a:cubicBezTo>
              <a:cubicBezTo>
                <a:pt x="2402781" y="3885709"/>
                <a:pt x="2418372" y="3901300"/>
                <a:pt x="2418372" y="3920527"/>
              </a:cubicBezTo>
              <a:cubicBezTo>
                <a:pt x="2418372" y="3939755"/>
                <a:pt x="2402781" y="3955346"/>
                <a:pt x="2383553" y="3955346"/>
              </a:cubicBezTo>
              <a:close/>
              <a:moveTo>
                <a:pt x="2468446" y="3955346"/>
              </a:moveTo>
              <a:cubicBezTo>
                <a:pt x="2449218" y="3955346"/>
                <a:pt x="2433627" y="3939755"/>
                <a:pt x="2433627" y="3920527"/>
              </a:cubicBezTo>
              <a:cubicBezTo>
                <a:pt x="2433627" y="3901300"/>
                <a:pt x="2449218" y="3885709"/>
                <a:pt x="2468446" y="3885709"/>
              </a:cubicBezTo>
              <a:cubicBezTo>
                <a:pt x="2487673" y="3885709"/>
                <a:pt x="2503264" y="3901300"/>
                <a:pt x="2503264" y="3920527"/>
              </a:cubicBezTo>
              <a:cubicBezTo>
                <a:pt x="2503264" y="3939755"/>
                <a:pt x="2487673" y="3955346"/>
                <a:pt x="2468446" y="3955346"/>
              </a:cubicBezTo>
              <a:close/>
              <a:moveTo>
                <a:pt x="2553339" y="3955346"/>
              </a:moveTo>
              <a:cubicBezTo>
                <a:pt x="2534111" y="3955346"/>
                <a:pt x="2518520" y="3939755"/>
                <a:pt x="2518520" y="3920527"/>
              </a:cubicBezTo>
              <a:cubicBezTo>
                <a:pt x="2518520" y="3901300"/>
                <a:pt x="2534111" y="3885709"/>
                <a:pt x="2553339" y="3885709"/>
              </a:cubicBezTo>
              <a:cubicBezTo>
                <a:pt x="2572567" y="3885709"/>
                <a:pt x="2588158" y="3901300"/>
                <a:pt x="2588158" y="3920527"/>
              </a:cubicBezTo>
              <a:cubicBezTo>
                <a:pt x="2588158" y="3939755"/>
                <a:pt x="2572567" y="3955346"/>
                <a:pt x="2553339" y="3955346"/>
              </a:cubicBezTo>
              <a:close/>
              <a:moveTo>
                <a:pt x="2638231" y="3955346"/>
              </a:moveTo>
              <a:cubicBezTo>
                <a:pt x="2619003" y="3955346"/>
                <a:pt x="2603412" y="3939755"/>
                <a:pt x="2603412" y="3920527"/>
              </a:cubicBezTo>
              <a:cubicBezTo>
                <a:pt x="2603412" y="3901300"/>
                <a:pt x="2619003" y="3885709"/>
                <a:pt x="2638231" y="3885709"/>
              </a:cubicBezTo>
              <a:cubicBezTo>
                <a:pt x="2657459" y="3885709"/>
                <a:pt x="2673050" y="3901300"/>
                <a:pt x="2673050" y="3920527"/>
              </a:cubicBezTo>
              <a:cubicBezTo>
                <a:pt x="2673050" y="3939755"/>
                <a:pt x="2657459" y="3955346"/>
                <a:pt x="2638231" y="3955346"/>
              </a:cubicBezTo>
              <a:close/>
              <a:moveTo>
                <a:pt x="2723123" y="3955346"/>
              </a:moveTo>
              <a:cubicBezTo>
                <a:pt x="2703896" y="3955346"/>
                <a:pt x="2688304" y="3939755"/>
                <a:pt x="2688304" y="3920527"/>
              </a:cubicBezTo>
              <a:cubicBezTo>
                <a:pt x="2688304" y="3901300"/>
                <a:pt x="2703896" y="3885709"/>
                <a:pt x="2723123" y="3885709"/>
              </a:cubicBezTo>
              <a:cubicBezTo>
                <a:pt x="2742351" y="3885709"/>
                <a:pt x="2757942" y="3901300"/>
                <a:pt x="2757942" y="3920527"/>
              </a:cubicBezTo>
              <a:cubicBezTo>
                <a:pt x="2757942" y="3939755"/>
                <a:pt x="2742351" y="3955346"/>
                <a:pt x="2723123" y="3955346"/>
              </a:cubicBezTo>
              <a:close/>
              <a:moveTo>
                <a:pt x="2808016" y="3955346"/>
              </a:moveTo>
              <a:cubicBezTo>
                <a:pt x="2788788" y="3955346"/>
                <a:pt x="2773197" y="3939755"/>
                <a:pt x="2773197" y="3920527"/>
              </a:cubicBezTo>
              <a:cubicBezTo>
                <a:pt x="2773197" y="3901300"/>
                <a:pt x="2788788" y="3885709"/>
                <a:pt x="2808016" y="3885709"/>
              </a:cubicBezTo>
              <a:cubicBezTo>
                <a:pt x="2827243" y="3885709"/>
                <a:pt x="2842834" y="3901300"/>
                <a:pt x="2842834" y="3920527"/>
              </a:cubicBezTo>
              <a:cubicBezTo>
                <a:pt x="2842834" y="3939755"/>
                <a:pt x="2827243" y="3955346"/>
                <a:pt x="2808016" y="3955346"/>
              </a:cubicBezTo>
              <a:close/>
              <a:moveTo>
                <a:pt x="2892908" y="3955346"/>
              </a:moveTo>
              <a:cubicBezTo>
                <a:pt x="2873680" y="3955346"/>
                <a:pt x="2858089" y="3939755"/>
                <a:pt x="2858089" y="3920527"/>
              </a:cubicBezTo>
              <a:cubicBezTo>
                <a:pt x="2858089" y="3901300"/>
                <a:pt x="2873680" y="3885709"/>
                <a:pt x="2892908" y="3885709"/>
              </a:cubicBezTo>
              <a:cubicBezTo>
                <a:pt x="2912136" y="3885709"/>
                <a:pt x="2927727" y="3901300"/>
                <a:pt x="2927727" y="3920527"/>
              </a:cubicBezTo>
              <a:cubicBezTo>
                <a:pt x="2927727" y="3939755"/>
                <a:pt x="2912136" y="3955346"/>
                <a:pt x="2892908" y="3955346"/>
              </a:cubicBezTo>
              <a:close/>
              <a:moveTo>
                <a:pt x="2977801" y="3955346"/>
              </a:moveTo>
              <a:cubicBezTo>
                <a:pt x="2958573" y="3955346"/>
                <a:pt x="2942982" y="3939755"/>
                <a:pt x="2942982" y="3920527"/>
              </a:cubicBezTo>
              <a:cubicBezTo>
                <a:pt x="2942982" y="3901300"/>
                <a:pt x="2958573" y="3885709"/>
                <a:pt x="2977801" y="3885709"/>
              </a:cubicBezTo>
              <a:cubicBezTo>
                <a:pt x="2997029" y="3885709"/>
                <a:pt x="3012620" y="3901300"/>
                <a:pt x="3012620" y="3920527"/>
              </a:cubicBezTo>
              <a:cubicBezTo>
                <a:pt x="3012620" y="3939755"/>
                <a:pt x="2997029" y="3955346"/>
                <a:pt x="2977801" y="3955346"/>
              </a:cubicBezTo>
              <a:close/>
              <a:moveTo>
                <a:pt x="3062693" y="3955346"/>
              </a:moveTo>
              <a:cubicBezTo>
                <a:pt x="3043466" y="3955346"/>
                <a:pt x="3027874" y="3939755"/>
                <a:pt x="3027874" y="3920527"/>
              </a:cubicBezTo>
              <a:cubicBezTo>
                <a:pt x="3027874" y="3901300"/>
                <a:pt x="3043466" y="3885709"/>
                <a:pt x="3062693" y="3885709"/>
              </a:cubicBezTo>
              <a:cubicBezTo>
                <a:pt x="3081921" y="3885709"/>
                <a:pt x="3097512" y="3901300"/>
                <a:pt x="3097512" y="3920527"/>
              </a:cubicBezTo>
              <a:cubicBezTo>
                <a:pt x="3097512" y="3939755"/>
                <a:pt x="3081921" y="3955346"/>
                <a:pt x="3062693" y="3955346"/>
              </a:cubicBezTo>
              <a:close/>
              <a:moveTo>
                <a:pt x="3147586" y="3955346"/>
              </a:moveTo>
              <a:cubicBezTo>
                <a:pt x="3128358" y="3955346"/>
                <a:pt x="3112767" y="3939755"/>
                <a:pt x="3112767" y="3920527"/>
              </a:cubicBezTo>
              <a:cubicBezTo>
                <a:pt x="3112767" y="3901300"/>
                <a:pt x="3128358" y="3885709"/>
                <a:pt x="3147586" y="3885709"/>
              </a:cubicBezTo>
              <a:cubicBezTo>
                <a:pt x="3166813" y="3885709"/>
                <a:pt x="3182404" y="3901300"/>
                <a:pt x="3182404" y="3920527"/>
              </a:cubicBezTo>
              <a:cubicBezTo>
                <a:pt x="3182404" y="3939755"/>
                <a:pt x="3166813" y="3955346"/>
                <a:pt x="3147586" y="3955346"/>
              </a:cubicBezTo>
              <a:close/>
              <a:moveTo>
                <a:pt x="3232478" y="3955346"/>
              </a:moveTo>
              <a:cubicBezTo>
                <a:pt x="3213250" y="3955346"/>
                <a:pt x="3197659" y="3939755"/>
                <a:pt x="3197659" y="3920527"/>
              </a:cubicBezTo>
              <a:cubicBezTo>
                <a:pt x="3197659" y="3901300"/>
                <a:pt x="3213250" y="3885709"/>
                <a:pt x="3232478" y="3885709"/>
              </a:cubicBezTo>
              <a:cubicBezTo>
                <a:pt x="3251706" y="3885709"/>
                <a:pt x="3267297" y="3901300"/>
                <a:pt x="3267297" y="3920527"/>
              </a:cubicBezTo>
              <a:cubicBezTo>
                <a:pt x="3267297" y="3939755"/>
                <a:pt x="3251706" y="3955346"/>
                <a:pt x="3232478" y="3955346"/>
              </a:cubicBezTo>
              <a:close/>
              <a:moveTo>
                <a:pt x="3317371" y="3955346"/>
              </a:moveTo>
              <a:cubicBezTo>
                <a:pt x="3298143" y="3955346"/>
                <a:pt x="3282552" y="3939755"/>
                <a:pt x="3282552" y="3920527"/>
              </a:cubicBezTo>
              <a:cubicBezTo>
                <a:pt x="3282552" y="3901300"/>
                <a:pt x="3298143" y="3885709"/>
                <a:pt x="3317371" y="3885709"/>
              </a:cubicBezTo>
              <a:cubicBezTo>
                <a:pt x="3336599" y="3885709"/>
                <a:pt x="3352190" y="3901300"/>
                <a:pt x="3352190" y="3920527"/>
              </a:cubicBezTo>
              <a:cubicBezTo>
                <a:pt x="3352190" y="3939755"/>
                <a:pt x="3336599" y="3955346"/>
                <a:pt x="3317371" y="3955346"/>
              </a:cubicBezTo>
              <a:close/>
              <a:moveTo>
                <a:pt x="3402263" y="3955346"/>
              </a:moveTo>
              <a:cubicBezTo>
                <a:pt x="3383036" y="3955346"/>
                <a:pt x="3367444" y="3939755"/>
                <a:pt x="3367444" y="3920527"/>
              </a:cubicBezTo>
              <a:cubicBezTo>
                <a:pt x="3367444" y="3901300"/>
                <a:pt x="3383036" y="3885709"/>
                <a:pt x="3402263" y="3885709"/>
              </a:cubicBezTo>
              <a:cubicBezTo>
                <a:pt x="3421491" y="3885709"/>
                <a:pt x="3437082" y="3901300"/>
                <a:pt x="3437082" y="3920527"/>
              </a:cubicBezTo>
              <a:cubicBezTo>
                <a:pt x="3437082" y="3939755"/>
                <a:pt x="3421491" y="3955346"/>
                <a:pt x="3402263" y="3955346"/>
              </a:cubicBezTo>
              <a:close/>
              <a:moveTo>
                <a:pt x="3487156" y="3955346"/>
              </a:moveTo>
              <a:cubicBezTo>
                <a:pt x="3467928" y="3955346"/>
                <a:pt x="3452337" y="3939755"/>
                <a:pt x="3452337" y="3920527"/>
              </a:cubicBezTo>
              <a:cubicBezTo>
                <a:pt x="3452337" y="3901300"/>
                <a:pt x="3467928" y="3885709"/>
                <a:pt x="3487156" y="3885709"/>
              </a:cubicBezTo>
              <a:cubicBezTo>
                <a:pt x="3506383" y="3885709"/>
                <a:pt x="3521974" y="3901300"/>
                <a:pt x="3521974" y="3920527"/>
              </a:cubicBezTo>
              <a:cubicBezTo>
                <a:pt x="3521974" y="3939755"/>
                <a:pt x="3506383" y="3955346"/>
                <a:pt x="3487156" y="3955346"/>
              </a:cubicBezTo>
              <a:close/>
              <a:moveTo>
                <a:pt x="3572048" y="3955346"/>
              </a:moveTo>
              <a:cubicBezTo>
                <a:pt x="3552820" y="3955346"/>
                <a:pt x="3537229" y="3939755"/>
                <a:pt x="3537229" y="3920527"/>
              </a:cubicBezTo>
              <a:cubicBezTo>
                <a:pt x="3537229" y="3901300"/>
                <a:pt x="3552820" y="3885709"/>
                <a:pt x="3572048" y="3885709"/>
              </a:cubicBezTo>
              <a:cubicBezTo>
                <a:pt x="3591276" y="3885709"/>
                <a:pt x="3606867" y="3901300"/>
                <a:pt x="3606867" y="3920527"/>
              </a:cubicBezTo>
              <a:cubicBezTo>
                <a:pt x="3606867" y="3939755"/>
                <a:pt x="3591276" y="3955346"/>
                <a:pt x="3572048" y="3955346"/>
              </a:cubicBezTo>
              <a:close/>
              <a:moveTo>
                <a:pt x="3656941" y="3955346"/>
              </a:moveTo>
              <a:cubicBezTo>
                <a:pt x="3637713" y="3955346"/>
                <a:pt x="3622122" y="3939755"/>
                <a:pt x="3622122" y="3920527"/>
              </a:cubicBezTo>
              <a:cubicBezTo>
                <a:pt x="3622122" y="3901300"/>
                <a:pt x="3637713" y="3885709"/>
                <a:pt x="3656941" y="3885709"/>
              </a:cubicBezTo>
              <a:cubicBezTo>
                <a:pt x="3676169" y="3885709"/>
                <a:pt x="3691760" y="3901300"/>
                <a:pt x="3691760" y="3920527"/>
              </a:cubicBezTo>
              <a:cubicBezTo>
                <a:pt x="3691760" y="3939755"/>
                <a:pt x="3676169" y="3955346"/>
                <a:pt x="3656941" y="3955346"/>
              </a:cubicBezTo>
              <a:close/>
              <a:moveTo>
                <a:pt x="5609468" y="3955346"/>
              </a:moveTo>
              <a:cubicBezTo>
                <a:pt x="5590240" y="3955346"/>
                <a:pt x="5574649" y="3939755"/>
                <a:pt x="5574649" y="3920527"/>
              </a:cubicBezTo>
              <a:cubicBezTo>
                <a:pt x="5574649" y="3901300"/>
                <a:pt x="5590240" y="3885709"/>
                <a:pt x="5609468" y="3885709"/>
              </a:cubicBezTo>
              <a:cubicBezTo>
                <a:pt x="5628696" y="3885709"/>
                <a:pt x="5644287" y="3901300"/>
                <a:pt x="5644287" y="3920527"/>
              </a:cubicBezTo>
              <a:cubicBezTo>
                <a:pt x="5644287" y="3939755"/>
                <a:pt x="5628696" y="3955346"/>
                <a:pt x="5609468" y="3955346"/>
              </a:cubicBezTo>
              <a:close/>
              <a:moveTo>
                <a:pt x="5694360" y="3955346"/>
              </a:moveTo>
              <a:cubicBezTo>
                <a:pt x="5675132" y="3955346"/>
                <a:pt x="5659541" y="3939755"/>
                <a:pt x="5659541" y="3920527"/>
              </a:cubicBezTo>
              <a:cubicBezTo>
                <a:pt x="5659541" y="3901300"/>
                <a:pt x="5675132" y="3885709"/>
                <a:pt x="5694360" y="3885709"/>
              </a:cubicBezTo>
              <a:cubicBezTo>
                <a:pt x="5713588" y="3885709"/>
                <a:pt x="5729179" y="3901300"/>
                <a:pt x="5729179" y="3920527"/>
              </a:cubicBezTo>
              <a:cubicBezTo>
                <a:pt x="5729179" y="3939755"/>
                <a:pt x="5713588" y="3955346"/>
                <a:pt x="5694360" y="3955346"/>
              </a:cubicBezTo>
              <a:close/>
              <a:moveTo>
                <a:pt x="5779252" y="3955346"/>
              </a:moveTo>
              <a:cubicBezTo>
                <a:pt x="5760025" y="3955346"/>
                <a:pt x="5744433" y="3939755"/>
                <a:pt x="5744433" y="3920527"/>
              </a:cubicBezTo>
              <a:cubicBezTo>
                <a:pt x="5744433" y="3901300"/>
                <a:pt x="5760025" y="3885709"/>
                <a:pt x="5779252" y="3885709"/>
              </a:cubicBezTo>
              <a:cubicBezTo>
                <a:pt x="5798480" y="3885709"/>
                <a:pt x="5814071" y="3901300"/>
                <a:pt x="5814071" y="3920527"/>
              </a:cubicBezTo>
              <a:cubicBezTo>
                <a:pt x="5814071" y="3939755"/>
                <a:pt x="5798480" y="3955346"/>
                <a:pt x="5779252" y="3955346"/>
              </a:cubicBezTo>
              <a:close/>
              <a:moveTo>
                <a:pt x="5864146" y="3955346"/>
              </a:moveTo>
              <a:cubicBezTo>
                <a:pt x="5844918" y="3955346"/>
                <a:pt x="5829327" y="3939755"/>
                <a:pt x="5829327" y="3920527"/>
              </a:cubicBezTo>
              <a:cubicBezTo>
                <a:pt x="5829327" y="3901300"/>
                <a:pt x="5844918" y="3885709"/>
                <a:pt x="5864146" y="3885709"/>
              </a:cubicBezTo>
              <a:cubicBezTo>
                <a:pt x="5883373" y="3885709"/>
                <a:pt x="5898964" y="3901300"/>
                <a:pt x="5898964" y="3920527"/>
              </a:cubicBezTo>
              <a:cubicBezTo>
                <a:pt x="5898964" y="3939755"/>
                <a:pt x="5883373" y="3955346"/>
                <a:pt x="5864146" y="3955346"/>
              </a:cubicBezTo>
              <a:close/>
              <a:moveTo>
                <a:pt x="6118826" y="3955346"/>
              </a:moveTo>
              <a:cubicBezTo>
                <a:pt x="6099592" y="3955346"/>
                <a:pt x="6084000" y="3939755"/>
                <a:pt x="6084000" y="3920527"/>
              </a:cubicBezTo>
              <a:cubicBezTo>
                <a:pt x="6084000" y="3901300"/>
                <a:pt x="6099592" y="3885709"/>
                <a:pt x="6118826" y="3885709"/>
              </a:cubicBezTo>
              <a:cubicBezTo>
                <a:pt x="6138054" y="3885709"/>
                <a:pt x="6153638" y="3901300"/>
                <a:pt x="6153638" y="3920527"/>
              </a:cubicBezTo>
              <a:cubicBezTo>
                <a:pt x="6153638" y="3939755"/>
                <a:pt x="6138054" y="3955346"/>
                <a:pt x="6118826" y="3955346"/>
              </a:cubicBezTo>
              <a:close/>
              <a:moveTo>
                <a:pt x="6288611" y="3955346"/>
              </a:moveTo>
              <a:cubicBezTo>
                <a:pt x="6269384" y="3955346"/>
                <a:pt x="6253786" y="3939755"/>
                <a:pt x="6253786" y="3920527"/>
              </a:cubicBezTo>
              <a:cubicBezTo>
                <a:pt x="6253786" y="3901300"/>
                <a:pt x="6269384" y="3885709"/>
                <a:pt x="6288611" y="3885709"/>
              </a:cubicBezTo>
              <a:cubicBezTo>
                <a:pt x="6307839" y="3885709"/>
                <a:pt x="6323424" y="3901300"/>
                <a:pt x="6323424" y="3920527"/>
              </a:cubicBezTo>
              <a:cubicBezTo>
                <a:pt x="6323424" y="3939755"/>
                <a:pt x="6307839" y="3955346"/>
                <a:pt x="6288611" y="3955346"/>
              </a:cubicBezTo>
              <a:close/>
              <a:moveTo>
                <a:pt x="6458396" y="3955346"/>
              </a:moveTo>
              <a:cubicBezTo>
                <a:pt x="6439168" y="3955346"/>
                <a:pt x="6423570" y="3939755"/>
                <a:pt x="6423570" y="3920527"/>
              </a:cubicBezTo>
              <a:cubicBezTo>
                <a:pt x="6423570" y="3901300"/>
                <a:pt x="6439168" y="3885709"/>
                <a:pt x="6458396" y="3885709"/>
              </a:cubicBezTo>
              <a:cubicBezTo>
                <a:pt x="6477624" y="3885709"/>
                <a:pt x="6493208" y="3901300"/>
                <a:pt x="6493208" y="3920527"/>
              </a:cubicBezTo>
              <a:cubicBezTo>
                <a:pt x="6493208" y="3939755"/>
                <a:pt x="6477624" y="3955346"/>
                <a:pt x="6458396" y="3955346"/>
              </a:cubicBezTo>
              <a:close/>
              <a:moveTo>
                <a:pt x="6628181" y="3955346"/>
              </a:moveTo>
              <a:cubicBezTo>
                <a:pt x="6608954" y="3955346"/>
                <a:pt x="6593356" y="3939755"/>
                <a:pt x="6593356" y="3920527"/>
              </a:cubicBezTo>
              <a:cubicBezTo>
                <a:pt x="6593356" y="3901300"/>
                <a:pt x="6608954" y="3885709"/>
                <a:pt x="6628181" y="3885709"/>
              </a:cubicBezTo>
              <a:cubicBezTo>
                <a:pt x="6647409" y="3885709"/>
                <a:pt x="6662994" y="3901300"/>
                <a:pt x="6662994" y="3920527"/>
              </a:cubicBezTo>
              <a:cubicBezTo>
                <a:pt x="6662994" y="3939755"/>
                <a:pt x="6647409" y="3955346"/>
                <a:pt x="6628181" y="3955346"/>
              </a:cubicBezTo>
              <a:close/>
              <a:moveTo>
                <a:pt x="6797966" y="3955346"/>
              </a:moveTo>
              <a:cubicBezTo>
                <a:pt x="6778738" y="3955346"/>
                <a:pt x="6763140" y="3939755"/>
                <a:pt x="6763140" y="3920527"/>
              </a:cubicBezTo>
              <a:cubicBezTo>
                <a:pt x="6763140" y="3901300"/>
                <a:pt x="6778738" y="3885709"/>
                <a:pt x="6797966" y="3885709"/>
              </a:cubicBezTo>
              <a:cubicBezTo>
                <a:pt x="6817194" y="3885709"/>
                <a:pt x="6832778" y="3901300"/>
                <a:pt x="6832778" y="3920527"/>
              </a:cubicBezTo>
              <a:cubicBezTo>
                <a:pt x="6832778" y="3939755"/>
                <a:pt x="6817194" y="3955346"/>
                <a:pt x="6797966" y="3955346"/>
              </a:cubicBezTo>
              <a:close/>
              <a:moveTo>
                <a:pt x="6882858" y="3955346"/>
              </a:moveTo>
              <a:cubicBezTo>
                <a:pt x="6863630" y="3955346"/>
                <a:pt x="6848033" y="3939755"/>
                <a:pt x="6848033" y="3920527"/>
              </a:cubicBezTo>
              <a:cubicBezTo>
                <a:pt x="6848033" y="3901300"/>
                <a:pt x="6863630" y="3885709"/>
                <a:pt x="6882858" y="3885709"/>
              </a:cubicBezTo>
              <a:cubicBezTo>
                <a:pt x="6902086" y="3885709"/>
                <a:pt x="6917670" y="3901300"/>
                <a:pt x="6917670" y="3920527"/>
              </a:cubicBezTo>
              <a:cubicBezTo>
                <a:pt x="6917670" y="3939755"/>
                <a:pt x="6902086" y="3955346"/>
                <a:pt x="6882858" y="3955346"/>
              </a:cubicBezTo>
              <a:close/>
              <a:moveTo>
                <a:pt x="6967750" y="3955346"/>
              </a:moveTo>
              <a:cubicBezTo>
                <a:pt x="6948523" y="3955346"/>
                <a:pt x="6932925" y="3939755"/>
                <a:pt x="6932925" y="3920527"/>
              </a:cubicBezTo>
              <a:cubicBezTo>
                <a:pt x="6932925" y="3901300"/>
                <a:pt x="6948523" y="3885709"/>
                <a:pt x="6967750" y="3885709"/>
              </a:cubicBezTo>
              <a:cubicBezTo>
                <a:pt x="6986978" y="3885709"/>
                <a:pt x="7002563" y="3901300"/>
                <a:pt x="7002563" y="3920527"/>
              </a:cubicBezTo>
              <a:cubicBezTo>
                <a:pt x="7002563" y="3939755"/>
                <a:pt x="6986978" y="3955346"/>
                <a:pt x="6967750" y="3955346"/>
              </a:cubicBezTo>
              <a:close/>
              <a:moveTo>
                <a:pt x="7137536" y="3955346"/>
              </a:moveTo>
              <a:cubicBezTo>
                <a:pt x="7118308" y="3955346"/>
                <a:pt x="7102710" y="3939755"/>
                <a:pt x="7102710" y="3920527"/>
              </a:cubicBezTo>
              <a:cubicBezTo>
                <a:pt x="7102710" y="3901300"/>
                <a:pt x="7118308" y="3885709"/>
                <a:pt x="7137536" y="3885709"/>
              </a:cubicBezTo>
              <a:cubicBezTo>
                <a:pt x="7156764" y="3885709"/>
                <a:pt x="7172348" y="3901300"/>
                <a:pt x="7172348" y="3920527"/>
              </a:cubicBezTo>
              <a:cubicBezTo>
                <a:pt x="7172348" y="3939755"/>
                <a:pt x="7156764" y="3955346"/>
                <a:pt x="7137536" y="3955346"/>
              </a:cubicBezTo>
              <a:close/>
              <a:moveTo>
                <a:pt x="7222428" y="3955346"/>
              </a:moveTo>
              <a:cubicBezTo>
                <a:pt x="7203200" y="3955346"/>
                <a:pt x="7187603" y="3939755"/>
                <a:pt x="7187603" y="3920527"/>
              </a:cubicBezTo>
              <a:cubicBezTo>
                <a:pt x="7187603" y="3901300"/>
                <a:pt x="7203200" y="3885709"/>
                <a:pt x="7222428" y="3885709"/>
              </a:cubicBezTo>
              <a:cubicBezTo>
                <a:pt x="7241656" y="3885709"/>
                <a:pt x="7257240" y="3901300"/>
                <a:pt x="7257240" y="3920527"/>
              </a:cubicBezTo>
              <a:cubicBezTo>
                <a:pt x="7257240" y="3939755"/>
                <a:pt x="7241656" y="3955346"/>
                <a:pt x="7222428" y="3955346"/>
              </a:cubicBezTo>
              <a:close/>
              <a:moveTo>
                <a:pt x="7307320" y="3955346"/>
              </a:moveTo>
              <a:cubicBezTo>
                <a:pt x="7288093" y="3955346"/>
                <a:pt x="7272495" y="3939755"/>
                <a:pt x="7272495" y="3920527"/>
              </a:cubicBezTo>
              <a:cubicBezTo>
                <a:pt x="7272495" y="3901300"/>
                <a:pt x="7288093" y="3885709"/>
                <a:pt x="7307320" y="3885709"/>
              </a:cubicBezTo>
              <a:cubicBezTo>
                <a:pt x="7326548" y="3885709"/>
                <a:pt x="7342133" y="3901300"/>
                <a:pt x="7342133" y="3920527"/>
              </a:cubicBezTo>
              <a:cubicBezTo>
                <a:pt x="7342133" y="3939755"/>
                <a:pt x="7326548" y="3955346"/>
                <a:pt x="7307320" y="3955346"/>
              </a:cubicBezTo>
              <a:close/>
              <a:moveTo>
                <a:pt x="7477106" y="3955346"/>
              </a:moveTo>
              <a:cubicBezTo>
                <a:pt x="7457878" y="3955346"/>
                <a:pt x="7442280" y="3939755"/>
                <a:pt x="7442280" y="3920527"/>
              </a:cubicBezTo>
              <a:cubicBezTo>
                <a:pt x="7442280" y="3901300"/>
                <a:pt x="7457878" y="3885709"/>
                <a:pt x="7477106" y="3885709"/>
              </a:cubicBezTo>
              <a:cubicBezTo>
                <a:pt x="7496334" y="3885709"/>
                <a:pt x="7511918" y="3901300"/>
                <a:pt x="7511918" y="3920527"/>
              </a:cubicBezTo>
              <a:cubicBezTo>
                <a:pt x="7511918" y="3939755"/>
                <a:pt x="7496334" y="3955346"/>
                <a:pt x="7477106" y="3955346"/>
              </a:cubicBezTo>
              <a:close/>
              <a:moveTo>
                <a:pt x="7561998" y="3955346"/>
              </a:moveTo>
              <a:cubicBezTo>
                <a:pt x="7542770" y="3955346"/>
                <a:pt x="7527173" y="3939755"/>
                <a:pt x="7527173" y="3920527"/>
              </a:cubicBezTo>
              <a:cubicBezTo>
                <a:pt x="7527173" y="3901300"/>
                <a:pt x="7542770" y="3885709"/>
                <a:pt x="7561998" y="3885709"/>
              </a:cubicBezTo>
              <a:cubicBezTo>
                <a:pt x="7581226" y="3885709"/>
                <a:pt x="7596810" y="3901300"/>
                <a:pt x="7596810" y="3920527"/>
              </a:cubicBezTo>
              <a:cubicBezTo>
                <a:pt x="7596810" y="3939755"/>
                <a:pt x="7581226" y="3955346"/>
                <a:pt x="7561998" y="3955346"/>
              </a:cubicBezTo>
              <a:close/>
              <a:moveTo>
                <a:pt x="7646890" y="3955346"/>
              </a:moveTo>
              <a:cubicBezTo>
                <a:pt x="7627663" y="3955346"/>
                <a:pt x="7612065" y="3939755"/>
                <a:pt x="7612065" y="3920527"/>
              </a:cubicBezTo>
              <a:cubicBezTo>
                <a:pt x="7612065" y="3901300"/>
                <a:pt x="7627663" y="3885709"/>
                <a:pt x="7646890" y="3885709"/>
              </a:cubicBezTo>
              <a:cubicBezTo>
                <a:pt x="7666118" y="3885709"/>
                <a:pt x="7681703" y="3901300"/>
                <a:pt x="7681703" y="3920527"/>
              </a:cubicBezTo>
              <a:cubicBezTo>
                <a:pt x="7681703" y="3939755"/>
                <a:pt x="7666118" y="3955346"/>
                <a:pt x="7646890" y="3955346"/>
              </a:cubicBezTo>
              <a:close/>
              <a:moveTo>
                <a:pt x="7731784" y="3955346"/>
              </a:moveTo>
              <a:cubicBezTo>
                <a:pt x="7712556" y="3955346"/>
                <a:pt x="7696958" y="3939755"/>
                <a:pt x="7696958" y="3920527"/>
              </a:cubicBezTo>
              <a:cubicBezTo>
                <a:pt x="7696958" y="3901300"/>
                <a:pt x="7712556" y="3885709"/>
                <a:pt x="7731784" y="3885709"/>
              </a:cubicBezTo>
              <a:cubicBezTo>
                <a:pt x="7751011" y="3885709"/>
                <a:pt x="7766596" y="3901300"/>
                <a:pt x="7766596" y="3920527"/>
              </a:cubicBezTo>
              <a:cubicBezTo>
                <a:pt x="7766596" y="3939755"/>
                <a:pt x="7751011" y="3955346"/>
                <a:pt x="7731784" y="3955346"/>
              </a:cubicBezTo>
              <a:close/>
              <a:moveTo>
                <a:pt x="7816676" y="3955346"/>
              </a:moveTo>
              <a:cubicBezTo>
                <a:pt x="7797448" y="3955346"/>
                <a:pt x="7781850" y="3939755"/>
                <a:pt x="7781850" y="3920527"/>
              </a:cubicBezTo>
              <a:cubicBezTo>
                <a:pt x="7781850" y="3901300"/>
                <a:pt x="7797448" y="3885709"/>
                <a:pt x="7816676" y="3885709"/>
              </a:cubicBezTo>
              <a:cubicBezTo>
                <a:pt x="7835904" y="3885709"/>
                <a:pt x="7851488" y="3901300"/>
                <a:pt x="7851488" y="3920527"/>
              </a:cubicBezTo>
              <a:cubicBezTo>
                <a:pt x="7851488" y="3939755"/>
                <a:pt x="7835904" y="3955346"/>
                <a:pt x="7816676" y="3955346"/>
              </a:cubicBezTo>
              <a:close/>
              <a:moveTo>
                <a:pt x="7901568" y="3955346"/>
              </a:moveTo>
              <a:cubicBezTo>
                <a:pt x="7882340" y="3955346"/>
                <a:pt x="7866743" y="3939755"/>
                <a:pt x="7866743" y="3920527"/>
              </a:cubicBezTo>
              <a:cubicBezTo>
                <a:pt x="7866743" y="3901300"/>
                <a:pt x="7882340" y="3885709"/>
                <a:pt x="7901568" y="3885709"/>
              </a:cubicBezTo>
              <a:cubicBezTo>
                <a:pt x="7920796" y="3885709"/>
                <a:pt x="7936380" y="3901300"/>
                <a:pt x="7936380" y="3920527"/>
              </a:cubicBezTo>
              <a:cubicBezTo>
                <a:pt x="7936380" y="3939755"/>
                <a:pt x="7920796" y="3955346"/>
                <a:pt x="7901568" y="3955346"/>
              </a:cubicBezTo>
              <a:close/>
              <a:moveTo>
                <a:pt x="7986460" y="3955346"/>
              </a:moveTo>
              <a:cubicBezTo>
                <a:pt x="7967233" y="3955346"/>
                <a:pt x="7951635" y="3939755"/>
                <a:pt x="7951635" y="3920527"/>
              </a:cubicBezTo>
              <a:cubicBezTo>
                <a:pt x="7951635" y="3901300"/>
                <a:pt x="7967233" y="3885709"/>
                <a:pt x="7986460" y="3885709"/>
              </a:cubicBezTo>
              <a:cubicBezTo>
                <a:pt x="8005688" y="3885709"/>
                <a:pt x="8021273" y="3901300"/>
                <a:pt x="8021273" y="3920527"/>
              </a:cubicBezTo>
              <a:cubicBezTo>
                <a:pt x="8021273" y="3939755"/>
                <a:pt x="8005688" y="3955346"/>
                <a:pt x="7986460" y="3955346"/>
              </a:cubicBezTo>
              <a:close/>
              <a:moveTo>
                <a:pt x="8071353" y="3955346"/>
              </a:moveTo>
              <a:cubicBezTo>
                <a:pt x="8052125" y="3955346"/>
                <a:pt x="8036527" y="3939755"/>
                <a:pt x="8036527" y="3920527"/>
              </a:cubicBezTo>
              <a:cubicBezTo>
                <a:pt x="8036527" y="3901300"/>
                <a:pt x="8052125" y="3885709"/>
                <a:pt x="8071353" y="3885709"/>
              </a:cubicBezTo>
              <a:cubicBezTo>
                <a:pt x="8090580" y="3885709"/>
                <a:pt x="8106165" y="3901300"/>
                <a:pt x="8106165" y="3920527"/>
              </a:cubicBezTo>
              <a:cubicBezTo>
                <a:pt x="8106165" y="3939755"/>
                <a:pt x="8090580" y="3955346"/>
                <a:pt x="8071353" y="3955346"/>
              </a:cubicBezTo>
              <a:close/>
              <a:moveTo>
                <a:pt x="8156246" y="3955346"/>
              </a:moveTo>
              <a:cubicBezTo>
                <a:pt x="8137018" y="3955346"/>
                <a:pt x="8121420" y="3939755"/>
                <a:pt x="8121420" y="3920527"/>
              </a:cubicBezTo>
              <a:cubicBezTo>
                <a:pt x="8121420" y="3901300"/>
                <a:pt x="8137018" y="3885709"/>
                <a:pt x="8156246" y="3885709"/>
              </a:cubicBezTo>
              <a:cubicBezTo>
                <a:pt x="8175474" y="3885709"/>
                <a:pt x="8191058" y="3901300"/>
                <a:pt x="8191058" y="3920527"/>
              </a:cubicBezTo>
              <a:cubicBezTo>
                <a:pt x="8191058" y="3939755"/>
                <a:pt x="8175474" y="3955346"/>
                <a:pt x="8156246" y="3955346"/>
              </a:cubicBezTo>
              <a:close/>
              <a:moveTo>
                <a:pt x="8241138" y="3955346"/>
              </a:moveTo>
              <a:cubicBezTo>
                <a:pt x="8221910" y="3955346"/>
                <a:pt x="8206313" y="3939755"/>
                <a:pt x="8206313" y="3920527"/>
              </a:cubicBezTo>
              <a:cubicBezTo>
                <a:pt x="8206313" y="3901300"/>
                <a:pt x="8221910" y="3885709"/>
                <a:pt x="8241138" y="3885709"/>
              </a:cubicBezTo>
              <a:cubicBezTo>
                <a:pt x="8260366" y="3885709"/>
                <a:pt x="8275950" y="3901300"/>
                <a:pt x="8275950" y="3920527"/>
              </a:cubicBezTo>
              <a:cubicBezTo>
                <a:pt x="8275950" y="3939755"/>
                <a:pt x="8260366" y="3955346"/>
                <a:pt x="8241138" y="3955346"/>
              </a:cubicBezTo>
              <a:close/>
              <a:moveTo>
                <a:pt x="8326030" y="3955346"/>
              </a:moveTo>
              <a:cubicBezTo>
                <a:pt x="8306803" y="3955346"/>
                <a:pt x="8291205" y="3939755"/>
                <a:pt x="8291205" y="3920527"/>
              </a:cubicBezTo>
              <a:cubicBezTo>
                <a:pt x="8291205" y="3901300"/>
                <a:pt x="8306803" y="3885709"/>
                <a:pt x="8326030" y="3885709"/>
              </a:cubicBezTo>
              <a:cubicBezTo>
                <a:pt x="8345258" y="3885709"/>
                <a:pt x="8360843" y="3901300"/>
                <a:pt x="8360843" y="3920527"/>
              </a:cubicBezTo>
              <a:cubicBezTo>
                <a:pt x="8360843" y="3939755"/>
                <a:pt x="8345258" y="3955346"/>
                <a:pt x="8326030" y="3955346"/>
              </a:cubicBezTo>
              <a:close/>
              <a:moveTo>
                <a:pt x="8410923" y="3955346"/>
              </a:moveTo>
              <a:cubicBezTo>
                <a:pt x="8391695" y="3955346"/>
                <a:pt x="8376097" y="3939755"/>
                <a:pt x="8376097" y="3920527"/>
              </a:cubicBezTo>
              <a:cubicBezTo>
                <a:pt x="8376097" y="3901300"/>
                <a:pt x="8391695" y="3885709"/>
                <a:pt x="8410923" y="3885709"/>
              </a:cubicBezTo>
              <a:cubicBezTo>
                <a:pt x="8430150" y="3885709"/>
                <a:pt x="8445735" y="3901300"/>
                <a:pt x="8445735" y="3920527"/>
              </a:cubicBezTo>
              <a:cubicBezTo>
                <a:pt x="8445735" y="3939755"/>
                <a:pt x="8430150" y="3955346"/>
                <a:pt x="8410923" y="3955346"/>
              </a:cubicBezTo>
              <a:close/>
              <a:moveTo>
                <a:pt x="8495816" y="3955346"/>
              </a:moveTo>
              <a:cubicBezTo>
                <a:pt x="8476588" y="3955346"/>
                <a:pt x="8460990" y="3939755"/>
                <a:pt x="8460990" y="3920527"/>
              </a:cubicBezTo>
              <a:cubicBezTo>
                <a:pt x="8460990" y="3901300"/>
                <a:pt x="8476588" y="3885709"/>
                <a:pt x="8495816" y="3885709"/>
              </a:cubicBezTo>
              <a:cubicBezTo>
                <a:pt x="8515044" y="3885709"/>
                <a:pt x="8530628" y="3901300"/>
                <a:pt x="8530628" y="3920527"/>
              </a:cubicBezTo>
              <a:cubicBezTo>
                <a:pt x="8530628" y="3939755"/>
                <a:pt x="8515044" y="3955346"/>
                <a:pt x="8495816" y="3955346"/>
              </a:cubicBezTo>
              <a:close/>
              <a:moveTo>
                <a:pt x="8580708" y="3955346"/>
              </a:moveTo>
              <a:cubicBezTo>
                <a:pt x="8561480" y="3955346"/>
                <a:pt x="8545883" y="3939755"/>
                <a:pt x="8545883" y="3920527"/>
              </a:cubicBezTo>
              <a:cubicBezTo>
                <a:pt x="8545883" y="3901300"/>
                <a:pt x="8561480" y="3885709"/>
                <a:pt x="8580708" y="3885709"/>
              </a:cubicBezTo>
              <a:cubicBezTo>
                <a:pt x="8599936" y="3885709"/>
                <a:pt x="8615520" y="3901300"/>
                <a:pt x="8615520" y="3920527"/>
              </a:cubicBezTo>
              <a:cubicBezTo>
                <a:pt x="8615520" y="3939755"/>
                <a:pt x="8599936" y="3955346"/>
                <a:pt x="8580708" y="3955346"/>
              </a:cubicBezTo>
              <a:close/>
              <a:moveTo>
                <a:pt x="8665600" y="3955346"/>
              </a:moveTo>
              <a:cubicBezTo>
                <a:pt x="8646373" y="3955346"/>
                <a:pt x="8630775" y="3939755"/>
                <a:pt x="8630775" y="3920527"/>
              </a:cubicBezTo>
              <a:cubicBezTo>
                <a:pt x="8630775" y="3901300"/>
                <a:pt x="8646373" y="3885709"/>
                <a:pt x="8665600" y="3885709"/>
              </a:cubicBezTo>
              <a:cubicBezTo>
                <a:pt x="8684828" y="3885709"/>
                <a:pt x="8700413" y="3901300"/>
                <a:pt x="8700413" y="3920527"/>
              </a:cubicBezTo>
              <a:cubicBezTo>
                <a:pt x="8700413" y="3939755"/>
                <a:pt x="8684828" y="3955346"/>
                <a:pt x="8665600" y="3955346"/>
              </a:cubicBezTo>
              <a:close/>
              <a:moveTo>
                <a:pt x="8750493" y="3955346"/>
              </a:moveTo>
              <a:cubicBezTo>
                <a:pt x="8731265" y="3955346"/>
                <a:pt x="8715667" y="3939755"/>
                <a:pt x="8715667" y="3920527"/>
              </a:cubicBezTo>
              <a:cubicBezTo>
                <a:pt x="8715667" y="3901300"/>
                <a:pt x="8731265" y="3885709"/>
                <a:pt x="8750493" y="3885709"/>
              </a:cubicBezTo>
              <a:cubicBezTo>
                <a:pt x="8769720" y="3885709"/>
                <a:pt x="8785305" y="3901300"/>
                <a:pt x="8785305" y="3920527"/>
              </a:cubicBezTo>
              <a:cubicBezTo>
                <a:pt x="8785305" y="3939755"/>
                <a:pt x="8769720" y="3955346"/>
                <a:pt x="8750493" y="3955346"/>
              </a:cubicBezTo>
              <a:close/>
              <a:moveTo>
                <a:pt x="8835386" y="3955346"/>
              </a:moveTo>
              <a:cubicBezTo>
                <a:pt x="8816158" y="3955346"/>
                <a:pt x="8800560" y="3939755"/>
                <a:pt x="8800560" y="3920527"/>
              </a:cubicBezTo>
              <a:cubicBezTo>
                <a:pt x="8800560" y="3901300"/>
                <a:pt x="8816158" y="3885709"/>
                <a:pt x="8835386" y="3885709"/>
              </a:cubicBezTo>
              <a:cubicBezTo>
                <a:pt x="8854614" y="3885709"/>
                <a:pt x="8870198" y="3901300"/>
                <a:pt x="8870198" y="3920527"/>
              </a:cubicBezTo>
              <a:cubicBezTo>
                <a:pt x="8870198" y="3939755"/>
                <a:pt x="8854614" y="3955346"/>
                <a:pt x="8835386" y="3955346"/>
              </a:cubicBezTo>
              <a:close/>
              <a:moveTo>
                <a:pt x="8920278" y="3955346"/>
              </a:moveTo>
              <a:cubicBezTo>
                <a:pt x="8901050" y="3955346"/>
                <a:pt x="8885453" y="3939755"/>
                <a:pt x="8885453" y="3920527"/>
              </a:cubicBezTo>
              <a:cubicBezTo>
                <a:pt x="8885453" y="3901300"/>
                <a:pt x="8901050" y="3885709"/>
                <a:pt x="8920278" y="3885709"/>
              </a:cubicBezTo>
              <a:cubicBezTo>
                <a:pt x="8939506" y="3885709"/>
                <a:pt x="8955090" y="3901300"/>
                <a:pt x="8955090" y="3920527"/>
              </a:cubicBezTo>
              <a:cubicBezTo>
                <a:pt x="8955090" y="3939755"/>
                <a:pt x="8939506" y="3955346"/>
                <a:pt x="8920278" y="3955346"/>
              </a:cubicBezTo>
              <a:close/>
              <a:moveTo>
                <a:pt x="9005170" y="3955346"/>
              </a:moveTo>
              <a:cubicBezTo>
                <a:pt x="8985943" y="3955346"/>
                <a:pt x="8970345" y="3939755"/>
                <a:pt x="8970345" y="3920527"/>
              </a:cubicBezTo>
              <a:cubicBezTo>
                <a:pt x="8970345" y="3901300"/>
                <a:pt x="8985943" y="3885709"/>
                <a:pt x="9005170" y="3885709"/>
              </a:cubicBezTo>
              <a:cubicBezTo>
                <a:pt x="9024398" y="3885709"/>
                <a:pt x="9039983" y="3901300"/>
                <a:pt x="9039983" y="3920527"/>
              </a:cubicBezTo>
              <a:cubicBezTo>
                <a:pt x="9039983" y="3939755"/>
                <a:pt x="9024398" y="3955346"/>
                <a:pt x="9005170" y="3955346"/>
              </a:cubicBezTo>
              <a:close/>
              <a:moveTo>
                <a:pt x="9090063" y="3955346"/>
              </a:moveTo>
              <a:cubicBezTo>
                <a:pt x="9070835" y="3955346"/>
                <a:pt x="9055237" y="3939755"/>
                <a:pt x="9055237" y="3920527"/>
              </a:cubicBezTo>
              <a:cubicBezTo>
                <a:pt x="9055237" y="3901300"/>
                <a:pt x="9070835" y="3885709"/>
                <a:pt x="9090063" y="3885709"/>
              </a:cubicBezTo>
              <a:cubicBezTo>
                <a:pt x="9109290" y="3885709"/>
                <a:pt x="9124875" y="3901300"/>
                <a:pt x="9124875" y="3920527"/>
              </a:cubicBezTo>
              <a:cubicBezTo>
                <a:pt x="9124875" y="3939755"/>
                <a:pt x="9109290" y="3955346"/>
                <a:pt x="9090063" y="3955346"/>
              </a:cubicBezTo>
              <a:close/>
              <a:moveTo>
                <a:pt x="9174956" y="3955346"/>
              </a:moveTo>
              <a:cubicBezTo>
                <a:pt x="9155728" y="3955346"/>
                <a:pt x="9140130" y="3939755"/>
                <a:pt x="9140130" y="3920527"/>
              </a:cubicBezTo>
              <a:cubicBezTo>
                <a:pt x="9140130" y="3901300"/>
                <a:pt x="9155728" y="3885709"/>
                <a:pt x="9174956" y="3885709"/>
              </a:cubicBezTo>
              <a:cubicBezTo>
                <a:pt x="9194184" y="3885709"/>
                <a:pt x="9209768" y="3901300"/>
                <a:pt x="9209768" y="3920527"/>
              </a:cubicBezTo>
              <a:cubicBezTo>
                <a:pt x="9209768" y="3939755"/>
                <a:pt x="9194184" y="3955346"/>
                <a:pt x="9174956" y="3955346"/>
              </a:cubicBezTo>
              <a:close/>
              <a:moveTo>
                <a:pt x="9259848" y="3955346"/>
              </a:moveTo>
              <a:cubicBezTo>
                <a:pt x="9240620" y="3955346"/>
                <a:pt x="9225023" y="3939755"/>
                <a:pt x="9225023" y="3920527"/>
              </a:cubicBezTo>
              <a:cubicBezTo>
                <a:pt x="9225023" y="3901300"/>
                <a:pt x="9240620" y="3885709"/>
                <a:pt x="9259848" y="3885709"/>
              </a:cubicBezTo>
              <a:cubicBezTo>
                <a:pt x="9279076" y="3885709"/>
                <a:pt x="9294660" y="3901300"/>
                <a:pt x="9294660" y="3920527"/>
              </a:cubicBezTo>
              <a:cubicBezTo>
                <a:pt x="9294660" y="3939755"/>
                <a:pt x="9279076" y="3955346"/>
                <a:pt x="9259848" y="3955346"/>
              </a:cubicBezTo>
              <a:close/>
              <a:moveTo>
                <a:pt x="9344740" y="3955346"/>
              </a:moveTo>
              <a:cubicBezTo>
                <a:pt x="9325513" y="3955346"/>
                <a:pt x="9309915" y="3939755"/>
                <a:pt x="9309915" y="3920527"/>
              </a:cubicBezTo>
              <a:cubicBezTo>
                <a:pt x="9309915" y="3901300"/>
                <a:pt x="9325513" y="3885709"/>
                <a:pt x="9344740" y="3885709"/>
              </a:cubicBezTo>
              <a:cubicBezTo>
                <a:pt x="9363968" y="3885709"/>
                <a:pt x="9379553" y="3901300"/>
                <a:pt x="9379553" y="3920527"/>
              </a:cubicBezTo>
              <a:cubicBezTo>
                <a:pt x="9379553" y="3939755"/>
                <a:pt x="9363968" y="3955346"/>
                <a:pt x="9344740" y="3955346"/>
              </a:cubicBezTo>
              <a:close/>
              <a:moveTo>
                <a:pt x="9769203" y="3955346"/>
              </a:moveTo>
              <a:cubicBezTo>
                <a:pt x="9749975" y="3955346"/>
                <a:pt x="9734377" y="3939755"/>
                <a:pt x="9734377" y="3920527"/>
              </a:cubicBezTo>
              <a:cubicBezTo>
                <a:pt x="9734377" y="3901300"/>
                <a:pt x="9749975" y="3885709"/>
                <a:pt x="9769203" y="3885709"/>
              </a:cubicBezTo>
              <a:cubicBezTo>
                <a:pt x="9788430" y="3885709"/>
                <a:pt x="9804015" y="3901300"/>
                <a:pt x="9804015" y="3920527"/>
              </a:cubicBezTo>
              <a:cubicBezTo>
                <a:pt x="9804015" y="3939755"/>
                <a:pt x="9788430" y="3955346"/>
                <a:pt x="9769203" y="3955346"/>
              </a:cubicBezTo>
              <a:close/>
              <a:moveTo>
                <a:pt x="10108773" y="3955346"/>
              </a:moveTo>
              <a:cubicBezTo>
                <a:pt x="10089545" y="3955346"/>
                <a:pt x="10073947" y="3939755"/>
                <a:pt x="10073947" y="3920527"/>
              </a:cubicBezTo>
              <a:cubicBezTo>
                <a:pt x="10073947" y="3901300"/>
                <a:pt x="10089545" y="3885709"/>
                <a:pt x="10108773" y="3885709"/>
              </a:cubicBezTo>
              <a:cubicBezTo>
                <a:pt x="10128000" y="3885709"/>
                <a:pt x="10143585" y="3901300"/>
                <a:pt x="10143585" y="3920527"/>
              </a:cubicBezTo>
              <a:cubicBezTo>
                <a:pt x="10143585" y="3939755"/>
                <a:pt x="10128000" y="3955346"/>
                <a:pt x="10108773" y="3955346"/>
              </a:cubicBezTo>
              <a:close/>
              <a:moveTo>
                <a:pt x="2213769" y="3870485"/>
              </a:moveTo>
              <a:cubicBezTo>
                <a:pt x="2194541" y="3870485"/>
                <a:pt x="2178950" y="3854894"/>
                <a:pt x="2178950" y="3835667"/>
              </a:cubicBezTo>
              <a:cubicBezTo>
                <a:pt x="2178950" y="3816439"/>
                <a:pt x="2194541" y="3800848"/>
                <a:pt x="2213769" y="3800848"/>
              </a:cubicBezTo>
              <a:cubicBezTo>
                <a:pt x="2232997" y="3800848"/>
                <a:pt x="2248588" y="3816439"/>
                <a:pt x="2248588" y="3835667"/>
              </a:cubicBezTo>
              <a:cubicBezTo>
                <a:pt x="2248588" y="3854894"/>
                <a:pt x="2232997" y="3870485"/>
                <a:pt x="2213769" y="3870485"/>
              </a:cubicBezTo>
              <a:close/>
              <a:moveTo>
                <a:pt x="2298661" y="3870485"/>
              </a:moveTo>
              <a:cubicBezTo>
                <a:pt x="2279433" y="3870485"/>
                <a:pt x="2263842" y="3854894"/>
                <a:pt x="2263842" y="3835667"/>
              </a:cubicBezTo>
              <a:cubicBezTo>
                <a:pt x="2263842" y="3816439"/>
                <a:pt x="2279433" y="3800848"/>
                <a:pt x="2298661" y="3800848"/>
              </a:cubicBezTo>
              <a:cubicBezTo>
                <a:pt x="2317889" y="3800848"/>
                <a:pt x="2333480" y="3816439"/>
                <a:pt x="2333480" y="3835667"/>
              </a:cubicBezTo>
              <a:cubicBezTo>
                <a:pt x="2333480" y="3854894"/>
                <a:pt x="2317889" y="3870485"/>
                <a:pt x="2298661" y="3870485"/>
              </a:cubicBezTo>
              <a:close/>
              <a:moveTo>
                <a:pt x="2383553" y="3870485"/>
              </a:moveTo>
              <a:cubicBezTo>
                <a:pt x="2364326" y="3870485"/>
                <a:pt x="2348734" y="3854894"/>
                <a:pt x="2348734" y="3835667"/>
              </a:cubicBezTo>
              <a:cubicBezTo>
                <a:pt x="2348734" y="3816439"/>
                <a:pt x="2364326" y="3800848"/>
                <a:pt x="2383553" y="3800848"/>
              </a:cubicBezTo>
              <a:cubicBezTo>
                <a:pt x="2402781" y="3800848"/>
                <a:pt x="2418372" y="3816439"/>
                <a:pt x="2418372" y="3835667"/>
              </a:cubicBezTo>
              <a:cubicBezTo>
                <a:pt x="2418372" y="3854894"/>
                <a:pt x="2402781" y="3870485"/>
                <a:pt x="2383553" y="3870485"/>
              </a:cubicBezTo>
              <a:close/>
              <a:moveTo>
                <a:pt x="2468446" y="3870485"/>
              </a:moveTo>
              <a:cubicBezTo>
                <a:pt x="2449218" y="3870485"/>
                <a:pt x="2433627" y="3854894"/>
                <a:pt x="2433627" y="3835667"/>
              </a:cubicBezTo>
              <a:cubicBezTo>
                <a:pt x="2433627" y="3816439"/>
                <a:pt x="2449218" y="3800848"/>
                <a:pt x="2468446" y="3800848"/>
              </a:cubicBezTo>
              <a:cubicBezTo>
                <a:pt x="2487673" y="3800848"/>
                <a:pt x="2503264" y="3816439"/>
                <a:pt x="2503264" y="3835667"/>
              </a:cubicBezTo>
              <a:cubicBezTo>
                <a:pt x="2503264" y="3854894"/>
                <a:pt x="2487673" y="3870485"/>
                <a:pt x="2468446" y="3870485"/>
              </a:cubicBezTo>
              <a:close/>
              <a:moveTo>
                <a:pt x="2553339" y="3870485"/>
              </a:moveTo>
              <a:cubicBezTo>
                <a:pt x="2534111" y="3870485"/>
                <a:pt x="2518520" y="3854894"/>
                <a:pt x="2518520" y="3835667"/>
              </a:cubicBezTo>
              <a:cubicBezTo>
                <a:pt x="2518520" y="3816439"/>
                <a:pt x="2534111" y="3800848"/>
                <a:pt x="2553339" y="3800848"/>
              </a:cubicBezTo>
              <a:cubicBezTo>
                <a:pt x="2572567" y="3800848"/>
                <a:pt x="2588158" y="3816439"/>
                <a:pt x="2588158" y="3835667"/>
              </a:cubicBezTo>
              <a:cubicBezTo>
                <a:pt x="2588158" y="3854894"/>
                <a:pt x="2572567" y="3870485"/>
                <a:pt x="2553339" y="3870485"/>
              </a:cubicBezTo>
              <a:close/>
              <a:moveTo>
                <a:pt x="2638231" y="3870485"/>
              </a:moveTo>
              <a:cubicBezTo>
                <a:pt x="2619003" y="3870485"/>
                <a:pt x="2603412" y="3854894"/>
                <a:pt x="2603412" y="3835667"/>
              </a:cubicBezTo>
              <a:cubicBezTo>
                <a:pt x="2603412" y="3816439"/>
                <a:pt x="2619003" y="3800848"/>
                <a:pt x="2638231" y="3800848"/>
              </a:cubicBezTo>
              <a:cubicBezTo>
                <a:pt x="2657459" y="3800848"/>
                <a:pt x="2673050" y="3816439"/>
                <a:pt x="2673050" y="3835667"/>
              </a:cubicBezTo>
              <a:cubicBezTo>
                <a:pt x="2673050" y="3854894"/>
                <a:pt x="2657459" y="3870485"/>
                <a:pt x="2638231" y="3870485"/>
              </a:cubicBezTo>
              <a:close/>
              <a:moveTo>
                <a:pt x="2723123" y="3870485"/>
              </a:moveTo>
              <a:cubicBezTo>
                <a:pt x="2703896" y="3870485"/>
                <a:pt x="2688304" y="3854894"/>
                <a:pt x="2688304" y="3835667"/>
              </a:cubicBezTo>
              <a:cubicBezTo>
                <a:pt x="2688304" y="3816439"/>
                <a:pt x="2703896" y="3800848"/>
                <a:pt x="2723123" y="3800848"/>
              </a:cubicBezTo>
              <a:cubicBezTo>
                <a:pt x="2742351" y="3800848"/>
                <a:pt x="2757942" y="3816439"/>
                <a:pt x="2757942" y="3835667"/>
              </a:cubicBezTo>
              <a:cubicBezTo>
                <a:pt x="2757942" y="3854894"/>
                <a:pt x="2742351" y="3870485"/>
                <a:pt x="2723123" y="3870485"/>
              </a:cubicBezTo>
              <a:close/>
              <a:moveTo>
                <a:pt x="2808016" y="3870485"/>
              </a:moveTo>
              <a:cubicBezTo>
                <a:pt x="2788788" y="3870485"/>
                <a:pt x="2773197" y="3854894"/>
                <a:pt x="2773197" y="3835667"/>
              </a:cubicBezTo>
              <a:cubicBezTo>
                <a:pt x="2773197" y="3816439"/>
                <a:pt x="2788788" y="3800848"/>
                <a:pt x="2808016" y="3800848"/>
              </a:cubicBezTo>
              <a:cubicBezTo>
                <a:pt x="2827243" y="3800848"/>
                <a:pt x="2842834" y="3816439"/>
                <a:pt x="2842834" y="3835667"/>
              </a:cubicBezTo>
              <a:cubicBezTo>
                <a:pt x="2842834" y="3854894"/>
                <a:pt x="2827243" y="3870485"/>
                <a:pt x="2808016" y="3870485"/>
              </a:cubicBezTo>
              <a:close/>
              <a:moveTo>
                <a:pt x="2892908" y="3870485"/>
              </a:moveTo>
              <a:cubicBezTo>
                <a:pt x="2873680" y="3870485"/>
                <a:pt x="2858089" y="3854894"/>
                <a:pt x="2858089" y="3835667"/>
              </a:cubicBezTo>
              <a:cubicBezTo>
                <a:pt x="2858089" y="3816439"/>
                <a:pt x="2873680" y="3800848"/>
                <a:pt x="2892908" y="3800848"/>
              </a:cubicBezTo>
              <a:cubicBezTo>
                <a:pt x="2912136" y="3800848"/>
                <a:pt x="2927727" y="3816439"/>
                <a:pt x="2927727" y="3835667"/>
              </a:cubicBezTo>
              <a:cubicBezTo>
                <a:pt x="2927727" y="3854894"/>
                <a:pt x="2912136" y="3870485"/>
                <a:pt x="2892908" y="3870485"/>
              </a:cubicBezTo>
              <a:close/>
              <a:moveTo>
                <a:pt x="2977801" y="3870485"/>
              </a:moveTo>
              <a:cubicBezTo>
                <a:pt x="2958573" y="3870485"/>
                <a:pt x="2942982" y="3854894"/>
                <a:pt x="2942982" y="3835667"/>
              </a:cubicBezTo>
              <a:cubicBezTo>
                <a:pt x="2942982" y="3816439"/>
                <a:pt x="2958573" y="3800848"/>
                <a:pt x="2977801" y="3800848"/>
              </a:cubicBezTo>
              <a:cubicBezTo>
                <a:pt x="2997029" y="3800848"/>
                <a:pt x="3012620" y="3816439"/>
                <a:pt x="3012620" y="3835667"/>
              </a:cubicBezTo>
              <a:cubicBezTo>
                <a:pt x="3012620" y="3854894"/>
                <a:pt x="2997029" y="3870485"/>
                <a:pt x="2977801" y="3870485"/>
              </a:cubicBezTo>
              <a:close/>
              <a:moveTo>
                <a:pt x="3062693" y="3870485"/>
              </a:moveTo>
              <a:cubicBezTo>
                <a:pt x="3043466" y="3870485"/>
                <a:pt x="3027874" y="3854894"/>
                <a:pt x="3027874" y="3835667"/>
              </a:cubicBezTo>
              <a:cubicBezTo>
                <a:pt x="3027874" y="3816439"/>
                <a:pt x="3043466" y="3800848"/>
                <a:pt x="3062693" y="3800848"/>
              </a:cubicBezTo>
              <a:cubicBezTo>
                <a:pt x="3081921" y="3800848"/>
                <a:pt x="3097512" y="3816439"/>
                <a:pt x="3097512" y="3835667"/>
              </a:cubicBezTo>
              <a:cubicBezTo>
                <a:pt x="3097512" y="3854894"/>
                <a:pt x="3081921" y="3870485"/>
                <a:pt x="3062693" y="3870485"/>
              </a:cubicBezTo>
              <a:close/>
              <a:moveTo>
                <a:pt x="3147586" y="3870485"/>
              </a:moveTo>
              <a:cubicBezTo>
                <a:pt x="3128358" y="3870485"/>
                <a:pt x="3112767" y="3854894"/>
                <a:pt x="3112767" y="3835667"/>
              </a:cubicBezTo>
              <a:cubicBezTo>
                <a:pt x="3112767" y="3816439"/>
                <a:pt x="3128358" y="3800848"/>
                <a:pt x="3147586" y="3800848"/>
              </a:cubicBezTo>
              <a:cubicBezTo>
                <a:pt x="3166813" y="3800848"/>
                <a:pt x="3182404" y="3816439"/>
                <a:pt x="3182404" y="3835667"/>
              </a:cubicBezTo>
              <a:cubicBezTo>
                <a:pt x="3182404" y="3854894"/>
                <a:pt x="3166813" y="3870485"/>
                <a:pt x="3147586" y="3870485"/>
              </a:cubicBezTo>
              <a:close/>
              <a:moveTo>
                <a:pt x="3232478" y="3870485"/>
              </a:moveTo>
              <a:cubicBezTo>
                <a:pt x="3213250" y="3870485"/>
                <a:pt x="3197659" y="3854894"/>
                <a:pt x="3197659" y="3835667"/>
              </a:cubicBezTo>
              <a:cubicBezTo>
                <a:pt x="3197659" y="3816439"/>
                <a:pt x="3213250" y="3800848"/>
                <a:pt x="3232478" y="3800848"/>
              </a:cubicBezTo>
              <a:cubicBezTo>
                <a:pt x="3251706" y="3800848"/>
                <a:pt x="3267297" y="3816439"/>
                <a:pt x="3267297" y="3835667"/>
              </a:cubicBezTo>
              <a:cubicBezTo>
                <a:pt x="3267297" y="3854894"/>
                <a:pt x="3251706" y="3870485"/>
                <a:pt x="3232478" y="3870485"/>
              </a:cubicBezTo>
              <a:close/>
              <a:moveTo>
                <a:pt x="3317371" y="3870485"/>
              </a:moveTo>
              <a:cubicBezTo>
                <a:pt x="3298143" y="3870485"/>
                <a:pt x="3282552" y="3854894"/>
                <a:pt x="3282552" y="3835667"/>
              </a:cubicBezTo>
              <a:cubicBezTo>
                <a:pt x="3282552" y="3816439"/>
                <a:pt x="3298143" y="3800848"/>
                <a:pt x="3317371" y="3800848"/>
              </a:cubicBezTo>
              <a:cubicBezTo>
                <a:pt x="3336599" y="3800848"/>
                <a:pt x="3352190" y="3816439"/>
                <a:pt x="3352190" y="3835667"/>
              </a:cubicBezTo>
              <a:cubicBezTo>
                <a:pt x="3352190" y="3854894"/>
                <a:pt x="3336599" y="3870485"/>
                <a:pt x="3317371" y="3870485"/>
              </a:cubicBezTo>
              <a:close/>
              <a:moveTo>
                <a:pt x="3402263" y="3870485"/>
              </a:moveTo>
              <a:cubicBezTo>
                <a:pt x="3383036" y="3870485"/>
                <a:pt x="3367444" y="3854894"/>
                <a:pt x="3367444" y="3835667"/>
              </a:cubicBezTo>
              <a:cubicBezTo>
                <a:pt x="3367444" y="3816439"/>
                <a:pt x="3383036" y="3800848"/>
                <a:pt x="3402263" y="3800848"/>
              </a:cubicBezTo>
              <a:cubicBezTo>
                <a:pt x="3421491" y="3800848"/>
                <a:pt x="3437082" y="3816439"/>
                <a:pt x="3437082" y="3835667"/>
              </a:cubicBezTo>
              <a:cubicBezTo>
                <a:pt x="3437082" y="3854894"/>
                <a:pt x="3421491" y="3870485"/>
                <a:pt x="3402263" y="3870485"/>
              </a:cubicBezTo>
              <a:close/>
              <a:moveTo>
                <a:pt x="3487156" y="3870485"/>
              </a:moveTo>
              <a:cubicBezTo>
                <a:pt x="3467928" y="3870485"/>
                <a:pt x="3452337" y="3854894"/>
                <a:pt x="3452337" y="3835667"/>
              </a:cubicBezTo>
              <a:cubicBezTo>
                <a:pt x="3452337" y="3816439"/>
                <a:pt x="3467928" y="3800848"/>
                <a:pt x="3487156" y="3800848"/>
              </a:cubicBezTo>
              <a:cubicBezTo>
                <a:pt x="3506383" y="3800848"/>
                <a:pt x="3521974" y="3816439"/>
                <a:pt x="3521974" y="3835667"/>
              </a:cubicBezTo>
              <a:cubicBezTo>
                <a:pt x="3521974" y="3854894"/>
                <a:pt x="3506383" y="3870485"/>
                <a:pt x="3487156" y="3870485"/>
              </a:cubicBezTo>
              <a:close/>
              <a:moveTo>
                <a:pt x="3572048" y="3870485"/>
              </a:moveTo>
              <a:cubicBezTo>
                <a:pt x="3552820" y="3870485"/>
                <a:pt x="3537229" y="3854894"/>
                <a:pt x="3537229" y="3835667"/>
              </a:cubicBezTo>
              <a:cubicBezTo>
                <a:pt x="3537229" y="3816439"/>
                <a:pt x="3552820" y="3800848"/>
                <a:pt x="3572048" y="3800848"/>
              </a:cubicBezTo>
              <a:cubicBezTo>
                <a:pt x="3591276" y="3800848"/>
                <a:pt x="3606867" y="3816439"/>
                <a:pt x="3606867" y="3835667"/>
              </a:cubicBezTo>
              <a:cubicBezTo>
                <a:pt x="3606867" y="3854894"/>
                <a:pt x="3591276" y="3870485"/>
                <a:pt x="3572048" y="3870485"/>
              </a:cubicBezTo>
              <a:close/>
              <a:moveTo>
                <a:pt x="5609468" y="3870485"/>
              </a:moveTo>
              <a:cubicBezTo>
                <a:pt x="5590240" y="3870485"/>
                <a:pt x="5574649" y="3854894"/>
                <a:pt x="5574649" y="3835667"/>
              </a:cubicBezTo>
              <a:cubicBezTo>
                <a:pt x="5574649" y="3816439"/>
                <a:pt x="5590240" y="3800848"/>
                <a:pt x="5609468" y="3800848"/>
              </a:cubicBezTo>
              <a:cubicBezTo>
                <a:pt x="5628696" y="3800848"/>
                <a:pt x="5644287" y="3816439"/>
                <a:pt x="5644287" y="3835667"/>
              </a:cubicBezTo>
              <a:cubicBezTo>
                <a:pt x="5644287" y="3854894"/>
                <a:pt x="5628696" y="3870485"/>
                <a:pt x="5609468" y="3870485"/>
              </a:cubicBezTo>
              <a:close/>
              <a:moveTo>
                <a:pt x="5694360" y="3870485"/>
              </a:moveTo>
              <a:cubicBezTo>
                <a:pt x="5675132" y="3870485"/>
                <a:pt x="5659541" y="3854894"/>
                <a:pt x="5659541" y="3835667"/>
              </a:cubicBezTo>
              <a:cubicBezTo>
                <a:pt x="5659541" y="3816439"/>
                <a:pt x="5675132" y="3800848"/>
                <a:pt x="5694360" y="3800848"/>
              </a:cubicBezTo>
              <a:cubicBezTo>
                <a:pt x="5713588" y="3800848"/>
                <a:pt x="5729179" y="3816439"/>
                <a:pt x="5729179" y="3835667"/>
              </a:cubicBezTo>
              <a:cubicBezTo>
                <a:pt x="5729179" y="3854894"/>
                <a:pt x="5713588" y="3870485"/>
                <a:pt x="5694360" y="3870485"/>
              </a:cubicBezTo>
              <a:close/>
              <a:moveTo>
                <a:pt x="5779252" y="3870485"/>
              </a:moveTo>
              <a:cubicBezTo>
                <a:pt x="5760025" y="3870485"/>
                <a:pt x="5744433" y="3854894"/>
                <a:pt x="5744433" y="3835667"/>
              </a:cubicBezTo>
              <a:cubicBezTo>
                <a:pt x="5744433" y="3816439"/>
                <a:pt x="5760025" y="3800848"/>
                <a:pt x="5779252" y="3800848"/>
              </a:cubicBezTo>
              <a:cubicBezTo>
                <a:pt x="5798480" y="3800848"/>
                <a:pt x="5814071" y="3816439"/>
                <a:pt x="5814071" y="3835667"/>
              </a:cubicBezTo>
              <a:cubicBezTo>
                <a:pt x="5814071" y="3854894"/>
                <a:pt x="5798480" y="3870485"/>
                <a:pt x="5779252" y="3870485"/>
              </a:cubicBezTo>
              <a:close/>
              <a:moveTo>
                <a:pt x="6373504" y="3870485"/>
              </a:moveTo>
              <a:cubicBezTo>
                <a:pt x="6354276" y="3870485"/>
                <a:pt x="6338678" y="3854894"/>
                <a:pt x="6338678" y="3835667"/>
              </a:cubicBezTo>
              <a:cubicBezTo>
                <a:pt x="6338678" y="3816439"/>
                <a:pt x="6354276" y="3800848"/>
                <a:pt x="6373504" y="3800848"/>
              </a:cubicBezTo>
              <a:cubicBezTo>
                <a:pt x="6392731" y="3800848"/>
                <a:pt x="6408316" y="3816439"/>
                <a:pt x="6408316" y="3835667"/>
              </a:cubicBezTo>
              <a:cubicBezTo>
                <a:pt x="6408316" y="3854894"/>
                <a:pt x="6392731" y="3870485"/>
                <a:pt x="6373504" y="3870485"/>
              </a:cubicBezTo>
              <a:close/>
              <a:moveTo>
                <a:pt x="6543288" y="3870485"/>
              </a:moveTo>
              <a:cubicBezTo>
                <a:pt x="6524060" y="3870485"/>
                <a:pt x="6508463" y="3854894"/>
                <a:pt x="6508463" y="3835667"/>
              </a:cubicBezTo>
              <a:cubicBezTo>
                <a:pt x="6508463" y="3816439"/>
                <a:pt x="6524060" y="3800848"/>
                <a:pt x="6543288" y="3800848"/>
              </a:cubicBezTo>
              <a:cubicBezTo>
                <a:pt x="6562516" y="3800848"/>
                <a:pt x="6578100" y="3816439"/>
                <a:pt x="6578100" y="3835667"/>
              </a:cubicBezTo>
              <a:cubicBezTo>
                <a:pt x="6578100" y="3854894"/>
                <a:pt x="6562516" y="3870485"/>
                <a:pt x="6543288" y="3870485"/>
              </a:cubicBezTo>
              <a:close/>
              <a:moveTo>
                <a:pt x="6713074" y="3870485"/>
              </a:moveTo>
              <a:cubicBezTo>
                <a:pt x="6693846" y="3870485"/>
                <a:pt x="6678248" y="3854894"/>
                <a:pt x="6678248" y="3835667"/>
              </a:cubicBezTo>
              <a:cubicBezTo>
                <a:pt x="6678248" y="3816439"/>
                <a:pt x="6693846" y="3800848"/>
                <a:pt x="6713074" y="3800848"/>
              </a:cubicBezTo>
              <a:cubicBezTo>
                <a:pt x="6732301" y="3800848"/>
                <a:pt x="6747886" y="3816439"/>
                <a:pt x="6747886" y="3835667"/>
              </a:cubicBezTo>
              <a:cubicBezTo>
                <a:pt x="6747886" y="3854894"/>
                <a:pt x="6732301" y="3870485"/>
                <a:pt x="6713074" y="3870485"/>
              </a:cubicBezTo>
              <a:close/>
              <a:moveTo>
                <a:pt x="6797966" y="3870485"/>
              </a:moveTo>
              <a:cubicBezTo>
                <a:pt x="6778738" y="3870485"/>
                <a:pt x="6763140" y="3854894"/>
                <a:pt x="6763140" y="3835667"/>
              </a:cubicBezTo>
              <a:cubicBezTo>
                <a:pt x="6763140" y="3816439"/>
                <a:pt x="6778738" y="3800848"/>
                <a:pt x="6797966" y="3800848"/>
              </a:cubicBezTo>
              <a:cubicBezTo>
                <a:pt x="6817194" y="3800848"/>
                <a:pt x="6832778" y="3816439"/>
                <a:pt x="6832778" y="3835667"/>
              </a:cubicBezTo>
              <a:cubicBezTo>
                <a:pt x="6832778" y="3854894"/>
                <a:pt x="6817194" y="3870485"/>
                <a:pt x="6797966" y="3870485"/>
              </a:cubicBezTo>
              <a:close/>
              <a:moveTo>
                <a:pt x="6882858" y="3870485"/>
              </a:moveTo>
              <a:cubicBezTo>
                <a:pt x="6863630" y="3870485"/>
                <a:pt x="6848033" y="3854894"/>
                <a:pt x="6848033" y="3835667"/>
              </a:cubicBezTo>
              <a:cubicBezTo>
                <a:pt x="6848033" y="3816439"/>
                <a:pt x="6863630" y="3800848"/>
                <a:pt x="6882858" y="3800848"/>
              </a:cubicBezTo>
              <a:cubicBezTo>
                <a:pt x="6902086" y="3800848"/>
                <a:pt x="6917670" y="3816439"/>
                <a:pt x="6917670" y="3835667"/>
              </a:cubicBezTo>
              <a:cubicBezTo>
                <a:pt x="6917670" y="3854894"/>
                <a:pt x="6902086" y="3870485"/>
                <a:pt x="6882858" y="3870485"/>
              </a:cubicBezTo>
              <a:close/>
              <a:moveTo>
                <a:pt x="6967750" y="3870485"/>
              </a:moveTo>
              <a:cubicBezTo>
                <a:pt x="6948523" y="3870485"/>
                <a:pt x="6932925" y="3854894"/>
                <a:pt x="6932925" y="3835667"/>
              </a:cubicBezTo>
              <a:cubicBezTo>
                <a:pt x="6932925" y="3816439"/>
                <a:pt x="6948523" y="3800848"/>
                <a:pt x="6967750" y="3800848"/>
              </a:cubicBezTo>
              <a:cubicBezTo>
                <a:pt x="6986978" y="3800848"/>
                <a:pt x="7002563" y="3816439"/>
                <a:pt x="7002563" y="3835667"/>
              </a:cubicBezTo>
              <a:cubicBezTo>
                <a:pt x="7002563" y="3854894"/>
                <a:pt x="6986978" y="3870485"/>
                <a:pt x="6967750" y="3870485"/>
              </a:cubicBezTo>
              <a:close/>
              <a:moveTo>
                <a:pt x="7052644" y="3870485"/>
              </a:moveTo>
              <a:cubicBezTo>
                <a:pt x="7033416" y="3870485"/>
                <a:pt x="7017818" y="3854894"/>
                <a:pt x="7017818" y="3835667"/>
              </a:cubicBezTo>
              <a:cubicBezTo>
                <a:pt x="7017818" y="3816439"/>
                <a:pt x="7033416" y="3800848"/>
                <a:pt x="7052644" y="3800848"/>
              </a:cubicBezTo>
              <a:cubicBezTo>
                <a:pt x="7071871" y="3800848"/>
                <a:pt x="7087456" y="3816439"/>
                <a:pt x="7087456" y="3835667"/>
              </a:cubicBezTo>
              <a:cubicBezTo>
                <a:pt x="7087456" y="3854894"/>
                <a:pt x="7071871" y="3870485"/>
                <a:pt x="7052644" y="3870485"/>
              </a:cubicBezTo>
              <a:close/>
              <a:moveTo>
                <a:pt x="7137536" y="3870485"/>
              </a:moveTo>
              <a:cubicBezTo>
                <a:pt x="7118308" y="3870485"/>
                <a:pt x="7102710" y="3854894"/>
                <a:pt x="7102710" y="3835667"/>
              </a:cubicBezTo>
              <a:cubicBezTo>
                <a:pt x="7102710" y="3816439"/>
                <a:pt x="7118308" y="3800848"/>
                <a:pt x="7137536" y="3800848"/>
              </a:cubicBezTo>
              <a:cubicBezTo>
                <a:pt x="7156764" y="3800848"/>
                <a:pt x="7172348" y="3816439"/>
                <a:pt x="7172348" y="3835667"/>
              </a:cubicBezTo>
              <a:cubicBezTo>
                <a:pt x="7172348" y="3854894"/>
                <a:pt x="7156764" y="3870485"/>
                <a:pt x="7137536" y="3870485"/>
              </a:cubicBezTo>
              <a:close/>
              <a:moveTo>
                <a:pt x="7222428" y="3870485"/>
              </a:moveTo>
              <a:cubicBezTo>
                <a:pt x="7203200" y="3870485"/>
                <a:pt x="7187603" y="3854894"/>
                <a:pt x="7187603" y="3835667"/>
              </a:cubicBezTo>
              <a:cubicBezTo>
                <a:pt x="7187603" y="3816439"/>
                <a:pt x="7203200" y="3800848"/>
                <a:pt x="7222428" y="3800848"/>
              </a:cubicBezTo>
              <a:cubicBezTo>
                <a:pt x="7241656" y="3800848"/>
                <a:pt x="7257240" y="3816439"/>
                <a:pt x="7257240" y="3835667"/>
              </a:cubicBezTo>
              <a:cubicBezTo>
                <a:pt x="7257240" y="3854894"/>
                <a:pt x="7241656" y="3870485"/>
                <a:pt x="7222428" y="3870485"/>
              </a:cubicBezTo>
              <a:close/>
              <a:moveTo>
                <a:pt x="7561998" y="3870485"/>
              </a:moveTo>
              <a:cubicBezTo>
                <a:pt x="7542770" y="3870485"/>
                <a:pt x="7527173" y="3854894"/>
                <a:pt x="7527173" y="3835667"/>
              </a:cubicBezTo>
              <a:cubicBezTo>
                <a:pt x="7527173" y="3816439"/>
                <a:pt x="7542770" y="3800848"/>
                <a:pt x="7561998" y="3800848"/>
              </a:cubicBezTo>
              <a:cubicBezTo>
                <a:pt x="7581226" y="3800848"/>
                <a:pt x="7596810" y="3816439"/>
                <a:pt x="7596810" y="3835667"/>
              </a:cubicBezTo>
              <a:cubicBezTo>
                <a:pt x="7596810" y="3854894"/>
                <a:pt x="7581226" y="3870485"/>
                <a:pt x="7561998" y="3870485"/>
              </a:cubicBezTo>
              <a:close/>
              <a:moveTo>
                <a:pt x="7646890" y="3870485"/>
              </a:moveTo>
              <a:cubicBezTo>
                <a:pt x="7627663" y="3870485"/>
                <a:pt x="7612065" y="3854894"/>
                <a:pt x="7612065" y="3835667"/>
              </a:cubicBezTo>
              <a:cubicBezTo>
                <a:pt x="7612065" y="3816439"/>
                <a:pt x="7627663" y="3800848"/>
                <a:pt x="7646890" y="3800848"/>
              </a:cubicBezTo>
              <a:cubicBezTo>
                <a:pt x="7666118" y="3800848"/>
                <a:pt x="7681703" y="3816439"/>
                <a:pt x="7681703" y="3835667"/>
              </a:cubicBezTo>
              <a:cubicBezTo>
                <a:pt x="7681703" y="3854894"/>
                <a:pt x="7666118" y="3870485"/>
                <a:pt x="7646890" y="3870485"/>
              </a:cubicBezTo>
              <a:close/>
              <a:moveTo>
                <a:pt x="7731784" y="3870485"/>
              </a:moveTo>
              <a:cubicBezTo>
                <a:pt x="7712556" y="3870485"/>
                <a:pt x="7696958" y="3854894"/>
                <a:pt x="7696958" y="3835667"/>
              </a:cubicBezTo>
              <a:cubicBezTo>
                <a:pt x="7696958" y="3816439"/>
                <a:pt x="7712556" y="3800848"/>
                <a:pt x="7731784" y="3800848"/>
              </a:cubicBezTo>
              <a:cubicBezTo>
                <a:pt x="7751011" y="3800848"/>
                <a:pt x="7766596" y="3816439"/>
                <a:pt x="7766596" y="3835667"/>
              </a:cubicBezTo>
              <a:cubicBezTo>
                <a:pt x="7766596" y="3854894"/>
                <a:pt x="7751011" y="3870485"/>
                <a:pt x="7731784" y="3870485"/>
              </a:cubicBezTo>
              <a:close/>
              <a:moveTo>
                <a:pt x="7817766" y="3870485"/>
              </a:moveTo>
              <a:cubicBezTo>
                <a:pt x="7798538" y="3870485"/>
                <a:pt x="7782941" y="3854894"/>
                <a:pt x="7782941" y="3835667"/>
              </a:cubicBezTo>
              <a:cubicBezTo>
                <a:pt x="7782941" y="3816439"/>
                <a:pt x="7798538" y="3800848"/>
                <a:pt x="7817766" y="3800848"/>
              </a:cubicBezTo>
              <a:cubicBezTo>
                <a:pt x="7836994" y="3800848"/>
                <a:pt x="7852578" y="3816439"/>
                <a:pt x="7852578" y="3835667"/>
              </a:cubicBezTo>
              <a:cubicBezTo>
                <a:pt x="7852578" y="3854894"/>
                <a:pt x="7836994" y="3870485"/>
                <a:pt x="7817766" y="3870485"/>
              </a:cubicBezTo>
              <a:close/>
              <a:moveTo>
                <a:pt x="7902658" y="3870485"/>
              </a:moveTo>
              <a:cubicBezTo>
                <a:pt x="7883431" y="3870485"/>
                <a:pt x="7867833" y="3854894"/>
                <a:pt x="7867833" y="3835667"/>
              </a:cubicBezTo>
              <a:cubicBezTo>
                <a:pt x="7867833" y="3816439"/>
                <a:pt x="7883431" y="3800848"/>
                <a:pt x="7902658" y="3800848"/>
              </a:cubicBezTo>
              <a:cubicBezTo>
                <a:pt x="7921886" y="3800848"/>
                <a:pt x="7937471" y="3816439"/>
                <a:pt x="7937471" y="3835667"/>
              </a:cubicBezTo>
              <a:cubicBezTo>
                <a:pt x="7937471" y="3854894"/>
                <a:pt x="7921886" y="3870485"/>
                <a:pt x="7902658" y="3870485"/>
              </a:cubicBezTo>
              <a:close/>
              <a:moveTo>
                <a:pt x="7985912" y="3870485"/>
              </a:moveTo>
              <a:cubicBezTo>
                <a:pt x="7966685" y="3870485"/>
                <a:pt x="7951087" y="3854894"/>
                <a:pt x="7951087" y="3835667"/>
              </a:cubicBezTo>
              <a:cubicBezTo>
                <a:pt x="7951087" y="3816439"/>
                <a:pt x="7966685" y="3800848"/>
                <a:pt x="7985912" y="3800848"/>
              </a:cubicBezTo>
              <a:cubicBezTo>
                <a:pt x="8005140" y="3800848"/>
                <a:pt x="8020725" y="3816439"/>
                <a:pt x="8020725" y="3835667"/>
              </a:cubicBezTo>
              <a:cubicBezTo>
                <a:pt x="8020725" y="3854894"/>
                <a:pt x="8005140" y="3870485"/>
                <a:pt x="7985912" y="3870485"/>
              </a:cubicBezTo>
              <a:close/>
              <a:moveTo>
                <a:pt x="8070805" y="3870485"/>
              </a:moveTo>
              <a:cubicBezTo>
                <a:pt x="8051577" y="3870485"/>
                <a:pt x="8035979" y="3854894"/>
                <a:pt x="8035979" y="3835667"/>
              </a:cubicBezTo>
              <a:cubicBezTo>
                <a:pt x="8035979" y="3816439"/>
                <a:pt x="8051577" y="3800848"/>
                <a:pt x="8070805" y="3800848"/>
              </a:cubicBezTo>
              <a:cubicBezTo>
                <a:pt x="8090032" y="3800848"/>
                <a:pt x="8105617" y="3816439"/>
                <a:pt x="8105617" y="3835667"/>
              </a:cubicBezTo>
              <a:cubicBezTo>
                <a:pt x="8105617" y="3854894"/>
                <a:pt x="8090032" y="3870485"/>
                <a:pt x="8070805" y="3870485"/>
              </a:cubicBezTo>
              <a:close/>
              <a:moveTo>
                <a:pt x="8155697" y="3870485"/>
              </a:moveTo>
              <a:cubicBezTo>
                <a:pt x="8136469" y="3870485"/>
                <a:pt x="8120871" y="3854894"/>
                <a:pt x="8120871" y="3835667"/>
              </a:cubicBezTo>
              <a:cubicBezTo>
                <a:pt x="8120871" y="3816439"/>
                <a:pt x="8136469" y="3800848"/>
                <a:pt x="8155697" y="3800848"/>
              </a:cubicBezTo>
              <a:cubicBezTo>
                <a:pt x="8174925" y="3800848"/>
                <a:pt x="8190509" y="3816439"/>
                <a:pt x="8190509" y="3835667"/>
              </a:cubicBezTo>
              <a:cubicBezTo>
                <a:pt x="8190509" y="3854894"/>
                <a:pt x="8174925" y="3870485"/>
                <a:pt x="8155697" y="3870485"/>
              </a:cubicBezTo>
              <a:close/>
              <a:moveTo>
                <a:pt x="8241680" y="3870485"/>
              </a:moveTo>
              <a:cubicBezTo>
                <a:pt x="8222452" y="3870485"/>
                <a:pt x="8206855" y="3854894"/>
                <a:pt x="8206855" y="3835667"/>
              </a:cubicBezTo>
              <a:cubicBezTo>
                <a:pt x="8206855" y="3816439"/>
                <a:pt x="8222452" y="3800848"/>
                <a:pt x="8241680" y="3800848"/>
              </a:cubicBezTo>
              <a:cubicBezTo>
                <a:pt x="8260908" y="3800848"/>
                <a:pt x="8276493" y="3816439"/>
                <a:pt x="8276493" y="3835667"/>
              </a:cubicBezTo>
              <a:cubicBezTo>
                <a:pt x="8276493" y="3854894"/>
                <a:pt x="8260908" y="3870485"/>
                <a:pt x="8241680" y="3870485"/>
              </a:cubicBezTo>
              <a:close/>
              <a:moveTo>
                <a:pt x="8326572" y="3870485"/>
              </a:moveTo>
              <a:cubicBezTo>
                <a:pt x="8307345" y="3870485"/>
                <a:pt x="8291747" y="3854894"/>
                <a:pt x="8291747" y="3835667"/>
              </a:cubicBezTo>
              <a:cubicBezTo>
                <a:pt x="8291747" y="3816439"/>
                <a:pt x="8307345" y="3800848"/>
                <a:pt x="8326572" y="3800848"/>
              </a:cubicBezTo>
              <a:cubicBezTo>
                <a:pt x="8345800" y="3800848"/>
                <a:pt x="8361385" y="3816439"/>
                <a:pt x="8361385" y="3835667"/>
              </a:cubicBezTo>
              <a:cubicBezTo>
                <a:pt x="8361385" y="3854894"/>
                <a:pt x="8345800" y="3870485"/>
                <a:pt x="8326572" y="3870485"/>
              </a:cubicBezTo>
              <a:close/>
              <a:moveTo>
                <a:pt x="8410923" y="3870485"/>
              </a:moveTo>
              <a:cubicBezTo>
                <a:pt x="8391695" y="3870485"/>
                <a:pt x="8376097" y="3854894"/>
                <a:pt x="8376097" y="3835667"/>
              </a:cubicBezTo>
              <a:cubicBezTo>
                <a:pt x="8376097" y="3816439"/>
                <a:pt x="8391695" y="3800848"/>
                <a:pt x="8410923" y="3800848"/>
              </a:cubicBezTo>
              <a:cubicBezTo>
                <a:pt x="8430150" y="3800848"/>
                <a:pt x="8445735" y="3816439"/>
                <a:pt x="8445735" y="3835667"/>
              </a:cubicBezTo>
              <a:cubicBezTo>
                <a:pt x="8445735" y="3854894"/>
                <a:pt x="8430150" y="3870485"/>
                <a:pt x="8410923" y="3870485"/>
              </a:cubicBezTo>
              <a:close/>
              <a:moveTo>
                <a:pt x="8495816" y="3870485"/>
              </a:moveTo>
              <a:cubicBezTo>
                <a:pt x="8476588" y="3870485"/>
                <a:pt x="8460990" y="3854894"/>
                <a:pt x="8460990" y="3835667"/>
              </a:cubicBezTo>
              <a:cubicBezTo>
                <a:pt x="8460990" y="3816439"/>
                <a:pt x="8476588" y="3800848"/>
                <a:pt x="8495816" y="3800848"/>
              </a:cubicBezTo>
              <a:cubicBezTo>
                <a:pt x="8515044" y="3800848"/>
                <a:pt x="8530628" y="3816439"/>
                <a:pt x="8530628" y="3835667"/>
              </a:cubicBezTo>
              <a:cubicBezTo>
                <a:pt x="8530628" y="3854894"/>
                <a:pt x="8515044" y="3870485"/>
                <a:pt x="8495816" y="3870485"/>
              </a:cubicBezTo>
              <a:close/>
              <a:moveTo>
                <a:pt x="8580708" y="3870485"/>
              </a:moveTo>
              <a:cubicBezTo>
                <a:pt x="8561480" y="3870485"/>
                <a:pt x="8545883" y="3854894"/>
                <a:pt x="8545883" y="3835667"/>
              </a:cubicBezTo>
              <a:cubicBezTo>
                <a:pt x="8545883" y="3816439"/>
                <a:pt x="8561480" y="3800848"/>
                <a:pt x="8580708" y="3800848"/>
              </a:cubicBezTo>
              <a:cubicBezTo>
                <a:pt x="8599936" y="3800848"/>
                <a:pt x="8615520" y="3816439"/>
                <a:pt x="8615520" y="3835667"/>
              </a:cubicBezTo>
              <a:cubicBezTo>
                <a:pt x="8615520" y="3854894"/>
                <a:pt x="8599936" y="3870485"/>
                <a:pt x="8580708" y="3870485"/>
              </a:cubicBezTo>
              <a:close/>
              <a:moveTo>
                <a:pt x="8665600" y="3870485"/>
              </a:moveTo>
              <a:cubicBezTo>
                <a:pt x="8646373" y="3870485"/>
                <a:pt x="8630775" y="3854894"/>
                <a:pt x="8630775" y="3835667"/>
              </a:cubicBezTo>
              <a:cubicBezTo>
                <a:pt x="8630775" y="3816439"/>
                <a:pt x="8646373" y="3800848"/>
                <a:pt x="8665600" y="3800848"/>
              </a:cubicBezTo>
              <a:cubicBezTo>
                <a:pt x="8684828" y="3800848"/>
                <a:pt x="8700413" y="3816439"/>
                <a:pt x="8700413" y="3835667"/>
              </a:cubicBezTo>
              <a:cubicBezTo>
                <a:pt x="8700413" y="3854894"/>
                <a:pt x="8684828" y="3870485"/>
                <a:pt x="8665600" y="3870485"/>
              </a:cubicBezTo>
              <a:close/>
              <a:moveTo>
                <a:pt x="8750493" y="3870485"/>
              </a:moveTo>
              <a:cubicBezTo>
                <a:pt x="8731265" y="3870485"/>
                <a:pt x="8715667" y="3854894"/>
                <a:pt x="8715667" y="3835667"/>
              </a:cubicBezTo>
              <a:cubicBezTo>
                <a:pt x="8715667" y="3816439"/>
                <a:pt x="8731265" y="3800848"/>
                <a:pt x="8750493" y="3800848"/>
              </a:cubicBezTo>
              <a:cubicBezTo>
                <a:pt x="8769720" y="3800848"/>
                <a:pt x="8785305" y="3816439"/>
                <a:pt x="8785305" y="3835667"/>
              </a:cubicBezTo>
              <a:cubicBezTo>
                <a:pt x="8785305" y="3854894"/>
                <a:pt x="8769720" y="3870485"/>
                <a:pt x="8750493" y="3870485"/>
              </a:cubicBezTo>
              <a:close/>
              <a:moveTo>
                <a:pt x="8835386" y="3870485"/>
              </a:moveTo>
              <a:cubicBezTo>
                <a:pt x="8816158" y="3870485"/>
                <a:pt x="8800560" y="3854894"/>
                <a:pt x="8800560" y="3835667"/>
              </a:cubicBezTo>
              <a:cubicBezTo>
                <a:pt x="8800560" y="3816439"/>
                <a:pt x="8816158" y="3800848"/>
                <a:pt x="8835386" y="3800848"/>
              </a:cubicBezTo>
              <a:cubicBezTo>
                <a:pt x="8854614" y="3800848"/>
                <a:pt x="8870198" y="3816439"/>
                <a:pt x="8870198" y="3835667"/>
              </a:cubicBezTo>
              <a:cubicBezTo>
                <a:pt x="8870198" y="3854894"/>
                <a:pt x="8854614" y="3870485"/>
                <a:pt x="8835386" y="3870485"/>
              </a:cubicBezTo>
              <a:close/>
              <a:moveTo>
                <a:pt x="8920278" y="3870485"/>
              </a:moveTo>
              <a:cubicBezTo>
                <a:pt x="8901050" y="3870485"/>
                <a:pt x="8885453" y="3854894"/>
                <a:pt x="8885453" y="3835667"/>
              </a:cubicBezTo>
              <a:cubicBezTo>
                <a:pt x="8885453" y="3816439"/>
                <a:pt x="8901050" y="3800848"/>
                <a:pt x="8920278" y="3800848"/>
              </a:cubicBezTo>
              <a:cubicBezTo>
                <a:pt x="8939506" y="3800848"/>
                <a:pt x="8955090" y="3816439"/>
                <a:pt x="8955090" y="3835667"/>
              </a:cubicBezTo>
              <a:cubicBezTo>
                <a:pt x="8955090" y="3854894"/>
                <a:pt x="8939506" y="3870485"/>
                <a:pt x="8920278" y="3870485"/>
              </a:cubicBezTo>
              <a:close/>
              <a:moveTo>
                <a:pt x="9005170" y="3870485"/>
              </a:moveTo>
              <a:cubicBezTo>
                <a:pt x="8985943" y="3870485"/>
                <a:pt x="8970345" y="3854894"/>
                <a:pt x="8970345" y="3835667"/>
              </a:cubicBezTo>
              <a:cubicBezTo>
                <a:pt x="8970345" y="3816439"/>
                <a:pt x="8985943" y="3800848"/>
                <a:pt x="9005170" y="3800848"/>
              </a:cubicBezTo>
              <a:cubicBezTo>
                <a:pt x="9024398" y="3800848"/>
                <a:pt x="9039983" y="3816439"/>
                <a:pt x="9039983" y="3835667"/>
              </a:cubicBezTo>
              <a:cubicBezTo>
                <a:pt x="9039983" y="3854894"/>
                <a:pt x="9024398" y="3870485"/>
                <a:pt x="9005170" y="3870485"/>
              </a:cubicBezTo>
              <a:close/>
              <a:moveTo>
                <a:pt x="9090063" y="3870485"/>
              </a:moveTo>
              <a:cubicBezTo>
                <a:pt x="9070835" y="3870485"/>
                <a:pt x="9055237" y="3854894"/>
                <a:pt x="9055237" y="3835667"/>
              </a:cubicBezTo>
              <a:cubicBezTo>
                <a:pt x="9055237" y="3816439"/>
                <a:pt x="9070835" y="3800848"/>
                <a:pt x="9090063" y="3800848"/>
              </a:cubicBezTo>
              <a:cubicBezTo>
                <a:pt x="9109290" y="3800848"/>
                <a:pt x="9124875" y="3816439"/>
                <a:pt x="9124875" y="3835667"/>
              </a:cubicBezTo>
              <a:cubicBezTo>
                <a:pt x="9124875" y="3854894"/>
                <a:pt x="9109290" y="3870485"/>
                <a:pt x="9090063" y="3870485"/>
              </a:cubicBezTo>
              <a:close/>
              <a:moveTo>
                <a:pt x="9174956" y="3870485"/>
              </a:moveTo>
              <a:cubicBezTo>
                <a:pt x="9155728" y="3870485"/>
                <a:pt x="9140130" y="3854894"/>
                <a:pt x="9140130" y="3835667"/>
              </a:cubicBezTo>
              <a:cubicBezTo>
                <a:pt x="9140130" y="3816439"/>
                <a:pt x="9155728" y="3800848"/>
                <a:pt x="9174956" y="3800848"/>
              </a:cubicBezTo>
              <a:cubicBezTo>
                <a:pt x="9194184" y="3800848"/>
                <a:pt x="9209768" y="3816439"/>
                <a:pt x="9209768" y="3835667"/>
              </a:cubicBezTo>
              <a:cubicBezTo>
                <a:pt x="9209768" y="3854894"/>
                <a:pt x="9194184" y="3870485"/>
                <a:pt x="9174956" y="3870485"/>
              </a:cubicBezTo>
              <a:close/>
              <a:moveTo>
                <a:pt x="9259848" y="3870485"/>
              </a:moveTo>
              <a:cubicBezTo>
                <a:pt x="9240620" y="3870485"/>
                <a:pt x="9225023" y="3854894"/>
                <a:pt x="9225023" y="3835667"/>
              </a:cubicBezTo>
              <a:cubicBezTo>
                <a:pt x="9225023" y="3816439"/>
                <a:pt x="9240620" y="3800848"/>
                <a:pt x="9259848" y="3800848"/>
              </a:cubicBezTo>
              <a:cubicBezTo>
                <a:pt x="9279076" y="3800848"/>
                <a:pt x="9294660" y="3816439"/>
                <a:pt x="9294660" y="3835667"/>
              </a:cubicBezTo>
              <a:cubicBezTo>
                <a:pt x="9294660" y="3854894"/>
                <a:pt x="9279076" y="3870485"/>
                <a:pt x="9259848" y="3870485"/>
              </a:cubicBezTo>
              <a:close/>
              <a:moveTo>
                <a:pt x="9344740" y="3870485"/>
              </a:moveTo>
              <a:cubicBezTo>
                <a:pt x="9325513" y="3870485"/>
                <a:pt x="9309915" y="3854894"/>
                <a:pt x="9309915" y="3835667"/>
              </a:cubicBezTo>
              <a:cubicBezTo>
                <a:pt x="9309915" y="3816439"/>
                <a:pt x="9325513" y="3800848"/>
                <a:pt x="9344740" y="3800848"/>
              </a:cubicBezTo>
              <a:cubicBezTo>
                <a:pt x="9363968" y="3800848"/>
                <a:pt x="9379553" y="3816439"/>
                <a:pt x="9379553" y="3835667"/>
              </a:cubicBezTo>
              <a:cubicBezTo>
                <a:pt x="9379553" y="3854894"/>
                <a:pt x="9363968" y="3870485"/>
                <a:pt x="9344740" y="3870485"/>
              </a:cubicBezTo>
              <a:close/>
              <a:moveTo>
                <a:pt x="9429633" y="3870485"/>
              </a:moveTo>
              <a:cubicBezTo>
                <a:pt x="9410405" y="3870485"/>
                <a:pt x="9394807" y="3854894"/>
                <a:pt x="9394807" y="3835667"/>
              </a:cubicBezTo>
              <a:cubicBezTo>
                <a:pt x="9394807" y="3816439"/>
                <a:pt x="9410405" y="3800848"/>
                <a:pt x="9429633" y="3800848"/>
              </a:cubicBezTo>
              <a:cubicBezTo>
                <a:pt x="9448860" y="3800848"/>
                <a:pt x="9464445" y="3816439"/>
                <a:pt x="9464445" y="3835667"/>
              </a:cubicBezTo>
              <a:cubicBezTo>
                <a:pt x="9464445" y="3854894"/>
                <a:pt x="9448860" y="3870485"/>
                <a:pt x="9429633" y="3870485"/>
              </a:cubicBezTo>
              <a:close/>
              <a:moveTo>
                <a:pt x="9514525" y="3870485"/>
              </a:moveTo>
              <a:cubicBezTo>
                <a:pt x="9495297" y="3870485"/>
                <a:pt x="9479699" y="3854894"/>
                <a:pt x="9479699" y="3835667"/>
              </a:cubicBezTo>
              <a:cubicBezTo>
                <a:pt x="9479699" y="3816439"/>
                <a:pt x="9495297" y="3800848"/>
                <a:pt x="9514525" y="3800848"/>
              </a:cubicBezTo>
              <a:cubicBezTo>
                <a:pt x="9533753" y="3800848"/>
                <a:pt x="9549337" y="3816439"/>
                <a:pt x="9549337" y="3835667"/>
              </a:cubicBezTo>
              <a:cubicBezTo>
                <a:pt x="9549337" y="3854894"/>
                <a:pt x="9533753" y="3870485"/>
                <a:pt x="9514525" y="3870485"/>
              </a:cubicBezTo>
              <a:close/>
              <a:moveTo>
                <a:pt x="9769203" y="3870485"/>
              </a:moveTo>
              <a:cubicBezTo>
                <a:pt x="9749975" y="3870485"/>
                <a:pt x="9734377" y="3854894"/>
                <a:pt x="9734377" y="3835667"/>
              </a:cubicBezTo>
              <a:cubicBezTo>
                <a:pt x="9734377" y="3816439"/>
                <a:pt x="9749975" y="3800848"/>
                <a:pt x="9769203" y="3800848"/>
              </a:cubicBezTo>
              <a:cubicBezTo>
                <a:pt x="9788430" y="3800848"/>
                <a:pt x="9804015" y="3816439"/>
                <a:pt x="9804015" y="3835667"/>
              </a:cubicBezTo>
              <a:cubicBezTo>
                <a:pt x="9804015" y="3854894"/>
                <a:pt x="9788430" y="3870485"/>
                <a:pt x="9769203" y="3870485"/>
              </a:cubicBezTo>
              <a:close/>
              <a:moveTo>
                <a:pt x="10023880" y="3870485"/>
              </a:moveTo>
              <a:cubicBezTo>
                <a:pt x="10004653" y="3870485"/>
                <a:pt x="9989055" y="3854894"/>
                <a:pt x="9989055" y="3835667"/>
              </a:cubicBezTo>
              <a:cubicBezTo>
                <a:pt x="9989055" y="3816439"/>
                <a:pt x="10004653" y="3800848"/>
                <a:pt x="10023880" y="3800848"/>
              </a:cubicBezTo>
              <a:cubicBezTo>
                <a:pt x="10043108" y="3800848"/>
                <a:pt x="10058693" y="3816439"/>
                <a:pt x="10058693" y="3835667"/>
              </a:cubicBezTo>
              <a:cubicBezTo>
                <a:pt x="10058693" y="3854894"/>
                <a:pt x="10043108" y="3870485"/>
                <a:pt x="10023880" y="3870485"/>
              </a:cubicBezTo>
              <a:close/>
              <a:moveTo>
                <a:pt x="2298661" y="3785626"/>
              </a:moveTo>
              <a:cubicBezTo>
                <a:pt x="2279433" y="3785626"/>
                <a:pt x="2263842" y="3770035"/>
                <a:pt x="2263842" y="3750807"/>
              </a:cubicBezTo>
              <a:cubicBezTo>
                <a:pt x="2263842" y="3731579"/>
                <a:pt x="2279433" y="3715988"/>
                <a:pt x="2298661" y="3715988"/>
              </a:cubicBezTo>
              <a:cubicBezTo>
                <a:pt x="2317889" y="3715988"/>
                <a:pt x="2333480" y="3731579"/>
                <a:pt x="2333480" y="3750807"/>
              </a:cubicBezTo>
              <a:cubicBezTo>
                <a:pt x="2333480" y="3770035"/>
                <a:pt x="2317889" y="3785626"/>
                <a:pt x="2298661" y="3785626"/>
              </a:cubicBezTo>
              <a:close/>
              <a:moveTo>
                <a:pt x="2383553" y="3785626"/>
              </a:moveTo>
              <a:cubicBezTo>
                <a:pt x="2364326" y="3785626"/>
                <a:pt x="2348734" y="3770035"/>
                <a:pt x="2348734" y="3750807"/>
              </a:cubicBezTo>
              <a:cubicBezTo>
                <a:pt x="2348734" y="3731579"/>
                <a:pt x="2364326" y="3715988"/>
                <a:pt x="2383553" y="3715988"/>
              </a:cubicBezTo>
              <a:cubicBezTo>
                <a:pt x="2402781" y="3715988"/>
                <a:pt x="2418372" y="3731579"/>
                <a:pt x="2418372" y="3750807"/>
              </a:cubicBezTo>
              <a:cubicBezTo>
                <a:pt x="2418372" y="3770035"/>
                <a:pt x="2402781" y="3785626"/>
                <a:pt x="2383553" y="3785626"/>
              </a:cubicBezTo>
              <a:close/>
              <a:moveTo>
                <a:pt x="2468446" y="3785626"/>
              </a:moveTo>
              <a:cubicBezTo>
                <a:pt x="2449218" y="3785626"/>
                <a:pt x="2433627" y="3770035"/>
                <a:pt x="2433627" y="3750807"/>
              </a:cubicBezTo>
              <a:cubicBezTo>
                <a:pt x="2433627" y="3731579"/>
                <a:pt x="2449218" y="3715988"/>
                <a:pt x="2468446" y="3715988"/>
              </a:cubicBezTo>
              <a:cubicBezTo>
                <a:pt x="2487673" y="3715988"/>
                <a:pt x="2503264" y="3731579"/>
                <a:pt x="2503264" y="3750807"/>
              </a:cubicBezTo>
              <a:cubicBezTo>
                <a:pt x="2503264" y="3770035"/>
                <a:pt x="2487673" y="3785626"/>
                <a:pt x="2468446" y="3785626"/>
              </a:cubicBezTo>
              <a:close/>
              <a:moveTo>
                <a:pt x="2553339" y="3785626"/>
              </a:moveTo>
              <a:cubicBezTo>
                <a:pt x="2534111" y="3785626"/>
                <a:pt x="2518520" y="3770035"/>
                <a:pt x="2518520" y="3750807"/>
              </a:cubicBezTo>
              <a:cubicBezTo>
                <a:pt x="2518520" y="3731579"/>
                <a:pt x="2534111" y="3715988"/>
                <a:pt x="2553339" y="3715988"/>
              </a:cubicBezTo>
              <a:cubicBezTo>
                <a:pt x="2572567" y="3715988"/>
                <a:pt x="2588158" y="3731579"/>
                <a:pt x="2588158" y="3750807"/>
              </a:cubicBezTo>
              <a:cubicBezTo>
                <a:pt x="2588158" y="3770035"/>
                <a:pt x="2572567" y="3785626"/>
                <a:pt x="2553339" y="3785626"/>
              </a:cubicBezTo>
              <a:close/>
              <a:moveTo>
                <a:pt x="2638231" y="3785626"/>
              </a:moveTo>
              <a:cubicBezTo>
                <a:pt x="2619003" y="3785626"/>
                <a:pt x="2603412" y="3770035"/>
                <a:pt x="2603412" y="3750807"/>
              </a:cubicBezTo>
              <a:cubicBezTo>
                <a:pt x="2603412" y="3731579"/>
                <a:pt x="2619003" y="3715988"/>
                <a:pt x="2638231" y="3715988"/>
              </a:cubicBezTo>
              <a:cubicBezTo>
                <a:pt x="2657459" y="3715988"/>
                <a:pt x="2673050" y="3731579"/>
                <a:pt x="2673050" y="3750807"/>
              </a:cubicBezTo>
              <a:cubicBezTo>
                <a:pt x="2673050" y="3770035"/>
                <a:pt x="2657459" y="3785626"/>
                <a:pt x="2638231" y="3785626"/>
              </a:cubicBezTo>
              <a:close/>
              <a:moveTo>
                <a:pt x="2723123" y="3785626"/>
              </a:moveTo>
              <a:cubicBezTo>
                <a:pt x="2703896" y="3785626"/>
                <a:pt x="2688304" y="3770035"/>
                <a:pt x="2688304" y="3750807"/>
              </a:cubicBezTo>
              <a:cubicBezTo>
                <a:pt x="2688304" y="3731579"/>
                <a:pt x="2703896" y="3715988"/>
                <a:pt x="2723123" y="3715988"/>
              </a:cubicBezTo>
              <a:cubicBezTo>
                <a:pt x="2742351" y="3715988"/>
                <a:pt x="2757942" y="3731579"/>
                <a:pt x="2757942" y="3750807"/>
              </a:cubicBezTo>
              <a:cubicBezTo>
                <a:pt x="2757942" y="3770035"/>
                <a:pt x="2742351" y="3785626"/>
                <a:pt x="2723123" y="3785626"/>
              </a:cubicBezTo>
              <a:close/>
              <a:moveTo>
                <a:pt x="2808016" y="3785626"/>
              </a:moveTo>
              <a:cubicBezTo>
                <a:pt x="2788788" y="3785626"/>
                <a:pt x="2773197" y="3770035"/>
                <a:pt x="2773197" y="3750807"/>
              </a:cubicBezTo>
              <a:cubicBezTo>
                <a:pt x="2773197" y="3731579"/>
                <a:pt x="2788788" y="3715988"/>
                <a:pt x="2808016" y="3715988"/>
              </a:cubicBezTo>
              <a:cubicBezTo>
                <a:pt x="2827243" y="3715988"/>
                <a:pt x="2842834" y="3731579"/>
                <a:pt x="2842834" y="3750807"/>
              </a:cubicBezTo>
              <a:cubicBezTo>
                <a:pt x="2842834" y="3770035"/>
                <a:pt x="2827243" y="3785626"/>
                <a:pt x="2808016" y="3785626"/>
              </a:cubicBezTo>
              <a:close/>
              <a:moveTo>
                <a:pt x="2892908" y="3785626"/>
              </a:moveTo>
              <a:cubicBezTo>
                <a:pt x="2873680" y="3785626"/>
                <a:pt x="2858089" y="3770035"/>
                <a:pt x="2858089" y="3750807"/>
              </a:cubicBezTo>
              <a:cubicBezTo>
                <a:pt x="2858089" y="3731579"/>
                <a:pt x="2873680" y="3715988"/>
                <a:pt x="2892908" y="3715988"/>
              </a:cubicBezTo>
              <a:cubicBezTo>
                <a:pt x="2912136" y="3715988"/>
                <a:pt x="2927727" y="3731579"/>
                <a:pt x="2927727" y="3750807"/>
              </a:cubicBezTo>
              <a:cubicBezTo>
                <a:pt x="2927727" y="3770035"/>
                <a:pt x="2912136" y="3785626"/>
                <a:pt x="2892908" y="3785626"/>
              </a:cubicBezTo>
              <a:close/>
              <a:moveTo>
                <a:pt x="2977801" y="3785626"/>
              </a:moveTo>
              <a:cubicBezTo>
                <a:pt x="2958573" y="3785626"/>
                <a:pt x="2942982" y="3770035"/>
                <a:pt x="2942982" y="3750807"/>
              </a:cubicBezTo>
              <a:cubicBezTo>
                <a:pt x="2942982" y="3731579"/>
                <a:pt x="2958573" y="3715988"/>
                <a:pt x="2977801" y="3715988"/>
              </a:cubicBezTo>
              <a:cubicBezTo>
                <a:pt x="2997029" y="3715988"/>
                <a:pt x="3012620" y="3731579"/>
                <a:pt x="3012620" y="3750807"/>
              </a:cubicBezTo>
              <a:cubicBezTo>
                <a:pt x="3012620" y="3770035"/>
                <a:pt x="2997029" y="3785626"/>
                <a:pt x="2977801" y="3785626"/>
              </a:cubicBezTo>
              <a:close/>
              <a:moveTo>
                <a:pt x="3062693" y="3785626"/>
              </a:moveTo>
              <a:cubicBezTo>
                <a:pt x="3043466" y="3785626"/>
                <a:pt x="3027874" y="3770035"/>
                <a:pt x="3027874" y="3750807"/>
              </a:cubicBezTo>
              <a:cubicBezTo>
                <a:pt x="3027874" y="3731579"/>
                <a:pt x="3043466" y="3715988"/>
                <a:pt x="3062693" y="3715988"/>
              </a:cubicBezTo>
              <a:cubicBezTo>
                <a:pt x="3081921" y="3715988"/>
                <a:pt x="3097512" y="3731579"/>
                <a:pt x="3097512" y="3750807"/>
              </a:cubicBezTo>
              <a:cubicBezTo>
                <a:pt x="3097512" y="3770035"/>
                <a:pt x="3081921" y="3785626"/>
                <a:pt x="3062693" y="3785626"/>
              </a:cubicBezTo>
              <a:close/>
              <a:moveTo>
                <a:pt x="3147586" y="3785626"/>
              </a:moveTo>
              <a:cubicBezTo>
                <a:pt x="3128358" y="3785626"/>
                <a:pt x="3112767" y="3770035"/>
                <a:pt x="3112767" y="3750807"/>
              </a:cubicBezTo>
              <a:cubicBezTo>
                <a:pt x="3112767" y="3731579"/>
                <a:pt x="3128358" y="3715988"/>
                <a:pt x="3147586" y="3715988"/>
              </a:cubicBezTo>
              <a:cubicBezTo>
                <a:pt x="3166813" y="3715988"/>
                <a:pt x="3182404" y="3731579"/>
                <a:pt x="3182404" y="3750807"/>
              </a:cubicBezTo>
              <a:cubicBezTo>
                <a:pt x="3182404" y="3770035"/>
                <a:pt x="3166813" y="3785626"/>
                <a:pt x="3147586" y="3785626"/>
              </a:cubicBezTo>
              <a:close/>
              <a:moveTo>
                <a:pt x="3232478" y="3785626"/>
              </a:moveTo>
              <a:cubicBezTo>
                <a:pt x="3213250" y="3785626"/>
                <a:pt x="3197659" y="3770035"/>
                <a:pt x="3197659" y="3750807"/>
              </a:cubicBezTo>
              <a:cubicBezTo>
                <a:pt x="3197659" y="3731579"/>
                <a:pt x="3213250" y="3715988"/>
                <a:pt x="3232478" y="3715988"/>
              </a:cubicBezTo>
              <a:cubicBezTo>
                <a:pt x="3251706" y="3715988"/>
                <a:pt x="3267297" y="3731579"/>
                <a:pt x="3267297" y="3750807"/>
              </a:cubicBezTo>
              <a:cubicBezTo>
                <a:pt x="3267297" y="3770035"/>
                <a:pt x="3251706" y="3785626"/>
                <a:pt x="3232478" y="3785626"/>
              </a:cubicBezTo>
              <a:close/>
              <a:moveTo>
                <a:pt x="3317371" y="3785626"/>
              </a:moveTo>
              <a:cubicBezTo>
                <a:pt x="3298143" y="3785626"/>
                <a:pt x="3282552" y="3770035"/>
                <a:pt x="3282552" y="3750807"/>
              </a:cubicBezTo>
              <a:cubicBezTo>
                <a:pt x="3282552" y="3731579"/>
                <a:pt x="3298143" y="3715988"/>
                <a:pt x="3317371" y="3715988"/>
              </a:cubicBezTo>
              <a:cubicBezTo>
                <a:pt x="3336599" y="3715988"/>
                <a:pt x="3352190" y="3731579"/>
                <a:pt x="3352190" y="3750807"/>
              </a:cubicBezTo>
              <a:cubicBezTo>
                <a:pt x="3352190" y="3770035"/>
                <a:pt x="3336599" y="3785626"/>
                <a:pt x="3317371" y="3785626"/>
              </a:cubicBezTo>
              <a:close/>
              <a:moveTo>
                <a:pt x="3402263" y="3785626"/>
              </a:moveTo>
              <a:cubicBezTo>
                <a:pt x="3383036" y="3785626"/>
                <a:pt x="3367444" y="3770035"/>
                <a:pt x="3367444" y="3750807"/>
              </a:cubicBezTo>
              <a:cubicBezTo>
                <a:pt x="3367444" y="3731579"/>
                <a:pt x="3383036" y="3715988"/>
                <a:pt x="3402263" y="3715988"/>
              </a:cubicBezTo>
              <a:cubicBezTo>
                <a:pt x="3421491" y="3715988"/>
                <a:pt x="3437082" y="3731579"/>
                <a:pt x="3437082" y="3750807"/>
              </a:cubicBezTo>
              <a:cubicBezTo>
                <a:pt x="3437082" y="3770035"/>
                <a:pt x="3421491" y="3785626"/>
                <a:pt x="3402263" y="3785626"/>
              </a:cubicBezTo>
              <a:close/>
              <a:moveTo>
                <a:pt x="3487156" y="3785626"/>
              </a:moveTo>
              <a:cubicBezTo>
                <a:pt x="3467928" y="3785626"/>
                <a:pt x="3452337" y="3770035"/>
                <a:pt x="3452337" y="3750807"/>
              </a:cubicBezTo>
              <a:cubicBezTo>
                <a:pt x="3452337" y="3731579"/>
                <a:pt x="3467928" y="3715988"/>
                <a:pt x="3487156" y="3715988"/>
              </a:cubicBezTo>
              <a:cubicBezTo>
                <a:pt x="3506383" y="3715988"/>
                <a:pt x="3521974" y="3731579"/>
                <a:pt x="3521974" y="3750807"/>
              </a:cubicBezTo>
              <a:cubicBezTo>
                <a:pt x="3521974" y="3770035"/>
                <a:pt x="3506383" y="3785626"/>
                <a:pt x="3487156" y="3785626"/>
              </a:cubicBezTo>
              <a:close/>
              <a:moveTo>
                <a:pt x="5694360" y="3785626"/>
              </a:moveTo>
              <a:cubicBezTo>
                <a:pt x="5675132" y="3785626"/>
                <a:pt x="5659541" y="3770035"/>
                <a:pt x="5659541" y="3750807"/>
              </a:cubicBezTo>
              <a:cubicBezTo>
                <a:pt x="5659541" y="3731579"/>
                <a:pt x="5675132" y="3715988"/>
                <a:pt x="5694360" y="3715988"/>
              </a:cubicBezTo>
              <a:cubicBezTo>
                <a:pt x="5713588" y="3715988"/>
                <a:pt x="5729179" y="3731579"/>
                <a:pt x="5729179" y="3750807"/>
              </a:cubicBezTo>
              <a:cubicBezTo>
                <a:pt x="5729179" y="3770035"/>
                <a:pt x="5713588" y="3785626"/>
                <a:pt x="5694360" y="3785626"/>
              </a:cubicBezTo>
              <a:close/>
              <a:moveTo>
                <a:pt x="6033934" y="3785626"/>
              </a:moveTo>
              <a:cubicBezTo>
                <a:pt x="6014706" y="3785626"/>
                <a:pt x="5999108" y="3770035"/>
                <a:pt x="5999108" y="3750807"/>
              </a:cubicBezTo>
              <a:cubicBezTo>
                <a:pt x="5999108" y="3731579"/>
                <a:pt x="6014706" y="3715988"/>
                <a:pt x="6033934" y="3715988"/>
              </a:cubicBezTo>
              <a:cubicBezTo>
                <a:pt x="6053161" y="3715988"/>
                <a:pt x="6068746" y="3731579"/>
                <a:pt x="6068746" y="3750807"/>
              </a:cubicBezTo>
              <a:cubicBezTo>
                <a:pt x="6068746" y="3770035"/>
                <a:pt x="6053161" y="3785626"/>
                <a:pt x="6033934" y="3785626"/>
              </a:cubicBezTo>
              <a:close/>
              <a:moveTo>
                <a:pt x="6118826" y="3785626"/>
              </a:moveTo>
              <a:cubicBezTo>
                <a:pt x="6099598" y="3785626"/>
                <a:pt x="6084000" y="3770035"/>
                <a:pt x="6084000" y="3750807"/>
              </a:cubicBezTo>
              <a:cubicBezTo>
                <a:pt x="6084000" y="3731579"/>
                <a:pt x="6099598" y="3715988"/>
                <a:pt x="6118826" y="3715988"/>
              </a:cubicBezTo>
              <a:cubicBezTo>
                <a:pt x="6138054" y="3715988"/>
                <a:pt x="6153638" y="3731579"/>
                <a:pt x="6153638" y="3750807"/>
              </a:cubicBezTo>
              <a:cubicBezTo>
                <a:pt x="6153638" y="3770035"/>
                <a:pt x="6138054" y="3785626"/>
                <a:pt x="6118826" y="3785626"/>
              </a:cubicBezTo>
              <a:close/>
              <a:moveTo>
                <a:pt x="6288611" y="3785626"/>
              </a:moveTo>
              <a:cubicBezTo>
                <a:pt x="6269384" y="3785626"/>
                <a:pt x="6253786" y="3770035"/>
                <a:pt x="6253786" y="3750807"/>
              </a:cubicBezTo>
              <a:cubicBezTo>
                <a:pt x="6253786" y="3731579"/>
                <a:pt x="6269384" y="3715988"/>
                <a:pt x="6288611" y="3715988"/>
              </a:cubicBezTo>
              <a:cubicBezTo>
                <a:pt x="6307839" y="3715988"/>
                <a:pt x="6323424" y="3731579"/>
                <a:pt x="6323424" y="3750807"/>
              </a:cubicBezTo>
              <a:cubicBezTo>
                <a:pt x="6323424" y="3770035"/>
                <a:pt x="6307839" y="3785626"/>
                <a:pt x="6288611" y="3785626"/>
              </a:cubicBezTo>
              <a:close/>
              <a:moveTo>
                <a:pt x="6967750" y="3785626"/>
              </a:moveTo>
              <a:cubicBezTo>
                <a:pt x="6948523" y="3785626"/>
                <a:pt x="6932925" y="3770035"/>
                <a:pt x="6932925" y="3750807"/>
              </a:cubicBezTo>
              <a:cubicBezTo>
                <a:pt x="6932925" y="3731579"/>
                <a:pt x="6948523" y="3715988"/>
                <a:pt x="6967750" y="3715988"/>
              </a:cubicBezTo>
              <a:cubicBezTo>
                <a:pt x="6986978" y="3715988"/>
                <a:pt x="7002563" y="3731579"/>
                <a:pt x="7002563" y="3750807"/>
              </a:cubicBezTo>
              <a:cubicBezTo>
                <a:pt x="7002563" y="3770035"/>
                <a:pt x="6986978" y="3785626"/>
                <a:pt x="6967750" y="3785626"/>
              </a:cubicBezTo>
              <a:close/>
              <a:moveTo>
                <a:pt x="7052644" y="3785626"/>
              </a:moveTo>
              <a:cubicBezTo>
                <a:pt x="7033416" y="3785626"/>
                <a:pt x="7017818" y="3770035"/>
                <a:pt x="7017818" y="3750807"/>
              </a:cubicBezTo>
              <a:cubicBezTo>
                <a:pt x="7017818" y="3731579"/>
                <a:pt x="7033416" y="3715988"/>
                <a:pt x="7052644" y="3715988"/>
              </a:cubicBezTo>
              <a:cubicBezTo>
                <a:pt x="7071871" y="3715988"/>
                <a:pt x="7087456" y="3731579"/>
                <a:pt x="7087456" y="3750807"/>
              </a:cubicBezTo>
              <a:cubicBezTo>
                <a:pt x="7087456" y="3770035"/>
                <a:pt x="7071871" y="3785626"/>
                <a:pt x="7052644" y="3785626"/>
              </a:cubicBezTo>
              <a:close/>
              <a:moveTo>
                <a:pt x="7137536" y="3785626"/>
              </a:moveTo>
              <a:cubicBezTo>
                <a:pt x="7118308" y="3785626"/>
                <a:pt x="7102710" y="3770035"/>
                <a:pt x="7102710" y="3750807"/>
              </a:cubicBezTo>
              <a:cubicBezTo>
                <a:pt x="7102710" y="3731579"/>
                <a:pt x="7118308" y="3715988"/>
                <a:pt x="7137536" y="3715988"/>
              </a:cubicBezTo>
              <a:cubicBezTo>
                <a:pt x="7156764" y="3715988"/>
                <a:pt x="7172348" y="3731579"/>
                <a:pt x="7172348" y="3750807"/>
              </a:cubicBezTo>
              <a:cubicBezTo>
                <a:pt x="7172348" y="3770035"/>
                <a:pt x="7156764" y="3785626"/>
                <a:pt x="7137536" y="3785626"/>
              </a:cubicBezTo>
              <a:close/>
              <a:moveTo>
                <a:pt x="7222428" y="3785626"/>
              </a:moveTo>
              <a:cubicBezTo>
                <a:pt x="7203200" y="3785626"/>
                <a:pt x="7187603" y="3770035"/>
                <a:pt x="7187603" y="3750807"/>
              </a:cubicBezTo>
              <a:cubicBezTo>
                <a:pt x="7187603" y="3731579"/>
                <a:pt x="7203200" y="3715988"/>
                <a:pt x="7222428" y="3715988"/>
              </a:cubicBezTo>
              <a:cubicBezTo>
                <a:pt x="7241656" y="3715988"/>
                <a:pt x="7257240" y="3731579"/>
                <a:pt x="7257240" y="3750807"/>
              </a:cubicBezTo>
              <a:cubicBezTo>
                <a:pt x="7257240" y="3770035"/>
                <a:pt x="7241656" y="3785626"/>
                <a:pt x="7222428" y="3785626"/>
              </a:cubicBezTo>
              <a:close/>
              <a:moveTo>
                <a:pt x="7307320" y="3785626"/>
              </a:moveTo>
              <a:cubicBezTo>
                <a:pt x="7288093" y="3785626"/>
                <a:pt x="7272495" y="3770035"/>
                <a:pt x="7272495" y="3750807"/>
              </a:cubicBezTo>
              <a:cubicBezTo>
                <a:pt x="7272495" y="3731579"/>
                <a:pt x="7288093" y="3715988"/>
                <a:pt x="7307320" y="3715988"/>
              </a:cubicBezTo>
              <a:cubicBezTo>
                <a:pt x="7326548" y="3715988"/>
                <a:pt x="7342133" y="3731579"/>
                <a:pt x="7342133" y="3750807"/>
              </a:cubicBezTo>
              <a:cubicBezTo>
                <a:pt x="7342133" y="3770035"/>
                <a:pt x="7326548" y="3785626"/>
                <a:pt x="7307320" y="3785626"/>
              </a:cubicBezTo>
              <a:close/>
              <a:moveTo>
                <a:pt x="7392214" y="3785626"/>
              </a:moveTo>
              <a:cubicBezTo>
                <a:pt x="7372986" y="3785626"/>
                <a:pt x="7357388" y="3770035"/>
                <a:pt x="7357388" y="3750807"/>
              </a:cubicBezTo>
              <a:cubicBezTo>
                <a:pt x="7357388" y="3731579"/>
                <a:pt x="7372986" y="3715988"/>
                <a:pt x="7392214" y="3715988"/>
              </a:cubicBezTo>
              <a:cubicBezTo>
                <a:pt x="7411441" y="3715988"/>
                <a:pt x="7427026" y="3731579"/>
                <a:pt x="7427026" y="3750807"/>
              </a:cubicBezTo>
              <a:cubicBezTo>
                <a:pt x="7427026" y="3770035"/>
                <a:pt x="7411441" y="3785626"/>
                <a:pt x="7392214" y="3785626"/>
              </a:cubicBezTo>
              <a:close/>
              <a:moveTo>
                <a:pt x="7477106" y="3785626"/>
              </a:moveTo>
              <a:cubicBezTo>
                <a:pt x="7457878" y="3785626"/>
                <a:pt x="7442280" y="3770035"/>
                <a:pt x="7442280" y="3750807"/>
              </a:cubicBezTo>
              <a:cubicBezTo>
                <a:pt x="7442280" y="3731579"/>
                <a:pt x="7457878" y="3715988"/>
                <a:pt x="7477106" y="3715988"/>
              </a:cubicBezTo>
              <a:cubicBezTo>
                <a:pt x="7496334" y="3715988"/>
                <a:pt x="7511918" y="3731579"/>
                <a:pt x="7511918" y="3750807"/>
              </a:cubicBezTo>
              <a:cubicBezTo>
                <a:pt x="7511918" y="3770035"/>
                <a:pt x="7496334" y="3785626"/>
                <a:pt x="7477106" y="3785626"/>
              </a:cubicBezTo>
              <a:close/>
              <a:moveTo>
                <a:pt x="7561998" y="3785626"/>
              </a:moveTo>
              <a:cubicBezTo>
                <a:pt x="7542770" y="3785626"/>
                <a:pt x="7527173" y="3770035"/>
                <a:pt x="7527173" y="3750807"/>
              </a:cubicBezTo>
              <a:cubicBezTo>
                <a:pt x="7527173" y="3731579"/>
                <a:pt x="7542770" y="3715988"/>
                <a:pt x="7561998" y="3715988"/>
              </a:cubicBezTo>
              <a:cubicBezTo>
                <a:pt x="7581226" y="3715988"/>
                <a:pt x="7596810" y="3731579"/>
                <a:pt x="7596810" y="3750807"/>
              </a:cubicBezTo>
              <a:cubicBezTo>
                <a:pt x="7596810" y="3770035"/>
                <a:pt x="7581226" y="3785626"/>
                <a:pt x="7561998" y="3785626"/>
              </a:cubicBezTo>
              <a:close/>
              <a:moveTo>
                <a:pt x="7646890" y="3785626"/>
              </a:moveTo>
              <a:cubicBezTo>
                <a:pt x="7627663" y="3785626"/>
                <a:pt x="7612065" y="3770035"/>
                <a:pt x="7612065" y="3750807"/>
              </a:cubicBezTo>
              <a:cubicBezTo>
                <a:pt x="7612065" y="3731579"/>
                <a:pt x="7627663" y="3715988"/>
                <a:pt x="7646890" y="3715988"/>
              </a:cubicBezTo>
              <a:cubicBezTo>
                <a:pt x="7666118" y="3715988"/>
                <a:pt x="7681703" y="3731579"/>
                <a:pt x="7681703" y="3750807"/>
              </a:cubicBezTo>
              <a:cubicBezTo>
                <a:pt x="7681703" y="3770035"/>
                <a:pt x="7666118" y="3785626"/>
                <a:pt x="7646890" y="3785626"/>
              </a:cubicBezTo>
              <a:close/>
              <a:moveTo>
                <a:pt x="7731784" y="3785626"/>
              </a:moveTo>
              <a:cubicBezTo>
                <a:pt x="7712556" y="3785626"/>
                <a:pt x="7696958" y="3770035"/>
                <a:pt x="7696958" y="3750807"/>
              </a:cubicBezTo>
              <a:cubicBezTo>
                <a:pt x="7696958" y="3731579"/>
                <a:pt x="7712556" y="3715988"/>
                <a:pt x="7731784" y="3715988"/>
              </a:cubicBezTo>
              <a:cubicBezTo>
                <a:pt x="7751011" y="3715988"/>
                <a:pt x="7766596" y="3731579"/>
                <a:pt x="7766596" y="3750807"/>
              </a:cubicBezTo>
              <a:cubicBezTo>
                <a:pt x="7766596" y="3770035"/>
                <a:pt x="7751011" y="3785626"/>
                <a:pt x="7731784" y="3785626"/>
              </a:cubicBezTo>
              <a:close/>
              <a:moveTo>
                <a:pt x="7817766" y="3785626"/>
              </a:moveTo>
              <a:cubicBezTo>
                <a:pt x="7798538" y="3785626"/>
                <a:pt x="7782941" y="3770035"/>
                <a:pt x="7782941" y="3750807"/>
              </a:cubicBezTo>
              <a:cubicBezTo>
                <a:pt x="7782941" y="3731579"/>
                <a:pt x="7798538" y="3715988"/>
                <a:pt x="7817766" y="3715988"/>
              </a:cubicBezTo>
              <a:cubicBezTo>
                <a:pt x="7836994" y="3715988"/>
                <a:pt x="7852578" y="3731579"/>
                <a:pt x="7852578" y="3750807"/>
              </a:cubicBezTo>
              <a:cubicBezTo>
                <a:pt x="7852578" y="3770035"/>
                <a:pt x="7836994" y="3785626"/>
                <a:pt x="7817766" y="3785626"/>
              </a:cubicBezTo>
              <a:close/>
              <a:moveTo>
                <a:pt x="7902658" y="3785626"/>
              </a:moveTo>
              <a:cubicBezTo>
                <a:pt x="7883431" y="3785626"/>
                <a:pt x="7867833" y="3770035"/>
                <a:pt x="7867833" y="3750807"/>
              </a:cubicBezTo>
              <a:cubicBezTo>
                <a:pt x="7867833" y="3731579"/>
                <a:pt x="7883431" y="3715988"/>
                <a:pt x="7902658" y="3715988"/>
              </a:cubicBezTo>
              <a:cubicBezTo>
                <a:pt x="7921886" y="3715988"/>
                <a:pt x="7937471" y="3731579"/>
                <a:pt x="7937471" y="3750807"/>
              </a:cubicBezTo>
              <a:cubicBezTo>
                <a:pt x="7937471" y="3770035"/>
                <a:pt x="7921886" y="3785626"/>
                <a:pt x="7902658" y="3785626"/>
              </a:cubicBezTo>
              <a:close/>
              <a:moveTo>
                <a:pt x="7985912" y="3785626"/>
              </a:moveTo>
              <a:cubicBezTo>
                <a:pt x="7966685" y="3785626"/>
                <a:pt x="7951087" y="3770035"/>
                <a:pt x="7951087" y="3750807"/>
              </a:cubicBezTo>
              <a:cubicBezTo>
                <a:pt x="7951087" y="3731579"/>
                <a:pt x="7966685" y="3715988"/>
                <a:pt x="7985912" y="3715988"/>
              </a:cubicBezTo>
              <a:cubicBezTo>
                <a:pt x="8005140" y="3715988"/>
                <a:pt x="8020725" y="3731579"/>
                <a:pt x="8020725" y="3750807"/>
              </a:cubicBezTo>
              <a:cubicBezTo>
                <a:pt x="8020725" y="3770035"/>
                <a:pt x="8005140" y="3785626"/>
                <a:pt x="7985912" y="3785626"/>
              </a:cubicBezTo>
              <a:close/>
              <a:moveTo>
                <a:pt x="8070805" y="3785626"/>
              </a:moveTo>
              <a:cubicBezTo>
                <a:pt x="8051577" y="3785626"/>
                <a:pt x="8035979" y="3770035"/>
                <a:pt x="8035979" y="3750807"/>
              </a:cubicBezTo>
              <a:cubicBezTo>
                <a:pt x="8035979" y="3731579"/>
                <a:pt x="8051577" y="3715988"/>
                <a:pt x="8070805" y="3715988"/>
              </a:cubicBezTo>
              <a:cubicBezTo>
                <a:pt x="8090032" y="3715988"/>
                <a:pt x="8105617" y="3731579"/>
                <a:pt x="8105617" y="3750807"/>
              </a:cubicBezTo>
              <a:cubicBezTo>
                <a:pt x="8105617" y="3770035"/>
                <a:pt x="8090032" y="3785626"/>
                <a:pt x="8070805" y="3785626"/>
              </a:cubicBezTo>
              <a:close/>
              <a:moveTo>
                <a:pt x="8155697" y="3785626"/>
              </a:moveTo>
              <a:cubicBezTo>
                <a:pt x="8136469" y="3785626"/>
                <a:pt x="8120871" y="3770035"/>
                <a:pt x="8120871" y="3750807"/>
              </a:cubicBezTo>
              <a:cubicBezTo>
                <a:pt x="8120871" y="3731579"/>
                <a:pt x="8136469" y="3715988"/>
                <a:pt x="8155697" y="3715988"/>
              </a:cubicBezTo>
              <a:cubicBezTo>
                <a:pt x="8174925" y="3715988"/>
                <a:pt x="8190509" y="3731579"/>
                <a:pt x="8190509" y="3750807"/>
              </a:cubicBezTo>
              <a:cubicBezTo>
                <a:pt x="8190509" y="3770035"/>
                <a:pt x="8174925" y="3785626"/>
                <a:pt x="8155697" y="3785626"/>
              </a:cubicBezTo>
              <a:close/>
              <a:moveTo>
                <a:pt x="8241680" y="3785626"/>
              </a:moveTo>
              <a:cubicBezTo>
                <a:pt x="8222452" y="3785626"/>
                <a:pt x="8206855" y="3770035"/>
                <a:pt x="8206855" y="3750807"/>
              </a:cubicBezTo>
              <a:cubicBezTo>
                <a:pt x="8206855" y="3731579"/>
                <a:pt x="8222452" y="3715988"/>
                <a:pt x="8241680" y="3715988"/>
              </a:cubicBezTo>
              <a:cubicBezTo>
                <a:pt x="8260908" y="3715988"/>
                <a:pt x="8276493" y="3731579"/>
                <a:pt x="8276493" y="3750807"/>
              </a:cubicBezTo>
              <a:cubicBezTo>
                <a:pt x="8276493" y="3770035"/>
                <a:pt x="8260908" y="3785626"/>
                <a:pt x="8241680" y="3785626"/>
              </a:cubicBezTo>
              <a:close/>
              <a:moveTo>
                <a:pt x="8326572" y="3785626"/>
              </a:moveTo>
              <a:cubicBezTo>
                <a:pt x="8307345" y="3785626"/>
                <a:pt x="8291747" y="3770035"/>
                <a:pt x="8291747" y="3750807"/>
              </a:cubicBezTo>
              <a:cubicBezTo>
                <a:pt x="8291747" y="3731579"/>
                <a:pt x="8307345" y="3715988"/>
                <a:pt x="8326572" y="3715988"/>
              </a:cubicBezTo>
              <a:cubicBezTo>
                <a:pt x="8345800" y="3715988"/>
                <a:pt x="8361385" y="3731579"/>
                <a:pt x="8361385" y="3750807"/>
              </a:cubicBezTo>
              <a:cubicBezTo>
                <a:pt x="8361385" y="3770035"/>
                <a:pt x="8345800" y="3785626"/>
                <a:pt x="8326572" y="3785626"/>
              </a:cubicBezTo>
              <a:close/>
              <a:moveTo>
                <a:pt x="8410923" y="3785626"/>
              </a:moveTo>
              <a:cubicBezTo>
                <a:pt x="8391695" y="3785626"/>
                <a:pt x="8376097" y="3770035"/>
                <a:pt x="8376097" y="3750807"/>
              </a:cubicBezTo>
              <a:cubicBezTo>
                <a:pt x="8376097" y="3731579"/>
                <a:pt x="8391695" y="3715988"/>
                <a:pt x="8410923" y="3715988"/>
              </a:cubicBezTo>
              <a:cubicBezTo>
                <a:pt x="8430150" y="3715988"/>
                <a:pt x="8445735" y="3731579"/>
                <a:pt x="8445735" y="3750807"/>
              </a:cubicBezTo>
              <a:cubicBezTo>
                <a:pt x="8445735" y="3770035"/>
                <a:pt x="8430150" y="3785626"/>
                <a:pt x="8410923" y="3785626"/>
              </a:cubicBezTo>
              <a:close/>
              <a:moveTo>
                <a:pt x="8495816" y="3785626"/>
              </a:moveTo>
              <a:cubicBezTo>
                <a:pt x="8476588" y="3785626"/>
                <a:pt x="8460990" y="3770035"/>
                <a:pt x="8460990" y="3750807"/>
              </a:cubicBezTo>
              <a:cubicBezTo>
                <a:pt x="8460990" y="3731579"/>
                <a:pt x="8476588" y="3715988"/>
                <a:pt x="8495816" y="3715988"/>
              </a:cubicBezTo>
              <a:cubicBezTo>
                <a:pt x="8515044" y="3715988"/>
                <a:pt x="8530628" y="3731579"/>
                <a:pt x="8530628" y="3750807"/>
              </a:cubicBezTo>
              <a:cubicBezTo>
                <a:pt x="8530628" y="3770035"/>
                <a:pt x="8515044" y="3785626"/>
                <a:pt x="8495816" y="3785626"/>
              </a:cubicBezTo>
              <a:close/>
              <a:moveTo>
                <a:pt x="8580708" y="3785626"/>
              </a:moveTo>
              <a:cubicBezTo>
                <a:pt x="8561480" y="3785626"/>
                <a:pt x="8545883" y="3770035"/>
                <a:pt x="8545883" y="3750807"/>
              </a:cubicBezTo>
              <a:cubicBezTo>
                <a:pt x="8545883" y="3731579"/>
                <a:pt x="8561480" y="3715988"/>
                <a:pt x="8580708" y="3715988"/>
              </a:cubicBezTo>
              <a:cubicBezTo>
                <a:pt x="8599936" y="3715988"/>
                <a:pt x="8615520" y="3731579"/>
                <a:pt x="8615520" y="3750807"/>
              </a:cubicBezTo>
              <a:cubicBezTo>
                <a:pt x="8615520" y="3770035"/>
                <a:pt x="8599936" y="3785626"/>
                <a:pt x="8580708" y="3785626"/>
              </a:cubicBezTo>
              <a:close/>
              <a:moveTo>
                <a:pt x="8665600" y="3785626"/>
              </a:moveTo>
              <a:cubicBezTo>
                <a:pt x="8646373" y="3785626"/>
                <a:pt x="8630775" y="3770035"/>
                <a:pt x="8630775" y="3750807"/>
              </a:cubicBezTo>
              <a:cubicBezTo>
                <a:pt x="8630775" y="3731579"/>
                <a:pt x="8646373" y="3715988"/>
                <a:pt x="8665600" y="3715988"/>
              </a:cubicBezTo>
              <a:cubicBezTo>
                <a:pt x="8684828" y="3715988"/>
                <a:pt x="8700413" y="3731579"/>
                <a:pt x="8700413" y="3750807"/>
              </a:cubicBezTo>
              <a:cubicBezTo>
                <a:pt x="8700413" y="3770035"/>
                <a:pt x="8684828" y="3785626"/>
                <a:pt x="8665600" y="3785626"/>
              </a:cubicBezTo>
              <a:close/>
              <a:moveTo>
                <a:pt x="8750493" y="3785626"/>
              </a:moveTo>
              <a:cubicBezTo>
                <a:pt x="8731265" y="3785626"/>
                <a:pt x="8715667" y="3770035"/>
                <a:pt x="8715667" y="3750807"/>
              </a:cubicBezTo>
              <a:cubicBezTo>
                <a:pt x="8715667" y="3731579"/>
                <a:pt x="8731265" y="3715988"/>
                <a:pt x="8750493" y="3715988"/>
              </a:cubicBezTo>
              <a:cubicBezTo>
                <a:pt x="8769720" y="3715988"/>
                <a:pt x="8785305" y="3731579"/>
                <a:pt x="8785305" y="3750807"/>
              </a:cubicBezTo>
              <a:cubicBezTo>
                <a:pt x="8785305" y="3770035"/>
                <a:pt x="8769720" y="3785626"/>
                <a:pt x="8750493" y="3785626"/>
              </a:cubicBezTo>
              <a:close/>
              <a:moveTo>
                <a:pt x="8835386" y="3785626"/>
              </a:moveTo>
              <a:cubicBezTo>
                <a:pt x="8816158" y="3785626"/>
                <a:pt x="8800560" y="3770035"/>
                <a:pt x="8800560" y="3750807"/>
              </a:cubicBezTo>
              <a:cubicBezTo>
                <a:pt x="8800560" y="3731579"/>
                <a:pt x="8816158" y="3715988"/>
                <a:pt x="8835386" y="3715988"/>
              </a:cubicBezTo>
              <a:cubicBezTo>
                <a:pt x="8854614" y="3715988"/>
                <a:pt x="8870198" y="3731579"/>
                <a:pt x="8870198" y="3750807"/>
              </a:cubicBezTo>
              <a:cubicBezTo>
                <a:pt x="8870198" y="3770035"/>
                <a:pt x="8854614" y="3785626"/>
                <a:pt x="8835386" y="3785626"/>
              </a:cubicBezTo>
              <a:close/>
              <a:moveTo>
                <a:pt x="8920278" y="3785626"/>
              </a:moveTo>
              <a:cubicBezTo>
                <a:pt x="8901050" y="3785626"/>
                <a:pt x="8885453" y="3770035"/>
                <a:pt x="8885453" y="3750807"/>
              </a:cubicBezTo>
              <a:cubicBezTo>
                <a:pt x="8885453" y="3731579"/>
                <a:pt x="8901050" y="3715988"/>
                <a:pt x="8920278" y="3715988"/>
              </a:cubicBezTo>
              <a:cubicBezTo>
                <a:pt x="8939506" y="3715988"/>
                <a:pt x="8955090" y="3731579"/>
                <a:pt x="8955090" y="3750807"/>
              </a:cubicBezTo>
              <a:cubicBezTo>
                <a:pt x="8955090" y="3770035"/>
                <a:pt x="8939506" y="3785626"/>
                <a:pt x="8920278" y="3785626"/>
              </a:cubicBezTo>
              <a:close/>
              <a:moveTo>
                <a:pt x="9005170" y="3785626"/>
              </a:moveTo>
              <a:cubicBezTo>
                <a:pt x="8985943" y="3785626"/>
                <a:pt x="8970345" y="3770035"/>
                <a:pt x="8970345" y="3750807"/>
              </a:cubicBezTo>
              <a:cubicBezTo>
                <a:pt x="8970345" y="3731579"/>
                <a:pt x="8985943" y="3715988"/>
                <a:pt x="9005170" y="3715988"/>
              </a:cubicBezTo>
              <a:cubicBezTo>
                <a:pt x="9024398" y="3715988"/>
                <a:pt x="9039983" y="3731579"/>
                <a:pt x="9039983" y="3750807"/>
              </a:cubicBezTo>
              <a:cubicBezTo>
                <a:pt x="9039983" y="3770035"/>
                <a:pt x="9024398" y="3785626"/>
                <a:pt x="9005170" y="3785626"/>
              </a:cubicBezTo>
              <a:close/>
              <a:moveTo>
                <a:pt x="9090063" y="3785626"/>
              </a:moveTo>
              <a:cubicBezTo>
                <a:pt x="9070835" y="3785626"/>
                <a:pt x="9055237" y="3770035"/>
                <a:pt x="9055237" y="3750807"/>
              </a:cubicBezTo>
              <a:cubicBezTo>
                <a:pt x="9055237" y="3731579"/>
                <a:pt x="9070835" y="3715988"/>
                <a:pt x="9090063" y="3715988"/>
              </a:cubicBezTo>
              <a:cubicBezTo>
                <a:pt x="9109290" y="3715988"/>
                <a:pt x="9124875" y="3731579"/>
                <a:pt x="9124875" y="3750807"/>
              </a:cubicBezTo>
              <a:cubicBezTo>
                <a:pt x="9124875" y="3770035"/>
                <a:pt x="9109290" y="3785626"/>
                <a:pt x="9090063" y="3785626"/>
              </a:cubicBezTo>
              <a:close/>
              <a:moveTo>
                <a:pt x="9174956" y="3785626"/>
              </a:moveTo>
              <a:cubicBezTo>
                <a:pt x="9155728" y="3785626"/>
                <a:pt x="9140130" y="3770035"/>
                <a:pt x="9140130" y="3750807"/>
              </a:cubicBezTo>
              <a:cubicBezTo>
                <a:pt x="9140130" y="3731579"/>
                <a:pt x="9155728" y="3715988"/>
                <a:pt x="9174956" y="3715988"/>
              </a:cubicBezTo>
              <a:cubicBezTo>
                <a:pt x="9194184" y="3715988"/>
                <a:pt x="9209768" y="3731579"/>
                <a:pt x="9209768" y="3750807"/>
              </a:cubicBezTo>
              <a:cubicBezTo>
                <a:pt x="9209768" y="3770035"/>
                <a:pt x="9194184" y="3785626"/>
                <a:pt x="9174956" y="3785626"/>
              </a:cubicBezTo>
              <a:close/>
              <a:moveTo>
                <a:pt x="9259848" y="3785626"/>
              </a:moveTo>
              <a:cubicBezTo>
                <a:pt x="9240620" y="3785626"/>
                <a:pt x="9225023" y="3770035"/>
                <a:pt x="9225023" y="3750807"/>
              </a:cubicBezTo>
              <a:cubicBezTo>
                <a:pt x="9225023" y="3731579"/>
                <a:pt x="9240620" y="3715988"/>
                <a:pt x="9259848" y="3715988"/>
              </a:cubicBezTo>
              <a:cubicBezTo>
                <a:pt x="9279076" y="3715988"/>
                <a:pt x="9294660" y="3731579"/>
                <a:pt x="9294660" y="3750807"/>
              </a:cubicBezTo>
              <a:cubicBezTo>
                <a:pt x="9294660" y="3770035"/>
                <a:pt x="9279076" y="3785626"/>
                <a:pt x="9259848" y="3785626"/>
              </a:cubicBezTo>
              <a:close/>
              <a:moveTo>
                <a:pt x="9344740" y="3785626"/>
              </a:moveTo>
              <a:cubicBezTo>
                <a:pt x="9325513" y="3785626"/>
                <a:pt x="9309915" y="3770035"/>
                <a:pt x="9309915" y="3750807"/>
              </a:cubicBezTo>
              <a:cubicBezTo>
                <a:pt x="9309915" y="3731579"/>
                <a:pt x="9325513" y="3715988"/>
                <a:pt x="9344740" y="3715988"/>
              </a:cubicBezTo>
              <a:cubicBezTo>
                <a:pt x="9363968" y="3715988"/>
                <a:pt x="9379553" y="3731579"/>
                <a:pt x="9379553" y="3750807"/>
              </a:cubicBezTo>
              <a:cubicBezTo>
                <a:pt x="9379553" y="3770035"/>
                <a:pt x="9363968" y="3785626"/>
                <a:pt x="9344740" y="3785626"/>
              </a:cubicBezTo>
              <a:close/>
              <a:moveTo>
                <a:pt x="9429633" y="3785626"/>
              </a:moveTo>
              <a:cubicBezTo>
                <a:pt x="9410405" y="3785626"/>
                <a:pt x="9394807" y="3770035"/>
                <a:pt x="9394807" y="3750807"/>
              </a:cubicBezTo>
              <a:cubicBezTo>
                <a:pt x="9394807" y="3731579"/>
                <a:pt x="9410405" y="3715988"/>
                <a:pt x="9429633" y="3715988"/>
              </a:cubicBezTo>
              <a:cubicBezTo>
                <a:pt x="9448860" y="3715988"/>
                <a:pt x="9464445" y="3731579"/>
                <a:pt x="9464445" y="3750807"/>
              </a:cubicBezTo>
              <a:cubicBezTo>
                <a:pt x="9464445" y="3770035"/>
                <a:pt x="9448860" y="3785626"/>
                <a:pt x="9429633" y="3785626"/>
              </a:cubicBezTo>
              <a:close/>
              <a:moveTo>
                <a:pt x="9938988" y="3785626"/>
              </a:moveTo>
              <a:cubicBezTo>
                <a:pt x="9919760" y="3785626"/>
                <a:pt x="9904163" y="3770035"/>
                <a:pt x="9904163" y="3750807"/>
              </a:cubicBezTo>
              <a:cubicBezTo>
                <a:pt x="9904163" y="3731579"/>
                <a:pt x="9919760" y="3715988"/>
                <a:pt x="9938988" y="3715988"/>
              </a:cubicBezTo>
              <a:cubicBezTo>
                <a:pt x="9958216" y="3715988"/>
                <a:pt x="9973800" y="3731579"/>
                <a:pt x="9973800" y="3750807"/>
              </a:cubicBezTo>
              <a:cubicBezTo>
                <a:pt x="9973800" y="3770035"/>
                <a:pt x="9958216" y="3785626"/>
                <a:pt x="9938988" y="3785626"/>
              </a:cubicBezTo>
              <a:close/>
              <a:moveTo>
                <a:pt x="2298661" y="3700766"/>
              </a:moveTo>
              <a:cubicBezTo>
                <a:pt x="2279433" y="3700766"/>
                <a:pt x="2263842" y="3685175"/>
                <a:pt x="2263842" y="3665947"/>
              </a:cubicBezTo>
              <a:cubicBezTo>
                <a:pt x="2263842" y="3646719"/>
                <a:pt x="2279433" y="3631128"/>
                <a:pt x="2298661" y="3631128"/>
              </a:cubicBezTo>
              <a:cubicBezTo>
                <a:pt x="2317889" y="3631128"/>
                <a:pt x="2333480" y="3646719"/>
                <a:pt x="2333480" y="3665947"/>
              </a:cubicBezTo>
              <a:cubicBezTo>
                <a:pt x="2333480" y="3685175"/>
                <a:pt x="2317889" y="3700766"/>
                <a:pt x="2298661" y="3700766"/>
              </a:cubicBezTo>
              <a:close/>
              <a:moveTo>
                <a:pt x="2383553" y="3700766"/>
              </a:moveTo>
              <a:cubicBezTo>
                <a:pt x="2364326" y="3700766"/>
                <a:pt x="2348734" y="3685175"/>
                <a:pt x="2348734" y="3665947"/>
              </a:cubicBezTo>
              <a:cubicBezTo>
                <a:pt x="2348734" y="3646719"/>
                <a:pt x="2364326" y="3631128"/>
                <a:pt x="2383553" y="3631128"/>
              </a:cubicBezTo>
              <a:cubicBezTo>
                <a:pt x="2402781" y="3631128"/>
                <a:pt x="2418372" y="3646719"/>
                <a:pt x="2418372" y="3665947"/>
              </a:cubicBezTo>
              <a:cubicBezTo>
                <a:pt x="2418372" y="3685175"/>
                <a:pt x="2402781" y="3700766"/>
                <a:pt x="2383553" y="3700766"/>
              </a:cubicBezTo>
              <a:close/>
              <a:moveTo>
                <a:pt x="2468446" y="3700766"/>
              </a:moveTo>
              <a:cubicBezTo>
                <a:pt x="2449218" y="3700766"/>
                <a:pt x="2433627" y="3685175"/>
                <a:pt x="2433627" y="3665947"/>
              </a:cubicBezTo>
              <a:cubicBezTo>
                <a:pt x="2433627" y="3646719"/>
                <a:pt x="2449218" y="3631128"/>
                <a:pt x="2468446" y="3631128"/>
              </a:cubicBezTo>
              <a:cubicBezTo>
                <a:pt x="2487673" y="3631128"/>
                <a:pt x="2503264" y="3646719"/>
                <a:pt x="2503264" y="3665947"/>
              </a:cubicBezTo>
              <a:cubicBezTo>
                <a:pt x="2503264" y="3685175"/>
                <a:pt x="2487673" y="3700766"/>
                <a:pt x="2468446" y="3700766"/>
              </a:cubicBezTo>
              <a:close/>
              <a:moveTo>
                <a:pt x="2553339" y="3700766"/>
              </a:moveTo>
              <a:cubicBezTo>
                <a:pt x="2534111" y="3700766"/>
                <a:pt x="2518520" y="3685175"/>
                <a:pt x="2518520" y="3665947"/>
              </a:cubicBezTo>
              <a:cubicBezTo>
                <a:pt x="2518520" y="3646719"/>
                <a:pt x="2534111" y="3631128"/>
                <a:pt x="2553339" y="3631128"/>
              </a:cubicBezTo>
              <a:cubicBezTo>
                <a:pt x="2572567" y="3631128"/>
                <a:pt x="2588158" y="3646719"/>
                <a:pt x="2588158" y="3665947"/>
              </a:cubicBezTo>
              <a:cubicBezTo>
                <a:pt x="2588158" y="3685175"/>
                <a:pt x="2572567" y="3700766"/>
                <a:pt x="2553339" y="3700766"/>
              </a:cubicBezTo>
              <a:close/>
              <a:moveTo>
                <a:pt x="2638231" y="3700766"/>
              </a:moveTo>
              <a:cubicBezTo>
                <a:pt x="2619003" y="3700766"/>
                <a:pt x="2603412" y="3685175"/>
                <a:pt x="2603412" y="3665947"/>
              </a:cubicBezTo>
              <a:cubicBezTo>
                <a:pt x="2603412" y="3646719"/>
                <a:pt x="2619003" y="3631128"/>
                <a:pt x="2638231" y="3631128"/>
              </a:cubicBezTo>
              <a:cubicBezTo>
                <a:pt x="2657459" y="3631128"/>
                <a:pt x="2673050" y="3646719"/>
                <a:pt x="2673050" y="3665947"/>
              </a:cubicBezTo>
              <a:cubicBezTo>
                <a:pt x="2673050" y="3685175"/>
                <a:pt x="2657459" y="3700766"/>
                <a:pt x="2638231" y="3700766"/>
              </a:cubicBezTo>
              <a:close/>
              <a:moveTo>
                <a:pt x="2723123" y="3700766"/>
              </a:moveTo>
              <a:cubicBezTo>
                <a:pt x="2703896" y="3700766"/>
                <a:pt x="2688304" y="3685175"/>
                <a:pt x="2688304" y="3665947"/>
              </a:cubicBezTo>
              <a:cubicBezTo>
                <a:pt x="2688304" y="3646719"/>
                <a:pt x="2703896" y="3631128"/>
                <a:pt x="2723123" y="3631128"/>
              </a:cubicBezTo>
              <a:cubicBezTo>
                <a:pt x="2742351" y="3631128"/>
                <a:pt x="2757942" y="3646719"/>
                <a:pt x="2757942" y="3665947"/>
              </a:cubicBezTo>
              <a:cubicBezTo>
                <a:pt x="2757942" y="3685175"/>
                <a:pt x="2742351" y="3700766"/>
                <a:pt x="2723123" y="3700766"/>
              </a:cubicBezTo>
              <a:close/>
              <a:moveTo>
                <a:pt x="2808016" y="3700766"/>
              </a:moveTo>
              <a:cubicBezTo>
                <a:pt x="2788788" y="3700766"/>
                <a:pt x="2773197" y="3685175"/>
                <a:pt x="2773197" y="3665947"/>
              </a:cubicBezTo>
              <a:cubicBezTo>
                <a:pt x="2773197" y="3646719"/>
                <a:pt x="2788788" y="3631128"/>
                <a:pt x="2808016" y="3631128"/>
              </a:cubicBezTo>
              <a:cubicBezTo>
                <a:pt x="2827243" y="3631128"/>
                <a:pt x="2842834" y="3646719"/>
                <a:pt x="2842834" y="3665947"/>
              </a:cubicBezTo>
              <a:cubicBezTo>
                <a:pt x="2842834" y="3685175"/>
                <a:pt x="2827243" y="3700766"/>
                <a:pt x="2808016" y="3700766"/>
              </a:cubicBezTo>
              <a:close/>
              <a:moveTo>
                <a:pt x="2892908" y="3700766"/>
              </a:moveTo>
              <a:cubicBezTo>
                <a:pt x="2873680" y="3700766"/>
                <a:pt x="2858089" y="3685175"/>
                <a:pt x="2858089" y="3665947"/>
              </a:cubicBezTo>
              <a:cubicBezTo>
                <a:pt x="2858089" y="3646719"/>
                <a:pt x="2873680" y="3631128"/>
                <a:pt x="2892908" y="3631128"/>
              </a:cubicBezTo>
              <a:cubicBezTo>
                <a:pt x="2912136" y="3631128"/>
                <a:pt x="2927727" y="3646719"/>
                <a:pt x="2927727" y="3665947"/>
              </a:cubicBezTo>
              <a:cubicBezTo>
                <a:pt x="2927727" y="3685175"/>
                <a:pt x="2912136" y="3700766"/>
                <a:pt x="2892908" y="3700766"/>
              </a:cubicBezTo>
              <a:close/>
              <a:moveTo>
                <a:pt x="2977801" y="3700766"/>
              </a:moveTo>
              <a:cubicBezTo>
                <a:pt x="2958573" y="3700766"/>
                <a:pt x="2942982" y="3685175"/>
                <a:pt x="2942982" y="3665947"/>
              </a:cubicBezTo>
              <a:cubicBezTo>
                <a:pt x="2942982" y="3646719"/>
                <a:pt x="2958573" y="3631128"/>
                <a:pt x="2977801" y="3631128"/>
              </a:cubicBezTo>
              <a:cubicBezTo>
                <a:pt x="2997029" y="3631128"/>
                <a:pt x="3012620" y="3646719"/>
                <a:pt x="3012620" y="3665947"/>
              </a:cubicBezTo>
              <a:cubicBezTo>
                <a:pt x="3012620" y="3685175"/>
                <a:pt x="2997029" y="3700766"/>
                <a:pt x="2977801" y="3700766"/>
              </a:cubicBezTo>
              <a:close/>
              <a:moveTo>
                <a:pt x="3062693" y="3700766"/>
              </a:moveTo>
              <a:cubicBezTo>
                <a:pt x="3043466" y="3700766"/>
                <a:pt x="3027874" y="3685175"/>
                <a:pt x="3027874" y="3665947"/>
              </a:cubicBezTo>
              <a:cubicBezTo>
                <a:pt x="3027874" y="3646719"/>
                <a:pt x="3043466" y="3631128"/>
                <a:pt x="3062693" y="3631128"/>
              </a:cubicBezTo>
              <a:cubicBezTo>
                <a:pt x="3081921" y="3631128"/>
                <a:pt x="3097512" y="3646719"/>
                <a:pt x="3097512" y="3665947"/>
              </a:cubicBezTo>
              <a:cubicBezTo>
                <a:pt x="3097512" y="3685175"/>
                <a:pt x="3081921" y="3700766"/>
                <a:pt x="3062693" y="3700766"/>
              </a:cubicBezTo>
              <a:close/>
              <a:moveTo>
                <a:pt x="3147586" y="3700766"/>
              </a:moveTo>
              <a:cubicBezTo>
                <a:pt x="3128358" y="3700766"/>
                <a:pt x="3112767" y="3685175"/>
                <a:pt x="3112767" y="3665947"/>
              </a:cubicBezTo>
              <a:cubicBezTo>
                <a:pt x="3112767" y="3646719"/>
                <a:pt x="3128358" y="3631128"/>
                <a:pt x="3147586" y="3631128"/>
              </a:cubicBezTo>
              <a:cubicBezTo>
                <a:pt x="3166813" y="3631128"/>
                <a:pt x="3182404" y="3646719"/>
                <a:pt x="3182404" y="3665947"/>
              </a:cubicBezTo>
              <a:cubicBezTo>
                <a:pt x="3182404" y="3685175"/>
                <a:pt x="3166813" y="3700766"/>
                <a:pt x="3147586" y="3700766"/>
              </a:cubicBezTo>
              <a:close/>
              <a:moveTo>
                <a:pt x="3232478" y="3700766"/>
              </a:moveTo>
              <a:cubicBezTo>
                <a:pt x="3213250" y="3700766"/>
                <a:pt x="3197659" y="3685175"/>
                <a:pt x="3197659" y="3665947"/>
              </a:cubicBezTo>
              <a:cubicBezTo>
                <a:pt x="3197659" y="3646719"/>
                <a:pt x="3213250" y="3631128"/>
                <a:pt x="3232478" y="3631128"/>
              </a:cubicBezTo>
              <a:cubicBezTo>
                <a:pt x="3251706" y="3631128"/>
                <a:pt x="3267297" y="3646719"/>
                <a:pt x="3267297" y="3665947"/>
              </a:cubicBezTo>
              <a:cubicBezTo>
                <a:pt x="3267297" y="3685175"/>
                <a:pt x="3251706" y="3700766"/>
                <a:pt x="3232478" y="3700766"/>
              </a:cubicBezTo>
              <a:close/>
              <a:moveTo>
                <a:pt x="3317371" y="3700766"/>
              </a:moveTo>
              <a:cubicBezTo>
                <a:pt x="3298143" y="3700766"/>
                <a:pt x="3282552" y="3685175"/>
                <a:pt x="3282552" y="3665947"/>
              </a:cubicBezTo>
              <a:cubicBezTo>
                <a:pt x="3282552" y="3646719"/>
                <a:pt x="3298143" y="3631128"/>
                <a:pt x="3317371" y="3631128"/>
              </a:cubicBezTo>
              <a:cubicBezTo>
                <a:pt x="3336599" y="3631128"/>
                <a:pt x="3352190" y="3646719"/>
                <a:pt x="3352190" y="3665947"/>
              </a:cubicBezTo>
              <a:cubicBezTo>
                <a:pt x="3352190" y="3685175"/>
                <a:pt x="3336599" y="3700766"/>
                <a:pt x="3317371" y="3700766"/>
              </a:cubicBezTo>
              <a:close/>
              <a:moveTo>
                <a:pt x="3402263" y="3700766"/>
              </a:moveTo>
              <a:cubicBezTo>
                <a:pt x="3383036" y="3700766"/>
                <a:pt x="3367444" y="3685175"/>
                <a:pt x="3367444" y="3665947"/>
              </a:cubicBezTo>
              <a:cubicBezTo>
                <a:pt x="3367444" y="3646719"/>
                <a:pt x="3383036" y="3631128"/>
                <a:pt x="3402263" y="3631128"/>
              </a:cubicBezTo>
              <a:cubicBezTo>
                <a:pt x="3421491" y="3631128"/>
                <a:pt x="3437082" y="3646719"/>
                <a:pt x="3437082" y="3665947"/>
              </a:cubicBezTo>
              <a:cubicBezTo>
                <a:pt x="3437082" y="3685175"/>
                <a:pt x="3421491" y="3700766"/>
                <a:pt x="3402263" y="3700766"/>
              </a:cubicBezTo>
              <a:close/>
              <a:moveTo>
                <a:pt x="5694364" y="3700766"/>
              </a:moveTo>
              <a:cubicBezTo>
                <a:pt x="5675136" y="3700766"/>
                <a:pt x="5659538" y="3685175"/>
                <a:pt x="5659538" y="3665947"/>
              </a:cubicBezTo>
              <a:cubicBezTo>
                <a:pt x="5659538" y="3646719"/>
                <a:pt x="5675136" y="3631128"/>
                <a:pt x="5694364" y="3631128"/>
              </a:cubicBezTo>
              <a:cubicBezTo>
                <a:pt x="5713591" y="3631128"/>
                <a:pt x="5729176" y="3646719"/>
                <a:pt x="5729176" y="3665947"/>
              </a:cubicBezTo>
              <a:cubicBezTo>
                <a:pt x="5729176" y="3685175"/>
                <a:pt x="5713591" y="3700766"/>
                <a:pt x="5694364" y="3700766"/>
              </a:cubicBezTo>
              <a:close/>
              <a:moveTo>
                <a:pt x="5779256" y="3700766"/>
              </a:moveTo>
              <a:cubicBezTo>
                <a:pt x="5760028" y="3700766"/>
                <a:pt x="5744430" y="3685175"/>
                <a:pt x="5744430" y="3665947"/>
              </a:cubicBezTo>
              <a:cubicBezTo>
                <a:pt x="5744430" y="3646719"/>
                <a:pt x="5760028" y="3631128"/>
                <a:pt x="5779256" y="3631128"/>
              </a:cubicBezTo>
              <a:cubicBezTo>
                <a:pt x="5798484" y="3631128"/>
                <a:pt x="5814068" y="3646719"/>
                <a:pt x="5814068" y="3665947"/>
              </a:cubicBezTo>
              <a:cubicBezTo>
                <a:pt x="5814068" y="3685175"/>
                <a:pt x="5798484" y="3700766"/>
                <a:pt x="5779256" y="3700766"/>
              </a:cubicBezTo>
              <a:close/>
              <a:moveTo>
                <a:pt x="5864148" y="3700766"/>
              </a:moveTo>
              <a:cubicBezTo>
                <a:pt x="5844920" y="3700766"/>
                <a:pt x="5829323" y="3685175"/>
                <a:pt x="5829323" y="3665947"/>
              </a:cubicBezTo>
              <a:cubicBezTo>
                <a:pt x="5829323" y="3646719"/>
                <a:pt x="5844920" y="3631128"/>
                <a:pt x="5864148" y="3631128"/>
              </a:cubicBezTo>
              <a:cubicBezTo>
                <a:pt x="5883376" y="3631128"/>
                <a:pt x="5898960" y="3646719"/>
                <a:pt x="5898960" y="3665947"/>
              </a:cubicBezTo>
              <a:cubicBezTo>
                <a:pt x="5898960" y="3685175"/>
                <a:pt x="5883376" y="3700766"/>
                <a:pt x="5864148" y="3700766"/>
              </a:cubicBezTo>
              <a:close/>
              <a:moveTo>
                <a:pt x="5949041" y="3700766"/>
              </a:moveTo>
              <a:cubicBezTo>
                <a:pt x="5929814" y="3700766"/>
                <a:pt x="5914216" y="3685175"/>
                <a:pt x="5914216" y="3665947"/>
              </a:cubicBezTo>
              <a:cubicBezTo>
                <a:pt x="5914216" y="3646719"/>
                <a:pt x="5929814" y="3631128"/>
                <a:pt x="5949041" y="3631128"/>
              </a:cubicBezTo>
              <a:cubicBezTo>
                <a:pt x="5968269" y="3631128"/>
                <a:pt x="5983854" y="3646719"/>
                <a:pt x="5983854" y="3665947"/>
              </a:cubicBezTo>
              <a:cubicBezTo>
                <a:pt x="5983854" y="3685175"/>
                <a:pt x="5968269" y="3700766"/>
                <a:pt x="5949041" y="3700766"/>
              </a:cubicBezTo>
              <a:close/>
              <a:moveTo>
                <a:pt x="6033934" y="3700766"/>
              </a:moveTo>
              <a:cubicBezTo>
                <a:pt x="6014706" y="3700766"/>
                <a:pt x="5999108" y="3685175"/>
                <a:pt x="5999108" y="3665947"/>
              </a:cubicBezTo>
              <a:cubicBezTo>
                <a:pt x="5999108" y="3646719"/>
                <a:pt x="6014706" y="3631128"/>
                <a:pt x="6033934" y="3631128"/>
              </a:cubicBezTo>
              <a:cubicBezTo>
                <a:pt x="6053161" y="3631128"/>
                <a:pt x="6068746" y="3646719"/>
                <a:pt x="6068746" y="3665947"/>
              </a:cubicBezTo>
              <a:cubicBezTo>
                <a:pt x="6068746" y="3685175"/>
                <a:pt x="6053161" y="3700766"/>
                <a:pt x="6033934" y="3700766"/>
              </a:cubicBezTo>
              <a:close/>
              <a:moveTo>
                <a:pt x="6118826" y="3700766"/>
              </a:moveTo>
              <a:cubicBezTo>
                <a:pt x="6099598" y="3700766"/>
                <a:pt x="6084000" y="3685175"/>
                <a:pt x="6084000" y="3665947"/>
              </a:cubicBezTo>
              <a:cubicBezTo>
                <a:pt x="6084000" y="3646719"/>
                <a:pt x="6099598" y="3631128"/>
                <a:pt x="6118826" y="3631128"/>
              </a:cubicBezTo>
              <a:cubicBezTo>
                <a:pt x="6138054" y="3631128"/>
                <a:pt x="6153638" y="3646719"/>
                <a:pt x="6153638" y="3665947"/>
              </a:cubicBezTo>
              <a:cubicBezTo>
                <a:pt x="6153638" y="3685175"/>
                <a:pt x="6138054" y="3700766"/>
                <a:pt x="6118826" y="3700766"/>
              </a:cubicBezTo>
              <a:close/>
              <a:moveTo>
                <a:pt x="6882858" y="3700766"/>
              </a:moveTo>
              <a:cubicBezTo>
                <a:pt x="6863630" y="3700766"/>
                <a:pt x="6848033" y="3685175"/>
                <a:pt x="6848033" y="3665947"/>
              </a:cubicBezTo>
              <a:cubicBezTo>
                <a:pt x="6848033" y="3646719"/>
                <a:pt x="6863630" y="3631128"/>
                <a:pt x="6882858" y="3631128"/>
              </a:cubicBezTo>
              <a:cubicBezTo>
                <a:pt x="6902086" y="3631128"/>
                <a:pt x="6917670" y="3646719"/>
                <a:pt x="6917670" y="3665947"/>
              </a:cubicBezTo>
              <a:cubicBezTo>
                <a:pt x="6917670" y="3685175"/>
                <a:pt x="6902086" y="3700766"/>
                <a:pt x="6882858" y="3700766"/>
              </a:cubicBezTo>
              <a:close/>
              <a:moveTo>
                <a:pt x="6967750" y="3700766"/>
              </a:moveTo>
              <a:cubicBezTo>
                <a:pt x="6948523" y="3700766"/>
                <a:pt x="6932925" y="3685175"/>
                <a:pt x="6932925" y="3665947"/>
              </a:cubicBezTo>
              <a:cubicBezTo>
                <a:pt x="6932925" y="3646719"/>
                <a:pt x="6948523" y="3631128"/>
                <a:pt x="6967750" y="3631128"/>
              </a:cubicBezTo>
              <a:cubicBezTo>
                <a:pt x="6986978" y="3631128"/>
                <a:pt x="7002563" y="3646719"/>
                <a:pt x="7002563" y="3665947"/>
              </a:cubicBezTo>
              <a:cubicBezTo>
                <a:pt x="7002563" y="3685175"/>
                <a:pt x="6986978" y="3700766"/>
                <a:pt x="6967750" y="3700766"/>
              </a:cubicBezTo>
              <a:close/>
              <a:moveTo>
                <a:pt x="7052644" y="3700766"/>
              </a:moveTo>
              <a:cubicBezTo>
                <a:pt x="7033416" y="3700766"/>
                <a:pt x="7017818" y="3685175"/>
                <a:pt x="7017818" y="3665947"/>
              </a:cubicBezTo>
              <a:cubicBezTo>
                <a:pt x="7017818" y="3646719"/>
                <a:pt x="7033416" y="3631128"/>
                <a:pt x="7052644" y="3631128"/>
              </a:cubicBezTo>
              <a:cubicBezTo>
                <a:pt x="7071871" y="3631128"/>
                <a:pt x="7087456" y="3646719"/>
                <a:pt x="7087456" y="3665947"/>
              </a:cubicBezTo>
              <a:cubicBezTo>
                <a:pt x="7087456" y="3685175"/>
                <a:pt x="7071871" y="3700766"/>
                <a:pt x="7052644" y="3700766"/>
              </a:cubicBezTo>
              <a:close/>
              <a:moveTo>
                <a:pt x="7137536" y="3700766"/>
              </a:moveTo>
              <a:cubicBezTo>
                <a:pt x="7118308" y="3700766"/>
                <a:pt x="7102710" y="3685175"/>
                <a:pt x="7102710" y="3665947"/>
              </a:cubicBezTo>
              <a:cubicBezTo>
                <a:pt x="7102710" y="3646719"/>
                <a:pt x="7118308" y="3631128"/>
                <a:pt x="7137536" y="3631128"/>
              </a:cubicBezTo>
              <a:cubicBezTo>
                <a:pt x="7156764" y="3631128"/>
                <a:pt x="7172348" y="3646719"/>
                <a:pt x="7172348" y="3665947"/>
              </a:cubicBezTo>
              <a:cubicBezTo>
                <a:pt x="7172348" y="3685175"/>
                <a:pt x="7156764" y="3700766"/>
                <a:pt x="7137536" y="3700766"/>
              </a:cubicBezTo>
              <a:close/>
              <a:moveTo>
                <a:pt x="7222428" y="3700766"/>
              </a:moveTo>
              <a:cubicBezTo>
                <a:pt x="7203200" y="3700766"/>
                <a:pt x="7187603" y="3685175"/>
                <a:pt x="7187603" y="3665947"/>
              </a:cubicBezTo>
              <a:cubicBezTo>
                <a:pt x="7187603" y="3646719"/>
                <a:pt x="7203200" y="3631128"/>
                <a:pt x="7222428" y="3631128"/>
              </a:cubicBezTo>
              <a:cubicBezTo>
                <a:pt x="7241656" y="3631128"/>
                <a:pt x="7257240" y="3646719"/>
                <a:pt x="7257240" y="3665947"/>
              </a:cubicBezTo>
              <a:cubicBezTo>
                <a:pt x="7257240" y="3685175"/>
                <a:pt x="7241656" y="3700766"/>
                <a:pt x="7222428" y="3700766"/>
              </a:cubicBezTo>
              <a:close/>
              <a:moveTo>
                <a:pt x="7307320" y="3700766"/>
              </a:moveTo>
              <a:cubicBezTo>
                <a:pt x="7288093" y="3700766"/>
                <a:pt x="7272495" y="3685175"/>
                <a:pt x="7272495" y="3665947"/>
              </a:cubicBezTo>
              <a:cubicBezTo>
                <a:pt x="7272495" y="3646719"/>
                <a:pt x="7288093" y="3631128"/>
                <a:pt x="7307320" y="3631128"/>
              </a:cubicBezTo>
              <a:cubicBezTo>
                <a:pt x="7326548" y="3631128"/>
                <a:pt x="7342133" y="3646719"/>
                <a:pt x="7342133" y="3665947"/>
              </a:cubicBezTo>
              <a:cubicBezTo>
                <a:pt x="7342133" y="3685175"/>
                <a:pt x="7326548" y="3700766"/>
                <a:pt x="7307320" y="3700766"/>
              </a:cubicBezTo>
              <a:close/>
              <a:moveTo>
                <a:pt x="7392214" y="3700766"/>
              </a:moveTo>
              <a:cubicBezTo>
                <a:pt x="7372986" y="3700766"/>
                <a:pt x="7357388" y="3685175"/>
                <a:pt x="7357388" y="3665947"/>
              </a:cubicBezTo>
              <a:cubicBezTo>
                <a:pt x="7357388" y="3646719"/>
                <a:pt x="7372986" y="3631128"/>
                <a:pt x="7392214" y="3631128"/>
              </a:cubicBezTo>
              <a:cubicBezTo>
                <a:pt x="7411441" y="3631128"/>
                <a:pt x="7427026" y="3646719"/>
                <a:pt x="7427026" y="3665947"/>
              </a:cubicBezTo>
              <a:cubicBezTo>
                <a:pt x="7427026" y="3685175"/>
                <a:pt x="7411441" y="3700766"/>
                <a:pt x="7392214" y="3700766"/>
              </a:cubicBezTo>
              <a:close/>
              <a:moveTo>
                <a:pt x="7477106" y="3700766"/>
              </a:moveTo>
              <a:cubicBezTo>
                <a:pt x="7457878" y="3700766"/>
                <a:pt x="7442280" y="3685175"/>
                <a:pt x="7442280" y="3665947"/>
              </a:cubicBezTo>
              <a:cubicBezTo>
                <a:pt x="7442280" y="3646719"/>
                <a:pt x="7457878" y="3631128"/>
                <a:pt x="7477106" y="3631128"/>
              </a:cubicBezTo>
              <a:cubicBezTo>
                <a:pt x="7496334" y="3631128"/>
                <a:pt x="7511918" y="3646719"/>
                <a:pt x="7511918" y="3665947"/>
              </a:cubicBezTo>
              <a:cubicBezTo>
                <a:pt x="7511918" y="3685175"/>
                <a:pt x="7496334" y="3700766"/>
                <a:pt x="7477106" y="3700766"/>
              </a:cubicBezTo>
              <a:close/>
              <a:moveTo>
                <a:pt x="7561998" y="3700766"/>
              </a:moveTo>
              <a:cubicBezTo>
                <a:pt x="7542770" y="3700766"/>
                <a:pt x="7527173" y="3685175"/>
                <a:pt x="7527173" y="3665947"/>
              </a:cubicBezTo>
              <a:cubicBezTo>
                <a:pt x="7527173" y="3646719"/>
                <a:pt x="7542770" y="3631128"/>
                <a:pt x="7561998" y="3631128"/>
              </a:cubicBezTo>
              <a:cubicBezTo>
                <a:pt x="7581226" y="3631128"/>
                <a:pt x="7596810" y="3646719"/>
                <a:pt x="7596810" y="3665947"/>
              </a:cubicBezTo>
              <a:cubicBezTo>
                <a:pt x="7596810" y="3685175"/>
                <a:pt x="7581226" y="3700766"/>
                <a:pt x="7561998" y="3700766"/>
              </a:cubicBezTo>
              <a:close/>
              <a:moveTo>
                <a:pt x="7646890" y="3700766"/>
              </a:moveTo>
              <a:cubicBezTo>
                <a:pt x="7627663" y="3700766"/>
                <a:pt x="7612065" y="3685175"/>
                <a:pt x="7612065" y="3665947"/>
              </a:cubicBezTo>
              <a:cubicBezTo>
                <a:pt x="7612065" y="3646719"/>
                <a:pt x="7627663" y="3631128"/>
                <a:pt x="7646890" y="3631128"/>
              </a:cubicBezTo>
              <a:cubicBezTo>
                <a:pt x="7666118" y="3631128"/>
                <a:pt x="7681703" y="3646719"/>
                <a:pt x="7681703" y="3665947"/>
              </a:cubicBezTo>
              <a:cubicBezTo>
                <a:pt x="7681703" y="3685175"/>
                <a:pt x="7666118" y="3700766"/>
                <a:pt x="7646890" y="3700766"/>
              </a:cubicBezTo>
              <a:close/>
              <a:moveTo>
                <a:pt x="7731784" y="3700766"/>
              </a:moveTo>
              <a:cubicBezTo>
                <a:pt x="7712556" y="3700766"/>
                <a:pt x="7696958" y="3685175"/>
                <a:pt x="7696958" y="3665947"/>
              </a:cubicBezTo>
              <a:cubicBezTo>
                <a:pt x="7696958" y="3646719"/>
                <a:pt x="7712556" y="3631128"/>
                <a:pt x="7731784" y="3631128"/>
              </a:cubicBezTo>
              <a:cubicBezTo>
                <a:pt x="7751011" y="3631128"/>
                <a:pt x="7766596" y="3646719"/>
                <a:pt x="7766596" y="3665947"/>
              </a:cubicBezTo>
              <a:cubicBezTo>
                <a:pt x="7766596" y="3685175"/>
                <a:pt x="7751011" y="3700766"/>
                <a:pt x="7731784" y="3700766"/>
              </a:cubicBezTo>
              <a:close/>
              <a:moveTo>
                <a:pt x="7816676" y="3700766"/>
              </a:moveTo>
              <a:cubicBezTo>
                <a:pt x="7797448" y="3700766"/>
                <a:pt x="7781850" y="3685175"/>
                <a:pt x="7781850" y="3665947"/>
              </a:cubicBezTo>
              <a:cubicBezTo>
                <a:pt x="7781850" y="3646719"/>
                <a:pt x="7797448" y="3631128"/>
                <a:pt x="7816676" y="3631128"/>
              </a:cubicBezTo>
              <a:cubicBezTo>
                <a:pt x="7835904" y="3631128"/>
                <a:pt x="7851488" y="3646719"/>
                <a:pt x="7851488" y="3665947"/>
              </a:cubicBezTo>
              <a:cubicBezTo>
                <a:pt x="7851488" y="3685175"/>
                <a:pt x="7835904" y="3700766"/>
                <a:pt x="7816676" y="3700766"/>
              </a:cubicBezTo>
              <a:close/>
              <a:moveTo>
                <a:pt x="7901568" y="3700766"/>
              </a:moveTo>
              <a:cubicBezTo>
                <a:pt x="7882340" y="3700766"/>
                <a:pt x="7866743" y="3685175"/>
                <a:pt x="7866743" y="3665947"/>
              </a:cubicBezTo>
              <a:cubicBezTo>
                <a:pt x="7866743" y="3646719"/>
                <a:pt x="7882340" y="3631128"/>
                <a:pt x="7901568" y="3631128"/>
              </a:cubicBezTo>
              <a:cubicBezTo>
                <a:pt x="7920796" y="3631128"/>
                <a:pt x="7936380" y="3646719"/>
                <a:pt x="7936380" y="3665947"/>
              </a:cubicBezTo>
              <a:cubicBezTo>
                <a:pt x="7936380" y="3685175"/>
                <a:pt x="7920796" y="3700766"/>
                <a:pt x="7901568" y="3700766"/>
              </a:cubicBezTo>
              <a:close/>
              <a:moveTo>
                <a:pt x="7986460" y="3700766"/>
              </a:moveTo>
              <a:cubicBezTo>
                <a:pt x="7967233" y="3700766"/>
                <a:pt x="7951635" y="3685175"/>
                <a:pt x="7951635" y="3665947"/>
              </a:cubicBezTo>
              <a:cubicBezTo>
                <a:pt x="7951635" y="3646719"/>
                <a:pt x="7967233" y="3631128"/>
                <a:pt x="7986460" y="3631128"/>
              </a:cubicBezTo>
              <a:cubicBezTo>
                <a:pt x="8005688" y="3631128"/>
                <a:pt x="8021273" y="3646719"/>
                <a:pt x="8021273" y="3665947"/>
              </a:cubicBezTo>
              <a:cubicBezTo>
                <a:pt x="8021273" y="3685175"/>
                <a:pt x="8005688" y="3700766"/>
                <a:pt x="7986460" y="3700766"/>
              </a:cubicBezTo>
              <a:close/>
              <a:moveTo>
                <a:pt x="8071353" y="3700766"/>
              </a:moveTo>
              <a:cubicBezTo>
                <a:pt x="8052125" y="3700766"/>
                <a:pt x="8036527" y="3685175"/>
                <a:pt x="8036527" y="3665947"/>
              </a:cubicBezTo>
              <a:cubicBezTo>
                <a:pt x="8036527" y="3646719"/>
                <a:pt x="8052125" y="3631128"/>
                <a:pt x="8071353" y="3631128"/>
              </a:cubicBezTo>
              <a:cubicBezTo>
                <a:pt x="8090580" y="3631128"/>
                <a:pt x="8106165" y="3646719"/>
                <a:pt x="8106165" y="3665947"/>
              </a:cubicBezTo>
              <a:cubicBezTo>
                <a:pt x="8106165" y="3685175"/>
                <a:pt x="8090580" y="3700766"/>
                <a:pt x="8071353" y="3700766"/>
              </a:cubicBezTo>
              <a:close/>
              <a:moveTo>
                <a:pt x="8156246" y="3700766"/>
              </a:moveTo>
              <a:cubicBezTo>
                <a:pt x="8137018" y="3700766"/>
                <a:pt x="8121420" y="3685175"/>
                <a:pt x="8121420" y="3665947"/>
              </a:cubicBezTo>
              <a:cubicBezTo>
                <a:pt x="8121420" y="3646719"/>
                <a:pt x="8137018" y="3631128"/>
                <a:pt x="8156246" y="3631128"/>
              </a:cubicBezTo>
              <a:cubicBezTo>
                <a:pt x="8175474" y="3631128"/>
                <a:pt x="8191058" y="3646719"/>
                <a:pt x="8191058" y="3665947"/>
              </a:cubicBezTo>
              <a:cubicBezTo>
                <a:pt x="8191058" y="3685175"/>
                <a:pt x="8175474" y="3700766"/>
                <a:pt x="8156246" y="3700766"/>
              </a:cubicBezTo>
              <a:close/>
              <a:moveTo>
                <a:pt x="8241138" y="3700766"/>
              </a:moveTo>
              <a:cubicBezTo>
                <a:pt x="8221910" y="3700766"/>
                <a:pt x="8206313" y="3685175"/>
                <a:pt x="8206313" y="3665947"/>
              </a:cubicBezTo>
              <a:cubicBezTo>
                <a:pt x="8206313" y="3646719"/>
                <a:pt x="8221910" y="3631128"/>
                <a:pt x="8241138" y="3631128"/>
              </a:cubicBezTo>
              <a:cubicBezTo>
                <a:pt x="8260366" y="3631128"/>
                <a:pt x="8275950" y="3646719"/>
                <a:pt x="8275950" y="3665947"/>
              </a:cubicBezTo>
              <a:cubicBezTo>
                <a:pt x="8275950" y="3685175"/>
                <a:pt x="8260366" y="3700766"/>
                <a:pt x="8241138" y="3700766"/>
              </a:cubicBezTo>
              <a:close/>
              <a:moveTo>
                <a:pt x="8326030" y="3700766"/>
              </a:moveTo>
              <a:cubicBezTo>
                <a:pt x="8306803" y="3700766"/>
                <a:pt x="8291205" y="3685175"/>
                <a:pt x="8291205" y="3665947"/>
              </a:cubicBezTo>
              <a:cubicBezTo>
                <a:pt x="8291205" y="3646719"/>
                <a:pt x="8306803" y="3631128"/>
                <a:pt x="8326030" y="3631128"/>
              </a:cubicBezTo>
              <a:cubicBezTo>
                <a:pt x="8345258" y="3631128"/>
                <a:pt x="8360843" y="3646719"/>
                <a:pt x="8360843" y="3665947"/>
              </a:cubicBezTo>
              <a:cubicBezTo>
                <a:pt x="8360843" y="3685175"/>
                <a:pt x="8345258" y="3700766"/>
                <a:pt x="8326030" y="3700766"/>
              </a:cubicBezTo>
              <a:close/>
              <a:moveTo>
                <a:pt x="8410923" y="3700766"/>
              </a:moveTo>
              <a:cubicBezTo>
                <a:pt x="8391695" y="3700766"/>
                <a:pt x="8376097" y="3685175"/>
                <a:pt x="8376097" y="3665947"/>
              </a:cubicBezTo>
              <a:cubicBezTo>
                <a:pt x="8376097" y="3646719"/>
                <a:pt x="8391695" y="3631128"/>
                <a:pt x="8410923" y="3631128"/>
              </a:cubicBezTo>
              <a:cubicBezTo>
                <a:pt x="8430150" y="3631128"/>
                <a:pt x="8445735" y="3646719"/>
                <a:pt x="8445735" y="3665947"/>
              </a:cubicBezTo>
              <a:cubicBezTo>
                <a:pt x="8445735" y="3685175"/>
                <a:pt x="8430150" y="3700766"/>
                <a:pt x="8410923" y="3700766"/>
              </a:cubicBezTo>
              <a:close/>
              <a:moveTo>
                <a:pt x="8495816" y="3700766"/>
              </a:moveTo>
              <a:cubicBezTo>
                <a:pt x="8476588" y="3700766"/>
                <a:pt x="8460990" y="3685175"/>
                <a:pt x="8460990" y="3665947"/>
              </a:cubicBezTo>
              <a:cubicBezTo>
                <a:pt x="8460990" y="3646719"/>
                <a:pt x="8476588" y="3631128"/>
                <a:pt x="8495816" y="3631128"/>
              </a:cubicBezTo>
              <a:cubicBezTo>
                <a:pt x="8515044" y="3631128"/>
                <a:pt x="8530628" y="3646719"/>
                <a:pt x="8530628" y="3665947"/>
              </a:cubicBezTo>
              <a:cubicBezTo>
                <a:pt x="8530628" y="3685175"/>
                <a:pt x="8515044" y="3700766"/>
                <a:pt x="8495816" y="3700766"/>
              </a:cubicBezTo>
              <a:close/>
              <a:moveTo>
                <a:pt x="8580708" y="3700766"/>
              </a:moveTo>
              <a:cubicBezTo>
                <a:pt x="8561480" y="3700766"/>
                <a:pt x="8545883" y="3685175"/>
                <a:pt x="8545883" y="3665947"/>
              </a:cubicBezTo>
              <a:cubicBezTo>
                <a:pt x="8545883" y="3646719"/>
                <a:pt x="8561480" y="3631128"/>
                <a:pt x="8580708" y="3631128"/>
              </a:cubicBezTo>
              <a:cubicBezTo>
                <a:pt x="8599936" y="3631128"/>
                <a:pt x="8615520" y="3646719"/>
                <a:pt x="8615520" y="3665947"/>
              </a:cubicBezTo>
              <a:cubicBezTo>
                <a:pt x="8615520" y="3685175"/>
                <a:pt x="8599936" y="3700766"/>
                <a:pt x="8580708" y="3700766"/>
              </a:cubicBezTo>
              <a:close/>
              <a:moveTo>
                <a:pt x="8665600" y="3700766"/>
              </a:moveTo>
              <a:cubicBezTo>
                <a:pt x="8646373" y="3700766"/>
                <a:pt x="8630775" y="3685175"/>
                <a:pt x="8630775" y="3665947"/>
              </a:cubicBezTo>
              <a:cubicBezTo>
                <a:pt x="8630775" y="3646719"/>
                <a:pt x="8646373" y="3631128"/>
                <a:pt x="8665600" y="3631128"/>
              </a:cubicBezTo>
              <a:cubicBezTo>
                <a:pt x="8684828" y="3631128"/>
                <a:pt x="8700413" y="3646719"/>
                <a:pt x="8700413" y="3665947"/>
              </a:cubicBezTo>
              <a:cubicBezTo>
                <a:pt x="8700413" y="3685175"/>
                <a:pt x="8684828" y="3700766"/>
                <a:pt x="8665600" y="3700766"/>
              </a:cubicBezTo>
              <a:close/>
              <a:moveTo>
                <a:pt x="8750493" y="3700766"/>
              </a:moveTo>
              <a:cubicBezTo>
                <a:pt x="8731265" y="3700766"/>
                <a:pt x="8715667" y="3685175"/>
                <a:pt x="8715667" y="3665947"/>
              </a:cubicBezTo>
              <a:cubicBezTo>
                <a:pt x="8715667" y="3646719"/>
                <a:pt x="8731265" y="3631128"/>
                <a:pt x="8750493" y="3631128"/>
              </a:cubicBezTo>
              <a:cubicBezTo>
                <a:pt x="8769720" y="3631128"/>
                <a:pt x="8785305" y="3646719"/>
                <a:pt x="8785305" y="3665947"/>
              </a:cubicBezTo>
              <a:cubicBezTo>
                <a:pt x="8785305" y="3685175"/>
                <a:pt x="8769720" y="3700766"/>
                <a:pt x="8750493" y="3700766"/>
              </a:cubicBezTo>
              <a:close/>
              <a:moveTo>
                <a:pt x="8835386" y="3700766"/>
              </a:moveTo>
              <a:cubicBezTo>
                <a:pt x="8816158" y="3700766"/>
                <a:pt x="8800560" y="3685175"/>
                <a:pt x="8800560" y="3665947"/>
              </a:cubicBezTo>
              <a:cubicBezTo>
                <a:pt x="8800560" y="3646719"/>
                <a:pt x="8816158" y="3631128"/>
                <a:pt x="8835386" y="3631128"/>
              </a:cubicBezTo>
              <a:cubicBezTo>
                <a:pt x="8854614" y="3631128"/>
                <a:pt x="8870198" y="3646719"/>
                <a:pt x="8870198" y="3665947"/>
              </a:cubicBezTo>
              <a:cubicBezTo>
                <a:pt x="8870198" y="3685175"/>
                <a:pt x="8854614" y="3700766"/>
                <a:pt x="8835386" y="3700766"/>
              </a:cubicBezTo>
              <a:close/>
              <a:moveTo>
                <a:pt x="8920278" y="3700766"/>
              </a:moveTo>
              <a:cubicBezTo>
                <a:pt x="8901050" y="3700766"/>
                <a:pt x="8885453" y="3685175"/>
                <a:pt x="8885453" y="3665947"/>
              </a:cubicBezTo>
              <a:cubicBezTo>
                <a:pt x="8885453" y="3646719"/>
                <a:pt x="8901050" y="3631128"/>
                <a:pt x="8920278" y="3631128"/>
              </a:cubicBezTo>
              <a:cubicBezTo>
                <a:pt x="8939506" y="3631128"/>
                <a:pt x="8955090" y="3646719"/>
                <a:pt x="8955090" y="3665947"/>
              </a:cubicBezTo>
              <a:cubicBezTo>
                <a:pt x="8955090" y="3685175"/>
                <a:pt x="8939506" y="3700766"/>
                <a:pt x="8920278" y="3700766"/>
              </a:cubicBezTo>
              <a:close/>
              <a:moveTo>
                <a:pt x="9005170" y="3700766"/>
              </a:moveTo>
              <a:cubicBezTo>
                <a:pt x="8985943" y="3700766"/>
                <a:pt x="8970345" y="3685175"/>
                <a:pt x="8970345" y="3665947"/>
              </a:cubicBezTo>
              <a:cubicBezTo>
                <a:pt x="8970345" y="3646719"/>
                <a:pt x="8985943" y="3631128"/>
                <a:pt x="9005170" y="3631128"/>
              </a:cubicBezTo>
              <a:cubicBezTo>
                <a:pt x="9024398" y="3631128"/>
                <a:pt x="9039983" y="3646719"/>
                <a:pt x="9039983" y="3665947"/>
              </a:cubicBezTo>
              <a:cubicBezTo>
                <a:pt x="9039983" y="3685175"/>
                <a:pt x="9024398" y="3700766"/>
                <a:pt x="9005170" y="3700766"/>
              </a:cubicBezTo>
              <a:close/>
              <a:moveTo>
                <a:pt x="9090063" y="3700766"/>
              </a:moveTo>
              <a:cubicBezTo>
                <a:pt x="9070835" y="3700766"/>
                <a:pt x="9055237" y="3685175"/>
                <a:pt x="9055237" y="3665947"/>
              </a:cubicBezTo>
              <a:cubicBezTo>
                <a:pt x="9055237" y="3646719"/>
                <a:pt x="9070835" y="3631128"/>
                <a:pt x="9090063" y="3631128"/>
              </a:cubicBezTo>
              <a:cubicBezTo>
                <a:pt x="9109290" y="3631128"/>
                <a:pt x="9124875" y="3646719"/>
                <a:pt x="9124875" y="3665947"/>
              </a:cubicBezTo>
              <a:cubicBezTo>
                <a:pt x="9124875" y="3685175"/>
                <a:pt x="9109290" y="3700766"/>
                <a:pt x="9090063" y="3700766"/>
              </a:cubicBezTo>
              <a:close/>
              <a:moveTo>
                <a:pt x="9174956" y="3700766"/>
              </a:moveTo>
              <a:cubicBezTo>
                <a:pt x="9155728" y="3700766"/>
                <a:pt x="9140130" y="3685175"/>
                <a:pt x="9140130" y="3665947"/>
              </a:cubicBezTo>
              <a:cubicBezTo>
                <a:pt x="9140130" y="3646719"/>
                <a:pt x="9155728" y="3631128"/>
                <a:pt x="9174956" y="3631128"/>
              </a:cubicBezTo>
              <a:cubicBezTo>
                <a:pt x="9194184" y="3631128"/>
                <a:pt x="9209768" y="3646719"/>
                <a:pt x="9209768" y="3665947"/>
              </a:cubicBezTo>
              <a:cubicBezTo>
                <a:pt x="9209768" y="3685175"/>
                <a:pt x="9194184" y="3700766"/>
                <a:pt x="9174956" y="3700766"/>
              </a:cubicBezTo>
              <a:close/>
              <a:moveTo>
                <a:pt x="9259848" y="3700766"/>
              </a:moveTo>
              <a:cubicBezTo>
                <a:pt x="9240620" y="3700766"/>
                <a:pt x="9225023" y="3685175"/>
                <a:pt x="9225023" y="3665947"/>
              </a:cubicBezTo>
              <a:cubicBezTo>
                <a:pt x="9225023" y="3646719"/>
                <a:pt x="9240620" y="3631128"/>
                <a:pt x="9259848" y="3631128"/>
              </a:cubicBezTo>
              <a:cubicBezTo>
                <a:pt x="9279076" y="3631128"/>
                <a:pt x="9294660" y="3646719"/>
                <a:pt x="9294660" y="3665947"/>
              </a:cubicBezTo>
              <a:cubicBezTo>
                <a:pt x="9294660" y="3685175"/>
                <a:pt x="9279076" y="3700766"/>
                <a:pt x="9259848" y="3700766"/>
              </a:cubicBezTo>
              <a:close/>
              <a:moveTo>
                <a:pt x="9344740" y="3700766"/>
              </a:moveTo>
              <a:cubicBezTo>
                <a:pt x="9325513" y="3700766"/>
                <a:pt x="9309915" y="3685175"/>
                <a:pt x="9309915" y="3665947"/>
              </a:cubicBezTo>
              <a:cubicBezTo>
                <a:pt x="9309915" y="3646719"/>
                <a:pt x="9325513" y="3631128"/>
                <a:pt x="9344740" y="3631128"/>
              </a:cubicBezTo>
              <a:cubicBezTo>
                <a:pt x="9363968" y="3631128"/>
                <a:pt x="9379553" y="3646719"/>
                <a:pt x="9379553" y="3665947"/>
              </a:cubicBezTo>
              <a:cubicBezTo>
                <a:pt x="9379553" y="3685175"/>
                <a:pt x="9363968" y="3700766"/>
                <a:pt x="9344740" y="3700766"/>
              </a:cubicBezTo>
              <a:close/>
              <a:moveTo>
                <a:pt x="9429633" y="3700766"/>
              </a:moveTo>
              <a:cubicBezTo>
                <a:pt x="9410405" y="3700766"/>
                <a:pt x="9394807" y="3685175"/>
                <a:pt x="9394807" y="3665947"/>
              </a:cubicBezTo>
              <a:cubicBezTo>
                <a:pt x="9394807" y="3646719"/>
                <a:pt x="9410405" y="3631128"/>
                <a:pt x="9429633" y="3631128"/>
              </a:cubicBezTo>
              <a:cubicBezTo>
                <a:pt x="9448860" y="3631128"/>
                <a:pt x="9464445" y="3646719"/>
                <a:pt x="9464445" y="3665947"/>
              </a:cubicBezTo>
              <a:cubicBezTo>
                <a:pt x="9464445" y="3685175"/>
                <a:pt x="9448860" y="3700766"/>
                <a:pt x="9429633" y="3700766"/>
              </a:cubicBezTo>
              <a:close/>
              <a:moveTo>
                <a:pt x="9514525" y="3700766"/>
              </a:moveTo>
              <a:cubicBezTo>
                <a:pt x="9495297" y="3700766"/>
                <a:pt x="9479699" y="3685175"/>
                <a:pt x="9479699" y="3665947"/>
              </a:cubicBezTo>
              <a:cubicBezTo>
                <a:pt x="9479699" y="3646719"/>
                <a:pt x="9495297" y="3631128"/>
                <a:pt x="9514525" y="3631128"/>
              </a:cubicBezTo>
              <a:cubicBezTo>
                <a:pt x="9533753" y="3631128"/>
                <a:pt x="9549337" y="3646719"/>
                <a:pt x="9549337" y="3665947"/>
              </a:cubicBezTo>
              <a:cubicBezTo>
                <a:pt x="9549337" y="3685175"/>
                <a:pt x="9533753" y="3700766"/>
                <a:pt x="9514525" y="3700766"/>
              </a:cubicBezTo>
              <a:close/>
              <a:moveTo>
                <a:pt x="9854095" y="3700766"/>
              </a:moveTo>
              <a:cubicBezTo>
                <a:pt x="9834867" y="3700766"/>
                <a:pt x="9819269" y="3685175"/>
                <a:pt x="9819269" y="3665947"/>
              </a:cubicBezTo>
              <a:cubicBezTo>
                <a:pt x="9819269" y="3646719"/>
                <a:pt x="9834867" y="3631128"/>
                <a:pt x="9854095" y="3631128"/>
              </a:cubicBezTo>
              <a:cubicBezTo>
                <a:pt x="9873323" y="3631128"/>
                <a:pt x="9888907" y="3646719"/>
                <a:pt x="9888907" y="3665947"/>
              </a:cubicBezTo>
              <a:cubicBezTo>
                <a:pt x="9888907" y="3685175"/>
                <a:pt x="9873323" y="3700766"/>
                <a:pt x="9854095" y="3700766"/>
              </a:cubicBezTo>
              <a:close/>
              <a:moveTo>
                <a:pt x="2298661" y="3615906"/>
              </a:moveTo>
              <a:cubicBezTo>
                <a:pt x="2279433" y="3615906"/>
                <a:pt x="2263842" y="3600315"/>
                <a:pt x="2263842" y="3581087"/>
              </a:cubicBezTo>
              <a:cubicBezTo>
                <a:pt x="2263842" y="3561860"/>
                <a:pt x="2279433" y="3546269"/>
                <a:pt x="2298661" y="3546269"/>
              </a:cubicBezTo>
              <a:cubicBezTo>
                <a:pt x="2317889" y="3546269"/>
                <a:pt x="2333480" y="3561860"/>
                <a:pt x="2333480" y="3581087"/>
              </a:cubicBezTo>
              <a:cubicBezTo>
                <a:pt x="2333480" y="3600315"/>
                <a:pt x="2317889" y="3615906"/>
                <a:pt x="2298661" y="3615906"/>
              </a:cubicBezTo>
              <a:close/>
              <a:moveTo>
                <a:pt x="2468446" y="3615906"/>
              </a:moveTo>
              <a:cubicBezTo>
                <a:pt x="2449218" y="3615906"/>
                <a:pt x="2433627" y="3600315"/>
                <a:pt x="2433627" y="3581087"/>
              </a:cubicBezTo>
              <a:cubicBezTo>
                <a:pt x="2433627" y="3561860"/>
                <a:pt x="2449218" y="3546269"/>
                <a:pt x="2468446" y="3546269"/>
              </a:cubicBezTo>
              <a:cubicBezTo>
                <a:pt x="2487673" y="3546269"/>
                <a:pt x="2503264" y="3561860"/>
                <a:pt x="2503264" y="3581087"/>
              </a:cubicBezTo>
              <a:cubicBezTo>
                <a:pt x="2503264" y="3600315"/>
                <a:pt x="2487673" y="3615906"/>
                <a:pt x="2468446" y="3615906"/>
              </a:cubicBezTo>
              <a:close/>
              <a:moveTo>
                <a:pt x="2553339" y="3615906"/>
              </a:moveTo>
              <a:cubicBezTo>
                <a:pt x="2534111" y="3615906"/>
                <a:pt x="2518520" y="3600315"/>
                <a:pt x="2518520" y="3581087"/>
              </a:cubicBezTo>
              <a:cubicBezTo>
                <a:pt x="2518520" y="3561860"/>
                <a:pt x="2534111" y="3546269"/>
                <a:pt x="2553339" y="3546269"/>
              </a:cubicBezTo>
              <a:cubicBezTo>
                <a:pt x="2572567" y="3546269"/>
                <a:pt x="2588158" y="3561860"/>
                <a:pt x="2588158" y="3581087"/>
              </a:cubicBezTo>
              <a:cubicBezTo>
                <a:pt x="2588158" y="3600315"/>
                <a:pt x="2572567" y="3615906"/>
                <a:pt x="2553339" y="3615906"/>
              </a:cubicBezTo>
              <a:close/>
              <a:moveTo>
                <a:pt x="2638231" y="3615906"/>
              </a:moveTo>
              <a:cubicBezTo>
                <a:pt x="2619003" y="3615906"/>
                <a:pt x="2603412" y="3600315"/>
                <a:pt x="2603412" y="3581087"/>
              </a:cubicBezTo>
              <a:cubicBezTo>
                <a:pt x="2603412" y="3561860"/>
                <a:pt x="2619003" y="3546269"/>
                <a:pt x="2638231" y="3546269"/>
              </a:cubicBezTo>
              <a:cubicBezTo>
                <a:pt x="2657459" y="3546269"/>
                <a:pt x="2673050" y="3561860"/>
                <a:pt x="2673050" y="3581087"/>
              </a:cubicBezTo>
              <a:cubicBezTo>
                <a:pt x="2673050" y="3600315"/>
                <a:pt x="2657459" y="3615906"/>
                <a:pt x="2638231" y="3615906"/>
              </a:cubicBezTo>
              <a:close/>
              <a:moveTo>
                <a:pt x="2723123" y="3615906"/>
              </a:moveTo>
              <a:cubicBezTo>
                <a:pt x="2703896" y="3615906"/>
                <a:pt x="2688304" y="3600315"/>
                <a:pt x="2688304" y="3581087"/>
              </a:cubicBezTo>
              <a:cubicBezTo>
                <a:pt x="2688304" y="3561860"/>
                <a:pt x="2703896" y="3546269"/>
                <a:pt x="2723123" y="3546269"/>
              </a:cubicBezTo>
              <a:cubicBezTo>
                <a:pt x="2742351" y="3546269"/>
                <a:pt x="2757942" y="3561860"/>
                <a:pt x="2757942" y="3581087"/>
              </a:cubicBezTo>
              <a:cubicBezTo>
                <a:pt x="2757942" y="3600315"/>
                <a:pt x="2742351" y="3615906"/>
                <a:pt x="2723123" y="3615906"/>
              </a:cubicBezTo>
              <a:close/>
              <a:moveTo>
                <a:pt x="2808016" y="3615906"/>
              </a:moveTo>
              <a:cubicBezTo>
                <a:pt x="2788788" y="3615906"/>
                <a:pt x="2773197" y="3600315"/>
                <a:pt x="2773197" y="3581087"/>
              </a:cubicBezTo>
              <a:cubicBezTo>
                <a:pt x="2773197" y="3561860"/>
                <a:pt x="2788788" y="3546269"/>
                <a:pt x="2808016" y="3546269"/>
              </a:cubicBezTo>
              <a:cubicBezTo>
                <a:pt x="2827243" y="3546269"/>
                <a:pt x="2842834" y="3561860"/>
                <a:pt x="2842834" y="3581087"/>
              </a:cubicBezTo>
              <a:cubicBezTo>
                <a:pt x="2842834" y="3600315"/>
                <a:pt x="2827243" y="3615906"/>
                <a:pt x="2808016" y="3615906"/>
              </a:cubicBezTo>
              <a:close/>
              <a:moveTo>
                <a:pt x="2892908" y="3615906"/>
              </a:moveTo>
              <a:cubicBezTo>
                <a:pt x="2873680" y="3615906"/>
                <a:pt x="2858089" y="3600315"/>
                <a:pt x="2858089" y="3581087"/>
              </a:cubicBezTo>
              <a:cubicBezTo>
                <a:pt x="2858089" y="3561860"/>
                <a:pt x="2873680" y="3546269"/>
                <a:pt x="2892908" y="3546269"/>
              </a:cubicBezTo>
              <a:cubicBezTo>
                <a:pt x="2912136" y="3546269"/>
                <a:pt x="2927727" y="3561860"/>
                <a:pt x="2927727" y="3581087"/>
              </a:cubicBezTo>
              <a:cubicBezTo>
                <a:pt x="2927727" y="3600315"/>
                <a:pt x="2912136" y="3615906"/>
                <a:pt x="2892908" y="3615906"/>
              </a:cubicBezTo>
              <a:close/>
              <a:moveTo>
                <a:pt x="2977801" y="3615906"/>
              </a:moveTo>
              <a:cubicBezTo>
                <a:pt x="2958573" y="3615906"/>
                <a:pt x="2942982" y="3600315"/>
                <a:pt x="2942982" y="3581087"/>
              </a:cubicBezTo>
              <a:cubicBezTo>
                <a:pt x="2942982" y="3561860"/>
                <a:pt x="2958573" y="3546269"/>
                <a:pt x="2977801" y="3546269"/>
              </a:cubicBezTo>
              <a:cubicBezTo>
                <a:pt x="2997029" y="3546269"/>
                <a:pt x="3012620" y="3561860"/>
                <a:pt x="3012620" y="3581087"/>
              </a:cubicBezTo>
              <a:cubicBezTo>
                <a:pt x="3012620" y="3600315"/>
                <a:pt x="2997029" y="3615906"/>
                <a:pt x="2977801" y="3615906"/>
              </a:cubicBezTo>
              <a:close/>
              <a:moveTo>
                <a:pt x="3062693" y="3615906"/>
              </a:moveTo>
              <a:cubicBezTo>
                <a:pt x="3043466" y="3615906"/>
                <a:pt x="3027874" y="3600315"/>
                <a:pt x="3027874" y="3581087"/>
              </a:cubicBezTo>
              <a:cubicBezTo>
                <a:pt x="3027874" y="3561860"/>
                <a:pt x="3043466" y="3546269"/>
                <a:pt x="3062693" y="3546269"/>
              </a:cubicBezTo>
              <a:cubicBezTo>
                <a:pt x="3081921" y="3546269"/>
                <a:pt x="3097512" y="3561860"/>
                <a:pt x="3097512" y="3581087"/>
              </a:cubicBezTo>
              <a:cubicBezTo>
                <a:pt x="3097512" y="3600315"/>
                <a:pt x="3081921" y="3615906"/>
                <a:pt x="3062693" y="3615906"/>
              </a:cubicBezTo>
              <a:close/>
              <a:moveTo>
                <a:pt x="3147586" y="3615906"/>
              </a:moveTo>
              <a:cubicBezTo>
                <a:pt x="3128358" y="3615906"/>
                <a:pt x="3112767" y="3600315"/>
                <a:pt x="3112767" y="3581087"/>
              </a:cubicBezTo>
              <a:cubicBezTo>
                <a:pt x="3112767" y="3561860"/>
                <a:pt x="3128358" y="3546269"/>
                <a:pt x="3147586" y="3546269"/>
              </a:cubicBezTo>
              <a:cubicBezTo>
                <a:pt x="3166813" y="3546269"/>
                <a:pt x="3182404" y="3561860"/>
                <a:pt x="3182404" y="3581087"/>
              </a:cubicBezTo>
              <a:cubicBezTo>
                <a:pt x="3182404" y="3600315"/>
                <a:pt x="3166813" y="3615906"/>
                <a:pt x="3147586" y="3615906"/>
              </a:cubicBezTo>
              <a:close/>
              <a:moveTo>
                <a:pt x="3232478" y="3615906"/>
              </a:moveTo>
              <a:cubicBezTo>
                <a:pt x="3213250" y="3615906"/>
                <a:pt x="3197659" y="3600315"/>
                <a:pt x="3197659" y="3581087"/>
              </a:cubicBezTo>
              <a:cubicBezTo>
                <a:pt x="3197659" y="3561860"/>
                <a:pt x="3213250" y="3546269"/>
                <a:pt x="3232478" y="3546269"/>
              </a:cubicBezTo>
              <a:cubicBezTo>
                <a:pt x="3251706" y="3546269"/>
                <a:pt x="3267297" y="3561860"/>
                <a:pt x="3267297" y="3581087"/>
              </a:cubicBezTo>
              <a:cubicBezTo>
                <a:pt x="3267297" y="3600315"/>
                <a:pt x="3251706" y="3615906"/>
                <a:pt x="3232478" y="3615906"/>
              </a:cubicBezTo>
              <a:close/>
              <a:moveTo>
                <a:pt x="3317371" y="3615906"/>
              </a:moveTo>
              <a:cubicBezTo>
                <a:pt x="3298143" y="3615906"/>
                <a:pt x="3282552" y="3600315"/>
                <a:pt x="3282552" y="3581087"/>
              </a:cubicBezTo>
              <a:cubicBezTo>
                <a:pt x="3282552" y="3561860"/>
                <a:pt x="3298143" y="3546269"/>
                <a:pt x="3317371" y="3546269"/>
              </a:cubicBezTo>
              <a:cubicBezTo>
                <a:pt x="3336599" y="3546269"/>
                <a:pt x="3352190" y="3561860"/>
                <a:pt x="3352190" y="3581087"/>
              </a:cubicBezTo>
              <a:cubicBezTo>
                <a:pt x="3352190" y="3600315"/>
                <a:pt x="3336599" y="3615906"/>
                <a:pt x="3317371" y="3615906"/>
              </a:cubicBezTo>
              <a:close/>
              <a:moveTo>
                <a:pt x="5609471" y="3615906"/>
              </a:moveTo>
              <a:cubicBezTo>
                <a:pt x="5590244" y="3615906"/>
                <a:pt x="5574646" y="3600315"/>
                <a:pt x="5574646" y="3581087"/>
              </a:cubicBezTo>
              <a:cubicBezTo>
                <a:pt x="5574646" y="3561860"/>
                <a:pt x="5590244" y="3546269"/>
                <a:pt x="5609471" y="3546269"/>
              </a:cubicBezTo>
              <a:cubicBezTo>
                <a:pt x="5628699" y="3546269"/>
                <a:pt x="5644284" y="3561860"/>
                <a:pt x="5644284" y="3581087"/>
              </a:cubicBezTo>
              <a:cubicBezTo>
                <a:pt x="5644284" y="3600315"/>
                <a:pt x="5628699" y="3615906"/>
                <a:pt x="5609471" y="3615906"/>
              </a:cubicBezTo>
              <a:close/>
              <a:moveTo>
                <a:pt x="5694364" y="3615906"/>
              </a:moveTo>
              <a:cubicBezTo>
                <a:pt x="5675136" y="3615906"/>
                <a:pt x="5659538" y="3600315"/>
                <a:pt x="5659538" y="3581087"/>
              </a:cubicBezTo>
              <a:cubicBezTo>
                <a:pt x="5659538" y="3561860"/>
                <a:pt x="5675136" y="3546269"/>
                <a:pt x="5694364" y="3546269"/>
              </a:cubicBezTo>
              <a:cubicBezTo>
                <a:pt x="5713591" y="3546269"/>
                <a:pt x="5729176" y="3561860"/>
                <a:pt x="5729176" y="3581087"/>
              </a:cubicBezTo>
              <a:cubicBezTo>
                <a:pt x="5729176" y="3600315"/>
                <a:pt x="5713591" y="3615906"/>
                <a:pt x="5694364" y="3615906"/>
              </a:cubicBezTo>
              <a:close/>
              <a:moveTo>
                <a:pt x="5779256" y="3615906"/>
              </a:moveTo>
              <a:cubicBezTo>
                <a:pt x="5760028" y="3615906"/>
                <a:pt x="5744430" y="3600315"/>
                <a:pt x="5744430" y="3581087"/>
              </a:cubicBezTo>
              <a:cubicBezTo>
                <a:pt x="5744430" y="3561860"/>
                <a:pt x="5760028" y="3546269"/>
                <a:pt x="5779256" y="3546269"/>
              </a:cubicBezTo>
              <a:cubicBezTo>
                <a:pt x="5798484" y="3546269"/>
                <a:pt x="5814068" y="3561860"/>
                <a:pt x="5814068" y="3581087"/>
              </a:cubicBezTo>
              <a:cubicBezTo>
                <a:pt x="5814068" y="3600315"/>
                <a:pt x="5798484" y="3615906"/>
                <a:pt x="5779256" y="3615906"/>
              </a:cubicBezTo>
              <a:close/>
              <a:moveTo>
                <a:pt x="5864148" y="3615906"/>
              </a:moveTo>
              <a:cubicBezTo>
                <a:pt x="5844920" y="3615906"/>
                <a:pt x="5829323" y="3600315"/>
                <a:pt x="5829323" y="3581087"/>
              </a:cubicBezTo>
              <a:cubicBezTo>
                <a:pt x="5829323" y="3561860"/>
                <a:pt x="5844920" y="3546269"/>
                <a:pt x="5864148" y="3546269"/>
              </a:cubicBezTo>
              <a:cubicBezTo>
                <a:pt x="5883376" y="3546269"/>
                <a:pt x="5898960" y="3561860"/>
                <a:pt x="5898960" y="3581087"/>
              </a:cubicBezTo>
              <a:cubicBezTo>
                <a:pt x="5898960" y="3600315"/>
                <a:pt x="5883376" y="3615906"/>
                <a:pt x="5864148" y="3615906"/>
              </a:cubicBezTo>
              <a:close/>
              <a:moveTo>
                <a:pt x="5949041" y="3615906"/>
              </a:moveTo>
              <a:cubicBezTo>
                <a:pt x="5929814" y="3615906"/>
                <a:pt x="5914216" y="3600315"/>
                <a:pt x="5914216" y="3581087"/>
              </a:cubicBezTo>
              <a:cubicBezTo>
                <a:pt x="5914216" y="3561860"/>
                <a:pt x="5929814" y="3546269"/>
                <a:pt x="5949041" y="3546269"/>
              </a:cubicBezTo>
              <a:cubicBezTo>
                <a:pt x="5968269" y="3546269"/>
                <a:pt x="5983854" y="3561860"/>
                <a:pt x="5983854" y="3581087"/>
              </a:cubicBezTo>
              <a:cubicBezTo>
                <a:pt x="5983854" y="3600315"/>
                <a:pt x="5968269" y="3615906"/>
                <a:pt x="5949041" y="3615906"/>
              </a:cubicBezTo>
              <a:close/>
              <a:moveTo>
                <a:pt x="6033934" y="3615906"/>
              </a:moveTo>
              <a:cubicBezTo>
                <a:pt x="6014706" y="3615906"/>
                <a:pt x="5999108" y="3600315"/>
                <a:pt x="5999108" y="3581087"/>
              </a:cubicBezTo>
              <a:cubicBezTo>
                <a:pt x="5999108" y="3561860"/>
                <a:pt x="6014706" y="3546269"/>
                <a:pt x="6033934" y="3546269"/>
              </a:cubicBezTo>
              <a:cubicBezTo>
                <a:pt x="6053161" y="3546269"/>
                <a:pt x="6068746" y="3561860"/>
                <a:pt x="6068746" y="3581087"/>
              </a:cubicBezTo>
              <a:cubicBezTo>
                <a:pt x="6068746" y="3600315"/>
                <a:pt x="6053161" y="3615906"/>
                <a:pt x="6033934" y="3615906"/>
              </a:cubicBezTo>
              <a:close/>
              <a:moveTo>
                <a:pt x="6118826" y="3615906"/>
              </a:moveTo>
              <a:cubicBezTo>
                <a:pt x="6099598" y="3615906"/>
                <a:pt x="6084000" y="3600315"/>
                <a:pt x="6084000" y="3581087"/>
              </a:cubicBezTo>
              <a:cubicBezTo>
                <a:pt x="6084000" y="3561860"/>
                <a:pt x="6099598" y="3546269"/>
                <a:pt x="6118826" y="3546269"/>
              </a:cubicBezTo>
              <a:cubicBezTo>
                <a:pt x="6138054" y="3546269"/>
                <a:pt x="6153638" y="3561860"/>
                <a:pt x="6153638" y="3581087"/>
              </a:cubicBezTo>
              <a:cubicBezTo>
                <a:pt x="6153638" y="3600315"/>
                <a:pt x="6138054" y="3615906"/>
                <a:pt x="6118826" y="3615906"/>
              </a:cubicBezTo>
              <a:close/>
              <a:moveTo>
                <a:pt x="6203718" y="3615906"/>
              </a:moveTo>
              <a:cubicBezTo>
                <a:pt x="6184490" y="3615906"/>
                <a:pt x="6168893" y="3600315"/>
                <a:pt x="6168893" y="3581087"/>
              </a:cubicBezTo>
              <a:cubicBezTo>
                <a:pt x="6168893" y="3561860"/>
                <a:pt x="6184490" y="3546269"/>
                <a:pt x="6203718" y="3546269"/>
              </a:cubicBezTo>
              <a:cubicBezTo>
                <a:pt x="6222946" y="3546269"/>
                <a:pt x="6238530" y="3561860"/>
                <a:pt x="6238530" y="3581087"/>
              </a:cubicBezTo>
              <a:cubicBezTo>
                <a:pt x="6238530" y="3600315"/>
                <a:pt x="6222946" y="3615906"/>
                <a:pt x="6203718" y="3615906"/>
              </a:cubicBezTo>
              <a:close/>
              <a:moveTo>
                <a:pt x="6288611" y="3615906"/>
              </a:moveTo>
              <a:cubicBezTo>
                <a:pt x="6269384" y="3615906"/>
                <a:pt x="6253786" y="3600315"/>
                <a:pt x="6253786" y="3581087"/>
              </a:cubicBezTo>
              <a:cubicBezTo>
                <a:pt x="6253786" y="3561860"/>
                <a:pt x="6269384" y="3546269"/>
                <a:pt x="6288611" y="3546269"/>
              </a:cubicBezTo>
              <a:cubicBezTo>
                <a:pt x="6307839" y="3546269"/>
                <a:pt x="6323424" y="3561860"/>
                <a:pt x="6323424" y="3581087"/>
              </a:cubicBezTo>
              <a:cubicBezTo>
                <a:pt x="6323424" y="3600315"/>
                <a:pt x="6307839" y="3615906"/>
                <a:pt x="6288611" y="3615906"/>
              </a:cubicBezTo>
              <a:close/>
              <a:moveTo>
                <a:pt x="6543288" y="3615906"/>
              </a:moveTo>
              <a:cubicBezTo>
                <a:pt x="6524060" y="3615906"/>
                <a:pt x="6508463" y="3600315"/>
                <a:pt x="6508463" y="3581087"/>
              </a:cubicBezTo>
              <a:cubicBezTo>
                <a:pt x="6508463" y="3561860"/>
                <a:pt x="6524060" y="3546269"/>
                <a:pt x="6543288" y="3546269"/>
              </a:cubicBezTo>
              <a:cubicBezTo>
                <a:pt x="6562516" y="3546269"/>
                <a:pt x="6578100" y="3561860"/>
                <a:pt x="6578100" y="3581087"/>
              </a:cubicBezTo>
              <a:cubicBezTo>
                <a:pt x="6578100" y="3600315"/>
                <a:pt x="6562516" y="3615906"/>
                <a:pt x="6543288" y="3615906"/>
              </a:cubicBezTo>
              <a:close/>
              <a:moveTo>
                <a:pt x="6967750" y="3615906"/>
              </a:moveTo>
              <a:cubicBezTo>
                <a:pt x="6948523" y="3615906"/>
                <a:pt x="6932925" y="3600315"/>
                <a:pt x="6932925" y="3581087"/>
              </a:cubicBezTo>
              <a:cubicBezTo>
                <a:pt x="6932925" y="3561860"/>
                <a:pt x="6948523" y="3546269"/>
                <a:pt x="6967750" y="3546269"/>
              </a:cubicBezTo>
              <a:cubicBezTo>
                <a:pt x="6986978" y="3546269"/>
                <a:pt x="7002563" y="3561860"/>
                <a:pt x="7002563" y="3581087"/>
              </a:cubicBezTo>
              <a:cubicBezTo>
                <a:pt x="7002563" y="3600315"/>
                <a:pt x="6986978" y="3615906"/>
                <a:pt x="6967750" y="3615906"/>
              </a:cubicBezTo>
              <a:close/>
              <a:moveTo>
                <a:pt x="7052644" y="3615906"/>
              </a:moveTo>
              <a:cubicBezTo>
                <a:pt x="7033416" y="3615906"/>
                <a:pt x="7017818" y="3600315"/>
                <a:pt x="7017818" y="3581087"/>
              </a:cubicBezTo>
              <a:cubicBezTo>
                <a:pt x="7017818" y="3561860"/>
                <a:pt x="7033416" y="3546269"/>
                <a:pt x="7052644" y="3546269"/>
              </a:cubicBezTo>
              <a:cubicBezTo>
                <a:pt x="7071871" y="3546269"/>
                <a:pt x="7087456" y="3561860"/>
                <a:pt x="7087456" y="3581087"/>
              </a:cubicBezTo>
              <a:cubicBezTo>
                <a:pt x="7087456" y="3600315"/>
                <a:pt x="7071871" y="3615906"/>
                <a:pt x="7052644" y="3615906"/>
              </a:cubicBezTo>
              <a:close/>
              <a:moveTo>
                <a:pt x="7137536" y="3615906"/>
              </a:moveTo>
              <a:cubicBezTo>
                <a:pt x="7118308" y="3615906"/>
                <a:pt x="7102710" y="3600315"/>
                <a:pt x="7102710" y="3581087"/>
              </a:cubicBezTo>
              <a:cubicBezTo>
                <a:pt x="7102710" y="3561860"/>
                <a:pt x="7118308" y="3546269"/>
                <a:pt x="7137536" y="3546269"/>
              </a:cubicBezTo>
              <a:cubicBezTo>
                <a:pt x="7156764" y="3546269"/>
                <a:pt x="7172348" y="3561860"/>
                <a:pt x="7172348" y="3581087"/>
              </a:cubicBezTo>
              <a:cubicBezTo>
                <a:pt x="7172348" y="3600315"/>
                <a:pt x="7156764" y="3615906"/>
                <a:pt x="7137536" y="3615906"/>
              </a:cubicBezTo>
              <a:close/>
              <a:moveTo>
                <a:pt x="7222428" y="3615906"/>
              </a:moveTo>
              <a:cubicBezTo>
                <a:pt x="7203200" y="3615906"/>
                <a:pt x="7187603" y="3600315"/>
                <a:pt x="7187603" y="3581087"/>
              </a:cubicBezTo>
              <a:cubicBezTo>
                <a:pt x="7187603" y="3561860"/>
                <a:pt x="7203200" y="3546269"/>
                <a:pt x="7222428" y="3546269"/>
              </a:cubicBezTo>
              <a:cubicBezTo>
                <a:pt x="7241656" y="3546269"/>
                <a:pt x="7257240" y="3561860"/>
                <a:pt x="7257240" y="3581087"/>
              </a:cubicBezTo>
              <a:cubicBezTo>
                <a:pt x="7257240" y="3600315"/>
                <a:pt x="7241656" y="3615906"/>
                <a:pt x="7222428" y="3615906"/>
              </a:cubicBezTo>
              <a:close/>
              <a:moveTo>
                <a:pt x="7307320" y="3615906"/>
              </a:moveTo>
              <a:cubicBezTo>
                <a:pt x="7288093" y="3615906"/>
                <a:pt x="7272495" y="3600315"/>
                <a:pt x="7272495" y="3581087"/>
              </a:cubicBezTo>
              <a:cubicBezTo>
                <a:pt x="7272495" y="3561860"/>
                <a:pt x="7288093" y="3546269"/>
                <a:pt x="7307320" y="3546269"/>
              </a:cubicBezTo>
              <a:cubicBezTo>
                <a:pt x="7326548" y="3546269"/>
                <a:pt x="7342133" y="3561860"/>
                <a:pt x="7342133" y="3581087"/>
              </a:cubicBezTo>
              <a:cubicBezTo>
                <a:pt x="7342133" y="3600315"/>
                <a:pt x="7326548" y="3615906"/>
                <a:pt x="7307320" y="3615906"/>
              </a:cubicBezTo>
              <a:close/>
              <a:moveTo>
                <a:pt x="7392214" y="3615906"/>
              </a:moveTo>
              <a:cubicBezTo>
                <a:pt x="7372986" y="3615906"/>
                <a:pt x="7357388" y="3600315"/>
                <a:pt x="7357388" y="3581087"/>
              </a:cubicBezTo>
              <a:cubicBezTo>
                <a:pt x="7357388" y="3561860"/>
                <a:pt x="7372986" y="3546269"/>
                <a:pt x="7392214" y="3546269"/>
              </a:cubicBezTo>
              <a:cubicBezTo>
                <a:pt x="7411441" y="3546269"/>
                <a:pt x="7427026" y="3561860"/>
                <a:pt x="7427026" y="3581087"/>
              </a:cubicBezTo>
              <a:cubicBezTo>
                <a:pt x="7427026" y="3600315"/>
                <a:pt x="7411441" y="3615906"/>
                <a:pt x="7392214" y="3615906"/>
              </a:cubicBezTo>
              <a:close/>
              <a:moveTo>
                <a:pt x="7477106" y="3615906"/>
              </a:moveTo>
              <a:cubicBezTo>
                <a:pt x="7457878" y="3615906"/>
                <a:pt x="7442280" y="3600315"/>
                <a:pt x="7442280" y="3581087"/>
              </a:cubicBezTo>
              <a:cubicBezTo>
                <a:pt x="7442280" y="3561860"/>
                <a:pt x="7457878" y="3546269"/>
                <a:pt x="7477106" y="3546269"/>
              </a:cubicBezTo>
              <a:cubicBezTo>
                <a:pt x="7496334" y="3546269"/>
                <a:pt x="7511918" y="3561860"/>
                <a:pt x="7511918" y="3581087"/>
              </a:cubicBezTo>
              <a:cubicBezTo>
                <a:pt x="7511918" y="3600315"/>
                <a:pt x="7496334" y="3615906"/>
                <a:pt x="7477106" y="3615906"/>
              </a:cubicBezTo>
              <a:close/>
              <a:moveTo>
                <a:pt x="7561998" y="3615906"/>
              </a:moveTo>
              <a:cubicBezTo>
                <a:pt x="7542770" y="3615906"/>
                <a:pt x="7527173" y="3600315"/>
                <a:pt x="7527173" y="3581087"/>
              </a:cubicBezTo>
              <a:cubicBezTo>
                <a:pt x="7527173" y="3561860"/>
                <a:pt x="7542770" y="3546269"/>
                <a:pt x="7561998" y="3546269"/>
              </a:cubicBezTo>
              <a:cubicBezTo>
                <a:pt x="7581226" y="3546269"/>
                <a:pt x="7596810" y="3561860"/>
                <a:pt x="7596810" y="3581087"/>
              </a:cubicBezTo>
              <a:cubicBezTo>
                <a:pt x="7596810" y="3600315"/>
                <a:pt x="7581226" y="3615906"/>
                <a:pt x="7561998" y="3615906"/>
              </a:cubicBezTo>
              <a:close/>
              <a:moveTo>
                <a:pt x="7731784" y="3615906"/>
              </a:moveTo>
              <a:cubicBezTo>
                <a:pt x="7712556" y="3615906"/>
                <a:pt x="7696958" y="3600315"/>
                <a:pt x="7696958" y="3581087"/>
              </a:cubicBezTo>
              <a:cubicBezTo>
                <a:pt x="7696958" y="3561860"/>
                <a:pt x="7712556" y="3546269"/>
                <a:pt x="7731784" y="3546269"/>
              </a:cubicBezTo>
              <a:cubicBezTo>
                <a:pt x="7751011" y="3546269"/>
                <a:pt x="7766596" y="3561860"/>
                <a:pt x="7766596" y="3581087"/>
              </a:cubicBezTo>
              <a:cubicBezTo>
                <a:pt x="7766596" y="3600315"/>
                <a:pt x="7751011" y="3615906"/>
                <a:pt x="7731784" y="3615906"/>
              </a:cubicBezTo>
              <a:close/>
              <a:moveTo>
                <a:pt x="7816676" y="3615906"/>
              </a:moveTo>
              <a:cubicBezTo>
                <a:pt x="7797448" y="3615906"/>
                <a:pt x="7781850" y="3600315"/>
                <a:pt x="7781850" y="3581087"/>
              </a:cubicBezTo>
              <a:cubicBezTo>
                <a:pt x="7781850" y="3561860"/>
                <a:pt x="7797448" y="3546269"/>
                <a:pt x="7816676" y="3546269"/>
              </a:cubicBezTo>
              <a:cubicBezTo>
                <a:pt x="7835904" y="3546269"/>
                <a:pt x="7851488" y="3561860"/>
                <a:pt x="7851488" y="3581087"/>
              </a:cubicBezTo>
              <a:cubicBezTo>
                <a:pt x="7851488" y="3600315"/>
                <a:pt x="7835904" y="3615906"/>
                <a:pt x="7816676" y="3615906"/>
              </a:cubicBezTo>
              <a:close/>
              <a:moveTo>
                <a:pt x="7901568" y="3615906"/>
              </a:moveTo>
              <a:cubicBezTo>
                <a:pt x="7882340" y="3615906"/>
                <a:pt x="7866743" y="3600315"/>
                <a:pt x="7866743" y="3581087"/>
              </a:cubicBezTo>
              <a:cubicBezTo>
                <a:pt x="7866743" y="3561860"/>
                <a:pt x="7882340" y="3546269"/>
                <a:pt x="7901568" y="3546269"/>
              </a:cubicBezTo>
              <a:cubicBezTo>
                <a:pt x="7920796" y="3546269"/>
                <a:pt x="7936380" y="3561860"/>
                <a:pt x="7936380" y="3581087"/>
              </a:cubicBezTo>
              <a:cubicBezTo>
                <a:pt x="7936380" y="3600315"/>
                <a:pt x="7920796" y="3615906"/>
                <a:pt x="7901568" y="3615906"/>
              </a:cubicBezTo>
              <a:close/>
              <a:moveTo>
                <a:pt x="7986460" y="3615906"/>
              </a:moveTo>
              <a:cubicBezTo>
                <a:pt x="7967233" y="3615906"/>
                <a:pt x="7951635" y="3600315"/>
                <a:pt x="7951635" y="3581087"/>
              </a:cubicBezTo>
              <a:cubicBezTo>
                <a:pt x="7951635" y="3561860"/>
                <a:pt x="7967233" y="3546269"/>
                <a:pt x="7986460" y="3546269"/>
              </a:cubicBezTo>
              <a:cubicBezTo>
                <a:pt x="8005688" y="3546269"/>
                <a:pt x="8021273" y="3561860"/>
                <a:pt x="8021273" y="3581087"/>
              </a:cubicBezTo>
              <a:cubicBezTo>
                <a:pt x="8021273" y="3600315"/>
                <a:pt x="8005688" y="3615906"/>
                <a:pt x="7986460" y="3615906"/>
              </a:cubicBezTo>
              <a:close/>
              <a:moveTo>
                <a:pt x="8071353" y="3615906"/>
              </a:moveTo>
              <a:cubicBezTo>
                <a:pt x="8052125" y="3615906"/>
                <a:pt x="8036527" y="3600315"/>
                <a:pt x="8036527" y="3581087"/>
              </a:cubicBezTo>
              <a:cubicBezTo>
                <a:pt x="8036527" y="3561860"/>
                <a:pt x="8052125" y="3546269"/>
                <a:pt x="8071353" y="3546269"/>
              </a:cubicBezTo>
              <a:cubicBezTo>
                <a:pt x="8090580" y="3546269"/>
                <a:pt x="8106165" y="3561860"/>
                <a:pt x="8106165" y="3581087"/>
              </a:cubicBezTo>
              <a:cubicBezTo>
                <a:pt x="8106165" y="3600315"/>
                <a:pt x="8090580" y="3615906"/>
                <a:pt x="8071353" y="3615906"/>
              </a:cubicBezTo>
              <a:close/>
              <a:moveTo>
                <a:pt x="8156246" y="3615906"/>
              </a:moveTo>
              <a:cubicBezTo>
                <a:pt x="8137018" y="3615906"/>
                <a:pt x="8121420" y="3600315"/>
                <a:pt x="8121420" y="3581087"/>
              </a:cubicBezTo>
              <a:cubicBezTo>
                <a:pt x="8121420" y="3561860"/>
                <a:pt x="8137018" y="3546269"/>
                <a:pt x="8156246" y="3546269"/>
              </a:cubicBezTo>
              <a:cubicBezTo>
                <a:pt x="8175474" y="3546269"/>
                <a:pt x="8191058" y="3561860"/>
                <a:pt x="8191058" y="3581087"/>
              </a:cubicBezTo>
              <a:cubicBezTo>
                <a:pt x="8191058" y="3600315"/>
                <a:pt x="8175474" y="3615906"/>
                <a:pt x="8156246" y="3615906"/>
              </a:cubicBezTo>
              <a:close/>
              <a:moveTo>
                <a:pt x="8241138" y="3615906"/>
              </a:moveTo>
              <a:cubicBezTo>
                <a:pt x="8221910" y="3615906"/>
                <a:pt x="8206313" y="3600315"/>
                <a:pt x="8206313" y="3581087"/>
              </a:cubicBezTo>
              <a:cubicBezTo>
                <a:pt x="8206313" y="3561860"/>
                <a:pt x="8221910" y="3546269"/>
                <a:pt x="8241138" y="3546269"/>
              </a:cubicBezTo>
              <a:cubicBezTo>
                <a:pt x="8260366" y="3546269"/>
                <a:pt x="8275950" y="3561860"/>
                <a:pt x="8275950" y="3581087"/>
              </a:cubicBezTo>
              <a:cubicBezTo>
                <a:pt x="8275950" y="3600315"/>
                <a:pt x="8260366" y="3615906"/>
                <a:pt x="8241138" y="3615906"/>
              </a:cubicBezTo>
              <a:close/>
              <a:moveTo>
                <a:pt x="8326030" y="3615906"/>
              </a:moveTo>
              <a:cubicBezTo>
                <a:pt x="8306803" y="3615906"/>
                <a:pt x="8291205" y="3600315"/>
                <a:pt x="8291205" y="3581087"/>
              </a:cubicBezTo>
              <a:cubicBezTo>
                <a:pt x="8291205" y="3561860"/>
                <a:pt x="8306803" y="3546269"/>
                <a:pt x="8326030" y="3546269"/>
              </a:cubicBezTo>
              <a:cubicBezTo>
                <a:pt x="8345258" y="3546269"/>
                <a:pt x="8360843" y="3561860"/>
                <a:pt x="8360843" y="3581087"/>
              </a:cubicBezTo>
              <a:cubicBezTo>
                <a:pt x="8360843" y="3600315"/>
                <a:pt x="8345258" y="3615906"/>
                <a:pt x="8326030" y="3615906"/>
              </a:cubicBezTo>
              <a:close/>
              <a:moveTo>
                <a:pt x="8410923" y="3615906"/>
              </a:moveTo>
              <a:cubicBezTo>
                <a:pt x="8391695" y="3615906"/>
                <a:pt x="8376097" y="3600315"/>
                <a:pt x="8376097" y="3581087"/>
              </a:cubicBezTo>
              <a:cubicBezTo>
                <a:pt x="8376097" y="3561860"/>
                <a:pt x="8391695" y="3546269"/>
                <a:pt x="8410923" y="3546269"/>
              </a:cubicBezTo>
              <a:cubicBezTo>
                <a:pt x="8430150" y="3546269"/>
                <a:pt x="8445735" y="3561860"/>
                <a:pt x="8445735" y="3581087"/>
              </a:cubicBezTo>
              <a:cubicBezTo>
                <a:pt x="8445735" y="3600315"/>
                <a:pt x="8430150" y="3615906"/>
                <a:pt x="8410923" y="3615906"/>
              </a:cubicBezTo>
              <a:close/>
              <a:moveTo>
                <a:pt x="8495816" y="3615906"/>
              </a:moveTo>
              <a:cubicBezTo>
                <a:pt x="8476588" y="3615906"/>
                <a:pt x="8460990" y="3600315"/>
                <a:pt x="8460990" y="3581087"/>
              </a:cubicBezTo>
              <a:cubicBezTo>
                <a:pt x="8460990" y="3561860"/>
                <a:pt x="8476588" y="3546269"/>
                <a:pt x="8495816" y="3546269"/>
              </a:cubicBezTo>
              <a:cubicBezTo>
                <a:pt x="8515044" y="3546269"/>
                <a:pt x="8530628" y="3561860"/>
                <a:pt x="8530628" y="3581087"/>
              </a:cubicBezTo>
              <a:cubicBezTo>
                <a:pt x="8530628" y="3600315"/>
                <a:pt x="8515044" y="3615906"/>
                <a:pt x="8495816" y="3615906"/>
              </a:cubicBezTo>
              <a:close/>
              <a:moveTo>
                <a:pt x="8580708" y="3615906"/>
              </a:moveTo>
              <a:cubicBezTo>
                <a:pt x="8561480" y="3615906"/>
                <a:pt x="8545883" y="3600315"/>
                <a:pt x="8545883" y="3581087"/>
              </a:cubicBezTo>
              <a:cubicBezTo>
                <a:pt x="8545883" y="3561860"/>
                <a:pt x="8561480" y="3546269"/>
                <a:pt x="8580708" y="3546269"/>
              </a:cubicBezTo>
              <a:cubicBezTo>
                <a:pt x="8599936" y="3546269"/>
                <a:pt x="8615520" y="3561860"/>
                <a:pt x="8615520" y="3581087"/>
              </a:cubicBezTo>
              <a:cubicBezTo>
                <a:pt x="8615520" y="3600315"/>
                <a:pt x="8599936" y="3615906"/>
                <a:pt x="8580708" y="3615906"/>
              </a:cubicBezTo>
              <a:close/>
              <a:moveTo>
                <a:pt x="8665600" y="3615906"/>
              </a:moveTo>
              <a:cubicBezTo>
                <a:pt x="8646373" y="3615906"/>
                <a:pt x="8630775" y="3600315"/>
                <a:pt x="8630775" y="3581087"/>
              </a:cubicBezTo>
              <a:cubicBezTo>
                <a:pt x="8630775" y="3561860"/>
                <a:pt x="8646373" y="3546269"/>
                <a:pt x="8665600" y="3546269"/>
              </a:cubicBezTo>
              <a:cubicBezTo>
                <a:pt x="8684828" y="3546269"/>
                <a:pt x="8700413" y="3561860"/>
                <a:pt x="8700413" y="3581087"/>
              </a:cubicBezTo>
              <a:cubicBezTo>
                <a:pt x="8700413" y="3600315"/>
                <a:pt x="8684828" y="3615906"/>
                <a:pt x="8665600" y="3615906"/>
              </a:cubicBezTo>
              <a:close/>
              <a:moveTo>
                <a:pt x="8750493" y="3615906"/>
              </a:moveTo>
              <a:cubicBezTo>
                <a:pt x="8731265" y="3615906"/>
                <a:pt x="8715667" y="3600315"/>
                <a:pt x="8715667" y="3581087"/>
              </a:cubicBezTo>
              <a:cubicBezTo>
                <a:pt x="8715667" y="3561860"/>
                <a:pt x="8731265" y="3546269"/>
                <a:pt x="8750493" y="3546269"/>
              </a:cubicBezTo>
              <a:cubicBezTo>
                <a:pt x="8769720" y="3546269"/>
                <a:pt x="8785305" y="3561860"/>
                <a:pt x="8785305" y="3581087"/>
              </a:cubicBezTo>
              <a:cubicBezTo>
                <a:pt x="8785305" y="3600315"/>
                <a:pt x="8769720" y="3615906"/>
                <a:pt x="8750493" y="3615906"/>
              </a:cubicBezTo>
              <a:close/>
              <a:moveTo>
                <a:pt x="8835386" y="3615906"/>
              </a:moveTo>
              <a:cubicBezTo>
                <a:pt x="8816158" y="3615906"/>
                <a:pt x="8800560" y="3600315"/>
                <a:pt x="8800560" y="3581087"/>
              </a:cubicBezTo>
              <a:cubicBezTo>
                <a:pt x="8800560" y="3561860"/>
                <a:pt x="8816158" y="3546269"/>
                <a:pt x="8835386" y="3546269"/>
              </a:cubicBezTo>
              <a:cubicBezTo>
                <a:pt x="8854614" y="3546269"/>
                <a:pt x="8870198" y="3561860"/>
                <a:pt x="8870198" y="3581087"/>
              </a:cubicBezTo>
              <a:cubicBezTo>
                <a:pt x="8870198" y="3600315"/>
                <a:pt x="8854614" y="3615906"/>
                <a:pt x="8835386" y="3615906"/>
              </a:cubicBezTo>
              <a:close/>
              <a:moveTo>
                <a:pt x="8920278" y="3615906"/>
              </a:moveTo>
              <a:cubicBezTo>
                <a:pt x="8901050" y="3615906"/>
                <a:pt x="8885453" y="3600315"/>
                <a:pt x="8885453" y="3581087"/>
              </a:cubicBezTo>
              <a:cubicBezTo>
                <a:pt x="8885453" y="3561860"/>
                <a:pt x="8901050" y="3546269"/>
                <a:pt x="8920278" y="3546269"/>
              </a:cubicBezTo>
              <a:cubicBezTo>
                <a:pt x="8939506" y="3546269"/>
                <a:pt x="8955090" y="3561860"/>
                <a:pt x="8955090" y="3581087"/>
              </a:cubicBezTo>
              <a:cubicBezTo>
                <a:pt x="8955090" y="3600315"/>
                <a:pt x="8939506" y="3615906"/>
                <a:pt x="8920278" y="3615906"/>
              </a:cubicBezTo>
              <a:close/>
              <a:moveTo>
                <a:pt x="9005170" y="3615906"/>
              </a:moveTo>
              <a:cubicBezTo>
                <a:pt x="8985943" y="3615906"/>
                <a:pt x="8970345" y="3600315"/>
                <a:pt x="8970345" y="3581087"/>
              </a:cubicBezTo>
              <a:cubicBezTo>
                <a:pt x="8970345" y="3561860"/>
                <a:pt x="8985943" y="3546269"/>
                <a:pt x="9005170" y="3546269"/>
              </a:cubicBezTo>
              <a:cubicBezTo>
                <a:pt x="9024398" y="3546269"/>
                <a:pt x="9039983" y="3561860"/>
                <a:pt x="9039983" y="3581087"/>
              </a:cubicBezTo>
              <a:cubicBezTo>
                <a:pt x="9039983" y="3600315"/>
                <a:pt x="9024398" y="3615906"/>
                <a:pt x="9005170" y="3615906"/>
              </a:cubicBezTo>
              <a:close/>
              <a:moveTo>
                <a:pt x="9090063" y="3615906"/>
              </a:moveTo>
              <a:cubicBezTo>
                <a:pt x="9070835" y="3615906"/>
                <a:pt x="9055237" y="3600315"/>
                <a:pt x="9055237" y="3581087"/>
              </a:cubicBezTo>
              <a:cubicBezTo>
                <a:pt x="9055237" y="3561860"/>
                <a:pt x="9070835" y="3546269"/>
                <a:pt x="9090063" y="3546269"/>
              </a:cubicBezTo>
              <a:cubicBezTo>
                <a:pt x="9109290" y="3546269"/>
                <a:pt x="9124875" y="3561860"/>
                <a:pt x="9124875" y="3581087"/>
              </a:cubicBezTo>
              <a:cubicBezTo>
                <a:pt x="9124875" y="3600315"/>
                <a:pt x="9109290" y="3615906"/>
                <a:pt x="9090063" y="3615906"/>
              </a:cubicBezTo>
              <a:close/>
              <a:moveTo>
                <a:pt x="9174956" y="3615906"/>
              </a:moveTo>
              <a:cubicBezTo>
                <a:pt x="9155728" y="3615906"/>
                <a:pt x="9140130" y="3600315"/>
                <a:pt x="9140130" y="3581087"/>
              </a:cubicBezTo>
              <a:cubicBezTo>
                <a:pt x="9140130" y="3561860"/>
                <a:pt x="9155728" y="3546269"/>
                <a:pt x="9174956" y="3546269"/>
              </a:cubicBezTo>
              <a:cubicBezTo>
                <a:pt x="9194184" y="3546269"/>
                <a:pt x="9209768" y="3561860"/>
                <a:pt x="9209768" y="3581087"/>
              </a:cubicBezTo>
              <a:cubicBezTo>
                <a:pt x="9209768" y="3600315"/>
                <a:pt x="9194184" y="3615906"/>
                <a:pt x="9174956" y="3615906"/>
              </a:cubicBezTo>
              <a:close/>
              <a:moveTo>
                <a:pt x="9259848" y="3615906"/>
              </a:moveTo>
              <a:cubicBezTo>
                <a:pt x="9240620" y="3615906"/>
                <a:pt x="9225023" y="3600315"/>
                <a:pt x="9225023" y="3581087"/>
              </a:cubicBezTo>
              <a:cubicBezTo>
                <a:pt x="9225023" y="3561860"/>
                <a:pt x="9240620" y="3546269"/>
                <a:pt x="9259848" y="3546269"/>
              </a:cubicBezTo>
              <a:cubicBezTo>
                <a:pt x="9279076" y="3546269"/>
                <a:pt x="9294660" y="3561860"/>
                <a:pt x="9294660" y="3581087"/>
              </a:cubicBezTo>
              <a:cubicBezTo>
                <a:pt x="9294660" y="3600315"/>
                <a:pt x="9279076" y="3615906"/>
                <a:pt x="9259848" y="3615906"/>
              </a:cubicBezTo>
              <a:close/>
              <a:moveTo>
                <a:pt x="9344740" y="3615906"/>
              </a:moveTo>
              <a:cubicBezTo>
                <a:pt x="9325513" y="3615906"/>
                <a:pt x="9309915" y="3600315"/>
                <a:pt x="9309915" y="3581087"/>
              </a:cubicBezTo>
              <a:cubicBezTo>
                <a:pt x="9309915" y="3561860"/>
                <a:pt x="9325513" y="3546269"/>
                <a:pt x="9344740" y="3546269"/>
              </a:cubicBezTo>
              <a:cubicBezTo>
                <a:pt x="9363968" y="3546269"/>
                <a:pt x="9379553" y="3561860"/>
                <a:pt x="9379553" y="3581087"/>
              </a:cubicBezTo>
              <a:cubicBezTo>
                <a:pt x="9379553" y="3600315"/>
                <a:pt x="9363968" y="3615906"/>
                <a:pt x="9344740" y="3615906"/>
              </a:cubicBezTo>
              <a:close/>
              <a:moveTo>
                <a:pt x="9429633" y="3615906"/>
              </a:moveTo>
              <a:cubicBezTo>
                <a:pt x="9410405" y="3615906"/>
                <a:pt x="9394807" y="3600315"/>
                <a:pt x="9394807" y="3581087"/>
              </a:cubicBezTo>
              <a:cubicBezTo>
                <a:pt x="9394807" y="3561860"/>
                <a:pt x="9410405" y="3546269"/>
                <a:pt x="9429633" y="3546269"/>
              </a:cubicBezTo>
              <a:cubicBezTo>
                <a:pt x="9448860" y="3546269"/>
                <a:pt x="9464445" y="3561860"/>
                <a:pt x="9464445" y="3581087"/>
              </a:cubicBezTo>
              <a:cubicBezTo>
                <a:pt x="9464445" y="3600315"/>
                <a:pt x="9448860" y="3615906"/>
                <a:pt x="9429633" y="3615906"/>
              </a:cubicBezTo>
              <a:close/>
              <a:moveTo>
                <a:pt x="9514525" y="3615906"/>
              </a:moveTo>
              <a:cubicBezTo>
                <a:pt x="9495297" y="3615906"/>
                <a:pt x="9479699" y="3600315"/>
                <a:pt x="9479699" y="3581087"/>
              </a:cubicBezTo>
              <a:cubicBezTo>
                <a:pt x="9479699" y="3561860"/>
                <a:pt x="9495297" y="3546269"/>
                <a:pt x="9514525" y="3546269"/>
              </a:cubicBezTo>
              <a:cubicBezTo>
                <a:pt x="9533753" y="3546269"/>
                <a:pt x="9549337" y="3561860"/>
                <a:pt x="9549337" y="3581087"/>
              </a:cubicBezTo>
              <a:cubicBezTo>
                <a:pt x="9549337" y="3600315"/>
                <a:pt x="9533753" y="3615906"/>
                <a:pt x="9514525" y="3615906"/>
              </a:cubicBezTo>
              <a:close/>
              <a:moveTo>
                <a:pt x="9599418" y="3615906"/>
              </a:moveTo>
              <a:cubicBezTo>
                <a:pt x="9580190" y="3615906"/>
                <a:pt x="9564593" y="3600315"/>
                <a:pt x="9564593" y="3581087"/>
              </a:cubicBezTo>
              <a:cubicBezTo>
                <a:pt x="9564593" y="3561860"/>
                <a:pt x="9580190" y="3546269"/>
                <a:pt x="9599418" y="3546269"/>
              </a:cubicBezTo>
              <a:cubicBezTo>
                <a:pt x="9618646" y="3546269"/>
                <a:pt x="9634230" y="3561860"/>
                <a:pt x="9634230" y="3581087"/>
              </a:cubicBezTo>
              <a:cubicBezTo>
                <a:pt x="9634230" y="3600315"/>
                <a:pt x="9618646" y="3615906"/>
                <a:pt x="9599418" y="3615906"/>
              </a:cubicBezTo>
              <a:close/>
              <a:moveTo>
                <a:pt x="2298661" y="3531045"/>
              </a:moveTo>
              <a:cubicBezTo>
                <a:pt x="2279433" y="3531045"/>
                <a:pt x="2263842" y="3515454"/>
                <a:pt x="2263842" y="3496227"/>
              </a:cubicBezTo>
              <a:cubicBezTo>
                <a:pt x="2263842" y="3476999"/>
                <a:pt x="2279433" y="3461408"/>
                <a:pt x="2298661" y="3461408"/>
              </a:cubicBezTo>
              <a:cubicBezTo>
                <a:pt x="2317889" y="3461408"/>
                <a:pt x="2333480" y="3476999"/>
                <a:pt x="2333480" y="3496227"/>
              </a:cubicBezTo>
              <a:cubicBezTo>
                <a:pt x="2333480" y="3515454"/>
                <a:pt x="2317889" y="3531045"/>
                <a:pt x="2298661" y="3531045"/>
              </a:cubicBezTo>
              <a:close/>
              <a:moveTo>
                <a:pt x="2383553" y="3531045"/>
              </a:moveTo>
              <a:cubicBezTo>
                <a:pt x="2364326" y="3531045"/>
                <a:pt x="2348734" y="3515454"/>
                <a:pt x="2348734" y="3496227"/>
              </a:cubicBezTo>
              <a:cubicBezTo>
                <a:pt x="2348734" y="3476999"/>
                <a:pt x="2364326" y="3461408"/>
                <a:pt x="2383553" y="3461408"/>
              </a:cubicBezTo>
              <a:cubicBezTo>
                <a:pt x="2402781" y="3461408"/>
                <a:pt x="2418372" y="3476999"/>
                <a:pt x="2418372" y="3496227"/>
              </a:cubicBezTo>
              <a:cubicBezTo>
                <a:pt x="2418372" y="3515454"/>
                <a:pt x="2402781" y="3531045"/>
                <a:pt x="2383553" y="3531045"/>
              </a:cubicBezTo>
              <a:close/>
              <a:moveTo>
                <a:pt x="2468446" y="3531045"/>
              </a:moveTo>
              <a:cubicBezTo>
                <a:pt x="2449218" y="3531045"/>
                <a:pt x="2433627" y="3515454"/>
                <a:pt x="2433627" y="3496227"/>
              </a:cubicBezTo>
              <a:cubicBezTo>
                <a:pt x="2433627" y="3476999"/>
                <a:pt x="2449218" y="3461408"/>
                <a:pt x="2468446" y="3461408"/>
              </a:cubicBezTo>
              <a:cubicBezTo>
                <a:pt x="2487673" y="3461408"/>
                <a:pt x="2503264" y="3476999"/>
                <a:pt x="2503264" y="3496227"/>
              </a:cubicBezTo>
              <a:cubicBezTo>
                <a:pt x="2503264" y="3515454"/>
                <a:pt x="2487673" y="3531045"/>
                <a:pt x="2468446" y="3531045"/>
              </a:cubicBezTo>
              <a:close/>
              <a:moveTo>
                <a:pt x="2553339" y="3531045"/>
              </a:moveTo>
              <a:cubicBezTo>
                <a:pt x="2534111" y="3531045"/>
                <a:pt x="2518520" y="3515454"/>
                <a:pt x="2518520" y="3496227"/>
              </a:cubicBezTo>
              <a:cubicBezTo>
                <a:pt x="2518520" y="3476999"/>
                <a:pt x="2534111" y="3461408"/>
                <a:pt x="2553339" y="3461408"/>
              </a:cubicBezTo>
              <a:cubicBezTo>
                <a:pt x="2572567" y="3461408"/>
                <a:pt x="2588158" y="3476999"/>
                <a:pt x="2588158" y="3496227"/>
              </a:cubicBezTo>
              <a:cubicBezTo>
                <a:pt x="2588158" y="3515454"/>
                <a:pt x="2572567" y="3531045"/>
                <a:pt x="2553339" y="3531045"/>
              </a:cubicBezTo>
              <a:close/>
              <a:moveTo>
                <a:pt x="2638231" y="3531045"/>
              </a:moveTo>
              <a:cubicBezTo>
                <a:pt x="2619003" y="3531045"/>
                <a:pt x="2603412" y="3515454"/>
                <a:pt x="2603412" y="3496227"/>
              </a:cubicBezTo>
              <a:cubicBezTo>
                <a:pt x="2603412" y="3476999"/>
                <a:pt x="2619003" y="3461408"/>
                <a:pt x="2638231" y="3461408"/>
              </a:cubicBezTo>
              <a:cubicBezTo>
                <a:pt x="2657459" y="3461408"/>
                <a:pt x="2673050" y="3476999"/>
                <a:pt x="2673050" y="3496227"/>
              </a:cubicBezTo>
              <a:cubicBezTo>
                <a:pt x="2673050" y="3515454"/>
                <a:pt x="2657459" y="3531045"/>
                <a:pt x="2638231" y="3531045"/>
              </a:cubicBezTo>
              <a:close/>
              <a:moveTo>
                <a:pt x="2723123" y="3531045"/>
              </a:moveTo>
              <a:cubicBezTo>
                <a:pt x="2703896" y="3531045"/>
                <a:pt x="2688304" y="3515454"/>
                <a:pt x="2688304" y="3496227"/>
              </a:cubicBezTo>
              <a:cubicBezTo>
                <a:pt x="2688304" y="3476999"/>
                <a:pt x="2703896" y="3461408"/>
                <a:pt x="2723123" y="3461408"/>
              </a:cubicBezTo>
              <a:cubicBezTo>
                <a:pt x="2742351" y="3461408"/>
                <a:pt x="2757942" y="3476999"/>
                <a:pt x="2757942" y="3496227"/>
              </a:cubicBezTo>
              <a:cubicBezTo>
                <a:pt x="2757942" y="3515454"/>
                <a:pt x="2742351" y="3531045"/>
                <a:pt x="2723123" y="3531045"/>
              </a:cubicBezTo>
              <a:close/>
              <a:moveTo>
                <a:pt x="2808016" y="3531045"/>
              </a:moveTo>
              <a:cubicBezTo>
                <a:pt x="2788788" y="3531045"/>
                <a:pt x="2773197" y="3515454"/>
                <a:pt x="2773197" y="3496227"/>
              </a:cubicBezTo>
              <a:cubicBezTo>
                <a:pt x="2773197" y="3476999"/>
                <a:pt x="2788788" y="3461408"/>
                <a:pt x="2808016" y="3461408"/>
              </a:cubicBezTo>
              <a:cubicBezTo>
                <a:pt x="2827243" y="3461408"/>
                <a:pt x="2842834" y="3476999"/>
                <a:pt x="2842834" y="3496227"/>
              </a:cubicBezTo>
              <a:cubicBezTo>
                <a:pt x="2842834" y="3515454"/>
                <a:pt x="2827243" y="3531045"/>
                <a:pt x="2808016" y="3531045"/>
              </a:cubicBezTo>
              <a:close/>
              <a:moveTo>
                <a:pt x="2892908" y="3531045"/>
              </a:moveTo>
              <a:cubicBezTo>
                <a:pt x="2873680" y="3531045"/>
                <a:pt x="2858089" y="3515454"/>
                <a:pt x="2858089" y="3496227"/>
              </a:cubicBezTo>
              <a:cubicBezTo>
                <a:pt x="2858089" y="3476999"/>
                <a:pt x="2873680" y="3461408"/>
                <a:pt x="2892908" y="3461408"/>
              </a:cubicBezTo>
              <a:cubicBezTo>
                <a:pt x="2912136" y="3461408"/>
                <a:pt x="2927727" y="3476999"/>
                <a:pt x="2927727" y="3496227"/>
              </a:cubicBezTo>
              <a:cubicBezTo>
                <a:pt x="2927727" y="3515454"/>
                <a:pt x="2912136" y="3531045"/>
                <a:pt x="2892908" y="3531045"/>
              </a:cubicBezTo>
              <a:close/>
              <a:moveTo>
                <a:pt x="3317371" y="3531045"/>
              </a:moveTo>
              <a:cubicBezTo>
                <a:pt x="3298143" y="3531045"/>
                <a:pt x="3282552" y="3515454"/>
                <a:pt x="3282552" y="3496227"/>
              </a:cubicBezTo>
              <a:cubicBezTo>
                <a:pt x="3282552" y="3476999"/>
                <a:pt x="3298143" y="3461408"/>
                <a:pt x="3317371" y="3461408"/>
              </a:cubicBezTo>
              <a:cubicBezTo>
                <a:pt x="3336599" y="3461408"/>
                <a:pt x="3352190" y="3476999"/>
                <a:pt x="3352190" y="3496227"/>
              </a:cubicBezTo>
              <a:cubicBezTo>
                <a:pt x="3352190" y="3515454"/>
                <a:pt x="3336599" y="3531045"/>
                <a:pt x="3317371" y="3531045"/>
              </a:cubicBezTo>
              <a:close/>
              <a:moveTo>
                <a:pt x="5609471" y="3531045"/>
              </a:moveTo>
              <a:cubicBezTo>
                <a:pt x="5590244" y="3531045"/>
                <a:pt x="5574646" y="3515454"/>
                <a:pt x="5574646" y="3496227"/>
              </a:cubicBezTo>
              <a:cubicBezTo>
                <a:pt x="5574646" y="3476999"/>
                <a:pt x="5590244" y="3461408"/>
                <a:pt x="5609471" y="3461408"/>
              </a:cubicBezTo>
              <a:cubicBezTo>
                <a:pt x="5628699" y="3461408"/>
                <a:pt x="5644284" y="3476999"/>
                <a:pt x="5644284" y="3496227"/>
              </a:cubicBezTo>
              <a:cubicBezTo>
                <a:pt x="5644284" y="3515454"/>
                <a:pt x="5628699" y="3531045"/>
                <a:pt x="5609471" y="3531045"/>
              </a:cubicBezTo>
              <a:close/>
              <a:moveTo>
                <a:pt x="5694364" y="3531045"/>
              </a:moveTo>
              <a:cubicBezTo>
                <a:pt x="5675136" y="3531045"/>
                <a:pt x="5659538" y="3515454"/>
                <a:pt x="5659538" y="3496227"/>
              </a:cubicBezTo>
              <a:cubicBezTo>
                <a:pt x="5659538" y="3476999"/>
                <a:pt x="5675136" y="3461408"/>
                <a:pt x="5694364" y="3461408"/>
              </a:cubicBezTo>
              <a:cubicBezTo>
                <a:pt x="5713591" y="3461408"/>
                <a:pt x="5729176" y="3476999"/>
                <a:pt x="5729176" y="3496227"/>
              </a:cubicBezTo>
              <a:cubicBezTo>
                <a:pt x="5729176" y="3515454"/>
                <a:pt x="5713591" y="3531045"/>
                <a:pt x="5694364" y="3531045"/>
              </a:cubicBezTo>
              <a:close/>
              <a:moveTo>
                <a:pt x="5779256" y="3531045"/>
              </a:moveTo>
              <a:cubicBezTo>
                <a:pt x="5760028" y="3531045"/>
                <a:pt x="5744430" y="3515454"/>
                <a:pt x="5744430" y="3496227"/>
              </a:cubicBezTo>
              <a:cubicBezTo>
                <a:pt x="5744430" y="3476999"/>
                <a:pt x="5760028" y="3461408"/>
                <a:pt x="5779256" y="3461408"/>
              </a:cubicBezTo>
              <a:cubicBezTo>
                <a:pt x="5798484" y="3461408"/>
                <a:pt x="5814068" y="3476999"/>
                <a:pt x="5814068" y="3496227"/>
              </a:cubicBezTo>
              <a:cubicBezTo>
                <a:pt x="5814068" y="3515454"/>
                <a:pt x="5798484" y="3531045"/>
                <a:pt x="5779256" y="3531045"/>
              </a:cubicBezTo>
              <a:close/>
              <a:moveTo>
                <a:pt x="5864148" y="3531045"/>
              </a:moveTo>
              <a:cubicBezTo>
                <a:pt x="5844920" y="3531045"/>
                <a:pt x="5829323" y="3515454"/>
                <a:pt x="5829323" y="3496227"/>
              </a:cubicBezTo>
              <a:cubicBezTo>
                <a:pt x="5829323" y="3476999"/>
                <a:pt x="5844920" y="3461408"/>
                <a:pt x="5864148" y="3461408"/>
              </a:cubicBezTo>
              <a:cubicBezTo>
                <a:pt x="5883376" y="3461408"/>
                <a:pt x="5898960" y="3476999"/>
                <a:pt x="5898960" y="3496227"/>
              </a:cubicBezTo>
              <a:cubicBezTo>
                <a:pt x="5898960" y="3515454"/>
                <a:pt x="5883376" y="3531045"/>
                <a:pt x="5864148" y="3531045"/>
              </a:cubicBezTo>
              <a:close/>
              <a:moveTo>
                <a:pt x="5949041" y="3531045"/>
              </a:moveTo>
              <a:cubicBezTo>
                <a:pt x="5929814" y="3531045"/>
                <a:pt x="5914216" y="3515454"/>
                <a:pt x="5914216" y="3496227"/>
              </a:cubicBezTo>
              <a:cubicBezTo>
                <a:pt x="5914216" y="3476999"/>
                <a:pt x="5929814" y="3461408"/>
                <a:pt x="5949041" y="3461408"/>
              </a:cubicBezTo>
              <a:cubicBezTo>
                <a:pt x="5968269" y="3461408"/>
                <a:pt x="5983854" y="3476999"/>
                <a:pt x="5983854" y="3496227"/>
              </a:cubicBezTo>
              <a:cubicBezTo>
                <a:pt x="5983854" y="3515454"/>
                <a:pt x="5968269" y="3531045"/>
                <a:pt x="5949041" y="3531045"/>
              </a:cubicBezTo>
              <a:close/>
              <a:moveTo>
                <a:pt x="6033934" y="3531045"/>
              </a:moveTo>
              <a:cubicBezTo>
                <a:pt x="6014706" y="3531045"/>
                <a:pt x="5999108" y="3515454"/>
                <a:pt x="5999108" y="3496227"/>
              </a:cubicBezTo>
              <a:cubicBezTo>
                <a:pt x="5999108" y="3476999"/>
                <a:pt x="6014706" y="3461408"/>
                <a:pt x="6033934" y="3461408"/>
              </a:cubicBezTo>
              <a:cubicBezTo>
                <a:pt x="6053161" y="3461408"/>
                <a:pt x="6068746" y="3476999"/>
                <a:pt x="6068746" y="3496227"/>
              </a:cubicBezTo>
              <a:cubicBezTo>
                <a:pt x="6068746" y="3515454"/>
                <a:pt x="6053161" y="3531045"/>
                <a:pt x="6033934" y="3531045"/>
              </a:cubicBezTo>
              <a:close/>
              <a:moveTo>
                <a:pt x="6118826" y="3531045"/>
              </a:moveTo>
              <a:cubicBezTo>
                <a:pt x="6099598" y="3531045"/>
                <a:pt x="6084000" y="3515454"/>
                <a:pt x="6084000" y="3496227"/>
              </a:cubicBezTo>
              <a:cubicBezTo>
                <a:pt x="6084000" y="3476999"/>
                <a:pt x="6099598" y="3461408"/>
                <a:pt x="6118826" y="3461408"/>
              </a:cubicBezTo>
              <a:cubicBezTo>
                <a:pt x="6138054" y="3461408"/>
                <a:pt x="6153638" y="3476999"/>
                <a:pt x="6153638" y="3496227"/>
              </a:cubicBezTo>
              <a:cubicBezTo>
                <a:pt x="6153638" y="3515454"/>
                <a:pt x="6138054" y="3531045"/>
                <a:pt x="6118826" y="3531045"/>
              </a:cubicBezTo>
              <a:close/>
              <a:moveTo>
                <a:pt x="6203718" y="3531045"/>
              </a:moveTo>
              <a:cubicBezTo>
                <a:pt x="6184490" y="3531045"/>
                <a:pt x="6168893" y="3515454"/>
                <a:pt x="6168893" y="3496227"/>
              </a:cubicBezTo>
              <a:cubicBezTo>
                <a:pt x="6168893" y="3476999"/>
                <a:pt x="6184490" y="3461408"/>
                <a:pt x="6203718" y="3461408"/>
              </a:cubicBezTo>
              <a:cubicBezTo>
                <a:pt x="6222946" y="3461408"/>
                <a:pt x="6238530" y="3476999"/>
                <a:pt x="6238530" y="3496227"/>
              </a:cubicBezTo>
              <a:cubicBezTo>
                <a:pt x="6238530" y="3515454"/>
                <a:pt x="6222946" y="3531045"/>
                <a:pt x="6203718" y="3531045"/>
              </a:cubicBezTo>
              <a:close/>
              <a:moveTo>
                <a:pt x="6288611" y="3531045"/>
              </a:moveTo>
              <a:cubicBezTo>
                <a:pt x="6269384" y="3531045"/>
                <a:pt x="6253786" y="3515454"/>
                <a:pt x="6253786" y="3496227"/>
              </a:cubicBezTo>
              <a:cubicBezTo>
                <a:pt x="6253786" y="3476999"/>
                <a:pt x="6269384" y="3461408"/>
                <a:pt x="6288611" y="3461408"/>
              </a:cubicBezTo>
              <a:cubicBezTo>
                <a:pt x="6307839" y="3461408"/>
                <a:pt x="6323424" y="3476999"/>
                <a:pt x="6323424" y="3496227"/>
              </a:cubicBezTo>
              <a:cubicBezTo>
                <a:pt x="6323424" y="3515454"/>
                <a:pt x="6307839" y="3531045"/>
                <a:pt x="6288611" y="3531045"/>
              </a:cubicBezTo>
              <a:close/>
              <a:moveTo>
                <a:pt x="6373504" y="3531045"/>
              </a:moveTo>
              <a:cubicBezTo>
                <a:pt x="6354276" y="3531045"/>
                <a:pt x="6338678" y="3515454"/>
                <a:pt x="6338678" y="3496227"/>
              </a:cubicBezTo>
              <a:cubicBezTo>
                <a:pt x="6338678" y="3476999"/>
                <a:pt x="6354276" y="3461408"/>
                <a:pt x="6373504" y="3461408"/>
              </a:cubicBezTo>
              <a:cubicBezTo>
                <a:pt x="6392731" y="3461408"/>
                <a:pt x="6408316" y="3476999"/>
                <a:pt x="6408316" y="3496227"/>
              </a:cubicBezTo>
              <a:cubicBezTo>
                <a:pt x="6408316" y="3515454"/>
                <a:pt x="6392731" y="3531045"/>
                <a:pt x="6373504" y="3531045"/>
              </a:cubicBezTo>
              <a:close/>
              <a:moveTo>
                <a:pt x="6458396" y="3531045"/>
              </a:moveTo>
              <a:cubicBezTo>
                <a:pt x="6439168" y="3531045"/>
                <a:pt x="6423570" y="3515454"/>
                <a:pt x="6423570" y="3496227"/>
              </a:cubicBezTo>
              <a:cubicBezTo>
                <a:pt x="6423570" y="3476999"/>
                <a:pt x="6439168" y="3461408"/>
                <a:pt x="6458396" y="3461408"/>
              </a:cubicBezTo>
              <a:cubicBezTo>
                <a:pt x="6477624" y="3461408"/>
                <a:pt x="6493208" y="3476999"/>
                <a:pt x="6493208" y="3496227"/>
              </a:cubicBezTo>
              <a:cubicBezTo>
                <a:pt x="6493208" y="3515454"/>
                <a:pt x="6477624" y="3531045"/>
                <a:pt x="6458396" y="3531045"/>
              </a:cubicBezTo>
              <a:close/>
              <a:moveTo>
                <a:pt x="6543288" y="3531045"/>
              </a:moveTo>
              <a:cubicBezTo>
                <a:pt x="6524060" y="3531045"/>
                <a:pt x="6508463" y="3515454"/>
                <a:pt x="6508463" y="3496227"/>
              </a:cubicBezTo>
              <a:cubicBezTo>
                <a:pt x="6508463" y="3476999"/>
                <a:pt x="6524060" y="3461408"/>
                <a:pt x="6543288" y="3461408"/>
              </a:cubicBezTo>
              <a:cubicBezTo>
                <a:pt x="6562516" y="3461408"/>
                <a:pt x="6578100" y="3476999"/>
                <a:pt x="6578100" y="3496227"/>
              </a:cubicBezTo>
              <a:cubicBezTo>
                <a:pt x="6578100" y="3515454"/>
                <a:pt x="6562516" y="3531045"/>
                <a:pt x="6543288" y="3531045"/>
              </a:cubicBezTo>
              <a:close/>
              <a:moveTo>
                <a:pt x="6628181" y="3531045"/>
              </a:moveTo>
              <a:cubicBezTo>
                <a:pt x="6608954" y="3531045"/>
                <a:pt x="6593356" y="3515454"/>
                <a:pt x="6593356" y="3496227"/>
              </a:cubicBezTo>
              <a:cubicBezTo>
                <a:pt x="6593356" y="3476999"/>
                <a:pt x="6608954" y="3461408"/>
                <a:pt x="6628181" y="3461408"/>
              </a:cubicBezTo>
              <a:cubicBezTo>
                <a:pt x="6647409" y="3461408"/>
                <a:pt x="6662994" y="3476999"/>
                <a:pt x="6662994" y="3496227"/>
              </a:cubicBezTo>
              <a:cubicBezTo>
                <a:pt x="6662994" y="3515454"/>
                <a:pt x="6647409" y="3531045"/>
                <a:pt x="6628181" y="3531045"/>
              </a:cubicBezTo>
              <a:close/>
              <a:moveTo>
                <a:pt x="6713074" y="3531045"/>
              </a:moveTo>
              <a:cubicBezTo>
                <a:pt x="6693846" y="3531045"/>
                <a:pt x="6678248" y="3515454"/>
                <a:pt x="6678248" y="3496227"/>
              </a:cubicBezTo>
              <a:cubicBezTo>
                <a:pt x="6678248" y="3476999"/>
                <a:pt x="6693846" y="3461408"/>
                <a:pt x="6713074" y="3461408"/>
              </a:cubicBezTo>
              <a:cubicBezTo>
                <a:pt x="6732301" y="3461408"/>
                <a:pt x="6747886" y="3476999"/>
                <a:pt x="6747886" y="3496227"/>
              </a:cubicBezTo>
              <a:cubicBezTo>
                <a:pt x="6747886" y="3515454"/>
                <a:pt x="6732301" y="3531045"/>
                <a:pt x="6713074" y="3531045"/>
              </a:cubicBezTo>
              <a:close/>
              <a:moveTo>
                <a:pt x="6797966" y="3531045"/>
              </a:moveTo>
              <a:cubicBezTo>
                <a:pt x="6778738" y="3531045"/>
                <a:pt x="6763140" y="3515454"/>
                <a:pt x="6763140" y="3496227"/>
              </a:cubicBezTo>
              <a:cubicBezTo>
                <a:pt x="6763140" y="3476999"/>
                <a:pt x="6778738" y="3461408"/>
                <a:pt x="6797966" y="3461408"/>
              </a:cubicBezTo>
              <a:cubicBezTo>
                <a:pt x="6817194" y="3461408"/>
                <a:pt x="6832778" y="3476999"/>
                <a:pt x="6832778" y="3496227"/>
              </a:cubicBezTo>
              <a:cubicBezTo>
                <a:pt x="6832778" y="3515454"/>
                <a:pt x="6817194" y="3531045"/>
                <a:pt x="6797966" y="3531045"/>
              </a:cubicBezTo>
              <a:close/>
              <a:moveTo>
                <a:pt x="6882858" y="3531045"/>
              </a:moveTo>
              <a:cubicBezTo>
                <a:pt x="6863630" y="3531045"/>
                <a:pt x="6848033" y="3515454"/>
                <a:pt x="6848033" y="3496227"/>
              </a:cubicBezTo>
              <a:cubicBezTo>
                <a:pt x="6848033" y="3476999"/>
                <a:pt x="6863630" y="3461408"/>
                <a:pt x="6882858" y="3461408"/>
              </a:cubicBezTo>
              <a:cubicBezTo>
                <a:pt x="6902086" y="3461408"/>
                <a:pt x="6917670" y="3476999"/>
                <a:pt x="6917670" y="3496227"/>
              </a:cubicBezTo>
              <a:cubicBezTo>
                <a:pt x="6917670" y="3515454"/>
                <a:pt x="6902086" y="3531045"/>
                <a:pt x="6882858" y="3531045"/>
              </a:cubicBezTo>
              <a:close/>
              <a:moveTo>
                <a:pt x="6967750" y="3531045"/>
              </a:moveTo>
              <a:cubicBezTo>
                <a:pt x="6948523" y="3531045"/>
                <a:pt x="6932925" y="3515454"/>
                <a:pt x="6932925" y="3496227"/>
              </a:cubicBezTo>
              <a:cubicBezTo>
                <a:pt x="6932925" y="3476999"/>
                <a:pt x="6948523" y="3461408"/>
                <a:pt x="6967750" y="3461408"/>
              </a:cubicBezTo>
              <a:cubicBezTo>
                <a:pt x="6986978" y="3461408"/>
                <a:pt x="7002563" y="3476999"/>
                <a:pt x="7002563" y="3496227"/>
              </a:cubicBezTo>
              <a:cubicBezTo>
                <a:pt x="7002563" y="3515454"/>
                <a:pt x="6986978" y="3531045"/>
                <a:pt x="6967750" y="3531045"/>
              </a:cubicBezTo>
              <a:close/>
              <a:moveTo>
                <a:pt x="7052644" y="3531045"/>
              </a:moveTo>
              <a:cubicBezTo>
                <a:pt x="7033416" y="3531045"/>
                <a:pt x="7017818" y="3515454"/>
                <a:pt x="7017818" y="3496227"/>
              </a:cubicBezTo>
              <a:cubicBezTo>
                <a:pt x="7017818" y="3476999"/>
                <a:pt x="7033416" y="3461408"/>
                <a:pt x="7052644" y="3461408"/>
              </a:cubicBezTo>
              <a:cubicBezTo>
                <a:pt x="7071871" y="3461408"/>
                <a:pt x="7087456" y="3476999"/>
                <a:pt x="7087456" y="3496227"/>
              </a:cubicBezTo>
              <a:cubicBezTo>
                <a:pt x="7087456" y="3515454"/>
                <a:pt x="7071871" y="3531045"/>
                <a:pt x="7052644" y="3531045"/>
              </a:cubicBezTo>
              <a:close/>
              <a:moveTo>
                <a:pt x="7137536" y="3531045"/>
              </a:moveTo>
              <a:cubicBezTo>
                <a:pt x="7118308" y="3531045"/>
                <a:pt x="7102710" y="3515454"/>
                <a:pt x="7102710" y="3496227"/>
              </a:cubicBezTo>
              <a:cubicBezTo>
                <a:pt x="7102710" y="3476999"/>
                <a:pt x="7118308" y="3461408"/>
                <a:pt x="7137536" y="3461408"/>
              </a:cubicBezTo>
              <a:cubicBezTo>
                <a:pt x="7156764" y="3461408"/>
                <a:pt x="7172348" y="3476999"/>
                <a:pt x="7172348" y="3496227"/>
              </a:cubicBezTo>
              <a:cubicBezTo>
                <a:pt x="7172348" y="3515454"/>
                <a:pt x="7156764" y="3531045"/>
                <a:pt x="7137536" y="3531045"/>
              </a:cubicBezTo>
              <a:close/>
              <a:moveTo>
                <a:pt x="7222428" y="3531045"/>
              </a:moveTo>
              <a:cubicBezTo>
                <a:pt x="7203200" y="3531045"/>
                <a:pt x="7187603" y="3515454"/>
                <a:pt x="7187603" y="3496227"/>
              </a:cubicBezTo>
              <a:cubicBezTo>
                <a:pt x="7187603" y="3476999"/>
                <a:pt x="7203200" y="3461408"/>
                <a:pt x="7222428" y="3461408"/>
              </a:cubicBezTo>
              <a:cubicBezTo>
                <a:pt x="7241656" y="3461408"/>
                <a:pt x="7257240" y="3476999"/>
                <a:pt x="7257240" y="3496227"/>
              </a:cubicBezTo>
              <a:cubicBezTo>
                <a:pt x="7257240" y="3515454"/>
                <a:pt x="7241656" y="3531045"/>
                <a:pt x="7222428" y="3531045"/>
              </a:cubicBezTo>
              <a:close/>
              <a:moveTo>
                <a:pt x="7307320" y="3531045"/>
              </a:moveTo>
              <a:cubicBezTo>
                <a:pt x="7288093" y="3531045"/>
                <a:pt x="7272495" y="3515454"/>
                <a:pt x="7272495" y="3496227"/>
              </a:cubicBezTo>
              <a:cubicBezTo>
                <a:pt x="7272495" y="3476999"/>
                <a:pt x="7288093" y="3461408"/>
                <a:pt x="7307320" y="3461408"/>
              </a:cubicBezTo>
              <a:cubicBezTo>
                <a:pt x="7326548" y="3461408"/>
                <a:pt x="7342133" y="3476999"/>
                <a:pt x="7342133" y="3496227"/>
              </a:cubicBezTo>
              <a:cubicBezTo>
                <a:pt x="7342133" y="3515454"/>
                <a:pt x="7326548" y="3531045"/>
                <a:pt x="7307320" y="3531045"/>
              </a:cubicBezTo>
              <a:close/>
              <a:moveTo>
                <a:pt x="7477106" y="3531045"/>
              </a:moveTo>
              <a:cubicBezTo>
                <a:pt x="7457878" y="3531045"/>
                <a:pt x="7442280" y="3515454"/>
                <a:pt x="7442280" y="3496227"/>
              </a:cubicBezTo>
              <a:cubicBezTo>
                <a:pt x="7442280" y="3476999"/>
                <a:pt x="7457878" y="3461408"/>
                <a:pt x="7477106" y="3461408"/>
              </a:cubicBezTo>
              <a:cubicBezTo>
                <a:pt x="7496334" y="3461408"/>
                <a:pt x="7511918" y="3476999"/>
                <a:pt x="7511918" y="3496227"/>
              </a:cubicBezTo>
              <a:cubicBezTo>
                <a:pt x="7511918" y="3515454"/>
                <a:pt x="7496334" y="3531045"/>
                <a:pt x="7477106" y="3531045"/>
              </a:cubicBezTo>
              <a:close/>
              <a:moveTo>
                <a:pt x="7561998" y="3531045"/>
              </a:moveTo>
              <a:cubicBezTo>
                <a:pt x="7542770" y="3531045"/>
                <a:pt x="7527173" y="3515454"/>
                <a:pt x="7527173" y="3496227"/>
              </a:cubicBezTo>
              <a:cubicBezTo>
                <a:pt x="7527173" y="3476999"/>
                <a:pt x="7542770" y="3461408"/>
                <a:pt x="7561998" y="3461408"/>
              </a:cubicBezTo>
              <a:cubicBezTo>
                <a:pt x="7581226" y="3461408"/>
                <a:pt x="7596810" y="3476999"/>
                <a:pt x="7596810" y="3496227"/>
              </a:cubicBezTo>
              <a:cubicBezTo>
                <a:pt x="7596810" y="3515454"/>
                <a:pt x="7581226" y="3531045"/>
                <a:pt x="7561998" y="3531045"/>
              </a:cubicBezTo>
              <a:close/>
              <a:moveTo>
                <a:pt x="7646890" y="3531045"/>
              </a:moveTo>
              <a:cubicBezTo>
                <a:pt x="7627663" y="3531045"/>
                <a:pt x="7612065" y="3515454"/>
                <a:pt x="7612065" y="3496227"/>
              </a:cubicBezTo>
              <a:cubicBezTo>
                <a:pt x="7612065" y="3476999"/>
                <a:pt x="7627663" y="3461408"/>
                <a:pt x="7646890" y="3461408"/>
              </a:cubicBezTo>
              <a:cubicBezTo>
                <a:pt x="7666118" y="3461408"/>
                <a:pt x="7681703" y="3476999"/>
                <a:pt x="7681703" y="3496227"/>
              </a:cubicBezTo>
              <a:cubicBezTo>
                <a:pt x="7681703" y="3515454"/>
                <a:pt x="7666118" y="3531045"/>
                <a:pt x="7646890" y="3531045"/>
              </a:cubicBezTo>
              <a:close/>
              <a:moveTo>
                <a:pt x="7731784" y="3531045"/>
              </a:moveTo>
              <a:cubicBezTo>
                <a:pt x="7712556" y="3531045"/>
                <a:pt x="7696958" y="3515454"/>
                <a:pt x="7696958" y="3496227"/>
              </a:cubicBezTo>
              <a:cubicBezTo>
                <a:pt x="7696958" y="3476999"/>
                <a:pt x="7712556" y="3461408"/>
                <a:pt x="7731784" y="3461408"/>
              </a:cubicBezTo>
              <a:cubicBezTo>
                <a:pt x="7751011" y="3461408"/>
                <a:pt x="7766596" y="3476999"/>
                <a:pt x="7766596" y="3496227"/>
              </a:cubicBezTo>
              <a:cubicBezTo>
                <a:pt x="7766596" y="3515454"/>
                <a:pt x="7751011" y="3531045"/>
                <a:pt x="7731784" y="3531045"/>
              </a:cubicBezTo>
              <a:close/>
              <a:moveTo>
                <a:pt x="7816676" y="3531045"/>
              </a:moveTo>
              <a:cubicBezTo>
                <a:pt x="7797448" y="3531045"/>
                <a:pt x="7781850" y="3515454"/>
                <a:pt x="7781850" y="3496227"/>
              </a:cubicBezTo>
              <a:cubicBezTo>
                <a:pt x="7781850" y="3476999"/>
                <a:pt x="7797448" y="3461408"/>
                <a:pt x="7816676" y="3461408"/>
              </a:cubicBezTo>
              <a:cubicBezTo>
                <a:pt x="7835904" y="3461408"/>
                <a:pt x="7851488" y="3476999"/>
                <a:pt x="7851488" y="3496227"/>
              </a:cubicBezTo>
              <a:cubicBezTo>
                <a:pt x="7851488" y="3515454"/>
                <a:pt x="7835904" y="3531045"/>
                <a:pt x="7816676" y="3531045"/>
              </a:cubicBezTo>
              <a:close/>
              <a:moveTo>
                <a:pt x="7901568" y="3531045"/>
              </a:moveTo>
              <a:cubicBezTo>
                <a:pt x="7882340" y="3531045"/>
                <a:pt x="7866743" y="3515454"/>
                <a:pt x="7866743" y="3496227"/>
              </a:cubicBezTo>
              <a:cubicBezTo>
                <a:pt x="7866743" y="3476999"/>
                <a:pt x="7882340" y="3461408"/>
                <a:pt x="7901568" y="3461408"/>
              </a:cubicBezTo>
              <a:cubicBezTo>
                <a:pt x="7920796" y="3461408"/>
                <a:pt x="7936380" y="3476999"/>
                <a:pt x="7936380" y="3496227"/>
              </a:cubicBezTo>
              <a:cubicBezTo>
                <a:pt x="7936380" y="3515454"/>
                <a:pt x="7920796" y="3531045"/>
                <a:pt x="7901568" y="3531045"/>
              </a:cubicBezTo>
              <a:close/>
              <a:moveTo>
                <a:pt x="7986460" y="3531045"/>
              </a:moveTo>
              <a:cubicBezTo>
                <a:pt x="7967233" y="3531045"/>
                <a:pt x="7951635" y="3515454"/>
                <a:pt x="7951635" y="3496227"/>
              </a:cubicBezTo>
              <a:cubicBezTo>
                <a:pt x="7951635" y="3476999"/>
                <a:pt x="7967233" y="3461408"/>
                <a:pt x="7986460" y="3461408"/>
              </a:cubicBezTo>
              <a:cubicBezTo>
                <a:pt x="8005688" y="3461408"/>
                <a:pt x="8021273" y="3476999"/>
                <a:pt x="8021273" y="3496227"/>
              </a:cubicBezTo>
              <a:cubicBezTo>
                <a:pt x="8021273" y="3515454"/>
                <a:pt x="8005688" y="3531045"/>
                <a:pt x="7986460" y="3531045"/>
              </a:cubicBezTo>
              <a:close/>
              <a:moveTo>
                <a:pt x="8071353" y="3531045"/>
              </a:moveTo>
              <a:cubicBezTo>
                <a:pt x="8052125" y="3531045"/>
                <a:pt x="8036527" y="3515454"/>
                <a:pt x="8036527" y="3496227"/>
              </a:cubicBezTo>
              <a:cubicBezTo>
                <a:pt x="8036527" y="3476999"/>
                <a:pt x="8052125" y="3461408"/>
                <a:pt x="8071353" y="3461408"/>
              </a:cubicBezTo>
              <a:cubicBezTo>
                <a:pt x="8090580" y="3461408"/>
                <a:pt x="8106165" y="3476999"/>
                <a:pt x="8106165" y="3496227"/>
              </a:cubicBezTo>
              <a:cubicBezTo>
                <a:pt x="8106165" y="3515454"/>
                <a:pt x="8090580" y="3531045"/>
                <a:pt x="8071353" y="3531045"/>
              </a:cubicBezTo>
              <a:close/>
              <a:moveTo>
                <a:pt x="8156246" y="3531045"/>
              </a:moveTo>
              <a:cubicBezTo>
                <a:pt x="8137018" y="3531045"/>
                <a:pt x="8121420" y="3515454"/>
                <a:pt x="8121420" y="3496227"/>
              </a:cubicBezTo>
              <a:cubicBezTo>
                <a:pt x="8121420" y="3476999"/>
                <a:pt x="8137018" y="3461408"/>
                <a:pt x="8156246" y="3461408"/>
              </a:cubicBezTo>
              <a:cubicBezTo>
                <a:pt x="8175474" y="3461408"/>
                <a:pt x="8191058" y="3476999"/>
                <a:pt x="8191058" y="3496227"/>
              </a:cubicBezTo>
              <a:cubicBezTo>
                <a:pt x="8191058" y="3515454"/>
                <a:pt x="8175474" y="3531045"/>
                <a:pt x="8156246" y="3531045"/>
              </a:cubicBezTo>
              <a:close/>
              <a:moveTo>
                <a:pt x="8241138" y="3531045"/>
              </a:moveTo>
              <a:cubicBezTo>
                <a:pt x="8221910" y="3531045"/>
                <a:pt x="8206313" y="3515454"/>
                <a:pt x="8206313" y="3496227"/>
              </a:cubicBezTo>
              <a:cubicBezTo>
                <a:pt x="8206313" y="3476999"/>
                <a:pt x="8221910" y="3461408"/>
                <a:pt x="8241138" y="3461408"/>
              </a:cubicBezTo>
              <a:cubicBezTo>
                <a:pt x="8260366" y="3461408"/>
                <a:pt x="8275950" y="3476999"/>
                <a:pt x="8275950" y="3496227"/>
              </a:cubicBezTo>
              <a:cubicBezTo>
                <a:pt x="8275950" y="3515454"/>
                <a:pt x="8260366" y="3531045"/>
                <a:pt x="8241138" y="3531045"/>
              </a:cubicBezTo>
              <a:close/>
              <a:moveTo>
                <a:pt x="8326030" y="3531045"/>
              </a:moveTo>
              <a:cubicBezTo>
                <a:pt x="8306803" y="3531045"/>
                <a:pt x="8291205" y="3515454"/>
                <a:pt x="8291205" y="3496227"/>
              </a:cubicBezTo>
              <a:cubicBezTo>
                <a:pt x="8291205" y="3476999"/>
                <a:pt x="8306803" y="3461408"/>
                <a:pt x="8326030" y="3461408"/>
              </a:cubicBezTo>
              <a:cubicBezTo>
                <a:pt x="8345258" y="3461408"/>
                <a:pt x="8360843" y="3476999"/>
                <a:pt x="8360843" y="3496227"/>
              </a:cubicBezTo>
              <a:cubicBezTo>
                <a:pt x="8360843" y="3515454"/>
                <a:pt x="8345258" y="3531045"/>
                <a:pt x="8326030" y="3531045"/>
              </a:cubicBezTo>
              <a:close/>
              <a:moveTo>
                <a:pt x="8410923" y="3531045"/>
              </a:moveTo>
              <a:cubicBezTo>
                <a:pt x="8391695" y="3531045"/>
                <a:pt x="8376097" y="3515454"/>
                <a:pt x="8376097" y="3496227"/>
              </a:cubicBezTo>
              <a:cubicBezTo>
                <a:pt x="8376097" y="3476999"/>
                <a:pt x="8391695" y="3461408"/>
                <a:pt x="8410923" y="3461408"/>
              </a:cubicBezTo>
              <a:cubicBezTo>
                <a:pt x="8430150" y="3461408"/>
                <a:pt x="8445735" y="3476999"/>
                <a:pt x="8445735" y="3496227"/>
              </a:cubicBezTo>
              <a:cubicBezTo>
                <a:pt x="8445735" y="3515454"/>
                <a:pt x="8430150" y="3531045"/>
                <a:pt x="8410923" y="3531045"/>
              </a:cubicBezTo>
              <a:close/>
              <a:moveTo>
                <a:pt x="8495816" y="3531045"/>
              </a:moveTo>
              <a:cubicBezTo>
                <a:pt x="8476588" y="3531045"/>
                <a:pt x="8460990" y="3515454"/>
                <a:pt x="8460990" y="3496227"/>
              </a:cubicBezTo>
              <a:cubicBezTo>
                <a:pt x="8460990" y="3476999"/>
                <a:pt x="8476588" y="3461408"/>
                <a:pt x="8495816" y="3461408"/>
              </a:cubicBezTo>
              <a:cubicBezTo>
                <a:pt x="8515044" y="3461408"/>
                <a:pt x="8530628" y="3476999"/>
                <a:pt x="8530628" y="3496227"/>
              </a:cubicBezTo>
              <a:cubicBezTo>
                <a:pt x="8530628" y="3515454"/>
                <a:pt x="8515044" y="3531045"/>
                <a:pt x="8495816" y="3531045"/>
              </a:cubicBezTo>
              <a:close/>
              <a:moveTo>
                <a:pt x="8580708" y="3531045"/>
              </a:moveTo>
              <a:cubicBezTo>
                <a:pt x="8561480" y="3531045"/>
                <a:pt x="8545883" y="3515454"/>
                <a:pt x="8545883" y="3496227"/>
              </a:cubicBezTo>
              <a:cubicBezTo>
                <a:pt x="8545883" y="3476999"/>
                <a:pt x="8561480" y="3461408"/>
                <a:pt x="8580708" y="3461408"/>
              </a:cubicBezTo>
              <a:cubicBezTo>
                <a:pt x="8599936" y="3461408"/>
                <a:pt x="8615520" y="3476999"/>
                <a:pt x="8615520" y="3496227"/>
              </a:cubicBezTo>
              <a:cubicBezTo>
                <a:pt x="8615520" y="3515454"/>
                <a:pt x="8599936" y="3531045"/>
                <a:pt x="8580708" y="3531045"/>
              </a:cubicBezTo>
              <a:close/>
              <a:moveTo>
                <a:pt x="8665600" y="3531045"/>
              </a:moveTo>
              <a:cubicBezTo>
                <a:pt x="8646373" y="3531045"/>
                <a:pt x="8630775" y="3515454"/>
                <a:pt x="8630775" y="3496227"/>
              </a:cubicBezTo>
              <a:cubicBezTo>
                <a:pt x="8630775" y="3476999"/>
                <a:pt x="8646373" y="3461408"/>
                <a:pt x="8665600" y="3461408"/>
              </a:cubicBezTo>
              <a:cubicBezTo>
                <a:pt x="8684828" y="3461408"/>
                <a:pt x="8700413" y="3476999"/>
                <a:pt x="8700413" y="3496227"/>
              </a:cubicBezTo>
              <a:cubicBezTo>
                <a:pt x="8700413" y="3515454"/>
                <a:pt x="8684828" y="3531045"/>
                <a:pt x="8665600" y="3531045"/>
              </a:cubicBezTo>
              <a:close/>
              <a:moveTo>
                <a:pt x="8750493" y="3531045"/>
              </a:moveTo>
              <a:cubicBezTo>
                <a:pt x="8731265" y="3531045"/>
                <a:pt x="8715667" y="3515454"/>
                <a:pt x="8715667" y="3496227"/>
              </a:cubicBezTo>
              <a:cubicBezTo>
                <a:pt x="8715667" y="3476999"/>
                <a:pt x="8731265" y="3461408"/>
                <a:pt x="8750493" y="3461408"/>
              </a:cubicBezTo>
              <a:cubicBezTo>
                <a:pt x="8769720" y="3461408"/>
                <a:pt x="8785305" y="3476999"/>
                <a:pt x="8785305" y="3496227"/>
              </a:cubicBezTo>
              <a:cubicBezTo>
                <a:pt x="8785305" y="3515454"/>
                <a:pt x="8769720" y="3531045"/>
                <a:pt x="8750493" y="3531045"/>
              </a:cubicBezTo>
              <a:close/>
              <a:moveTo>
                <a:pt x="8835386" y="3531045"/>
              </a:moveTo>
              <a:cubicBezTo>
                <a:pt x="8816158" y="3531045"/>
                <a:pt x="8800560" y="3515454"/>
                <a:pt x="8800560" y="3496227"/>
              </a:cubicBezTo>
              <a:cubicBezTo>
                <a:pt x="8800560" y="3476999"/>
                <a:pt x="8816158" y="3461408"/>
                <a:pt x="8835386" y="3461408"/>
              </a:cubicBezTo>
              <a:cubicBezTo>
                <a:pt x="8854614" y="3461408"/>
                <a:pt x="8870198" y="3476999"/>
                <a:pt x="8870198" y="3496227"/>
              </a:cubicBezTo>
              <a:cubicBezTo>
                <a:pt x="8870198" y="3515454"/>
                <a:pt x="8854614" y="3531045"/>
                <a:pt x="8835386" y="3531045"/>
              </a:cubicBezTo>
              <a:close/>
              <a:moveTo>
                <a:pt x="8920278" y="3531045"/>
              </a:moveTo>
              <a:cubicBezTo>
                <a:pt x="8901050" y="3531045"/>
                <a:pt x="8885453" y="3515454"/>
                <a:pt x="8885453" y="3496227"/>
              </a:cubicBezTo>
              <a:cubicBezTo>
                <a:pt x="8885453" y="3476999"/>
                <a:pt x="8901050" y="3461408"/>
                <a:pt x="8920278" y="3461408"/>
              </a:cubicBezTo>
              <a:cubicBezTo>
                <a:pt x="8939506" y="3461408"/>
                <a:pt x="8955090" y="3476999"/>
                <a:pt x="8955090" y="3496227"/>
              </a:cubicBezTo>
              <a:cubicBezTo>
                <a:pt x="8955090" y="3515454"/>
                <a:pt x="8939506" y="3531045"/>
                <a:pt x="8920278" y="3531045"/>
              </a:cubicBezTo>
              <a:close/>
              <a:moveTo>
                <a:pt x="9005170" y="3531045"/>
              </a:moveTo>
              <a:cubicBezTo>
                <a:pt x="8985943" y="3531045"/>
                <a:pt x="8970345" y="3515454"/>
                <a:pt x="8970345" y="3496227"/>
              </a:cubicBezTo>
              <a:cubicBezTo>
                <a:pt x="8970345" y="3476999"/>
                <a:pt x="8985943" y="3461408"/>
                <a:pt x="9005170" y="3461408"/>
              </a:cubicBezTo>
              <a:cubicBezTo>
                <a:pt x="9024398" y="3461408"/>
                <a:pt x="9039983" y="3476999"/>
                <a:pt x="9039983" y="3496227"/>
              </a:cubicBezTo>
              <a:cubicBezTo>
                <a:pt x="9039983" y="3515454"/>
                <a:pt x="9024398" y="3531045"/>
                <a:pt x="9005170" y="3531045"/>
              </a:cubicBezTo>
              <a:close/>
              <a:moveTo>
                <a:pt x="9090063" y="3531045"/>
              </a:moveTo>
              <a:cubicBezTo>
                <a:pt x="9070835" y="3531045"/>
                <a:pt x="9055237" y="3515454"/>
                <a:pt x="9055237" y="3496227"/>
              </a:cubicBezTo>
              <a:cubicBezTo>
                <a:pt x="9055237" y="3476999"/>
                <a:pt x="9070835" y="3461408"/>
                <a:pt x="9090063" y="3461408"/>
              </a:cubicBezTo>
              <a:cubicBezTo>
                <a:pt x="9109290" y="3461408"/>
                <a:pt x="9124875" y="3476999"/>
                <a:pt x="9124875" y="3496227"/>
              </a:cubicBezTo>
              <a:cubicBezTo>
                <a:pt x="9124875" y="3515454"/>
                <a:pt x="9109290" y="3531045"/>
                <a:pt x="9090063" y="3531045"/>
              </a:cubicBezTo>
              <a:close/>
              <a:moveTo>
                <a:pt x="9174956" y="3531045"/>
              </a:moveTo>
              <a:cubicBezTo>
                <a:pt x="9155728" y="3531045"/>
                <a:pt x="9140130" y="3515454"/>
                <a:pt x="9140130" y="3496227"/>
              </a:cubicBezTo>
              <a:cubicBezTo>
                <a:pt x="9140130" y="3476999"/>
                <a:pt x="9155728" y="3461408"/>
                <a:pt x="9174956" y="3461408"/>
              </a:cubicBezTo>
              <a:cubicBezTo>
                <a:pt x="9194184" y="3461408"/>
                <a:pt x="9209768" y="3476999"/>
                <a:pt x="9209768" y="3496227"/>
              </a:cubicBezTo>
              <a:cubicBezTo>
                <a:pt x="9209768" y="3515454"/>
                <a:pt x="9194184" y="3531045"/>
                <a:pt x="9174956" y="3531045"/>
              </a:cubicBezTo>
              <a:close/>
              <a:moveTo>
                <a:pt x="9259848" y="3531045"/>
              </a:moveTo>
              <a:cubicBezTo>
                <a:pt x="9240620" y="3531045"/>
                <a:pt x="9225023" y="3515454"/>
                <a:pt x="9225023" y="3496227"/>
              </a:cubicBezTo>
              <a:cubicBezTo>
                <a:pt x="9225023" y="3476999"/>
                <a:pt x="9240620" y="3461408"/>
                <a:pt x="9259848" y="3461408"/>
              </a:cubicBezTo>
              <a:cubicBezTo>
                <a:pt x="9279076" y="3461408"/>
                <a:pt x="9294660" y="3476999"/>
                <a:pt x="9294660" y="3496227"/>
              </a:cubicBezTo>
              <a:cubicBezTo>
                <a:pt x="9294660" y="3515454"/>
                <a:pt x="9279076" y="3531045"/>
                <a:pt x="9259848" y="3531045"/>
              </a:cubicBezTo>
              <a:close/>
              <a:moveTo>
                <a:pt x="9344740" y="3531045"/>
              </a:moveTo>
              <a:cubicBezTo>
                <a:pt x="9325513" y="3531045"/>
                <a:pt x="9309915" y="3515454"/>
                <a:pt x="9309915" y="3496227"/>
              </a:cubicBezTo>
              <a:cubicBezTo>
                <a:pt x="9309915" y="3476999"/>
                <a:pt x="9325513" y="3461408"/>
                <a:pt x="9344740" y="3461408"/>
              </a:cubicBezTo>
              <a:cubicBezTo>
                <a:pt x="9363968" y="3461408"/>
                <a:pt x="9379553" y="3476999"/>
                <a:pt x="9379553" y="3496227"/>
              </a:cubicBezTo>
              <a:cubicBezTo>
                <a:pt x="9379553" y="3515454"/>
                <a:pt x="9363968" y="3531045"/>
                <a:pt x="9344740" y="3531045"/>
              </a:cubicBezTo>
              <a:close/>
              <a:moveTo>
                <a:pt x="9429633" y="3531045"/>
              </a:moveTo>
              <a:cubicBezTo>
                <a:pt x="9410405" y="3531045"/>
                <a:pt x="9394807" y="3515454"/>
                <a:pt x="9394807" y="3496227"/>
              </a:cubicBezTo>
              <a:cubicBezTo>
                <a:pt x="9394807" y="3476999"/>
                <a:pt x="9410405" y="3461408"/>
                <a:pt x="9429633" y="3461408"/>
              </a:cubicBezTo>
              <a:cubicBezTo>
                <a:pt x="9448860" y="3461408"/>
                <a:pt x="9464445" y="3476999"/>
                <a:pt x="9464445" y="3496227"/>
              </a:cubicBezTo>
              <a:cubicBezTo>
                <a:pt x="9464445" y="3515454"/>
                <a:pt x="9448860" y="3531045"/>
                <a:pt x="9429633" y="3531045"/>
              </a:cubicBezTo>
              <a:close/>
              <a:moveTo>
                <a:pt x="9514525" y="3531045"/>
              </a:moveTo>
              <a:cubicBezTo>
                <a:pt x="9495297" y="3531045"/>
                <a:pt x="9479699" y="3515454"/>
                <a:pt x="9479699" y="3496227"/>
              </a:cubicBezTo>
              <a:cubicBezTo>
                <a:pt x="9479699" y="3476999"/>
                <a:pt x="9495297" y="3461408"/>
                <a:pt x="9514525" y="3461408"/>
              </a:cubicBezTo>
              <a:cubicBezTo>
                <a:pt x="9533753" y="3461408"/>
                <a:pt x="9549337" y="3476999"/>
                <a:pt x="9549337" y="3496227"/>
              </a:cubicBezTo>
              <a:cubicBezTo>
                <a:pt x="9549337" y="3515454"/>
                <a:pt x="9533753" y="3531045"/>
                <a:pt x="9514525" y="3531045"/>
              </a:cubicBezTo>
              <a:close/>
              <a:moveTo>
                <a:pt x="2383553" y="3446186"/>
              </a:moveTo>
              <a:cubicBezTo>
                <a:pt x="2364326" y="3446186"/>
                <a:pt x="2348734" y="3430595"/>
                <a:pt x="2348734" y="3411367"/>
              </a:cubicBezTo>
              <a:cubicBezTo>
                <a:pt x="2348734" y="3392139"/>
                <a:pt x="2364326" y="3376548"/>
                <a:pt x="2383553" y="3376548"/>
              </a:cubicBezTo>
              <a:cubicBezTo>
                <a:pt x="2402781" y="3376548"/>
                <a:pt x="2418372" y="3392139"/>
                <a:pt x="2418372" y="3411367"/>
              </a:cubicBezTo>
              <a:cubicBezTo>
                <a:pt x="2418372" y="3430595"/>
                <a:pt x="2402781" y="3446186"/>
                <a:pt x="2383553" y="3446186"/>
              </a:cubicBezTo>
              <a:close/>
              <a:moveTo>
                <a:pt x="2553339" y="3446186"/>
              </a:moveTo>
              <a:cubicBezTo>
                <a:pt x="2534111" y="3446186"/>
                <a:pt x="2518520" y="3430595"/>
                <a:pt x="2518520" y="3411367"/>
              </a:cubicBezTo>
              <a:cubicBezTo>
                <a:pt x="2518520" y="3392139"/>
                <a:pt x="2534111" y="3376548"/>
                <a:pt x="2553339" y="3376548"/>
              </a:cubicBezTo>
              <a:cubicBezTo>
                <a:pt x="2572567" y="3376548"/>
                <a:pt x="2588158" y="3392139"/>
                <a:pt x="2588158" y="3411367"/>
              </a:cubicBezTo>
              <a:cubicBezTo>
                <a:pt x="2588158" y="3430595"/>
                <a:pt x="2572567" y="3446186"/>
                <a:pt x="2553339" y="3446186"/>
              </a:cubicBezTo>
              <a:close/>
              <a:moveTo>
                <a:pt x="2638231" y="3446186"/>
              </a:moveTo>
              <a:cubicBezTo>
                <a:pt x="2619003" y="3446186"/>
                <a:pt x="2603412" y="3430595"/>
                <a:pt x="2603412" y="3411367"/>
              </a:cubicBezTo>
              <a:cubicBezTo>
                <a:pt x="2603412" y="3392139"/>
                <a:pt x="2619003" y="3376548"/>
                <a:pt x="2638231" y="3376548"/>
              </a:cubicBezTo>
              <a:cubicBezTo>
                <a:pt x="2657459" y="3376548"/>
                <a:pt x="2673050" y="3392139"/>
                <a:pt x="2673050" y="3411367"/>
              </a:cubicBezTo>
              <a:cubicBezTo>
                <a:pt x="2673050" y="3430595"/>
                <a:pt x="2657459" y="3446186"/>
                <a:pt x="2638231" y="3446186"/>
              </a:cubicBezTo>
              <a:close/>
              <a:moveTo>
                <a:pt x="2723123" y="3446186"/>
              </a:moveTo>
              <a:cubicBezTo>
                <a:pt x="2703896" y="3446186"/>
                <a:pt x="2688304" y="3430595"/>
                <a:pt x="2688304" y="3411367"/>
              </a:cubicBezTo>
              <a:cubicBezTo>
                <a:pt x="2688304" y="3392139"/>
                <a:pt x="2703896" y="3376548"/>
                <a:pt x="2723123" y="3376548"/>
              </a:cubicBezTo>
              <a:cubicBezTo>
                <a:pt x="2742351" y="3376548"/>
                <a:pt x="2757942" y="3392139"/>
                <a:pt x="2757942" y="3411367"/>
              </a:cubicBezTo>
              <a:cubicBezTo>
                <a:pt x="2757942" y="3430595"/>
                <a:pt x="2742351" y="3446186"/>
                <a:pt x="2723123" y="3446186"/>
              </a:cubicBezTo>
              <a:close/>
              <a:moveTo>
                <a:pt x="2808016" y="3446186"/>
              </a:moveTo>
              <a:cubicBezTo>
                <a:pt x="2788788" y="3446186"/>
                <a:pt x="2773197" y="3430595"/>
                <a:pt x="2773197" y="3411367"/>
              </a:cubicBezTo>
              <a:cubicBezTo>
                <a:pt x="2773197" y="3392139"/>
                <a:pt x="2788788" y="3376548"/>
                <a:pt x="2808016" y="3376548"/>
              </a:cubicBezTo>
              <a:cubicBezTo>
                <a:pt x="2827243" y="3376548"/>
                <a:pt x="2842834" y="3392139"/>
                <a:pt x="2842834" y="3411367"/>
              </a:cubicBezTo>
              <a:cubicBezTo>
                <a:pt x="2842834" y="3430595"/>
                <a:pt x="2827243" y="3446186"/>
                <a:pt x="2808016" y="3446186"/>
              </a:cubicBezTo>
              <a:close/>
              <a:moveTo>
                <a:pt x="3402263" y="3446186"/>
              </a:moveTo>
              <a:cubicBezTo>
                <a:pt x="3383036" y="3446186"/>
                <a:pt x="3367444" y="3430595"/>
                <a:pt x="3367444" y="3411367"/>
              </a:cubicBezTo>
              <a:cubicBezTo>
                <a:pt x="3367444" y="3392139"/>
                <a:pt x="3383036" y="3376548"/>
                <a:pt x="3402263" y="3376548"/>
              </a:cubicBezTo>
              <a:cubicBezTo>
                <a:pt x="3421491" y="3376548"/>
                <a:pt x="3437082" y="3392139"/>
                <a:pt x="3437082" y="3411367"/>
              </a:cubicBezTo>
              <a:cubicBezTo>
                <a:pt x="3437082" y="3430595"/>
                <a:pt x="3421491" y="3446186"/>
                <a:pt x="3402263" y="3446186"/>
              </a:cubicBezTo>
              <a:close/>
              <a:moveTo>
                <a:pt x="5524578" y="3446186"/>
              </a:moveTo>
              <a:cubicBezTo>
                <a:pt x="5505350" y="3446186"/>
                <a:pt x="5489753" y="3430595"/>
                <a:pt x="5489753" y="3411367"/>
              </a:cubicBezTo>
              <a:cubicBezTo>
                <a:pt x="5489753" y="3392139"/>
                <a:pt x="5505350" y="3376548"/>
                <a:pt x="5524578" y="3376548"/>
              </a:cubicBezTo>
              <a:cubicBezTo>
                <a:pt x="5543806" y="3376548"/>
                <a:pt x="5559390" y="3392139"/>
                <a:pt x="5559390" y="3411367"/>
              </a:cubicBezTo>
              <a:cubicBezTo>
                <a:pt x="5559390" y="3430595"/>
                <a:pt x="5543806" y="3446186"/>
                <a:pt x="5524578" y="3446186"/>
              </a:cubicBezTo>
              <a:close/>
              <a:moveTo>
                <a:pt x="5609471" y="3446186"/>
              </a:moveTo>
              <a:cubicBezTo>
                <a:pt x="5590244" y="3446186"/>
                <a:pt x="5574646" y="3430595"/>
                <a:pt x="5574646" y="3411367"/>
              </a:cubicBezTo>
              <a:cubicBezTo>
                <a:pt x="5574646" y="3392139"/>
                <a:pt x="5590244" y="3376548"/>
                <a:pt x="5609471" y="3376548"/>
              </a:cubicBezTo>
              <a:cubicBezTo>
                <a:pt x="5628699" y="3376548"/>
                <a:pt x="5644284" y="3392139"/>
                <a:pt x="5644284" y="3411367"/>
              </a:cubicBezTo>
              <a:cubicBezTo>
                <a:pt x="5644284" y="3430595"/>
                <a:pt x="5628699" y="3446186"/>
                <a:pt x="5609471" y="3446186"/>
              </a:cubicBezTo>
              <a:close/>
              <a:moveTo>
                <a:pt x="5694364" y="3446186"/>
              </a:moveTo>
              <a:cubicBezTo>
                <a:pt x="5675136" y="3446186"/>
                <a:pt x="5659538" y="3430595"/>
                <a:pt x="5659538" y="3411367"/>
              </a:cubicBezTo>
              <a:cubicBezTo>
                <a:pt x="5659538" y="3392139"/>
                <a:pt x="5675136" y="3376548"/>
                <a:pt x="5694364" y="3376548"/>
              </a:cubicBezTo>
              <a:cubicBezTo>
                <a:pt x="5713591" y="3376548"/>
                <a:pt x="5729176" y="3392139"/>
                <a:pt x="5729176" y="3411367"/>
              </a:cubicBezTo>
              <a:cubicBezTo>
                <a:pt x="5729176" y="3430595"/>
                <a:pt x="5713591" y="3446186"/>
                <a:pt x="5694364" y="3446186"/>
              </a:cubicBezTo>
              <a:close/>
              <a:moveTo>
                <a:pt x="5779256" y="3446186"/>
              </a:moveTo>
              <a:cubicBezTo>
                <a:pt x="5760028" y="3446186"/>
                <a:pt x="5744430" y="3430595"/>
                <a:pt x="5744430" y="3411367"/>
              </a:cubicBezTo>
              <a:cubicBezTo>
                <a:pt x="5744430" y="3392139"/>
                <a:pt x="5760028" y="3376548"/>
                <a:pt x="5779256" y="3376548"/>
              </a:cubicBezTo>
              <a:cubicBezTo>
                <a:pt x="5798484" y="3376548"/>
                <a:pt x="5814068" y="3392139"/>
                <a:pt x="5814068" y="3411367"/>
              </a:cubicBezTo>
              <a:cubicBezTo>
                <a:pt x="5814068" y="3430595"/>
                <a:pt x="5798484" y="3446186"/>
                <a:pt x="5779256" y="3446186"/>
              </a:cubicBezTo>
              <a:close/>
              <a:moveTo>
                <a:pt x="5864148" y="3446186"/>
              </a:moveTo>
              <a:cubicBezTo>
                <a:pt x="5844920" y="3446186"/>
                <a:pt x="5829323" y="3430595"/>
                <a:pt x="5829323" y="3411367"/>
              </a:cubicBezTo>
              <a:cubicBezTo>
                <a:pt x="5829323" y="3392139"/>
                <a:pt x="5844920" y="3376548"/>
                <a:pt x="5864148" y="3376548"/>
              </a:cubicBezTo>
              <a:cubicBezTo>
                <a:pt x="5883376" y="3376548"/>
                <a:pt x="5898960" y="3392139"/>
                <a:pt x="5898960" y="3411367"/>
              </a:cubicBezTo>
              <a:cubicBezTo>
                <a:pt x="5898960" y="3430595"/>
                <a:pt x="5883376" y="3446186"/>
                <a:pt x="5864148" y="3446186"/>
              </a:cubicBezTo>
              <a:close/>
              <a:moveTo>
                <a:pt x="5949041" y="3446186"/>
              </a:moveTo>
              <a:cubicBezTo>
                <a:pt x="5929814" y="3446186"/>
                <a:pt x="5914216" y="3430595"/>
                <a:pt x="5914216" y="3411367"/>
              </a:cubicBezTo>
              <a:cubicBezTo>
                <a:pt x="5914216" y="3392139"/>
                <a:pt x="5929814" y="3376548"/>
                <a:pt x="5949041" y="3376548"/>
              </a:cubicBezTo>
              <a:cubicBezTo>
                <a:pt x="5968269" y="3376548"/>
                <a:pt x="5983854" y="3392139"/>
                <a:pt x="5983854" y="3411367"/>
              </a:cubicBezTo>
              <a:cubicBezTo>
                <a:pt x="5983854" y="3430595"/>
                <a:pt x="5968269" y="3446186"/>
                <a:pt x="5949041" y="3446186"/>
              </a:cubicBezTo>
              <a:close/>
              <a:moveTo>
                <a:pt x="6033934" y="3446186"/>
              </a:moveTo>
              <a:cubicBezTo>
                <a:pt x="6014706" y="3446186"/>
                <a:pt x="5999108" y="3430595"/>
                <a:pt x="5999108" y="3411367"/>
              </a:cubicBezTo>
              <a:cubicBezTo>
                <a:pt x="5999108" y="3392139"/>
                <a:pt x="6014706" y="3376548"/>
                <a:pt x="6033934" y="3376548"/>
              </a:cubicBezTo>
              <a:cubicBezTo>
                <a:pt x="6053161" y="3376548"/>
                <a:pt x="6068746" y="3392139"/>
                <a:pt x="6068746" y="3411367"/>
              </a:cubicBezTo>
              <a:cubicBezTo>
                <a:pt x="6068746" y="3430595"/>
                <a:pt x="6053161" y="3446186"/>
                <a:pt x="6033934" y="3446186"/>
              </a:cubicBezTo>
              <a:close/>
              <a:moveTo>
                <a:pt x="6118826" y="3446186"/>
              </a:moveTo>
              <a:cubicBezTo>
                <a:pt x="6099598" y="3446186"/>
                <a:pt x="6084000" y="3430595"/>
                <a:pt x="6084000" y="3411367"/>
              </a:cubicBezTo>
              <a:cubicBezTo>
                <a:pt x="6084000" y="3392139"/>
                <a:pt x="6099598" y="3376548"/>
                <a:pt x="6118826" y="3376548"/>
              </a:cubicBezTo>
              <a:cubicBezTo>
                <a:pt x="6138054" y="3376548"/>
                <a:pt x="6153638" y="3392139"/>
                <a:pt x="6153638" y="3411367"/>
              </a:cubicBezTo>
              <a:cubicBezTo>
                <a:pt x="6153638" y="3430595"/>
                <a:pt x="6138054" y="3446186"/>
                <a:pt x="6118826" y="3446186"/>
              </a:cubicBezTo>
              <a:close/>
              <a:moveTo>
                <a:pt x="6203718" y="3446186"/>
              </a:moveTo>
              <a:cubicBezTo>
                <a:pt x="6184490" y="3446186"/>
                <a:pt x="6168893" y="3430595"/>
                <a:pt x="6168893" y="3411367"/>
              </a:cubicBezTo>
              <a:cubicBezTo>
                <a:pt x="6168893" y="3392139"/>
                <a:pt x="6184490" y="3376548"/>
                <a:pt x="6203718" y="3376548"/>
              </a:cubicBezTo>
              <a:cubicBezTo>
                <a:pt x="6222946" y="3376548"/>
                <a:pt x="6238530" y="3392139"/>
                <a:pt x="6238530" y="3411367"/>
              </a:cubicBezTo>
              <a:cubicBezTo>
                <a:pt x="6238530" y="3430595"/>
                <a:pt x="6222946" y="3446186"/>
                <a:pt x="6203718" y="3446186"/>
              </a:cubicBezTo>
              <a:close/>
              <a:moveTo>
                <a:pt x="6288611" y="3446186"/>
              </a:moveTo>
              <a:cubicBezTo>
                <a:pt x="6269384" y="3446186"/>
                <a:pt x="6253786" y="3430595"/>
                <a:pt x="6253786" y="3411367"/>
              </a:cubicBezTo>
              <a:cubicBezTo>
                <a:pt x="6253786" y="3392139"/>
                <a:pt x="6269384" y="3376548"/>
                <a:pt x="6288611" y="3376548"/>
              </a:cubicBezTo>
              <a:cubicBezTo>
                <a:pt x="6307839" y="3376548"/>
                <a:pt x="6323424" y="3392139"/>
                <a:pt x="6323424" y="3411367"/>
              </a:cubicBezTo>
              <a:cubicBezTo>
                <a:pt x="6323424" y="3430595"/>
                <a:pt x="6307839" y="3446186"/>
                <a:pt x="6288611" y="3446186"/>
              </a:cubicBezTo>
              <a:close/>
              <a:moveTo>
                <a:pt x="6373504" y="3446186"/>
              </a:moveTo>
              <a:cubicBezTo>
                <a:pt x="6354276" y="3446186"/>
                <a:pt x="6338678" y="3430595"/>
                <a:pt x="6338678" y="3411367"/>
              </a:cubicBezTo>
              <a:cubicBezTo>
                <a:pt x="6338678" y="3392139"/>
                <a:pt x="6354276" y="3376548"/>
                <a:pt x="6373504" y="3376548"/>
              </a:cubicBezTo>
              <a:cubicBezTo>
                <a:pt x="6392731" y="3376548"/>
                <a:pt x="6408316" y="3392139"/>
                <a:pt x="6408316" y="3411367"/>
              </a:cubicBezTo>
              <a:cubicBezTo>
                <a:pt x="6408316" y="3430595"/>
                <a:pt x="6392731" y="3446186"/>
                <a:pt x="6373504" y="3446186"/>
              </a:cubicBezTo>
              <a:close/>
              <a:moveTo>
                <a:pt x="6458396" y="3446186"/>
              </a:moveTo>
              <a:cubicBezTo>
                <a:pt x="6439168" y="3446186"/>
                <a:pt x="6423570" y="3430595"/>
                <a:pt x="6423570" y="3411367"/>
              </a:cubicBezTo>
              <a:cubicBezTo>
                <a:pt x="6423570" y="3392139"/>
                <a:pt x="6439168" y="3376548"/>
                <a:pt x="6458396" y="3376548"/>
              </a:cubicBezTo>
              <a:cubicBezTo>
                <a:pt x="6477624" y="3376548"/>
                <a:pt x="6493208" y="3392139"/>
                <a:pt x="6493208" y="3411367"/>
              </a:cubicBezTo>
              <a:cubicBezTo>
                <a:pt x="6493208" y="3430595"/>
                <a:pt x="6477624" y="3446186"/>
                <a:pt x="6458396" y="3446186"/>
              </a:cubicBezTo>
              <a:close/>
              <a:moveTo>
                <a:pt x="6543288" y="3446186"/>
              </a:moveTo>
              <a:cubicBezTo>
                <a:pt x="6524060" y="3446186"/>
                <a:pt x="6508463" y="3430595"/>
                <a:pt x="6508463" y="3411367"/>
              </a:cubicBezTo>
              <a:cubicBezTo>
                <a:pt x="6508463" y="3392139"/>
                <a:pt x="6524060" y="3376548"/>
                <a:pt x="6543288" y="3376548"/>
              </a:cubicBezTo>
              <a:cubicBezTo>
                <a:pt x="6562516" y="3376548"/>
                <a:pt x="6578100" y="3392139"/>
                <a:pt x="6578100" y="3411367"/>
              </a:cubicBezTo>
              <a:cubicBezTo>
                <a:pt x="6578100" y="3430595"/>
                <a:pt x="6562516" y="3446186"/>
                <a:pt x="6543288" y="3446186"/>
              </a:cubicBezTo>
              <a:close/>
              <a:moveTo>
                <a:pt x="6628181" y="3446186"/>
              </a:moveTo>
              <a:cubicBezTo>
                <a:pt x="6608954" y="3446186"/>
                <a:pt x="6593356" y="3430595"/>
                <a:pt x="6593356" y="3411367"/>
              </a:cubicBezTo>
              <a:cubicBezTo>
                <a:pt x="6593356" y="3392139"/>
                <a:pt x="6608954" y="3376548"/>
                <a:pt x="6628181" y="3376548"/>
              </a:cubicBezTo>
              <a:cubicBezTo>
                <a:pt x="6647409" y="3376548"/>
                <a:pt x="6662994" y="3392139"/>
                <a:pt x="6662994" y="3411367"/>
              </a:cubicBezTo>
              <a:cubicBezTo>
                <a:pt x="6662994" y="3430595"/>
                <a:pt x="6647409" y="3446186"/>
                <a:pt x="6628181" y="3446186"/>
              </a:cubicBezTo>
              <a:close/>
              <a:moveTo>
                <a:pt x="6713074" y="3446186"/>
              </a:moveTo>
              <a:cubicBezTo>
                <a:pt x="6693846" y="3446186"/>
                <a:pt x="6678248" y="3430595"/>
                <a:pt x="6678248" y="3411367"/>
              </a:cubicBezTo>
              <a:cubicBezTo>
                <a:pt x="6678248" y="3392139"/>
                <a:pt x="6693846" y="3376548"/>
                <a:pt x="6713074" y="3376548"/>
              </a:cubicBezTo>
              <a:cubicBezTo>
                <a:pt x="6732301" y="3376548"/>
                <a:pt x="6747886" y="3392139"/>
                <a:pt x="6747886" y="3411367"/>
              </a:cubicBezTo>
              <a:cubicBezTo>
                <a:pt x="6747886" y="3430595"/>
                <a:pt x="6732301" y="3446186"/>
                <a:pt x="6713074" y="3446186"/>
              </a:cubicBezTo>
              <a:close/>
              <a:moveTo>
                <a:pt x="6797966" y="3446186"/>
              </a:moveTo>
              <a:cubicBezTo>
                <a:pt x="6778738" y="3446186"/>
                <a:pt x="6763140" y="3430595"/>
                <a:pt x="6763140" y="3411367"/>
              </a:cubicBezTo>
              <a:cubicBezTo>
                <a:pt x="6763140" y="3392139"/>
                <a:pt x="6778738" y="3376548"/>
                <a:pt x="6797966" y="3376548"/>
              </a:cubicBezTo>
              <a:cubicBezTo>
                <a:pt x="6817194" y="3376548"/>
                <a:pt x="6832778" y="3392139"/>
                <a:pt x="6832778" y="3411367"/>
              </a:cubicBezTo>
              <a:cubicBezTo>
                <a:pt x="6832778" y="3430595"/>
                <a:pt x="6817194" y="3446186"/>
                <a:pt x="6797966" y="3446186"/>
              </a:cubicBezTo>
              <a:close/>
              <a:moveTo>
                <a:pt x="6882858" y="3446186"/>
              </a:moveTo>
              <a:cubicBezTo>
                <a:pt x="6863630" y="3446186"/>
                <a:pt x="6848033" y="3430595"/>
                <a:pt x="6848033" y="3411367"/>
              </a:cubicBezTo>
              <a:cubicBezTo>
                <a:pt x="6848033" y="3392139"/>
                <a:pt x="6863630" y="3376548"/>
                <a:pt x="6882858" y="3376548"/>
              </a:cubicBezTo>
              <a:cubicBezTo>
                <a:pt x="6902086" y="3376548"/>
                <a:pt x="6917670" y="3392139"/>
                <a:pt x="6917670" y="3411367"/>
              </a:cubicBezTo>
              <a:cubicBezTo>
                <a:pt x="6917670" y="3430595"/>
                <a:pt x="6902086" y="3446186"/>
                <a:pt x="6882858" y="3446186"/>
              </a:cubicBezTo>
              <a:close/>
              <a:moveTo>
                <a:pt x="7052644" y="3446186"/>
              </a:moveTo>
              <a:cubicBezTo>
                <a:pt x="7033416" y="3446186"/>
                <a:pt x="7017818" y="3430595"/>
                <a:pt x="7017818" y="3411367"/>
              </a:cubicBezTo>
              <a:cubicBezTo>
                <a:pt x="7017818" y="3392139"/>
                <a:pt x="7033416" y="3376548"/>
                <a:pt x="7052644" y="3376548"/>
              </a:cubicBezTo>
              <a:cubicBezTo>
                <a:pt x="7071871" y="3376548"/>
                <a:pt x="7087456" y="3392139"/>
                <a:pt x="7087456" y="3411367"/>
              </a:cubicBezTo>
              <a:cubicBezTo>
                <a:pt x="7087456" y="3430595"/>
                <a:pt x="7071871" y="3446186"/>
                <a:pt x="7052644" y="3446186"/>
              </a:cubicBezTo>
              <a:close/>
              <a:moveTo>
                <a:pt x="7137536" y="3446186"/>
              </a:moveTo>
              <a:cubicBezTo>
                <a:pt x="7118308" y="3446186"/>
                <a:pt x="7102710" y="3430595"/>
                <a:pt x="7102710" y="3411367"/>
              </a:cubicBezTo>
              <a:cubicBezTo>
                <a:pt x="7102710" y="3392139"/>
                <a:pt x="7118308" y="3376548"/>
                <a:pt x="7137536" y="3376548"/>
              </a:cubicBezTo>
              <a:cubicBezTo>
                <a:pt x="7156764" y="3376548"/>
                <a:pt x="7172348" y="3392139"/>
                <a:pt x="7172348" y="3411367"/>
              </a:cubicBezTo>
              <a:cubicBezTo>
                <a:pt x="7172348" y="3430595"/>
                <a:pt x="7156764" y="3446186"/>
                <a:pt x="7137536" y="3446186"/>
              </a:cubicBezTo>
              <a:close/>
              <a:moveTo>
                <a:pt x="7222428" y="3446186"/>
              </a:moveTo>
              <a:cubicBezTo>
                <a:pt x="7203200" y="3446186"/>
                <a:pt x="7187603" y="3430595"/>
                <a:pt x="7187603" y="3411367"/>
              </a:cubicBezTo>
              <a:cubicBezTo>
                <a:pt x="7187603" y="3392139"/>
                <a:pt x="7203200" y="3376548"/>
                <a:pt x="7222428" y="3376548"/>
              </a:cubicBezTo>
              <a:cubicBezTo>
                <a:pt x="7241656" y="3376548"/>
                <a:pt x="7257240" y="3392139"/>
                <a:pt x="7257240" y="3411367"/>
              </a:cubicBezTo>
              <a:cubicBezTo>
                <a:pt x="7257240" y="3430595"/>
                <a:pt x="7241656" y="3446186"/>
                <a:pt x="7222428" y="3446186"/>
              </a:cubicBezTo>
              <a:close/>
              <a:moveTo>
                <a:pt x="7307320" y="3446186"/>
              </a:moveTo>
              <a:cubicBezTo>
                <a:pt x="7288093" y="3446186"/>
                <a:pt x="7272495" y="3430595"/>
                <a:pt x="7272495" y="3411367"/>
              </a:cubicBezTo>
              <a:cubicBezTo>
                <a:pt x="7272495" y="3392139"/>
                <a:pt x="7288093" y="3376548"/>
                <a:pt x="7307320" y="3376548"/>
              </a:cubicBezTo>
              <a:cubicBezTo>
                <a:pt x="7326548" y="3376548"/>
                <a:pt x="7342133" y="3392139"/>
                <a:pt x="7342133" y="3411367"/>
              </a:cubicBezTo>
              <a:cubicBezTo>
                <a:pt x="7342133" y="3430595"/>
                <a:pt x="7326548" y="3446186"/>
                <a:pt x="7307320" y="3446186"/>
              </a:cubicBezTo>
              <a:close/>
              <a:moveTo>
                <a:pt x="7731784" y="3446186"/>
              </a:moveTo>
              <a:cubicBezTo>
                <a:pt x="7712556" y="3446186"/>
                <a:pt x="7696958" y="3430595"/>
                <a:pt x="7696958" y="3411367"/>
              </a:cubicBezTo>
              <a:cubicBezTo>
                <a:pt x="7696958" y="3392139"/>
                <a:pt x="7712556" y="3376548"/>
                <a:pt x="7731784" y="3376548"/>
              </a:cubicBezTo>
              <a:cubicBezTo>
                <a:pt x="7751011" y="3376548"/>
                <a:pt x="7766596" y="3392139"/>
                <a:pt x="7766596" y="3411367"/>
              </a:cubicBezTo>
              <a:cubicBezTo>
                <a:pt x="7766596" y="3430595"/>
                <a:pt x="7751011" y="3446186"/>
                <a:pt x="7731784" y="3446186"/>
              </a:cubicBezTo>
              <a:close/>
              <a:moveTo>
                <a:pt x="7816676" y="3446186"/>
              </a:moveTo>
              <a:cubicBezTo>
                <a:pt x="7797448" y="3446186"/>
                <a:pt x="7781850" y="3430595"/>
                <a:pt x="7781850" y="3411367"/>
              </a:cubicBezTo>
              <a:cubicBezTo>
                <a:pt x="7781850" y="3392139"/>
                <a:pt x="7797448" y="3376548"/>
                <a:pt x="7816676" y="3376548"/>
              </a:cubicBezTo>
              <a:cubicBezTo>
                <a:pt x="7835904" y="3376548"/>
                <a:pt x="7851488" y="3392139"/>
                <a:pt x="7851488" y="3411367"/>
              </a:cubicBezTo>
              <a:cubicBezTo>
                <a:pt x="7851488" y="3430595"/>
                <a:pt x="7835904" y="3446186"/>
                <a:pt x="7816676" y="3446186"/>
              </a:cubicBezTo>
              <a:close/>
              <a:moveTo>
                <a:pt x="7901568" y="3446186"/>
              </a:moveTo>
              <a:cubicBezTo>
                <a:pt x="7882340" y="3446186"/>
                <a:pt x="7866743" y="3430595"/>
                <a:pt x="7866743" y="3411367"/>
              </a:cubicBezTo>
              <a:cubicBezTo>
                <a:pt x="7866743" y="3392139"/>
                <a:pt x="7882340" y="3376548"/>
                <a:pt x="7901568" y="3376548"/>
              </a:cubicBezTo>
              <a:cubicBezTo>
                <a:pt x="7920796" y="3376548"/>
                <a:pt x="7936380" y="3392139"/>
                <a:pt x="7936380" y="3411367"/>
              </a:cubicBezTo>
              <a:cubicBezTo>
                <a:pt x="7936380" y="3430595"/>
                <a:pt x="7920796" y="3446186"/>
                <a:pt x="7901568" y="3446186"/>
              </a:cubicBezTo>
              <a:close/>
              <a:moveTo>
                <a:pt x="7986460" y="3446186"/>
              </a:moveTo>
              <a:cubicBezTo>
                <a:pt x="7967233" y="3446186"/>
                <a:pt x="7951635" y="3430595"/>
                <a:pt x="7951635" y="3411367"/>
              </a:cubicBezTo>
              <a:cubicBezTo>
                <a:pt x="7951635" y="3392139"/>
                <a:pt x="7967233" y="3376548"/>
                <a:pt x="7986460" y="3376548"/>
              </a:cubicBezTo>
              <a:cubicBezTo>
                <a:pt x="8005688" y="3376548"/>
                <a:pt x="8021273" y="3392139"/>
                <a:pt x="8021273" y="3411367"/>
              </a:cubicBezTo>
              <a:cubicBezTo>
                <a:pt x="8021273" y="3430595"/>
                <a:pt x="8005688" y="3446186"/>
                <a:pt x="7986460" y="3446186"/>
              </a:cubicBezTo>
              <a:close/>
              <a:moveTo>
                <a:pt x="8071353" y="3446186"/>
              </a:moveTo>
              <a:cubicBezTo>
                <a:pt x="8052125" y="3446186"/>
                <a:pt x="8036527" y="3430595"/>
                <a:pt x="8036527" y="3411367"/>
              </a:cubicBezTo>
              <a:cubicBezTo>
                <a:pt x="8036527" y="3392139"/>
                <a:pt x="8052125" y="3376548"/>
                <a:pt x="8071353" y="3376548"/>
              </a:cubicBezTo>
              <a:cubicBezTo>
                <a:pt x="8090580" y="3376548"/>
                <a:pt x="8106165" y="3392139"/>
                <a:pt x="8106165" y="3411367"/>
              </a:cubicBezTo>
              <a:cubicBezTo>
                <a:pt x="8106165" y="3430595"/>
                <a:pt x="8090580" y="3446186"/>
                <a:pt x="8071353" y="3446186"/>
              </a:cubicBezTo>
              <a:close/>
              <a:moveTo>
                <a:pt x="8156246" y="3446186"/>
              </a:moveTo>
              <a:cubicBezTo>
                <a:pt x="8137018" y="3446186"/>
                <a:pt x="8121420" y="3430595"/>
                <a:pt x="8121420" y="3411367"/>
              </a:cubicBezTo>
              <a:cubicBezTo>
                <a:pt x="8121420" y="3392139"/>
                <a:pt x="8137018" y="3376548"/>
                <a:pt x="8156246" y="3376548"/>
              </a:cubicBezTo>
              <a:cubicBezTo>
                <a:pt x="8175474" y="3376548"/>
                <a:pt x="8191058" y="3392139"/>
                <a:pt x="8191058" y="3411367"/>
              </a:cubicBezTo>
              <a:cubicBezTo>
                <a:pt x="8191058" y="3430595"/>
                <a:pt x="8175474" y="3446186"/>
                <a:pt x="8156246" y="3446186"/>
              </a:cubicBezTo>
              <a:close/>
              <a:moveTo>
                <a:pt x="8241138" y="3446186"/>
              </a:moveTo>
              <a:cubicBezTo>
                <a:pt x="8221910" y="3446186"/>
                <a:pt x="8206313" y="3430595"/>
                <a:pt x="8206313" y="3411367"/>
              </a:cubicBezTo>
              <a:cubicBezTo>
                <a:pt x="8206313" y="3392139"/>
                <a:pt x="8221910" y="3376548"/>
                <a:pt x="8241138" y="3376548"/>
              </a:cubicBezTo>
              <a:cubicBezTo>
                <a:pt x="8260366" y="3376548"/>
                <a:pt x="8275950" y="3392139"/>
                <a:pt x="8275950" y="3411367"/>
              </a:cubicBezTo>
              <a:cubicBezTo>
                <a:pt x="8275950" y="3430595"/>
                <a:pt x="8260366" y="3446186"/>
                <a:pt x="8241138" y="3446186"/>
              </a:cubicBezTo>
              <a:close/>
              <a:moveTo>
                <a:pt x="8326030" y="3446186"/>
              </a:moveTo>
              <a:cubicBezTo>
                <a:pt x="8306803" y="3446186"/>
                <a:pt x="8291205" y="3430595"/>
                <a:pt x="8291205" y="3411367"/>
              </a:cubicBezTo>
              <a:cubicBezTo>
                <a:pt x="8291205" y="3392139"/>
                <a:pt x="8306803" y="3376548"/>
                <a:pt x="8326030" y="3376548"/>
              </a:cubicBezTo>
              <a:cubicBezTo>
                <a:pt x="8345258" y="3376548"/>
                <a:pt x="8360843" y="3392139"/>
                <a:pt x="8360843" y="3411367"/>
              </a:cubicBezTo>
              <a:cubicBezTo>
                <a:pt x="8360843" y="3430595"/>
                <a:pt x="8345258" y="3446186"/>
                <a:pt x="8326030" y="3446186"/>
              </a:cubicBezTo>
              <a:close/>
              <a:moveTo>
                <a:pt x="8410923" y="3446186"/>
              </a:moveTo>
              <a:cubicBezTo>
                <a:pt x="8391695" y="3446186"/>
                <a:pt x="8376097" y="3430595"/>
                <a:pt x="8376097" y="3411367"/>
              </a:cubicBezTo>
              <a:cubicBezTo>
                <a:pt x="8376097" y="3392139"/>
                <a:pt x="8391695" y="3376548"/>
                <a:pt x="8410923" y="3376548"/>
              </a:cubicBezTo>
              <a:cubicBezTo>
                <a:pt x="8430150" y="3376548"/>
                <a:pt x="8445735" y="3392139"/>
                <a:pt x="8445735" y="3411367"/>
              </a:cubicBezTo>
              <a:cubicBezTo>
                <a:pt x="8445735" y="3430595"/>
                <a:pt x="8430150" y="3446186"/>
                <a:pt x="8410923" y="3446186"/>
              </a:cubicBezTo>
              <a:close/>
              <a:moveTo>
                <a:pt x="8495816" y="3446186"/>
              </a:moveTo>
              <a:cubicBezTo>
                <a:pt x="8476588" y="3446186"/>
                <a:pt x="8460990" y="3430595"/>
                <a:pt x="8460990" y="3411367"/>
              </a:cubicBezTo>
              <a:cubicBezTo>
                <a:pt x="8460990" y="3392139"/>
                <a:pt x="8476588" y="3376548"/>
                <a:pt x="8495816" y="3376548"/>
              </a:cubicBezTo>
              <a:cubicBezTo>
                <a:pt x="8515044" y="3376548"/>
                <a:pt x="8530628" y="3392139"/>
                <a:pt x="8530628" y="3411367"/>
              </a:cubicBezTo>
              <a:cubicBezTo>
                <a:pt x="8530628" y="3430595"/>
                <a:pt x="8515044" y="3446186"/>
                <a:pt x="8495816" y="3446186"/>
              </a:cubicBezTo>
              <a:close/>
              <a:moveTo>
                <a:pt x="8580708" y="3446186"/>
              </a:moveTo>
              <a:cubicBezTo>
                <a:pt x="8561480" y="3446186"/>
                <a:pt x="8545883" y="3430595"/>
                <a:pt x="8545883" y="3411367"/>
              </a:cubicBezTo>
              <a:cubicBezTo>
                <a:pt x="8545883" y="3392139"/>
                <a:pt x="8561480" y="3376548"/>
                <a:pt x="8580708" y="3376548"/>
              </a:cubicBezTo>
              <a:cubicBezTo>
                <a:pt x="8599936" y="3376548"/>
                <a:pt x="8615520" y="3392139"/>
                <a:pt x="8615520" y="3411367"/>
              </a:cubicBezTo>
              <a:cubicBezTo>
                <a:pt x="8615520" y="3430595"/>
                <a:pt x="8599936" y="3446186"/>
                <a:pt x="8580708" y="3446186"/>
              </a:cubicBezTo>
              <a:close/>
              <a:moveTo>
                <a:pt x="8665600" y="3446186"/>
              </a:moveTo>
              <a:cubicBezTo>
                <a:pt x="8646373" y="3446186"/>
                <a:pt x="8630775" y="3430595"/>
                <a:pt x="8630775" y="3411367"/>
              </a:cubicBezTo>
              <a:cubicBezTo>
                <a:pt x="8630775" y="3392139"/>
                <a:pt x="8646373" y="3376548"/>
                <a:pt x="8665600" y="3376548"/>
              </a:cubicBezTo>
              <a:cubicBezTo>
                <a:pt x="8684828" y="3376548"/>
                <a:pt x="8700413" y="3392139"/>
                <a:pt x="8700413" y="3411367"/>
              </a:cubicBezTo>
              <a:cubicBezTo>
                <a:pt x="8700413" y="3430595"/>
                <a:pt x="8684828" y="3446186"/>
                <a:pt x="8665600" y="3446186"/>
              </a:cubicBezTo>
              <a:close/>
              <a:moveTo>
                <a:pt x="8750493" y="3446186"/>
              </a:moveTo>
              <a:cubicBezTo>
                <a:pt x="8731265" y="3446186"/>
                <a:pt x="8715667" y="3430595"/>
                <a:pt x="8715667" y="3411367"/>
              </a:cubicBezTo>
              <a:cubicBezTo>
                <a:pt x="8715667" y="3392139"/>
                <a:pt x="8731265" y="3376548"/>
                <a:pt x="8750493" y="3376548"/>
              </a:cubicBezTo>
              <a:cubicBezTo>
                <a:pt x="8769720" y="3376548"/>
                <a:pt x="8785305" y="3392139"/>
                <a:pt x="8785305" y="3411367"/>
              </a:cubicBezTo>
              <a:cubicBezTo>
                <a:pt x="8785305" y="3430595"/>
                <a:pt x="8769720" y="3446186"/>
                <a:pt x="8750493" y="3446186"/>
              </a:cubicBezTo>
              <a:close/>
              <a:moveTo>
                <a:pt x="8835386" y="3446186"/>
              </a:moveTo>
              <a:cubicBezTo>
                <a:pt x="8816158" y="3446186"/>
                <a:pt x="8800560" y="3430595"/>
                <a:pt x="8800560" y="3411367"/>
              </a:cubicBezTo>
              <a:cubicBezTo>
                <a:pt x="8800560" y="3392139"/>
                <a:pt x="8816158" y="3376548"/>
                <a:pt x="8835386" y="3376548"/>
              </a:cubicBezTo>
              <a:cubicBezTo>
                <a:pt x="8854614" y="3376548"/>
                <a:pt x="8870198" y="3392139"/>
                <a:pt x="8870198" y="3411367"/>
              </a:cubicBezTo>
              <a:cubicBezTo>
                <a:pt x="8870198" y="3430595"/>
                <a:pt x="8854614" y="3446186"/>
                <a:pt x="8835386" y="3446186"/>
              </a:cubicBezTo>
              <a:close/>
              <a:moveTo>
                <a:pt x="8920278" y="3446186"/>
              </a:moveTo>
              <a:cubicBezTo>
                <a:pt x="8901050" y="3446186"/>
                <a:pt x="8885453" y="3430595"/>
                <a:pt x="8885453" y="3411367"/>
              </a:cubicBezTo>
              <a:cubicBezTo>
                <a:pt x="8885453" y="3392139"/>
                <a:pt x="8901050" y="3376548"/>
                <a:pt x="8920278" y="3376548"/>
              </a:cubicBezTo>
              <a:cubicBezTo>
                <a:pt x="8939506" y="3376548"/>
                <a:pt x="8955090" y="3392139"/>
                <a:pt x="8955090" y="3411367"/>
              </a:cubicBezTo>
              <a:cubicBezTo>
                <a:pt x="8955090" y="3430595"/>
                <a:pt x="8939506" y="3446186"/>
                <a:pt x="8920278" y="3446186"/>
              </a:cubicBezTo>
              <a:close/>
              <a:moveTo>
                <a:pt x="9005170" y="3446186"/>
              </a:moveTo>
              <a:cubicBezTo>
                <a:pt x="8985943" y="3446186"/>
                <a:pt x="8970345" y="3430595"/>
                <a:pt x="8970345" y="3411367"/>
              </a:cubicBezTo>
              <a:cubicBezTo>
                <a:pt x="8970345" y="3392139"/>
                <a:pt x="8985943" y="3376548"/>
                <a:pt x="9005170" y="3376548"/>
              </a:cubicBezTo>
              <a:cubicBezTo>
                <a:pt x="9024398" y="3376548"/>
                <a:pt x="9039983" y="3392139"/>
                <a:pt x="9039983" y="3411367"/>
              </a:cubicBezTo>
              <a:cubicBezTo>
                <a:pt x="9039983" y="3430595"/>
                <a:pt x="9024398" y="3446186"/>
                <a:pt x="9005170" y="3446186"/>
              </a:cubicBezTo>
              <a:close/>
              <a:moveTo>
                <a:pt x="9090063" y="3446186"/>
              </a:moveTo>
              <a:cubicBezTo>
                <a:pt x="9070835" y="3446186"/>
                <a:pt x="9055237" y="3430595"/>
                <a:pt x="9055237" y="3411367"/>
              </a:cubicBezTo>
              <a:cubicBezTo>
                <a:pt x="9055237" y="3392139"/>
                <a:pt x="9070835" y="3376548"/>
                <a:pt x="9090063" y="3376548"/>
              </a:cubicBezTo>
              <a:cubicBezTo>
                <a:pt x="9109290" y="3376548"/>
                <a:pt x="9124875" y="3392139"/>
                <a:pt x="9124875" y="3411367"/>
              </a:cubicBezTo>
              <a:cubicBezTo>
                <a:pt x="9124875" y="3430595"/>
                <a:pt x="9109290" y="3446186"/>
                <a:pt x="9090063" y="3446186"/>
              </a:cubicBezTo>
              <a:close/>
              <a:moveTo>
                <a:pt x="9174956" y="3446186"/>
              </a:moveTo>
              <a:cubicBezTo>
                <a:pt x="9155728" y="3446186"/>
                <a:pt x="9140130" y="3430595"/>
                <a:pt x="9140130" y="3411367"/>
              </a:cubicBezTo>
              <a:cubicBezTo>
                <a:pt x="9140130" y="3392139"/>
                <a:pt x="9155728" y="3376548"/>
                <a:pt x="9174956" y="3376548"/>
              </a:cubicBezTo>
              <a:cubicBezTo>
                <a:pt x="9194184" y="3376548"/>
                <a:pt x="9209768" y="3392139"/>
                <a:pt x="9209768" y="3411367"/>
              </a:cubicBezTo>
              <a:cubicBezTo>
                <a:pt x="9209768" y="3430595"/>
                <a:pt x="9194184" y="3446186"/>
                <a:pt x="9174956" y="3446186"/>
              </a:cubicBezTo>
              <a:close/>
              <a:moveTo>
                <a:pt x="9259848" y="3446186"/>
              </a:moveTo>
              <a:cubicBezTo>
                <a:pt x="9240620" y="3446186"/>
                <a:pt x="9225023" y="3430595"/>
                <a:pt x="9225023" y="3411367"/>
              </a:cubicBezTo>
              <a:cubicBezTo>
                <a:pt x="9225023" y="3392139"/>
                <a:pt x="9240620" y="3376548"/>
                <a:pt x="9259848" y="3376548"/>
              </a:cubicBezTo>
              <a:cubicBezTo>
                <a:pt x="9279076" y="3376548"/>
                <a:pt x="9294660" y="3392139"/>
                <a:pt x="9294660" y="3411367"/>
              </a:cubicBezTo>
              <a:cubicBezTo>
                <a:pt x="9294660" y="3430595"/>
                <a:pt x="9279076" y="3446186"/>
                <a:pt x="9259848" y="3446186"/>
              </a:cubicBezTo>
              <a:close/>
              <a:moveTo>
                <a:pt x="9344740" y="3446186"/>
              </a:moveTo>
              <a:cubicBezTo>
                <a:pt x="9325513" y="3446186"/>
                <a:pt x="9309915" y="3430595"/>
                <a:pt x="9309915" y="3411367"/>
              </a:cubicBezTo>
              <a:cubicBezTo>
                <a:pt x="9309915" y="3392139"/>
                <a:pt x="9325513" y="3376548"/>
                <a:pt x="9344740" y="3376548"/>
              </a:cubicBezTo>
              <a:cubicBezTo>
                <a:pt x="9363968" y="3376548"/>
                <a:pt x="9379553" y="3392139"/>
                <a:pt x="9379553" y="3411367"/>
              </a:cubicBezTo>
              <a:cubicBezTo>
                <a:pt x="9379553" y="3430595"/>
                <a:pt x="9363968" y="3446186"/>
                <a:pt x="9344740" y="3446186"/>
              </a:cubicBezTo>
              <a:close/>
              <a:moveTo>
                <a:pt x="9429633" y="3446186"/>
              </a:moveTo>
              <a:cubicBezTo>
                <a:pt x="9410405" y="3446186"/>
                <a:pt x="9394807" y="3430595"/>
                <a:pt x="9394807" y="3411367"/>
              </a:cubicBezTo>
              <a:cubicBezTo>
                <a:pt x="9394807" y="3392139"/>
                <a:pt x="9410405" y="3376548"/>
                <a:pt x="9429633" y="3376548"/>
              </a:cubicBezTo>
              <a:cubicBezTo>
                <a:pt x="9448860" y="3376548"/>
                <a:pt x="9464445" y="3392139"/>
                <a:pt x="9464445" y="3411367"/>
              </a:cubicBezTo>
              <a:cubicBezTo>
                <a:pt x="9464445" y="3430595"/>
                <a:pt x="9448860" y="3446186"/>
                <a:pt x="9429633" y="3446186"/>
              </a:cubicBezTo>
              <a:close/>
              <a:moveTo>
                <a:pt x="9514525" y="3446186"/>
              </a:moveTo>
              <a:cubicBezTo>
                <a:pt x="9495297" y="3446186"/>
                <a:pt x="9479699" y="3430595"/>
                <a:pt x="9479699" y="3411367"/>
              </a:cubicBezTo>
              <a:cubicBezTo>
                <a:pt x="9479699" y="3392139"/>
                <a:pt x="9495297" y="3376548"/>
                <a:pt x="9514525" y="3376548"/>
              </a:cubicBezTo>
              <a:cubicBezTo>
                <a:pt x="9533753" y="3376548"/>
                <a:pt x="9549337" y="3392139"/>
                <a:pt x="9549337" y="3411367"/>
              </a:cubicBezTo>
              <a:cubicBezTo>
                <a:pt x="9549337" y="3430595"/>
                <a:pt x="9533753" y="3446186"/>
                <a:pt x="9514525" y="3446186"/>
              </a:cubicBezTo>
              <a:close/>
              <a:moveTo>
                <a:pt x="940381" y="3361326"/>
              </a:moveTo>
              <a:cubicBezTo>
                <a:pt x="921153" y="3361326"/>
                <a:pt x="905562" y="3345735"/>
                <a:pt x="905562" y="3326507"/>
              </a:cubicBezTo>
              <a:cubicBezTo>
                <a:pt x="905562" y="3307279"/>
                <a:pt x="921153" y="3291688"/>
                <a:pt x="940381" y="3291688"/>
              </a:cubicBezTo>
              <a:cubicBezTo>
                <a:pt x="959609" y="3291688"/>
                <a:pt x="975200" y="3307279"/>
                <a:pt x="975200" y="3326507"/>
              </a:cubicBezTo>
              <a:cubicBezTo>
                <a:pt x="975200" y="3345735"/>
                <a:pt x="959609" y="3361326"/>
                <a:pt x="940381" y="3361326"/>
              </a:cubicBezTo>
              <a:close/>
              <a:moveTo>
                <a:pt x="2468446" y="3361326"/>
              </a:moveTo>
              <a:cubicBezTo>
                <a:pt x="2449218" y="3361326"/>
                <a:pt x="2433627" y="3345735"/>
                <a:pt x="2433627" y="3326507"/>
              </a:cubicBezTo>
              <a:cubicBezTo>
                <a:pt x="2433627" y="3307279"/>
                <a:pt x="2449218" y="3291688"/>
                <a:pt x="2468446" y="3291688"/>
              </a:cubicBezTo>
              <a:cubicBezTo>
                <a:pt x="2487673" y="3291688"/>
                <a:pt x="2503264" y="3307279"/>
                <a:pt x="2503264" y="3326507"/>
              </a:cubicBezTo>
              <a:cubicBezTo>
                <a:pt x="2503264" y="3345735"/>
                <a:pt x="2487673" y="3361326"/>
                <a:pt x="2468446" y="3361326"/>
              </a:cubicBezTo>
              <a:close/>
              <a:moveTo>
                <a:pt x="2638231" y="3361326"/>
              </a:moveTo>
              <a:cubicBezTo>
                <a:pt x="2619003" y="3361326"/>
                <a:pt x="2603412" y="3345735"/>
                <a:pt x="2603412" y="3326507"/>
              </a:cubicBezTo>
              <a:cubicBezTo>
                <a:pt x="2603412" y="3307279"/>
                <a:pt x="2619003" y="3291688"/>
                <a:pt x="2638231" y="3291688"/>
              </a:cubicBezTo>
              <a:cubicBezTo>
                <a:pt x="2657459" y="3291688"/>
                <a:pt x="2673050" y="3307279"/>
                <a:pt x="2673050" y="3326507"/>
              </a:cubicBezTo>
              <a:cubicBezTo>
                <a:pt x="2673050" y="3345735"/>
                <a:pt x="2657459" y="3361326"/>
                <a:pt x="2638231" y="3361326"/>
              </a:cubicBezTo>
              <a:close/>
              <a:moveTo>
                <a:pt x="2723123" y="3361326"/>
              </a:moveTo>
              <a:cubicBezTo>
                <a:pt x="2703896" y="3361326"/>
                <a:pt x="2688304" y="3345735"/>
                <a:pt x="2688304" y="3326507"/>
              </a:cubicBezTo>
              <a:cubicBezTo>
                <a:pt x="2688304" y="3307279"/>
                <a:pt x="2703896" y="3291688"/>
                <a:pt x="2723123" y="3291688"/>
              </a:cubicBezTo>
              <a:cubicBezTo>
                <a:pt x="2742351" y="3291688"/>
                <a:pt x="2757942" y="3307279"/>
                <a:pt x="2757942" y="3326507"/>
              </a:cubicBezTo>
              <a:cubicBezTo>
                <a:pt x="2757942" y="3345735"/>
                <a:pt x="2742351" y="3361326"/>
                <a:pt x="2723123" y="3361326"/>
              </a:cubicBezTo>
              <a:close/>
              <a:moveTo>
                <a:pt x="2808016" y="3361326"/>
              </a:moveTo>
              <a:cubicBezTo>
                <a:pt x="2788788" y="3361326"/>
                <a:pt x="2773197" y="3345735"/>
                <a:pt x="2773197" y="3326507"/>
              </a:cubicBezTo>
              <a:cubicBezTo>
                <a:pt x="2773197" y="3307279"/>
                <a:pt x="2788788" y="3291688"/>
                <a:pt x="2808016" y="3291688"/>
              </a:cubicBezTo>
              <a:cubicBezTo>
                <a:pt x="2827243" y="3291688"/>
                <a:pt x="2842834" y="3307279"/>
                <a:pt x="2842834" y="3326507"/>
              </a:cubicBezTo>
              <a:cubicBezTo>
                <a:pt x="2842834" y="3345735"/>
                <a:pt x="2827243" y="3361326"/>
                <a:pt x="2808016" y="3361326"/>
              </a:cubicBezTo>
              <a:close/>
              <a:moveTo>
                <a:pt x="3572048" y="3361326"/>
              </a:moveTo>
              <a:cubicBezTo>
                <a:pt x="3552820" y="3361326"/>
                <a:pt x="3537229" y="3345735"/>
                <a:pt x="3537229" y="3326507"/>
              </a:cubicBezTo>
              <a:cubicBezTo>
                <a:pt x="3537229" y="3307279"/>
                <a:pt x="3552820" y="3291688"/>
                <a:pt x="3572048" y="3291688"/>
              </a:cubicBezTo>
              <a:cubicBezTo>
                <a:pt x="3591276" y="3291688"/>
                <a:pt x="3606867" y="3307279"/>
                <a:pt x="3606867" y="3326507"/>
              </a:cubicBezTo>
              <a:cubicBezTo>
                <a:pt x="3606867" y="3345735"/>
                <a:pt x="3591276" y="3361326"/>
                <a:pt x="3572048" y="3361326"/>
              </a:cubicBezTo>
              <a:close/>
              <a:moveTo>
                <a:pt x="5439686" y="3361326"/>
              </a:moveTo>
              <a:cubicBezTo>
                <a:pt x="5420458" y="3361326"/>
                <a:pt x="5404860" y="3345735"/>
                <a:pt x="5404860" y="3326507"/>
              </a:cubicBezTo>
              <a:cubicBezTo>
                <a:pt x="5404860" y="3307279"/>
                <a:pt x="5420458" y="3291688"/>
                <a:pt x="5439686" y="3291688"/>
              </a:cubicBezTo>
              <a:cubicBezTo>
                <a:pt x="5458914" y="3291688"/>
                <a:pt x="5474498" y="3307279"/>
                <a:pt x="5474498" y="3326507"/>
              </a:cubicBezTo>
              <a:cubicBezTo>
                <a:pt x="5474498" y="3345735"/>
                <a:pt x="5458914" y="3361326"/>
                <a:pt x="5439686" y="3361326"/>
              </a:cubicBezTo>
              <a:close/>
              <a:moveTo>
                <a:pt x="5524578" y="3361326"/>
              </a:moveTo>
              <a:cubicBezTo>
                <a:pt x="5505350" y="3361326"/>
                <a:pt x="5489753" y="3345735"/>
                <a:pt x="5489753" y="3326507"/>
              </a:cubicBezTo>
              <a:cubicBezTo>
                <a:pt x="5489753" y="3307279"/>
                <a:pt x="5505350" y="3291688"/>
                <a:pt x="5524578" y="3291688"/>
              </a:cubicBezTo>
              <a:cubicBezTo>
                <a:pt x="5543806" y="3291688"/>
                <a:pt x="5559390" y="3307279"/>
                <a:pt x="5559390" y="3326507"/>
              </a:cubicBezTo>
              <a:cubicBezTo>
                <a:pt x="5559390" y="3345735"/>
                <a:pt x="5543806" y="3361326"/>
                <a:pt x="5524578" y="3361326"/>
              </a:cubicBezTo>
              <a:close/>
              <a:moveTo>
                <a:pt x="5609471" y="3361326"/>
              </a:moveTo>
              <a:cubicBezTo>
                <a:pt x="5590244" y="3361326"/>
                <a:pt x="5574646" y="3345735"/>
                <a:pt x="5574646" y="3326507"/>
              </a:cubicBezTo>
              <a:cubicBezTo>
                <a:pt x="5574646" y="3307279"/>
                <a:pt x="5590244" y="3291688"/>
                <a:pt x="5609471" y="3291688"/>
              </a:cubicBezTo>
              <a:cubicBezTo>
                <a:pt x="5628699" y="3291688"/>
                <a:pt x="5644284" y="3307279"/>
                <a:pt x="5644284" y="3326507"/>
              </a:cubicBezTo>
              <a:cubicBezTo>
                <a:pt x="5644284" y="3345735"/>
                <a:pt x="5628699" y="3361326"/>
                <a:pt x="5609471" y="3361326"/>
              </a:cubicBezTo>
              <a:close/>
              <a:moveTo>
                <a:pt x="5694364" y="3361326"/>
              </a:moveTo>
              <a:cubicBezTo>
                <a:pt x="5675136" y="3361326"/>
                <a:pt x="5659538" y="3345735"/>
                <a:pt x="5659538" y="3326507"/>
              </a:cubicBezTo>
              <a:cubicBezTo>
                <a:pt x="5659538" y="3307279"/>
                <a:pt x="5675136" y="3291688"/>
                <a:pt x="5694364" y="3291688"/>
              </a:cubicBezTo>
              <a:cubicBezTo>
                <a:pt x="5713591" y="3291688"/>
                <a:pt x="5729176" y="3307279"/>
                <a:pt x="5729176" y="3326507"/>
              </a:cubicBezTo>
              <a:cubicBezTo>
                <a:pt x="5729176" y="3345735"/>
                <a:pt x="5713591" y="3361326"/>
                <a:pt x="5694364" y="3361326"/>
              </a:cubicBezTo>
              <a:close/>
              <a:moveTo>
                <a:pt x="5779256" y="3361326"/>
              </a:moveTo>
              <a:cubicBezTo>
                <a:pt x="5760028" y="3361326"/>
                <a:pt x="5744430" y="3345735"/>
                <a:pt x="5744430" y="3326507"/>
              </a:cubicBezTo>
              <a:cubicBezTo>
                <a:pt x="5744430" y="3307279"/>
                <a:pt x="5760028" y="3291688"/>
                <a:pt x="5779256" y="3291688"/>
              </a:cubicBezTo>
              <a:cubicBezTo>
                <a:pt x="5798484" y="3291688"/>
                <a:pt x="5814068" y="3307279"/>
                <a:pt x="5814068" y="3326507"/>
              </a:cubicBezTo>
              <a:cubicBezTo>
                <a:pt x="5814068" y="3345735"/>
                <a:pt x="5798484" y="3361326"/>
                <a:pt x="5779256" y="3361326"/>
              </a:cubicBezTo>
              <a:close/>
              <a:moveTo>
                <a:pt x="5864148" y="3361326"/>
              </a:moveTo>
              <a:cubicBezTo>
                <a:pt x="5844920" y="3361326"/>
                <a:pt x="5829323" y="3345735"/>
                <a:pt x="5829323" y="3326507"/>
              </a:cubicBezTo>
              <a:cubicBezTo>
                <a:pt x="5829323" y="3307279"/>
                <a:pt x="5844920" y="3291688"/>
                <a:pt x="5864148" y="3291688"/>
              </a:cubicBezTo>
              <a:cubicBezTo>
                <a:pt x="5883376" y="3291688"/>
                <a:pt x="5898960" y="3307279"/>
                <a:pt x="5898960" y="3326507"/>
              </a:cubicBezTo>
              <a:cubicBezTo>
                <a:pt x="5898960" y="3345735"/>
                <a:pt x="5883376" y="3361326"/>
                <a:pt x="5864148" y="3361326"/>
              </a:cubicBezTo>
              <a:close/>
              <a:moveTo>
                <a:pt x="5949041" y="3361326"/>
              </a:moveTo>
              <a:cubicBezTo>
                <a:pt x="5929814" y="3361326"/>
                <a:pt x="5914216" y="3345735"/>
                <a:pt x="5914216" y="3326507"/>
              </a:cubicBezTo>
              <a:cubicBezTo>
                <a:pt x="5914216" y="3307279"/>
                <a:pt x="5929814" y="3291688"/>
                <a:pt x="5949041" y="3291688"/>
              </a:cubicBezTo>
              <a:cubicBezTo>
                <a:pt x="5968269" y="3291688"/>
                <a:pt x="5983854" y="3307279"/>
                <a:pt x="5983854" y="3326507"/>
              </a:cubicBezTo>
              <a:cubicBezTo>
                <a:pt x="5983854" y="3345735"/>
                <a:pt x="5968269" y="3361326"/>
                <a:pt x="5949041" y="3361326"/>
              </a:cubicBezTo>
              <a:close/>
              <a:moveTo>
                <a:pt x="6033934" y="3361326"/>
              </a:moveTo>
              <a:cubicBezTo>
                <a:pt x="6014706" y="3361326"/>
                <a:pt x="5999108" y="3345735"/>
                <a:pt x="5999108" y="3326507"/>
              </a:cubicBezTo>
              <a:cubicBezTo>
                <a:pt x="5999108" y="3307279"/>
                <a:pt x="6014706" y="3291688"/>
                <a:pt x="6033934" y="3291688"/>
              </a:cubicBezTo>
              <a:cubicBezTo>
                <a:pt x="6053161" y="3291688"/>
                <a:pt x="6068746" y="3307279"/>
                <a:pt x="6068746" y="3326507"/>
              </a:cubicBezTo>
              <a:cubicBezTo>
                <a:pt x="6068746" y="3345735"/>
                <a:pt x="6053161" y="3361326"/>
                <a:pt x="6033934" y="3361326"/>
              </a:cubicBezTo>
              <a:close/>
              <a:moveTo>
                <a:pt x="6118826" y="3361326"/>
              </a:moveTo>
              <a:cubicBezTo>
                <a:pt x="6099598" y="3361326"/>
                <a:pt x="6084000" y="3345735"/>
                <a:pt x="6084000" y="3326507"/>
              </a:cubicBezTo>
              <a:cubicBezTo>
                <a:pt x="6084000" y="3307279"/>
                <a:pt x="6099598" y="3291688"/>
                <a:pt x="6118826" y="3291688"/>
              </a:cubicBezTo>
              <a:cubicBezTo>
                <a:pt x="6138054" y="3291688"/>
                <a:pt x="6153638" y="3307279"/>
                <a:pt x="6153638" y="3326507"/>
              </a:cubicBezTo>
              <a:cubicBezTo>
                <a:pt x="6153638" y="3345735"/>
                <a:pt x="6138054" y="3361326"/>
                <a:pt x="6118826" y="3361326"/>
              </a:cubicBezTo>
              <a:close/>
              <a:moveTo>
                <a:pt x="6203718" y="3361326"/>
              </a:moveTo>
              <a:cubicBezTo>
                <a:pt x="6184490" y="3361326"/>
                <a:pt x="6168893" y="3345735"/>
                <a:pt x="6168893" y="3326507"/>
              </a:cubicBezTo>
              <a:cubicBezTo>
                <a:pt x="6168893" y="3307279"/>
                <a:pt x="6184490" y="3291688"/>
                <a:pt x="6203718" y="3291688"/>
              </a:cubicBezTo>
              <a:cubicBezTo>
                <a:pt x="6222946" y="3291688"/>
                <a:pt x="6238530" y="3307279"/>
                <a:pt x="6238530" y="3326507"/>
              </a:cubicBezTo>
              <a:cubicBezTo>
                <a:pt x="6238530" y="3345735"/>
                <a:pt x="6222946" y="3361326"/>
                <a:pt x="6203718" y="3361326"/>
              </a:cubicBezTo>
              <a:close/>
              <a:moveTo>
                <a:pt x="6288611" y="3361326"/>
              </a:moveTo>
              <a:cubicBezTo>
                <a:pt x="6269384" y="3361326"/>
                <a:pt x="6253786" y="3345735"/>
                <a:pt x="6253786" y="3326507"/>
              </a:cubicBezTo>
              <a:cubicBezTo>
                <a:pt x="6253786" y="3307279"/>
                <a:pt x="6269384" y="3291688"/>
                <a:pt x="6288611" y="3291688"/>
              </a:cubicBezTo>
              <a:cubicBezTo>
                <a:pt x="6307839" y="3291688"/>
                <a:pt x="6323424" y="3307279"/>
                <a:pt x="6323424" y="3326507"/>
              </a:cubicBezTo>
              <a:cubicBezTo>
                <a:pt x="6323424" y="3345735"/>
                <a:pt x="6307839" y="3361326"/>
                <a:pt x="6288611" y="3361326"/>
              </a:cubicBezTo>
              <a:close/>
              <a:moveTo>
                <a:pt x="6373504" y="3361326"/>
              </a:moveTo>
              <a:cubicBezTo>
                <a:pt x="6354276" y="3361326"/>
                <a:pt x="6338678" y="3345735"/>
                <a:pt x="6338678" y="3326507"/>
              </a:cubicBezTo>
              <a:cubicBezTo>
                <a:pt x="6338678" y="3307279"/>
                <a:pt x="6354276" y="3291688"/>
                <a:pt x="6373504" y="3291688"/>
              </a:cubicBezTo>
              <a:cubicBezTo>
                <a:pt x="6392731" y="3291688"/>
                <a:pt x="6408316" y="3307279"/>
                <a:pt x="6408316" y="3326507"/>
              </a:cubicBezTo>
              <a:cubicBezTo>
                <a:pt x="6408316" y="3345735"/>
                <a:pt x="6392731" y="3361326"/>
                <a:pt x="6373504" y="3361326"/>
              </a:cubicBezTo>
              <a:close/>
              <a:moveTo>
                <a:pt x="6458396" y="3361326"/>
              </a:moveTo>
              <a:cubicBezTo>
                <a:pt x="6439168" y="3361326"/>
                <a:pt x="6423570" y="3345735"/>
                <a:pt x="6423570" y="3326507"/>
              </a:cubicBezTo>
              <a:cubicBezTo>
                <a:pt x="6423570" y="3307279"/>
                <a:pt x="6439168" y="3291688"/>
                <a:pt x="6458396" y="3291688"/>
              </a:cubicBezTo>
              <a:cubicBezTo>
                <a:pt x="6477624" y="3291688"/>
                <a:pt x="6493208" y="3307279"/>
                <a:pt x="6493208" y="3326507"/>
              </a:cubicBezTo>
              <a:cubicBezTo>
                <a:pt x="6493208" y="3345735"/>
                <a:pt x="6477624" y="3361326"/>
                <a:pt x="6458396" y="3361326"/>
              </a:cubicBezTo>
              <a:close/>
              <a:moveTo>
                <a:pt x="6543288" y="3361326"/>
              </a:moveTo>
              <a:cubicBezTo>
                <a:pt x="6524060" y="3361326"/>
                <a:pt x="6508463" y="3345735"/>
                <a:pt x="6508463" y="3326507"/>
              </a:cubicBezTo>
              <a:cubicBezTo>
                <a:pt x="6508463" y="3307279"/>
                <a:pt x="6524060" y="3291688"/>
                <a:pt x="6543288" y="3291688"/>
              </a:cubicBezTo>
              <a:cubicBezTo>
                <a:pt x="6562516" y="3291688"/>
                <a:pt x="6578100" y="3307279"/>
                <a:pt x="6578100" y="3326507"/>
              </a:cubicBezTo>
              <a:cubicBezTo>
                <a:pt x="6578100" y="3345735"/>
                <a:pt x="6562516" y="3361326"/>
                <a:pt x="6543288" y="3361326"/>
              </a:cubicBezTo>
              <a:close/>
              <a:moveTo>
                <a:pt x="6628181" y="3361326"/>
              </a:moveTo>
              <a:cubicBezTo>
                <a:pt x="6608954" y="3361326"/>
                <a:pt x="6593356" y="3345735"/>
                <a:pt x="6593356" y="3326507"/>
              </a:cubicBezTo>
              <a:cubicBezTo>
                <a:pt x="6593356" y="3307279"/>
                <a:pt x="6608954" y="3291688"/>
                <a:pt x="6628181" y="3291688"/>
              </a:cubicBezTo>
              <a:cubicBezTo>
                <a:pt x="6647409" y="3291688"/>
                <a:pt x="6662994" y="3307279"/>
                <a:pt x="6662994" y="3326507"/>
              </a:cubicBezTo>
              <a:cubicBezTo>
                <a:pt x="6662994" y="3345735"/>
                <a:pt x="6647409" y="3361326"/>
                <a:pt x="6628181" y="3361326"/>
              </a:cubicBezTo>
              <a:close/>
              <a:moveTo>
                <a:pt x="6713074" y="3361326"/>
              </a:moveTo>
              <a:cubicBezTo>
                <a:pt x="6693846" y="3361326"/>
                <a:pt x="6678248" y="3345735"/>
                <a:pt x="6678248" y="3326507"/>
              </a:cubicBezTo>
              <a:cubicBezTo>
                <a:pt x="6678248" y="3307279"/>
                <a:pt x="6693846" y="3291688"/>
                <a:pt x="6713074" y="3291688"/>
              </a:cubicBezTo>
              <a:cubicBezTo>
                <a:pt x="6732301" y="3291688"/>
                <a:pt x="6747886" y="3307279"/>
                <a:pt x="6747886" y="3326507"/>
              </a:cubicBezTo>
              <a:cubicBezTo>
                <a:pt x="6747886" y="3345735"/>
                <a:pt x="6732301" y="3361326"/>
                <a:pt x="6713074" y="3361326"/>
              </a:cubicBezTo>
              <a:close/>
              <a:moveTo>
                <a:pt x="6797966" y="3361326"/>
              </a:moveTo>
              <a:cubicBezTo>
                <a:pt x="6778738" y="3361326"/>
                <a:pt x="6763140" y="3345735"/>
                <a:pt x="6763140" y="3326507"/>
              </a:cubicBezTo>
              <a:cubicBezTo>
                <a:pt x="6763140" y="3307279"/>
                <a:pt x="6778738" y="3291688"/>
                <a:pt x="6797966" y="3291688"/>
              </a:cubicBezTo>
              <a:cubicBezTo>
                <a:pt x="6817194" y="3291688"/>
                <a:pt x="6832778" y="3307279"/>
                <a:pt x="6832778" y="3326507"/>
              </a:cubicBezTo>
              <a:cubicBezTo>
                <a:pt x="6832778" y="3345735"/>
                <a:pt x="6817194" y="3361326"/>
                <a:pt x="6797966" y="3361326"/>
              </a:cubicBezTo>
              <a:close/>
              <a:moveTo>
                <a:pt x="6882858" y="3361326"/>
              </a:moveTo>
              <a:cubicBezTo>
                <a:pt x="6863630" y="3361326"/>
                <a:pt x="6848033" y="3345735"/>
                <a:pt x="6848033" y="3326507"/>
              </a:cubicBezTo>
              <a:cubicBezTo>
                <a:pt x="6848033" y="3307279"/>
                <a:pt x="6863630" y="3291688"/>
                <a:pt x="6882858" y="3291688"/>
              </a:cubicBezTo>
              <a:cubicBezTo>
                <a:pt x="6902086" y="3291688"/>
                <a:pt x="6917670" y="3307279"/>
                <a:pt x="6917670" y="3326507"/>
              </a:cubicBezTo>
              <a:cubicBezTo>
                <a:pt x="6917670" y="3345735"/>
                <a:pt x="6902086" y="3361326"/>
                <a:pt x="6882858" y="3361326"/>
              </a:cubicBezTo>
              <a:close/>
              <a:moveTo>
                <a:pt x="7137536" y="3361326"/>
              </a:moveTo>
              <a:cubicBezTo>
                <a:pt x="7118308" y="3361326"/>
                <a:pt x="7102710" y="3345735"/>
                <a:pt x="7102710" y="3326507"/>
              </a:cubicBezTo>
              <a:cubicBezTo>
                <a:pt x="7102710" y="3307279"/>
                <a:pt x="7118308" y="3291688"/>
                <a:pt x="7137536" y="3291688"/>
              </a:cubicBezTo>
              <a:cubicBezTo>
                <a:pt x="7156764" y="3291688"/>
                <a:pt x="7172348" y="3307279"/>
                <a:pt x="7172348" y="3326507"/>
              </a:cubicBezTo>
              <a:cubicBezTo>
                <a:pt x="7172348" y="3345735"/>
                <a:pt x="7156764" y="3361326"/>
                <a:pt x="7137536" y="3361326"/>
              </a:cubicBezTo>
              <a:close/>
              <a:moveTo>
                <a:pt x="7222428" y="3361326"/>
              </a:moveTo>
              <a:cubicBezTo>
                <a:pt x="7203200" y="3361326"/>
                <a:pt x="7187603" y="3345735"/>
                <a:pt x="7187603" y="3326507"/>
              </a:cubicBezTo>
              <a:cubicBezTo>
                <a:pt x="7187603" y="3307279"/>
                <a:pt x="7203200" y="3291688"/>
                <a:pt x="7222428" y="3291688"/>
              </a:cubicBezTo>
              <a:cubicBezTo>
                <a:pt x="7241656" y="3291688"/>
                <a:pt x="7257240" y="3307279"/>
                <a:pt x="7257240" y="3326507"/>
              </a:cubicBezTo>
              <a:cubicBezTo>
                <a:pt x="7257240" y="3345735"/>
                <a:pt x="7241656" y="3361326"/>
                <a:pt x="7222428" y="3361326"/>
              </a:cubicBezTo>
              <a:close/>
              <a:moveTo>
                <a:pt x="7307320" y="3361326"/>
              </a:moveTo>
              <a:cubicBezTo>
                <a:pt x="7288093" y="3361326"/>
                <a:pt x="7272495" y="3345735"/>
                <a:pt x="7272495" y="3326507"/>
              </a:cubicBezTo>
              <a:cubicBezTo>
                <a:pt x="7272495" y="3307279"/>
                <a:pt x="7288093" y="3291688"/>
                <a:pt x="7307320" y="3291688"/>
              </a:cubicBezTo>
              <a:cubicBezTo>
                <a:pt x="7326548" y="3291688"/>
                <a:pt x="7342133" y="3307279"/>
                <a:pt x="7342133" y="3326507"/>
              </a:cubicBezTo>
              <a:cubicBezTo>
                <a:pt x="7342133" y="3345735"/>
                <a:pt x="7326548" y="3361326"/>
                <a:pt x="7307320" y="3361326"/>
              </a:cubicBezTo>
              <a:close/>
              <a:moveTo>
                <a:pt x="7392214" y="3361326"/>
              </a:moveTo>
              <a:cubicBezTo>
                <a:pt x="7372986" y="3361326"/>
                <a:pt x="7357388" y="3345735"/>
                <a:pt x="7357388" y="3326507"/>
              </a:cubicBezTo>
              <a:cubicBezTo>
                <a:pt x="7357388" y="3307279"/>
                <a:pt x="7372986" y="3291688"/>
                <a:pt x="7392214" y="3291688"/>
              </a:cubicBezTo>
              <a:cubicBezTo>
                <a:pt x="7411441" y="3291688"/>
                <a:pt x="7427026" y="3307279"/>
                <a:pt x="7427026" y="3326507"/>
              </a:cubicBezTo>
              <a:cubicBezTo>
                <a:pt x="7427026" y="3345735"/>
                <a:pt x="7411441" y="3361326"/>
                <a:pt x="7392214" y="3361326"/>
              </a:cubicBezTo>
              <a:close/>
              <a:moveTo>
                <a:pt x="7561998" y="3361326"/>
              </a:moveTo>
              <a:cubicBezTo>
                <a:pt x="7542770" y="3361326"/>
                <a:pt x="7527173" y="3345735"/>
                <a:pt x="7527173" y="3326507"/>
              </a:cubicBezTo>
              <a:cubicBezTo>
                <a:pt x="7527173" y="3307279"/>
                <a:pt x="7542770" y="3291688"/>
                <a:pt x="7561998" y="3291688"/>
              </a:cubicBezTo>
              <a:cubicBezTo>
                <a:pt x="7581226" y="3291688"/>
                <a:pt x="7596810" y="3307279"/>
                <a:pt x="7596810" y="3326507"/>
              </a:cubicBezTo>
              <a:cubicBezTo>
                <a:pt x="7596810" y="3345735"/>
                <a:pt x="7581226" y="3361326"/>
                <a:pt x="7561998" y="3361326"/>
              </a:cubicBezTo>
              <a:close/>
              <a:moveTo>
                <a:pt x="7986460" y="3361326"/>
              </a:moveTo>
              <a:cubicBezTo>
                <a:pt x="7967233" y="3361326"/>
                <a:pt x="7951635" y="3345735"/>
                <a:pt x="7951635" y="3326507"/>
              </a:cubicBezTo>
              <a:cubicBezTo>
                <a:pt x="7951635" y="3307279"/>
                <a:pt x="7967233" y="3291688"/>
                <a:pt x="7986460" y="3291688"/>
              </a:cubicBezTo>
              <a:cubicBezTo>
                <a:pt x="8005688" y="3291688"/>
                <a:pt x="8021273" y="3307279"/>
                <a:pt x="8021273" y="3326507"/>
              </a:cubicBezTo>
              <a:cubicBezTo>
                <a:pt x="8021273" y="3345735"/>
                <a:pt x="8005688" y="3361326"/>
                <a:pt x="7986460" y="3361326"/>
              </a:cubicBezTo>
              <a:close/>
              <a:moveTo>
                <a:pt x="8071353" y="3361326"/>
              </a:moveTo>
              <a:cubicBezTo>
                <a:pt x="8052125" y="3361326"/>
                <a:pt x="8036527" y="3345735"/>
                <a:pt x="8036527" y="3326507"/>
              </a:cubicBezTo>
              <a:cubicBezTo>
                <a:pt x="8036527" y="3307279"/>
                <a:pt x="8052125" y="3291688"/>
                <a:pt x="8071353" y="3291688"/>
              </a:cubicBezTo>
              <a:cubicBezTo>
                <a:pt x="8090580" y="3291688"/>
                <a:pt x="8106165" y="3307279"/>
                <a:pt x="8106165" y="3326507"/>
              </a:cubicBezTo>
              <a:cubicBezTo>
                <a:pt x="8106165" y="3345735"/>
                <a:pt x="8090580" y="3361326"/>
                <a:pt x="8071353" y="3361326"/>
              </a:cubicBezTo>
              <a:close/>
              <a:moveTo>
                <a:pt x="8156246" y="3361326"/>
              </a:moveTo>
              <a:cubicBezTo>
                <a:pt x="8137018" y="3361326"/>
                <a:pt x="8121420" y="3345735"/>
                <a:pt x="8121420" y="3326507"/>
              </a:cubicBezTo>
              <a:cubicBezTo>
                <a:pt x="8121420" y="3307279"/>
                <a:pt x="8137018" y="3291688"/>
                <a:pt x="8156246" y="3291688"/>
              </a:cubicBezTo>
              <a:cubicBezTo>
                <a:pt x="8175474" y="3291688"/>
                <a:pt x="8191058" y="3307279"/>
                <a:pt x="8191058" y="3326507"/>
              </a:cubicBezTo>
              <a:cubicBezTo>
                <a:pt x="8191058" y="3345735"/>
                <a:pt x="8175474" y="3361326"/>
                <a:pt x="8156246" y="3361326"/>
              </a:cubicBezTo>
              <a:close/>
              <a:moveTo>
                <a:pt x="8241138" y="3361326"/>
              </a:moveTo>
              <a:cubicBezTo>
                <a:pt x="8221910" y="3361326"/>
                <a:pt x="8206313" y="3345735"/>
                <a:pt x="8206313" y="3326507"/>
              </a:cubicBezTo>
              <a:cubicBezTo>
                <a:pt x="8206313" y="3307279"/>
                <a:pt x="8221910" y="3291688"/>
                <a:pt x="8241138" y="3291688"/>
              </a:cubicBezTo>
              <a:cubicBezTo>
                <a:pt x="8260366" y="3291688"/>
                <a:pt x="8275950" y="3307279"/>
                <a:pt x="8275950" y="3326507"/>
              </a:cubicBezTo>
              <a:cubicBezTo>
                <a:pt x="8275950" y="3345735"/>
                <a:pt x="8260366" y="3361326"/>
                <a:pt x="8241138" y="3361326"/>
              </a:cubicBezTo>
              <a:close/>
              <a:moveTo>
                <a:pt x="8326030" y="3361326"/>
              </a:moveTo>
              <a:cubicBezTo>
                <a:pt x="8306803" y="3361326"/>
                <a:pt x="8291205" y="3345735"/>
                <a:pt x="8291205" y="3326507"/>
              </a:cubicBezTo>
              <a:cubicBezTo>
                <a:pt x="8291205" y="3307279"/>
                <a:pt x="8306803" y="3291688"/>
                <a:pt x="8326030" y="3291688"/>
              </a:cubicBezTo>
              <a:cubicBezTo>
                <a:pt x="8345258" y="3291688"/>
                <a:pt x="8360843" y="3307279"/>
                <a:pt x="8360843" y="3326507"/>
              </a:cubicBezTo>
              <a:cubicBezTo>
                <a:pt x="8360843" y="3345735"/>
                <a:pt x="8345258" y="3361326"/>
                <a:pt x="8326030" y="3361326"/>
              </a:cubicBezTo>
              <a:close/>
              <a:moveTo>
                <a:pt x="8410923" y="3361326"/>
              </a:moveTo>
              <a:cubicBezTo>
                <a:pt x="8391695" y="3361326"/>
                <a:pt x="8376097" y="3345735"/>
                <a:pt x="8376097" y="3326507"/>
              </a:cubicBezTo>
              <a:cubicBezTo>
                <a:pt x="8376097" y="3307279"/>
                <a:pt x="8391695" y="3291688"/>
                <a:pt x="8410923" y="3291688"/>
              </a:cubicBezTo>
              <a:cubicBezTo>
                <a:pt x="8430150" y="3291688"/>
                <a:pt x="8445735" y="3307279"/>
                <a:pt x="8445735" y="3326507"/>
              </a:cubicBezTo>
              <a:cubicBezTo>
                <a:pt x="8445735" y="3345735"/>
                <a:pt x="8430150" y="3361326"/>
                <a:pt x="8410923" y="3361326"/>
              </a:cubicBezTo>
              <a:close/>
              <a:moveTo>
                <a:pt x="8495816" y="3361326"/>
              </a:moveTo>
              <a:cubicBezTo>
                <a:pt x="8476588" y="3361326"/>
                <a:pt x="8460990" y="3345735"/>
                <a:pt x="8460990" y="3326507"/>
              </a:cubicBezTo>
              <a:cubicBezTo>
                <a:pt x="8460990" y="3307279"/>
                <a:pt x="8476588" y="3291688"/>
                <a:pt x="8495816" y="3291688"/>
              </a:cubicBezTo>
              <a:cubicBezTo>
                <a:pt x="8515044" y="3291688"/>
                <a:pt x="8530628" y="3307279"/>
                <a:pt x="8530628" y="3326507"/>
              </a:cubicBezTo>
              <a:cubicBezTo>
                <a:pt x="8530628" y="3345735"/>
                <a:pt x="8515044" y="3361326"/>
                <a:pt x="8495816" y="3361326"/>
              </a:cubicBezTo>
              <a:close/>
              <a:moveTo>
                <a:pt x="8580708" y="3361326"/>
              </a:moveTo>
              <a:cubicBezTo>
                <a:pt x="8561480" y="3361326"/>
                <a:pt x="8545883" y="3345735"/>
                <a:pt x="8545883" y="3326507"/>
              </a:cubicBezTo>
              <a:cubicBezTo>
                <a:pt x="8545883" y="3307279"/>
                <a:pt x="8561480" y="3291688"/>
                <a:pt x="8580708" y="3291688"/>
              </a:cubicBezTo>
              <a:cubicBezTo>
                <a:pt x="8599936" y="3291688"/>
                <a:pt x="8615520" y="3307279"/>
                <a:pt x="8615520" y="3326507"/>
              </a:cubicBezTo>
              <a:cubicBezTo>
                <a:pt x="8615520" y="3345735"/>
                <a:pt x="8599936" y="3361326"/>
                <a:pt x="8580708" y="3361326"/>
              </a:cubicBezTo>
              <a:close/>
              <a:moveTo>
                <a:pt x="8665600" y="3361326"/>
              </a:moveTo>
              <a:cubicBezTo>
                <a:pt x="8646373" y="3361326"/>
                <a:pt x="8630775" y="3345735"/>
                <a:pt x="8630775" y="3326507"/>
              </a:cubicBezTo>
              <a:cubicBezTo>
                <a:pt x="8630775" y="3307279"/>
                <a:pt x="8646373" y="3291688"/>
                <a:pt x="8665600" y="3291688"/>
              </a:cubicBezTo>
              <a:cubicBezTo>
                <a:pt x="8684828" y="3291688"/>
                <a:pt x="8700413" y="3307279"/>
                <a:pt x="8700413" y="3326507"/>
              </a:cubicBezTo>
              <a:cubicBezTo>
                <a:pt x="8700413" y="3345735"/>
                <a:pt x="8684828" y="3361326"/>
                <a:pt x="8665600" y="3361326"/>
              </a:cubicBezTo>
              <a:close/>
              <a:moveTo>
                <a:pt x="8750493" y="3361326"/>
              </a:moveTo>
              <a:cubicBezTo>
                <a:pt x="8731265" y="3361326"/>
                <a:pt x="8715667" y="3345735"/>
                <a:pt x="8715667" y="3326507"/>
              </a:cubicBezTo>
              <a:cubicBezTo>
                <a:pt x="8715667" y="3307279"/>
                <a:pt x="8731265" y="3291688"/>
                <a:pt x="8750493" y="3291688"/>
              </a:cubicBezTo>
              <a:cubicBezTo>
                <a:pt x="8769720" y="3291688"/>
                <a:pt x="8785305" y="3307279"/>
                <a:pt x="8785305" y="3326507"/>
              </a:cubicBezTo>
              <a:cubicBezTo>
                <a:pt x="8785305" y="3345735"/>
                <a:pt x="8769720" y="3361326"/>
                <a:pt x="8750493" y="3361326"/>
              </a:cubicBezTo>
              <a:close/>
              <a:moveTo>
                <a:pt x="8835386" y="3361326"/>
              </a:moveTo>
              <a:cubicBezTo>
                <a:pt x="8816158" y="3361326"/>
                <a:pt x="8800560" y="3345735"/>
                <a:pt x="8800560" y="3326507"/>
              </a:cubicBezTo>
              <a:cubicBezTo>
                <a:pt x="8800560" y="3307279"/>
                <a:pt x="8816158" y="3291688"/>
                <a:pt x="8835386" y="3291688"/>
              </a:cubicBezTo>
              <a:cubicBezTo>
                <a:pt x="8854614" y="3291688"/>
                <a:pt x="8870198" y="3307279"/>
                <a:pt x="8870198" y="3326507"/>
              </a:cubicBezTo>
              <a:cubicBezTo>
                <a:pt x="8870198" y="3345735"/>
                <a:pt x="8854614" y="3361326"/>
                <a:pt x="8835386" y="3361326"/>
              </a:cubicBezTo>
              <a:close/>
              <a:moveTo>
                <a:pt x="8920278" y="3361326"/>
              </a:moveTo>
              <a:cubicBezTo>
                <a:pt x="8901050" y="3361326"/>
                <a:pt x="8885453" y="3345735"/>
                <a:pt x="8885453" y="3326507"/>
              </a:cubicBezTo>
              <a:cubicBezTo>
                <a:pt x="8885453" y="3307279"/>
                <a:pt x="8901050" y="3291688"/>
                <a:pt x="8920278" y="3291688"/>
              </a:cubicBezTo>
              <a:cubicBezTo>
                <a:pt x="8939506" y="3291688"/>
                <a:pt x="8955090" y="3307279"/>
                <a:pt x="8955090" y="3326507"/>
              </a:cubicBezTo>
              <a:cubicBezTo>
                <a:pt x="8955090" y="3345735"/>
                <a:pt x="8939506" y="3361326"/>
                <a:pt x="8920278" y="3361326"/>
              </a:cubicBezTo>
              <a:close/>
              <a:moveTo>
                <a:pt x="9005170" y="3361326"/>
              </a:moveTo>
              <a:cubicBezTo>
                <a:pt x="8985943" y="3361326"/>
                <a:pt x="8970345" y="3345735"/>
                <a:pt x="8970345" y="3326507"/>
              </a:cubicBezTo>
              <a:cubicBezTo>
                <a:pt x="8970345" y="3307279"/>
                <a:pt x="8985943" y="3291688"/>
                <a:pt x="9005170" y="3291688"/>
              </a:cubicBezTo>
              <a:cubicBezTo>
                <a:pt x="9024398" y="3291688"/>
                <a:pt x="9039983" y="3307279"/>
                <a:pt x="9039983" y="3326507"/>
              </a:cubicBezTo>
              <a:cubicBezTo>
                <a:pt x="9039983" y="3345735"/>
                <a:pt x="9024398" y="3361326"/>
                <a:pt x="9005170" y="3361326"/>
              </a:cubicBezTo>
              <a:close/>
              <a:moveTo>
                <a:pt x="9090063" y="3361326"/>
              </a:moveTo>
              <a:cubicBezTo>
                <a:pt x="9070835" y="3361326"/>
                <a:pt x="9055237" y="3345735"/>
                <a:pt x="9055237" y="3326507"/>
              </a:cubicBezTo>
              <a:cubicBezTo>
                <a:pt x="9055237" y="3307279"/>
                <a:pt x="9070835" y="3291688"/>
                <a:pt x="9090063" y="3291688"/>
              </a:cubicBezTo>
              <a:cubicBezTo>
                <a:pt x="9109290" y="3291688"/>
                <a:pt x="9124875" y="3307279"/>
                <a:pt x="9124875" y="3326507"/>
              </a:cubicBezTo>
              <a:cubicBezTo>
                <a:pt x="9124875" y="3345735"/>
                <a:pt x="9109290" y="3361326"/>
                <a:pt x="9090063" y="3361326"/>
              </a:cubicBezTo>
              <a:close/>
              <a:moveTo>
                <a:pt x="9174956" y="3361326"/>
              </a:moveTo>
              <a:cubicBezTo>
                <a:pt x="9155728" y="3361326"/>
                <a:pt x="9140130" y="3345735"/>
                <a:pt x="9140130" y="3326507"/>
              </a:cubicBezTo>
              <a:cubicBezTo>
                <a:pt x="9140130" y="3307279"/>
                <a:pt x="9155728" y="3291688"/>
                <a:pt x="9174956" y="3291688"/>
              </a:cubicBezTo>
              <a:cubicBezTo>
                <a:pt x="9194184" y="3291688"/>
                <a:pt x="9209768" y="3307279"/>
                <a:pt x="9209768" y="3326507"/>
              </a:cubicBezTo>
              <a:cubicBezTo>
                <a:pt x="9209768" y="3345735"/>
                <a:pt x="9194184" y="3361326"/>
                <a:pt x="9174956" y="3361326"/>
              </a:cubicBezTo>
              <a:close/>
              <a:moveTo>
                <a:pt x="9259848" y="3361326"/>
              </a:moveTo>
              <a:cubicBezTo>
                <a:pt x="9240620" y="3361326"/>
                <a:pt x="9225023" y="3345735"/>
                <a:pt x="9225023" y="3326507"/>
              </a:cubicBezTo>
              <a:cubicBezTo>
                <a:pt x="9225023" y="3307279"/>
                <a:pt x="9240620" y="3291688"/>
                <a:pt x="9259848" y="3291688"/>
              </a:cubicBezTo>
              <a:cubicBezTo>
                <a:pt x="9279076" y="3291688"/>
                <a:pt x="9294660" y="3307279"/>
                <a:pt x="9294660" y="3326507"/>
              </a:cubicBezTo>
              <a:cubicBezTo>
                <a:pt x="9294660" y="3345735"/>
                <a:pt x="9279076" y="3361326"/>
                <a:pt x="9259848" y="3361326"/>
              </a:cubicBezTo>
              <a:close/>
              <a:moveTo>
                <a:pt x="9344740" y="3361326"/>
              </a:moveTo>
              <a:cubicBezTo>
                <a:pt x="9325513" y="3361326"/>
                <a:pt x="9309915" y="3345735"/>
                <a:pt x="9309915" y="3326507"/>
              </a:cubicBezTo>
              <a:cubicBezTo>
                <a:pt x="9309915" y="3307279"/>
                <a:pt x="9325513" y="3291688"/>
                <a:pt x="9344740" y="3291688"/>
              </a:cubicBezTo>
              <a:cubicBezTo>
                <a:pt x="9363968" y="3291688"/>
                <a:pt x="9379553" y="3307279"/>
                <a:pt x="9379553" y="3326507"/>
              </a:cubicBezTo>
              <a:cubicBezTo>
                <a:pt x="9379553" y="3345735"/>
                <a:pt x="9363968" y="3361326"/>
                <a:pt x="9344740" y="3361326"/>
              </a:cubicBezTo>
              <a:close/>
              <a:moveTo>
                <a:pt x="9429633" y="3361326"/>
              </a:moveTo>
              <a:cubicBezTo>
                <a:pt x="9410405" y="3361326"/>
                <a:pt x="9394807" y="3345735"/>
                <a:pt x="9394807" y="3326507"/>
              </a:cubicBezTo>
              <a:cubicBezTo>
                <a:pt x="9394807" y="3307279"/>
                <a:pt x="9410405" y="3291688"/>
                <a:pt x="9429633" y="3291688"/>
              </a:cubicBezTo>
              <a:cubicBezTo>
                <a:pt x="9448860" y="3291688"/>
                <a:pt x="9464445" y="3307279"/>
                <a:pt x="9464445" y="3326507"/>
              </a:cubicBezTo>
              <a:cubicBezTo>
                <a:pt x="9464445" y="3345735"/>
                <a:pt x="9448860" y="3361326"/>
                <a:pt x="9429633" y="3361326"/>
              </a:cubicBezTo>
              <a:close/>
              <a:moveTo>
                <a:pt x="9599418" y="3361326"/>
              </a:moveTo>
              <a:cubicBezTo>
                <a:pt x="9580190" y="3361326"/>
                <a:pt x="9564593" y="3345735"/>
                <a:pt x="9564593" y="3326507"/>
              </a:cubicBezTo>
              <a:cubicBezTo>
                <a:pt x="9564593" y="3307279"/>
                <a:pt x="9580190" y="3291688"/>
                <a:pt x="9599418" y="3291688"/>
              </a:cubicBezTo>
              <a:cubicBezTo>
                <a:pt x="9618646" y="3291688"/>
                <a:pt x="9634230" y="3307279"/>
                <a:pt x="9634230" y="3326507"/>
              </a:cubicBezTo>
              <a:cubicBezTo>
                <a:pt x="9634230" y="3345735"/>
                <a:pt x="9618646" y="3361326"/>
                <a:pt x="9599418" y="3361326"/>
              </a:cubicBezTo>
              <a:close/>
              <a:moveTo>
                <a:pt x="1025273" y="3276466"/>
              </a:moveTo>
              <a:cubicBezTo>
                <a:pt x="1006046" y="3276466"/>
                <a:pt x="990454" y="3260875"/>
                <a:pt x="990454" y="3241647"/>
              </a:cubicBezTo>
              <a:cubicBezTo>
                <a:pt x="990454" y="3222420"/>
                <a:pt x="1006046" y="3206829"/>
                <a:pt x="1025273" y="3206829"/>
              </a:cubicBezTo>
              <a:cubicBezTo>
                <a:pt x="1044501" y="3206829"/>
                <a:pt x="1060092" y="3222420"/>
                <a:pt x="1060092" y="3241647"/>
              </a:cubicBezTo>
              <a:cubicBezTo>
                <a:pt x="1060092" y="3260875"/>
                <a:pt x="1044501" y="3276466"/>
                <a:pt x="1025273" y="3276466"/>
              </a:cubicBezTo>
              <a:close/>
              <a:moveTo>
                <a:pt x="2638231" y="3276466"/>
              </a:moveTo>
              <a:cubicBezTo>
                <a:pt x="2619003" y="3276466"/>
                <a:pt x="2603412" y="3260875"/>
                <a:pt x="2603412" y="3241647"/>
              </a:cubicBezTo>
              <a:cubicBezTo>
                <a:pt x="2603412" y="3222420"/>
                <a:pt x="2619003" y="3206829"/>
                <a:pt x="2638231" y="3206829"/>
              </a:cubicBezTo>
              <a:cubicBezTo>
                <a:pt x="2657459" y="3206829"/>
                <a:pt x="2673050" y="3222420"/>
                <a:pt x="2673050" y="3241647"/>
              </a:cubicBezTo>
              <a:cubicBezTo>
                <a:pt x="2673050" y="3260875"/>
                <a:pt x="2657459" y="3276466"/>
                <a:pt x="2638231" y="3276466"/>
              </a:cubicBezTo>
              <a:close/>
              <a:moveTo>
                <a:pt x="2723123" y="3276466"/>
              </a:moveTo>
              <a:cubicBezTo>
                <a:pt x="2703896" y="3276466"/>
                <a:pt x="2688304" y="3260875"/>
                <a:pt x="2688304" y="3241647"/>
              </a:cubicBezTo>
              <a:cubicBezTo>
                <a:pt x="2688304" y="3222420"/>
                <a:pt x="2703896" y="3206829"/>
                <a:pt x="2723123" y="3206829"/>
              </a:cubicBezTo>
              <a:cubicBezTo>
                <a:pt x="2742351" y="3206829"/>
                <a:pt x="2757942" y="3222420"/>
                <a:pt x="2757942" y="3241647"/>
              </a:cubicBezTo>
              <a:cubicBezTo>
                <a:pt x="2757942" y="3260875"/>
                <a:pt x="2742351" y="3276466"/>
                <a:pt x="2723123" y="3276466"/>
              </a:cubicBezTo>
              <a:close/>
              <a:moveTo>
                <a:pt x="2808016" y="3276466"/>
              </a:moveTo>
              <a:cubicBezTo>
                <a:pt x="2788788" y="3276466"/>
                <a:pt x="2773197" y="3260875"/>
                <a:pt x="2773197" y="3241647"/>
              </a:cubicBezTo>
              <a:cubicBezTo>
                <a:pt x="2773197" y="3222420"/>
                <a:pt x="2788788" y="3206829"/>
                <a:pt x="2808016" y="3206829"/>
              </a:cubicBezTo>
              <a:cubicBezTo>
                <a:pt x="2827243" y="3206829"/>
                <a:pt x="2842834" y="3222420"/>
                <a:pt x="2842834" y="3241647"/>
              </a:cubicBezTo>
              <a:cubicBezTo>
                <a:pt x="2842834" y="3260875"/>
                <a:pt x="2827243" y="3276466"/>
                <a:pt x="2808016" y="3276466"/>
              </a:cubicBezTo>
              <a:close/>
              <a:moveTo>
                <a:pt x="3147586" y="3276466"/>
              </a:moveTo>
              <a:cubicBezTo>
                <a:pt x="3128358" y="3276466"/>
                <a:pt x="3112767" y="3260875"/>
                <a:pt x="3112767" y="3241647"/>
              </a:cubicBezTo>
              <a:cubicBezTo>
                <a:pt x="3112767" y="3222420"/>
                <a:pt x="3128358" y="3206829"/>
                <a:pt x="3147586" y="3206829"/>
              </a:cubicBezTo>
              <a:cubicBezTo>
                <a:pt x="3166813" y="3206829"/>
                <a:pt x="3182404" y="3222420"/>
                <a:pt x="3182404" y="3241647"/>
              </a:cubicBezTo>
              <a:cubicBezTo>
                <a:pt x="3182404" y="3260875"/>
                <a:pt x="3166813" y="3276466"/>
                <a:pt x="3147586" y="3276466"/>
              </a:cubicBezTo>
              <a:close/>
              <a:moveTo>
                <a:pt x="3317371" y="3276466"/>
              </a:moveTo>
              <a:cubicBezTo>
                <a:pt x="3298143" y="3276466"/>
                <a:pt x="3282552" y="3260875"/>
                <a:pt x="3282552" y="3241647"/>
              </a:cubicBezTo>
              <a:cubicBezTo>
                <a:pt x="3282552" y="3222420"/>
                <a:pt x="3298143" y="3206829"/>
                <a:pt x="3317371" y="3206829"/>
              </a:cubicBezTo>
              <a:cubicBezTo>
                <a:pt x="3336599" y="3206829"/>
                <a:pt x="3352190" y="3222420"/>
                <a:pt x="3352190" y="3241647"/>
              </a:cubicBezTo>
              <a:cubicBezTo>
                <a:pt x="3352190" y="3260875"/>
                <a:pt x="3336599" y="3276466"/>
                <a:pt x="3317371" y="3276466"/>
              </a:cubicBezTo>
              <a:close/>
              <a:moveTo>
                <a:pt x="3402263" y="3276466"/>
              </a:moveTo>
              <a:cubicBezTo>
                <a:pt x="3383036" y="3276466"/>
                <a:pt x="3367444" y="3260875"/>
                <a:pt x="3367444" y="3241647"/>
              </a:cubicBezTo>
              <a:cubicBezTo>
                <a:pt x="3367444" y="3222420"/>
                <a:pt x="3383036" y="3206829"/>
                <a:pt x="3402263" y="3206829"/>
              </a:cubicBezTo>
              <a:cubicBezTo>
                <a:pt x="3421491" y="3206829"/>
                <a:pt x="3437082" y="3222420"/>
                <a:pt x="3437082" y="3241647"/>
              </a:cubicBezTo>
              <a:cubicBezTo>
                <a:pt x="3437082" y="3260875"/>
                <a:pt x="3421491" y="3276466"/>
                <a:pt x="3402263" y="3276466"/>
              </a:cubicBezTo>
              <a:close/>
              <a:moveTo>
                <a:pt x="3487156" y="3276466"/>
              </a:moveTo>
              <a:cubicBezTo>
                <a:pt x="3467928" y="3276466"/>
                <a:pt x="3452337" y="3260875"/>
                <a:pt x="3452337" y="3241647"/>
              </a:cubicBezTo>
              <a:cubicBezTo>
                <a:pt x="3452337" y="3222420"/>
                <a:pt x="3467928" y="3206829"/>
                <a:pt x="3487156" y="3206829"/>
              </a:cubicBezTo>
              <a:cubicBezTo>
                <a:pt x="3506383" y="3206829"/>
                <a:pt x="3521974" y="3222420"/>
                <a:pt x="3521974" y="3241647"/>
              </a:cubicBezTo>
              <a:cubicBezTo>
                <a:pt x="3521974" y="3260875"/>
                <a:pt x="3506383" y="3276466"/>
                <a:pt x="3487156" y="3276466"/>
              </a:cubicBezTo>
              <a:close/>
              <a:moveTo>
                <a:pt x="5354794" y="3276466"/>
              </a:moveTo>
              <a:cubicBezTo>
                <a:pt x="5335566" y="3276466"/>
                <a:pt x="5319968" y="3260875"/>
                <a:pt x="5319968" y="3241647"/>
              </a:cubicBezTo>
              <a:cubicBezTo>
                <a:pt x="5319968" y="3222420"/>
                <a:pt x="5335566" y="3206829"/>
                <a:pt x="5354794" y="3206829"/>
              </a:cubicBezTo>
              <a:cubicBezTo>
                <a:pt x="5374021" y="3206829"/>
                <a:pt x="5389606" y="3222420"/>
                <a:pt x="5389606" y="3241647"/>
              </a:cubicBezTo>
              <a:cubicBezTo>
                <a:pt x="5389606" y="3260875"/>
                <a:pt x="5374021" y="3276466"/>
                <a:pt x="5354794" y="3276466"/>
              </a:cubicBezTo>
              <a:close/>
              <a:moveTo>
                <a:pt x="5439686" y="3276466"/>
              </a:moveTo>
              <a:cubicBezTo>
                <a:pt x="5420458" y="3276466"/>
                <a:pt x="5404860" y="3260875"/>
                <a:pt x="5404860" y="3241647"/>
              </a:cubicBezTo>
              <a:cubicBezTo>
                <a:pt x="5404860" y="3222420"/>
                <a:pt x="5420458" y="3206829"/>
                <a:pt x="5439686" y="3206829"/>
              </a:cubicBezTo>
              <a:cubicBezTo>
                <a:pt x="5458914" y="3206829"/>
                <a:pt x="5474498" y="3222420"/>
                <a:pt x="5474498" y="3241647"/>
              </a:cubicBezTo>
              <a:cubicBezTo>
                <a:pt x="5474498" y="3260875"/>
                <a:pt x="5458914" y="3276466"/>
                <a:pt x="5439686" y="3276466"/>
              </a:cubicBezTo>
              <a:close/>
              <a:moveTo>
                <a:pt x="5524578" y="3276466"/>
              </a:moveTo>
              <a:cubicBezTo>
                <a:pt x="5505350" y="3276466"/>
                <a:pt x="5489753" y="3260875"/>
                <a:pt x="5489753" y="3241647"/>
              </a:cubicBezTo>
              <a:cubicBezTo>
                <a:pt x="5489753" y="3222420"/>
                <a:pt x="5505350" y="3206829"/>
                <a:pt x="5524578" y="3206829"/>
              </a:cubicBezTo>
              <a:cubicBezTo>
                <a:pt x="5543806" y="3206829"/>
                <a:pt x="5559390" y="3222420"/>
                <a:pt x="5559390" y="3241647"/>
              </a:cubicBezTo>
              <a:cubicBezTo>
                <a:pt x="5559390" y="3260875"/>
                <a:pt x="5543806" y="3276466"/>
                <a:pt x="5524578" y="3276466"/>
              </a:cubicBezTo>
              <a:close/>
              <a:moveTo>
                <a:pt x="5609471" y="3276466"/>
              </a:moveTo>
              <a:cubicBezTo>
                <a:pt x="5590244" y="3276466"/>
                <a:pt x="5574646" y="3260875"/>
                <a:pt x="5574646" y="3241647"/>
              </a:cubicBezTo>
              <a:cubicBezTo>
                <a:pt x="5574646" y="3222420"/>
                <a:pt x="5590244" y="3206829"/>
                <a:pt x="5609471" y="3206829"/>
              </a:cubicBezTo>
              <a:cubicBezTo>
                <a:pt x="5628699" y="3206829"/>
                <a:pt x="5644284" y="3222420"/>
                <a:pt x="5644284" y="3241647"/>
              </a:cubicBezTo>
              <a:cubicBezTo>
                <a:pt x="5644284" y="3260875"/>
                <a:pt x="5628699" y="3276466"/>
                <a:pt x="5609471" y="3276466"/>
              </a:cubicBezTo>
              <a:close/>
              <a:moveTo>
                <a:pt x="5694364" y="3276466"/>
              </a:moveTo>
              <a:cubicBezTo>
                <a:pt x="5675136" y="3276466"/>
                <a:pt x="5659538" y="3260875"/>
                <a:pt x="5659538" y="3241647"/>
              </a:cubicBezTo>
              <a:cubicBezTo>
                <a:pt x="5659538" y="3222420"/>
                <a:pt x="5675136" y="3206829"/>
                <a:pt x="5694364" y="3206829"/>
              </a:cubicBezTo>
              <a:cubicBezTo>
                <a:pt x="5713591" y="3206829"/>
                <a:pt x="5729176" y="3222420"/>
                <a:pt x="5729176" y="3241647"/>
              </a:cubicBezTo>
              <a:cubicBezTo>
                <a:pt x="5729176" y="3260875"/>
                <a:pt x="5713591" y="3276466"/>
                <a:pt x="5694364" y="3276466"/>
              </a:cubicBezTo>
              <a:close/>
              <a:moveTo>
                <a:pt x="5779256" y="3276466"/>
              </a:moveTo>
              <a:cubicBezTo>
                <a:pt x="5760028" y="3276466"/>
                <a:pt x="5744430" y="3260875"/>
                <a:pt x="5744430" y="3241647"/>
              </a:cubicBezTo>
              <a:cubicBezTo>
                <a:pt x="5744430" y="3222420"/>
                <a:pt x="5760028" y="3206829"/>
                <a:pt x="5779256" y="3206829"/>
              </a:cubicBezTo>
              <a:cubicBezTo>
                <a:pt x="5798484" y="3206829"/>
                <a:pt x="5814068" y="3222420"/>
                <a:pt x="5814068" y="3241647"/>
              </a:cubicBezTo>
              <a:cubicBezTo>
                <a:pt x="5814068" y="3260875"/>
                <a:pt x="5798484" y="3276466"/>
                <a:pt x="5779256" y="3276466"/>
              </a:cubicBezTo>
              <a:close/>
              <a:moveTo>
                <a:pt x="5864148" y="3276466"/>
              </a:moveTo>
              <a:cubicBezTo>
                <a:pt x="5844920" y="3276466"/>
                <a:pt x="5829323" y="3260875"/>
                <a:pt x="5829323" y="3241647"/>
              </a:cubicBezTo>
              <a:cubicBezTo>
                <a:pt x="5829323" y="3222420"/>
                <a:pt x="5844920" y="3206829"/>
                <a:pt x="5864148" y="3206829"/>
              </a:cubicBezTo>
              <a:cubicBezTo>
                <a:pt x="5883376" y="3206829"/>
                <a:pt x="5898960" y="3222420"/>
                <a:pt x="5898960" y="3241647"/>
              </a:cubicBezTo>
              <a:cubicBezTo>
                <a:pt x="5898960" y="3260875"/>
                <a:pt x="5883376" y="3276466"/>
                <a:pt x="5864148" y="3276466"/>
              </a:cubicBezTo>
              <a:close/>
              <a:moveTo>
                <a:pt x="5949041" y="3276466"/>
              </a:moveTo>
              <a:cubicBezTo>
                <a:pt x="5929814" y="3276466"/>
                <a:pt x="5914216" y="3260875"/>
                <a:pt x="5914216" y="3241647"/>
              </a:cubicBezTo>
              <a:cubicBezTo>
                <a:pt x="5914216" y="3222420"/>
                <a:pt x="5929814" y="3206829"/>
                <a:pt x="5949041" y="3206829"/>
              </a:cubicBezTo>
              <a:cubicBezTo>
                <a:pt x="5968269" y="3206829"/>
                <a:pt x="5983854" y="3222420"/>
                <a:pt x="5983854" y="3241647"/>
              </a:cubicBezTo>
              <a:cubicBezTo>
                <a:pt x="5983854" y="3260875"/>
                <a:pt x="5968269" y="3276466"/>
                <a:pt x="5949041" y="3276466"/>
              </a:cubicBezTo>
              <a:close/>
              <a:moveTo>
                <a:pt x="6033934" y="3276466"/>
              </a:moveTo>
              <a:cubicBezTo>
                <a:pt x="6014706" y="3276466"/>
                <a:pt x="5999108" y="3260875"/>
                <a:pt x="5999108" y="3241647"/>
              </a:cubicBezTo>
              <a:cubicBezTo>
                <a:pt x="5999108" y="3222420"/>
                <a:pt x="6014706" y="3206829"/>
                <a:pt x="6033934" y="3206829"/>
              </a:cubicBezTo>
              <a:cubicBezTo>
                <a:pt x="6053161" y="3206829"/>
                <a:pt x="6068746" y="3222420"/>
                <a:pt x="6068746" y="3241647"/>
              </a:cubicBezTo>
              <a:cubicBezTo>
                <a:pt x="6068746" y="3260875"/>
                <a:pt x="6053161" y="3276466"/>
                <a:pt x="6033934" y="3276466"/>
              </a:cubicBezTo>
              <a:close/>
              <a:moveTo>
                <a:pt x="6118826" y="3276466"/>
              </a:moveTo>
              <a:cubicBezTo>
                <a:pt x="6099598" y="3276466"/>
                <a:pt x="6084000" y="3260875"/>
                <a:pt x="6084000" y="3241647"/>
              </a:cubicBezTo>
              <a:cubicBezTo>
                <a:pt x="6084000" y="3222420"/>
                <a:pt x="6099598" y="3206829"/>
                <a:pt x="6118826" y="3206829"/>
              </a:cubicBezTo>
              <a:cubicBezTo>
                <a:pt x="6138054" y="3206829"/>
                <a:pt x="6153638" y="3222420"/>
                <a:pt x="6153638" y="3241647"/>
              </a:cubicBezTo>
              <a:cubicBezTo>
                <a:pt x="6153638" y="3260875"/>
                <a:pt x="6138054" y="3276466"/>
                <a:pt x="6118826" y="3276466"/>
              </a:cubicBezTo>
              <a:close/>
              <a:moveTo>
                <a:pt x="6203718" y="3276466"/>
              </a:moveTo>
              <a:cubicBezTo>
                <a:pt x="6184490" y="3276466"/>
                <a:pt x="6168893" y="3260875"/>
                <a:pt x="6168893" y="3241647"/>
              </a:cubicBezTo>
              <a:cubicBezTo>
                <a:pt x="6168893" y="3222420"/>
                <a:pt x="6184490" y="3206829"/>
                <a:pt x="6203718" y="3206829"/>
              </a:cubicBezTo>
              <a:cubicBezTo>
                <a:pt x="6222946" y="3206829"/>
                <a:pt x="6238530" y="3222420"/>
                <a:pt x="6238530" y="3241647"/>
              </a:cubicBezTo>
              <a:cubicBezTo>
                <a:pt x="6238530" y="3260875"/>
                <a:pt x="6222946" y="3276466"/>
                <a:pt x="6203718" y="3276466"/>
              </a:cubicBezTo>
              <a:close/>
              <a:moveTo>
                <a:pt x="6288611" y="3276466"/>
              </a:moveTo>
              <a:cubicBezTo>
                <a:pt x="6269384" y="3276466"/>
                <a:pt x="6253786" y="3260875"/>
                <a:pt x="6253786" y="3241647"/>
              </a:cubicBezTo>
              <a:cubicBezTo>
                <a:pt x="6253786" y="3222420"/>
                <a:pt x="6269384" y="3206829"/>
                <a:pt x="6288611" y="3206829"/>
              </a:cubicBezTo>
              <a:cubicBezTo>
                <a:pt x="6307839" y="3206829"/>
                <a:pt x="6323424" y="3222420"/>
                <a:pt x="6323424" y="3241647"/>
              </a:cubicBezTo>
              <a:cubicBezTo>
                <a:pt x="6323424" y="3260875"/>
                <a:pt x="6307839" y="3276466"/>
                <a:pt x="6288611" y="3276466"/>
              </a:cubicBezTo>
              <a:close/>
              <a:moveTo>
                <a:pt x="6373504" y="3276466"/>
              </a:moveTo>
              <a:cubicBezTo>
                <a:pt x="6354276" y="3276466"/>
                <a:pt x="6338678" y="3260875"/>
                <a:pt x="6338678" y="3241647"/>
              </a:cubicBezTo>
              <a:cubicBezTo>
                <a:pt x="6338678" y="3222420"/>
                <a:pt x="6354276" y="3206829"/>
                <a:pt x="6373504" y="3206829"/>
              </a:cubicBezTo>
              <a:cubicBezTo>
                <a:pt x="6392731" y="3206829"/>
                <a:pt x="6408316" y="3222420"/>
                <a:pt x="6408316" y="3241647"/>
              </a:cubicBezTo>
              <a:cubicBezTo>
                <a:pt x="6408316" y="3260875"/>
                <a:pt x="6392731" y="3276466"/>
                <a:pt x="6373504" y="3276466"/>
              </a:cubicBezTo>
              <a:close/>
              <a:moveTo>
                <a:pt x="6458396" y="3276466"/>
              </a:moveTo>
              <a:cubicBezTo>
                <a:pt x="6439168" y="3276466"/>
                <a:pt x="6423570" y="3260875"/>
                <a:pt x="6423570" y="3241647"/>
              </a:cubicBezTo>
              <a:cubicBezTo>
                <a:pt x="6423570" y="3222420"/>
                <a:pt x="6439168" y="3206829"/>
                <a:pt x="6458396" y="3206829"/>
              </a:cubicBezTo>
              <a:cubicBezTo>
                <a:pt x="6477624" y="3206829"/>
                <a:pt x="6493208" y="3222420"/>
                <a:pt x="6493208" y="3241647"/>
              </a:cubicBezTo>
              <a:cubicBezTo>
                <a:pt x="6493208" y="3260875"/>
                <a:pt x="6477624" y="3276466"/>
                <a:pt x="6458396" y="3276466"/>
              </a:cubicBezTo>
              <a:close/>
              <a:moveTo>
                <a:pt x="6543288" y="3276466"/>
              </a:moveTo>
              <a:cubicBezTo>
                <a:pt x="6524060" y="3276466"/>
                <a:pt x="6508463" y="3260875"/>
                <a:pt x="6508463" y="3241647"/>
              </a:cubicBezTo>
              <a:cubicBezTo>
                <a:pt x="6508463" y="3222420"/>
                <a:pt x="6524060" y="3206829"/>
                <a:pt x="6543288" y="3206829"/>
              </a:cubicBezTo>
              <a:cubicBezTo>
                <a:pt x="6562516" y="3206829"/>
                <a:pt x="6578100" y="3222420"/>
                <a:pt x="6578100" y="3241647"/>
              </a:cubicBezTo>
              <a:cubicBezTo>
                <a:pt x="6578100" y="3260875"/>
                <a:pt x="6562516" y="3276466"/>
                <a:pt x="6543288" y="3276466"/>
              </a:cubicBezTo>
              <a:close/>
              <a:moveTo>
                <a:pt x="6628181" y="3276466"/>
              </a:moveTo>
              <a:cubicBezTo>
                <a:pt x="6608954" y="3276466"/>
                <a:pt x="6593356" y="3260875"/>
                <a:pt x="6593356" y="3241647"/>
              </a:cubicBezTo>
              <a:cubicBezTo>
                <a:pt x="6593356" y="3222420"/>
                <a:pt x="6608954" y="3206829"/>
                <a:pt x="6628181" y="3206829"/>
              </a:cubicBezTo>
              <a:cubicBezTo>
                <a:pt x="6647409" y="3206829"/>
                <a:pt x="6662994" y="3222420"/>
                <a:pt x="6662994" y="3241647"/>
              </a:cubicBezTo>
              <a:cubicBezTo>
                <a:pt x="6662994" y="3260875"/>
                <a:pt x="6647409" y="3276466"/>
                <a:pt x="6628181" y="3276466"/>
              </a:cubicBezTo>
              <a:close/>
              <a:moveTo>
                <a:pt x="6713074" y="3276466"/>
              </a:moveTo>
              <a:cubicBezTo>
                <a:pt x="6693846" y="3276466"/>
                <a:pt x="6678248" y="3260875"/>
                <a:pt x="6678248" y="3241647"/>
              </a:cubicBezTo>
              <a:cubicBezTo>
                <a:pt x="6678248" y="3222420"/>
                <a:pt x="6693846" y="3206829"/>
                <a:pt x="6713074" y="3206829"/>
              </a:cubicBezTo>
              <a:cubicBezTo>
                <a:pt x="6732301" y="3206829"/>
                <a:pt x="6747886" y="3222420"/>
                <a:pt x="6747886" y="3241647"/>
              </a:cubicBezTo>
              <a:cubicBezTo>
                <a:pt x="6747886" y="3260875"/>
                <a:pt x="6732301" y="3276466"/>
                <a:pt x="6713074" y="3276466"/>
              </a:cubicBezTo>
              <a:close/>
              <a:moveTo>
                <a:pt x="6797966" y="3276466"/>
              </a:moveTo>
              <a:cubicBezTo>
                <a:pt x="6778738" y="3276466"/>
                <a:pt x="6763140" y="3260875"/>
                <a:pt x="6763140" y="3241647"/>
              </a:cubicBezTo>
              <a:cubicBezTo>
                <a:pt x="6763140" y="3222420"/>
                <a:pt x="6778738" y="3206829"/>
                <a:pt x="6797966" y="3206829"/>
              </a:cubicBezTo>
              <a:cubicBezTo>
                <a:pt x="6817194" y="3206829"/>
                <a:pt x="6832778" y="3222420"/>
                <a:pt x="6832778" y="3241647"/>
              </a:cubicBezTo>
              <a:cubicBezTo>
                <a:pt x="6832778" y="3260875"/>
                <a:pt x="6817194" y="3276466"/>
                <a:pt x="6797966" y="3276466"/>
              </a:cubicBezTo>
              <a:close/>
              <a:moveTo>
                <a:pt x="6882858" y="3276466"/>
              </a:moveTo>
              <a:cubicBezTo>
                <a:pt x="6863630" y="3276466"/>
                <a:pt x="6848033" y="3260875"/>
                <a:pt x="6848033" y="3241647"/>
              </a:cubicBezTo>
              <a:cubicBezTo>
                <a:pt x="6848033" y="3222420"/>
                <a:pt x="6863630" y="3206829"/>
                <a:pt x="6882858" y="3206829"/>
              </a:cubicBezTo>
              <a:cubicBezTo>
                <a:pt x="6902086" y="3206829"/>
                <a:pt x="6917670" y="3222420"/>
                <a:pt x="6917670" y="3241647"/>
              </a:cubicBezTo>
              <a:cubicBezTo>
                <a:pt x="6917670" y="3260875"/>
                <a:pt x="6902086" y="3276466"/>
                <a:pt x="6882858" y="3276466"/>
              </a:cubicBezTo>
              <a:close/>
              <a:moveTo>
                <a:pt x="6967750" y="3276466"/>
              </a:moveTo>
              <a:cubicBezTo>
                <a:pt x="6948523" y="3276466"/>
                <a:pt x="6932925" y="3260875"/>
                <a:pt x="6932925" y="3241647"/>
              </a:cubicBezTo>
              <a:cubicBezTo>
                <a:pt x="6932925" y="3222420"/>
                <a:pt x="6948523" y="3206829"/>
                <a:pt x="6967750" y="3206829"/>
              </a:cubicBezTo>
              <a:cubicBezTo>
                <a:pt x="6986978" y="3206829"/>
                <a:pt x="7002563" y="3222420"/>
                <a:pt x="7002563" y="3241647"/>
              </a:cubicBezTo>
              <a:cubicBezTo>
                <a:pt x="7002563" y="3260875"/>
                <a:pt x="6986978" y="3276466"/>
                <a:pt x="6967750" y="3276466"/>
              </a:cubicBezTo>
              <a:close/>
              <a:moveTo>
                <a:pt x="7137536" y="3276466"/>
              </a:moveTo>
              <a:cubicBezTo>
                <a:pt x="7118308" y="3276466"/>
                <a:pt x="7102710" y="3260875"/>
                <a:pt x="7102710" y="3241647"/>
              </a:cubicBezTo>
              <a:cubicBezTo>
                <a:pt x="7102710" y="3222420"/>
                <a:pt x="7118308" y="3206829"/>
                <a:pt x="7137536" y="3206829"/>
              </a:cubicBezTo>
              <a:cubicBezTo>
                <a:pt x="7156764" y="3206829"/>
                <a:pt x="7172348" y="3222420"/>
                <a:pt x="7172348" y="3241647"/>
              </a:cubicBezTo>
              <a:cubicBezTo>
                <a:pt x="7172348" y="3260875"/>
                <a:pt x="7156764" y="3276466"/>
                <a:pt x="7137536" y="3276466"/>
              </a:cubicBezTo>
              <a:close/>
              <a:moveTo>
                <a:pt x="7222428" y="3276466"/>
              </a:moveTo>
              <a:cubicBezTo>
                <a:pt x="7203200" y="3276466"/>
                <a:pt x="7187603" y="3260875"/>
                <a:pt x="7187603" y="3241647"/>
              </a:cubicBezTo>
              <a:cubicBezTo>
                <a:pt x="7187603" y="3222420"/>
                <a:pt x="7203200" y="3206829"/>
                <a:pt x="7222428" y="3206829"/>
              </a:cubicBezTo>
              <a:cubicBezTo>
                <a:pt x="7241656" y="3206829"/>
                <a:pt x="7257240" y="3222420"/>
                <a:pt x="7257240" y="3241647"/>
              </a:cubicBezTo>
              <a:cubicBezTo>
                <a:pt x="7257240" y="3260875"/>
                <a:pt x="7241656" y="3276466"/>
                <a:pt x="7222428" y="3276466"/>
              </a:cubicBezTo>
              <a:close/>
              <a:moveTo>
                <a:pt x="7307320" y="3276466"/>
              </a:moveTo>
              <a:cubicBezTo>
                <a:pt x="7288093" y="3276466"/>
                <a:pt x="7272495" y="3260875"/>
                <a:pt x="7272495" y="3241647"/>
              </a:cubicBezTo>
              <a:cubicBezTo>
                <a:pt x="7272495" y="3222420"/>
                <a:pt x="7288093" y="3206829"/>
                <a:pt x="7307320" y="3206829"/>
              </a:cubicBezTo>
              <a:cubicBezTo>
                <a:pt x="7326548" y="3206829"/>
                <a:pt x="7342133" y="3222420"/>
                <a:pt x="7342133" y="3241647"/>
              </a:cubicBezTo>
              <a:cubicBezTo>
                <a:pt x="7342133" y="3260875"/>
                <a:pt x="7326548" y="3276466"/>
                <a:pt x="7307320" y="3276466"/>
              </a:cubicBezTo>
              <a:close/>
              <a:moveTo>
                <a:pt x="7392214" y="3276466"/>
              </a:moveTo>
              <a:cubicBezTo>
                <a:pt x="7372986" y="3276466"/>
                <a:pt x="7357388" y="3260875"/>
                <a:pt x="7357388" y="3241647"/>
              </a:cubicBezTo>
              <a:cubicBezTo>
                <a:pt x="7357388" y="3222420"/>
                <a:pt x="7372986" y="3206829"/>
                <a:pt x="7392214" y="3206829"/>
              </a:cubicBezTo>
              <a:cubicBezTo>
                <a:pt x="7411441" y="3206829"/>
                <a:pt x="7427026" y="3222420"/>
                <a:pt x="7427026" y="3241647"/>
              </a:cubicBezTo>
              <a:cubicBezTo>
                <a:pt x="7427026" y="3260875"/>
                <a:pt x="7411441" y="3276466"/>
                <a:pt x="7392214" y="3276466"/>
              </a:cubicBezTo>
              <a:close/>
              <a:moveTo>
                <a:pt x="7477106" y="3276466"/>
              </a:moveTo>
              <a:cubicBezTo>
                <a:pt x="7457878" y="3276466"/>
                <a:pt x="7442280" y="3260875"/>
                <a:pt x="7442280" y="3241647"/>
              </a:cubicBezTo>
              <a:cubicBezTo>
                <a:pt x="7442280" y="3222420"/>
                <a:pt x="7457878" y="3206829"/>
                <a:pt x="7477106" y="3206829"/>
              </a:cubicBezTo>
              <a:cubicBezTo>
                <a:pt x="7496334" y="3206829"/>
                <a:pt x="7511918" y="3222420"/>
                <a:pt x="7511918" y="3241647"/>
              </a:cubicBezTo>
              <a:cubicBezTo>
                <a:pt x="7511918" y="3260875"/>
                <a:pt x="7496334" y="3276466"/>
                <a:pt x="7477106" y="3276466"/>
              </a:cubicBezTo>
              <a:close/>
              <a:moveTo>
                <a:pt x="7561998" y="3276466"/>
              </a:moveTo>
              <a:cubicBezTo>
                <a:pt x="7542770" y="3276466"/>
                <a:pt x="7527173" y="3260875"/>
                <a:pt x="7527173" y="3241647"/>
              </a:cubicBezTo>
              <a:cubicBezTo>
                <a:pt x="7527173" y="3222420"/>
                <a:pt x="7542770" y="3206829"/>
                <a:pt x="7561998" y="3206829"/>
              </a:cubicBezTo>
              <a:cubicBezTo>
                <a:pt x="7581226" y="3206829"/>
                <a:pt x="7596810" y="3222420"/>
                <a:pt x="7596810" y="3241647"/>
              </a:cubicBezTo>
              <a:cubicBezTo>
                <a:pt x="7596810" y="3260875"/>
                <a:pt x="7581226" y="3276466"/>
                <a:pt x="7561998" y="3276466"/>
              </a:cubicBezTo>
              <a:close/>
              <a:moveTo>
                <a:pt x="7646890" y="3276466"/>
              </a:moveTo>
              <a:cubicBezTo>
                <a:pt x="7627663" y="3276466"/>
                <a:pt x="7612065" y="3260875"/>
                <a:pt x="7612065" y="3241647"/>
              </a:cubicBezTo>
              <a:cubicBezTo>
                <a:pt x="7612065" y="3222420"/>
                <a:pt x="7627663" y="3206829"/>
                <a:pt x="7646890" y="3206829"/>
              </a:cubicBezTo>
              <a:cubicBezTo>
                <a:pt x="7666118" y="3206829"/>
                <a:pt x="7681703" y="3222420"/>
                <a:pt x="7681703" y="3241647"/>
              </a:cubicBezTo>
              <a:cubicBezTo>
                <a:pt x="7681703" y="3260875"/>
                <a:pt x="7666118" y="3276466"/>
                <a:pt x="7646890" y="3276466"/>
              </a:cubicBezTo>
              <a:close/>
              <a:moveTo>
                <a:pt x="8071353" y="3276466"/>
              </a:moveTo>
              <a:cubicBezTo>
                <a:pt x="8052125" y="3276466"/>
                <a:pt x="8036527" y="3260875"/>
                <a:pt x="8036527" y="3241647"/>
              </a:cubicBezTo>
              <a:cubicBezTo>
                <a:pt x="8036527" y="3222420"/>
                <a:pt x="8052125" y="3206829"/>
                <a:pt x="8071353" y="3206829"/>
              </a:cubicBezTo>
              <a:cubicBezTo>
                <a:pt x="8090580" y="3206829"/>
                <a:pt x="8106165" y="3222420"/>
                <a:pt x="8106165" y="3241647"/>
              </a:cubicBezTo>
              <a:cubicBezTo>
                <a:pt x="8106165" y="3260875"/>
                <a:pt x="8090580" y="3276466"/>
                <a:pt x="8071353" y="3276466"/>
              </a:cubicBezTo>
              <a:close/>
              <a:moveTo>
                <a:pt x="8156246" y="3276466"/>
              </a:moveTo>
              <a:cubicBezTo>
                <a:pt x="8137018" y="3276466"/>
                <a:pt x="8121420" y="3260875"/>
                <a:pt x="8121420" y="3241647"/>
              </a:cubicBezTo>
              <a:cubicBezTo>
                <a:pt x="8121420" y="3222420"/>
                <a:pt x="8137018" y="3206829"/>
                <a:pt x="8156246" y="3206829"/>
              </a:cubicBezTo>
              <a:cubicBezTo>
                <a:pt x="8175474" y="3206829"/>
                <a:pt x="8191058" y="3222420"/>
                <a:pt x="8191058" y="3241647"/>
              </a:cubicBezTo>
              <a:cubicBezTo>
                <a:pt x="8191058" y="3260875"/>
                <a:pt x="8175474" y="3276466"/>
                <a:pt x="8156246" y="3276466"/>
              </a:cubicBezTo>
              <a:close/>
              <a:moveTo>
                <a:pt x="8241138" y="3276466"/>
              </a:moveTo>
              <a:cubicBezTo>
                <a:pt x="8221910" y="3276466"/>
                <a:pt x="8206313" y="3260875"/>
                <a:pt x="8206313" y="3241647"/>
              </a:cubicBezTo>
              <a:cubicBezTo>
                <a:pt x="8206313" y="3222420"/>
                <a:pt x="8221910" y="3206829"/>
                <a:pt x="8241138" y="3206829"/>
              </a:cubicBezTo>
              <a:cubicBezTo>
                <a:pt x="8260366" y="3206829"/>
                <a:pt x="8275950" y="3222420"/>
                <a:pt x="8275950" y="3241647"/>
              </a:cubicBezTo>
              <a:cubicBezTo>
                <a:pt x="8275950" y="3260875"/>
                <a:pt x="8260366" y="3276466"/>
                <a:pt x="8241138" y="3276466"/>
              </a:cubicBezTo>
              <a:close/>
              <a:moveTo>
                <a:pt x="8326030" y="3276466"/>
              </a:moveTo>
              <a:cubicBezTo>
                <a:pt x="8306803" y="3276466"/>
                <a:pt x="8291205" y="3260875"/>
                <a:pt x="8291205" y="3241647"/>
              </a:cubicBezTo>
              <a:cubicBezTo>
                <a:pt x="8291205" y="3222420"/>
                <a:pt x="8306803" y="3206829"/>
                <a:pt x="8326030" y="3206829"/>
              </a:cubicBezTo>
              <a:cubicBezTo>
                <a:pt x="8345258" y="3206829"/>
                <a:pt x="8360843" y="3222420"/>
                <a:pt x="8360843" y="3241647"/>
              </a:cubicBezTo>
              <a:cubicBezTo>
                <a:pt x="8360843" y="3260875"/>
                <a:pt x="8345258" y="3276466"/>
                <a:pt x="8326030" y="3276466"/>
              </a:cubicBezTo>
              <a:close/>
              <a:moveTo>
                <a:pt x="8410923" y="3276466"/>
              </a:moveTo>
              <a:cubicBezTo>
                <a:pt x="8391695" y="3276466"/>
                <a:pt x="8376097" y="3260875"/>
                <a:pt x="8376097" y="3241647"/>
              </a:cubicBezTo>
              <a:cubicBezTo>
                <a:pt x="8376097" y="3222420"/>
                <a:pt x="8391695" y="3206829"/>
                <a:pt x="8410923" y="3206829"/>
              </a:cubicBezTo>
              <a:cubicBezTo>
                <a:pt x="8430150" y="3206829"/>
                <a:pt x="8445735" y="3222420"/>
                <a:pt x="8445735" y="3241647"/>
              </a:cubicBezTo>
              <a:cubicBezTo>
                <a:pt x="8445735" y="3260875"/>
                <a:pt x="8430150" y="3276466"/>
                <a:pt x="8410923" y="3276466"/>
              </a:cubicBezTo>
              <a:close/>
              <a:moveTo>
                <a:pt x="8495816" y="3276466"/>
              </a:moveTo>
              <a:cubicBezTo>
                <a:pt x="8476588" y="3276466"/>
                <a:pt x="8460990" y="3260875"/>
                <a:pt x="8460990" y="3241647"/>
              </a:cubicBezTo>
              <a:cubicBezTo>
                <a:pt x="8460990" y="3222420"/>
                <a:pt x="8476588" y="3206829"/>
                <a:pt x="8495816" y="3206829"/>
              </a:cubicBezTo>
              <a:cubicBezTo>
                <a:pt x="8515044" y="3206829"/>
                <a:pt x="8530628" y="3222420"/>
                <a:pt x="8530628" y="3241647"/>
              </a:cubicBezTo>
              <a:cubicBezTo>
                <a:pt x="8530628" y="3260875"/>
                <a:pt x="8515044" y="3276466"/>
                <a:pt x="8495816" y="3276466"/>
              </a:cubicBezTo>
              <a:close/>
              <a:moveTo>
                <a:pt x="8835386" y="3276466"/>
              </a:moveTo>
              <a:cubicBezTo>
                <a:pt x="8816158" y="3276466"/>
                <a:pt x="8800560" y="3260875"/>
                <a:pt x="8800560" y="3241647"/>
              </a:cubicBezTo>
              <a:cubicBezTo>
                <a:pt x="8800560" y="3222420"/>
                <a:pt x="8816158" y="3206829"/>
                <a:pt x="8835386" y="3206829"/>
              </a:cubicBezTo>
              <a:cubicBezTo>
                <a:pt x="8854614" y="3206829"/>
                <a:pt x="8870198" y="3222420"/>
                <a:pt x="8870198" y="3241647"/>
              </a:cubicBezTo>
              <a:cubicBezTo>
                <a:pt x="8870198" y="3260875"/>
                <a:pt x="8854614" y="3276466"/>
                <a:pt x="8835386" y="3276466"/>
              </a:cubicBezTo>
              <a:close/>
              <a:moveTo>
                <a:pt x="8920278" y="3276466"/>
              </a:moveTo>
              <a:cubicBezTo>
                <a:pt x="8901050" y="3276466"/>
                <a:pt x="8885453" y="3260875"/>
                <a:pt x="8885453" y="3241647"/>
              </a:cubicBezTo>
              <a:cubicBezTo>
                <a:pt x="8885453" y="3222420"/>
                <a:pt x="8901050" y="3206829"/>
                <a:pt x="8920278" y="3206829"/>
              </a:cubicBezTo>
              <a:cubicBezTo>
                <a:pt x="8939506" y="3206829"/>
                <a:pt x="8955090" y="3222420"/>
                <a:pt x="8955090" y="3241647"/>
              </a:cubicBezTo>
              <a:cubicBezTo>
                <a:pt x="8955090" y="3260875"/>
                <a:pt x="8939506" y="3276466"/>
                <a:pt x="8920278" y="3276466"/>
              </a:cubicBezTo>
              <a:close/>
              <a:moveTo>
                <a:pt x="9005170" y="3276466"/>
              </a:moveTo>
              <a:cubicBezTo>
                <a:pt x="8985943" y="3276466"/>
                <a:pt x="8970345" y="3260875"/>
                <a:pt x="8970345" y="3241647"/>
              </a:cubicBezTo>
              <a:cubicBezTo>
                <a:pt x="8970345" y="3222420"/>
                <a:pt x="8985943" y="3206829"/>
                <a:pt x="9005170" y="3206829"/>
              </a:cubicBezTo>
              <a:cubicBezTo>
                <a:pt x="9024398" y="3206829"/>
                <a:pt x="9039983" y="3222420"/>
                <a:pt x="9039983" y="3241647"/>
              </a:cubicBezTo>
              <a:cubicBezTo>
                <a:pt x="9039983" y="3260875"/>
                <a:pt x="9024398" y="3276466"/>
                <a:pt x="9005170" y="3276466"/>
              </a:cubicBezTo>
              <a:close/>
              <a:moveTo>
                <a:pt x="9090063" y="3276466"/>
              </a:moveTo>
              <a:cubicBezTo>
                <a:pt x="9070835" y="3276466"/>
                <a:pt x="9055237" y="3260875"/>
                <a:pt x="9055237" y="3241647"/>
              </a:cubicBezTo>
              <a:cubicBezTo>
                <a:pt x="9055237" y="3222420"/>
                <a:pt x="9070835" y="3206829"/>
                <a:pt x="9090063" y="3206829"/>
              </a:cubicBezTo>
              <a:cubicBezTo>
                <a:pt x="9109290" y="3206829"/>
                <a:pt x="9124875" y="3222420"/>
                <a:pt x="9124875" y="3241647"/>
              </a:cubicBezTo>
              <a:cubicBezTo>
                <a:pt x="9124875" y="3260875"/>
                <a:pt x="9109290" y="3276466"/>
                <a:pt x="9090063" y="3276466"/>
              </a:cubicBezTo>
              <a:close/>
              <a:moveTo>
                <a:pt x="2638231" y="3191606"/>
              </a:moveTo>
              <a:cubicBezTo>
                <a:pt x="2619003" y="3191606"/>
                <a:pt x="2603412" y="3176015"/>
                <a:pt x="2603412" y="3156788"/>
              </a:cubicBezTo>
              <a:cubicBezTo>
                <a:pt x="2603412" y="3137560"/>
                <a:pt x="2619003" y="3121969"/>
                <a:pt x="2638231" y="3121969"/>
              </a:cubicBezTo>
              <a:cubicBezTo>
                <a:pt x="2657459" y="3121969"/>
                <a:pt x="2673050" y="3137560"/>
                <a:pt x="2673050" y="3156788"/>
              </a:cubicBezTo>
              <a:cubicBezTo>
                <a:pt x="2673050" y="3176015"/>
                <a:pt x="2657459" y="3191606"/>
                <a:pt x="2638231" y="3191606"/>
              </a:cubicBezTo>
              <a:close/>
              <a:moveTo>
                <a:pt x="2723123" y="3191606"/>
              </a:moveTo>
              <a:cubicBezTo>
                <a:pt x="2703896" y="3191606"/>
                <a:pt x="2688304" y="3176015"/>
                <a:pt x="2688304" y="3156788"/>
              </a:cubicBezTo>
              <a:cubicBezTo>
                <a:pt x="2688304" y="3137560"/>
                <a:pt x="2703896" y="3121969"/>
                <a:pt x="2723123" y="3121969"/>
              </a:cubicBezTo>
              <a:cubicBezTo>
                <a:pt x="2742351" y="3121969"/>
                <a:pt x="2757942" y="3137560"/>
                <a:pt x="2757942" y="3156788"/>
              </a:cubicBezTo>
              <a:cubicBezTo>
                <a:pt x="2757942" y="3176015"/>
                <a:pt x="2742351" y="3191606"/>
                <a:pt x="2723123" y="3191606"/>
              </a:cubicBezTo>
              <a:close/>
              <a:moveTo>
                <a:pt x="2808016" y="3191606"/>
              </a:moveTo>
              <a:cubicBezTo>
                <a:pt x="2788788" y="3191606"/>
                <a:pt x="2773197" y="3176015"/>
                <a:pt x="2773197" y="3156788"/>
              </a:cubicBezTo>
              <a:cubicBezTo>
                <a:pt x="2773197" y="3137560"/>
                <a:pt x="2788788" y="3121969"/>
                <a:pt x="2808016" y="3121969"/>
              </a:cubicBezTo>
              <a:cubicBezTo>
                <a:pt x="2827243" y="3121969"/>
                <a:pt x="2842834" y="3137560"/>
                <a:pt x="2842834" y="3156788"/>
              </a:cubicBezTo>
              <a:cubicBezTo>
                <a:pt x="2842834" y="3176015"/>
                <a:pt x="2827243" y="3191606"/>
                <a:pt x="2808016" y="3191606"/>
              </a:cubicBezTo>
              <a:close/>
              <a:moveTo>
                <a:pt x="3062693" y="3191606"/>
              </a:moveTo>
              <a:cubicBezTo>
                <a:pt x="3043466" y="3191606"/>
                <a:pt x="3027874" y="3176015"/>
                <a:pt x="3027874" y="3156788"/>
              </a:cubicBezTo>
              <a:cubicBezTo>
                <a:pt x="3027874" y="3137560"/>
                <a:pt x="3043466" y="3121969"/>
                <a:pt x="3062693" y="3121969"/>
              </a:cubicBezTo>
              <a:cubicBezTo>
                <a:pt x="3081921" y="3121969"/>
                <a:pt x="3097512" y="3137560"/>
                <a:pt x="3097512" y="3156788"/>
              </a:cubicBezTo>
              <a:cubicBezTo>
                <a:pt x="3097512" y="3176015"/>
                <a:pt x="3081921" y="3191606"/>
                <a:pt x="3062693" y="3191606"/>
              </a:cubicBezTo>
              <a:close/>
              <a:moveTo>
                <a:pt x="3656941" y="3191606"/>
              </a:moveTo>
              <a:cubicBezTo>
                <a:pt x="3637713" y="3191606"/>
                <a:pt x="3622122" y="3176015"/>
                <a:pt x="3622122" y="3156788"/>
              </a:cubicBezTo>
              <a:cubicBezTo>
                <a:pt x="3622122" y="3137560"/>
                <a:pt x="3637713" y="3121969"/>
                <a:pt x="3656941" y="3121969"/>
              </a:cubicBezTo>
              <a:cubicBezTo>
                <a:pt x="3676169" y="3121969"/>
                <a:pt x="3691760" y="3137560"/>
                <a:pt x="3691760" y="3156788"/>
              </a:cubicBezTo>
              <a:cubicBezTo>
                <a:pt x="3691760" y="3176015"/>
                <a:pt x="3676169" y="3191606"/>
                <a:pt x="3656941" y="3191606"/>
              </a:cubicBezTo>
              <a:close/>
              <a:moveTo>
                <a:pt x="3826726" y="3191606"/>
              </a:moveTo>
              <a:cubicBezTo>
                <a:pt x="3807498" y="3191606"/>
                <a:pt x="3791907" y="3176015"/>
                <a:pt x="3791907" y="3156788"/>
              </a:cubicBezTo>
              <a:cubicBezTo>
                <a:pt x="3791907" y="3137560"/>
                <a:pt x="3807498" y="3121969"/>
                <a:pt x="3826726" y="3121969"/>
              </a:cubicBezTo>
              <a:cubicBezTo>
                <a:pt x="3845953" y="3121969"/>
                <a:pt x="3861544" y="3137560"/>
                <a:pt x="3861544" y="3156788"/>
              </a:cubicBezTo>
              <a:cubicBezTo>
                <a:pt x="3861544" y="3176015"/>
                <a:pt x="3845953" y="3191606"/>
                <a:pt x="3826726" y="3191606"/>
              </a:cubicBezTo>
              <a:close/>
              <a:moveTo>
                <a:pt x="5354794" y="3191606"/>
              </a:moveTo>
              <a:cubicBezTo>
                <a:pt x="5335566" y="3191606"/>
                <a:pt x="5319968" y="3176015"/>
                <a:pt x="5319968" y="3156788"/>
              </a:cubicBezTo>
              <a:cubicBezTo>
                <a:pt x="5319968" y="3137560"/>
                <a:pt x="5335566" y="3121969"/>
                <a:pt x="5354794" y="3121969"/>
              </a:cubicBezTo>
              <a:cubicBezTo>
                <a:pt x="5374021" y="3121969"/>
                <a:pt x="5389606" y="3137560"/>
                <a:pt x="5389606" y="3156788"/>
              </a:cubicBezTo>
              <a:cubicBezTo>
                <a:pt x="5389606" y="3176015"/>
                <a:pt x="5374021" y="3191606"/>
                <a:pt x="5354794" y="3191606"/>
              </a:cubicBezTo>
              <a:close/>
              <a:moveTo>
                <a:pt x="5439686" y="3191606"/>
              </a:moveTo>
              <a:cubicBezTo>
                <a:pt x="5420458" y="3191606"/>
                <a:pt x="5404860" y="3176015"/>
                <a:pt x="5404860" y="3156788"/>
              </a:cubicBezTo>
              <a:cubicBezTo>
                <a:pt x="5404860" y="3137560"/>
                <a:pt x="5420458" y="3121969"/>
                <a:pt x="5439686" y="3121969"/>
              </a:cubicBezTo>
              <a:cubicBezTo>
                <a:pt x="5458914" y="3121969"/>
                <a:pt x="5474498" y="3137560"/>
                <a:pt x="5474498" y="3156788"/>
              </a:cubicBezTo>
              <a:cubicBezTo>
                <a:pt x="5474498" y="3176015"/>
                <a:pt x="5458914" y="3191606"/>
                <a:pt x="5439686" y="3191606"/>
              </a:cubicBezTo>
              <a:close/>
              <a:moveTo>
                <a:pt x="5524578" y="3191606"/>
              </a:moveTo>
              <a:cubicBezTo>
                <a:pt x="5505350" y="3191606"/>
                <a:pt x="5489753" y="3176015"/>
                <a:pt x="5489753" y="3156788"/>
              </a:cubicBezTo>
              <a:cubicBezTo>
                <a:pt x="5489753" y="3137560"/>
                <a:pt x="5505350" y="3121969"/>
                <a:pt x="5524578" y="3121969"/>
              </a:cubicBezTo>
              <a:cubicBezTo>
                <a:pt x="5543806" y="3121969"/>
                <a:pt x="5559390" y="3137560"/>
                <a:pt x="5559390" y="3156788"/>
              </a:cubicBezTo>
              <a:cubicBezTo>
                <a:pt x="5559390" y="3176015"/>
                <a:pt x="5543806" y="3191606"/>
                <a:pt x="5524578" y="3191606"/>
              </a:cubicBezTo>
              <a:close/>
              <a:moveTo>
                <a:pt x="5609471" y="3191606"/>
              </a:moveTo>
              <a:cubicBezTo>
                <a:pt x="5590244" y="3191606"/>
                <a:pt x="5574646" y="3176015"/>
                <a:pt x="5574646" y="3156788"/>
              </a:cubicBezTo>
              <a:cubicBezTo>
                <a:pt x="5574646" y="3137560"/>
                <a:pt x="5590244" y="3121969"/>
                <a:pt x="5609471" y="3121969"/>
              </a:cubicBezTo>
              <a:cubicBezTo>
                <a:pt x="5628699" y="3121969"/>
                <a:pt x="5644284" y="3137560"/>
                <a:pt x="5644284" y="3156788"/>
              </a:cubicBezTo>
              <a:cubicBezTo>
                <a:pt x="5644284" y="3176015"/>
                <a:pt x="5628699" y="3191606"/>
                <a:pt x="5609471" y="3191606"/>
              </a:cubicBezTo>
              <a:close/>
              <a:moveTo>
                <a:pt x="5694364" y="3191606"/>
              </a:moveTo>
              <a:cubicBezTo>
                <a:pt x="5675136" y="3191606"/>
                <a:pt x="5659538" y="3176015"/>
                <a:pt x="5659538" y="3156788"/>
              </a:cubicBezTo>
              <a:cubicBezTo>
                <a:pt x="5659538" y="3137560"/>
                <a:pt x="5675136" y="3121969"/>
                <a:pt x="5694364" y="3121969"/>
              </a:cubicBezTo>
              <a:cubicBezTo>
                <a:pt x="5713591" y="3121969"/>
                <a:pt x="5729176" y="3137560"/>
                <a:pt x="5729176" y="3156788"/>
              </a:cubicBezTo>
              <a:cubicBezTo>
                <a:pt x="5729176" y="3176015"/>
                <a:pt x="5713591" y="3191606"/>
                <a:pt x="5694364" y="3191606"/>
              </a:cubicBezTo>
              <a:close/>
              <a:moveTo>
                <a:pt x="5779256" y="3191606"/>
              </a:moveTo>
              <a:cubicBezTo>
                <a:pt x="5760028" y="3191606"/>
                <a:pt x="5744430" y="3176015"/>
                <a:pt x="5744430" y="3156788"/>
              </a:cubicBezTo>
              <a:cubicBezTo>
                <a:pt x="5744430" y="3137560"/>
                <a:pt x="5760028" y="3121969"/>
                <a:pt x="5779256" y="3121969"/>
              </a:cubicBezTo>
              <a:cubicBezTo>
                <a:pt x="5798484" y="3121969"/>
                <a:pt x="5814068" y="3137560"/>
                <a:pt x="5814068" y="3156788"/>
              </a:cubicBezTo>
              <a:cubicBezTo>
                <a:pt x="5814068" y="3176015"/>
                <a:pt x="5798484" y="3191606"/>
                <a:pt x="5779256" y="3191606"/>
              </a:cubicBezTo>
              <a:close/>
              <a:moveTo>
                <a:pt x="5864148" y="3191606"/>
              </a:moveTo>
              <a:cubicBezTo>
                <a:pt x="5844920" y="3191606"/>
                <a:pt x="5829323" y="3176015"/>
                <a:pt x="5829323" y="3156788"/>
              </a:cubicBezTo>
              <a:cubicBezTo>
                <a:pt x="5829323" y="3137560"/>
                <a:pt x="5844920" y="3121969"/>
                <a:pt x="5864148" y="3121969"/>
              </a:cubicBezTo>
              <a:cubicBezTo>
                <a:pt x="5883376" y="3121969"/>
                <a:pt x="5898960" y="3137560"/>
                <a:pt x="5898960" y="3156788"/>
              </a:cubicBezTo>
              <a:cubicBezTo>
                <a:pt x="5898960" y="3176015"/>
                <a:pt x="5883376" y="3191606"/>
                <a:pt x="5864148" y="3191606"/>
              </a:cubicBezTo>
              <a:close/>
              <a:moveTo>
                <a:pt x="5949041" y="3191606"/>
              </a:moveTo>
              <a:cubicBezTo>
                <a:pt x="5929814" y="3191606"/>
                <a:pt x="5914216" y="3176015"/>
                <a:pt x="5914216" y="3156788"/>
              </a:cubicBezTo>
              <a:cubicBezTo>
                <a:pt x="5914216" y="3137560"/>
                <a:pt x="5929814" y="3121969"/>
                <a:pt x="5949041" y="3121969"/>
              </a:cubicBezTo>
              <a:cubicBezTo>
                <a:pt x="5968269" y="3121969"/>
                <a:pt x="5983854" y="3137560"/>
                <a:pt x="5983854" y="3156788"/>
              </a:cubicBezTo>
              <a:cubicBezTo>
                <a:pt x="5983854" y="3176015"/>
                <a:pt x="5968269" y="3191606"/>
                <a:pt x="5949041" y="3191606"/>
              </a:cubicBezTo>
              <a:close/>
              <a:moveTo>
                <a:pt x="6033934" y="3191606"/>
              </a:moveTo>
              <a:cubicBezTo>
                <a:pt x="6014706" y="3191606"/>
                <a:pt x="5999108" y="3176015"/>
                <a:pt x="5999108" y="3156788"/>
              </a:cubicBezTo>
              <a:cubicBezTo>
                <a:pt x="5999108" y="3137560"/>
                <a:pt x="6014706" y="3121969"/>
                <a:pt x="6033934" y="3121969"/>
              </a:cubicBezTo>
              <a:cubicBezTo>
                <a:pt x="6053161" y="3121969"/>
                <a:pt x="6068746" y="3137560"/>
                <a:pt x="6068746" y="3156788"/>
              </a:cubicBezTo>
              <a:cubicBezTo>
                <a:pt x="6068746" y="3176015"/>
                <a:pt x="6053161" y="3191606"/>
                <a:pt x="6033934" y="3191606"/>
              </a:cubicBezTo>
              <a:close/>
              <a:moveTo>
                <a:pt x="6118826" y="3191606"/>
              </a:moveTo>
              <a:cubicBezTo>
                <a:pt x="6099598" y="3191606"/>
                <a:pt x="6084000" y="3176015"/>
                <a:pt x="6084000" y="3156788"/>
              </a:cubicBezTo>
              <a:cubicBezTo>
                <a:pt x="6084000" y="3137560"/>
                <a:pt x="6099598" y="3121969"/>
                <a:pt x="6118826" y="3121969"/>
              </a:cubicBezTo>
              <a:cubicBezTo>
                <a:pt x="6138054" y="3121969"/>
                <a:pt x="6153638" y="3137560"/>
                <a:pt x="6153638" y="3156788"/>
              </a:cubicBezTo>
              <a:cubicBezTo>
                <a:pt x="6153638" y="3176015"/>
                <a:pt x="6138054" y="3191606"/>
                <a:pt x="6118826" y="3191606"/>
              </a:cubicBezTo>
              <a:close/>
              <a:moveTo>
                <a:pt x="6203718" y="3191606"/>
              </a:moveTo>
              <a:cubicBezTo>
                <a:pt x="6184490" y="3191606"/>
                <a:pt x="6168893" y="3176015"/>
                <a:pt x="6168893" y="3156788"/>
              </a:cubicBezTo>
              <a:cubicBezTo>
                <a:pt x="6168893" y="3137560"/>
                <a:pt x="6184490" y="3121969"/>
                <a:pt x="6203718" y="3121969"/>
              </a:cubicBezTo>
              <a:cubicBezTo>
                <a:pt x="6222946" y="3121969"/>
                <a:pt x="6238530" y="3137560"/>
                <a:pt x="6238530" y="3156788"/>
              </a:cubicBezTo>
              <a:cubicBezTo>
                <a:pt x="6238530" y="3176015"/>
                <a:pt x="6222946" y="3191606"/>
                <a:pt x="6203718" y="3191606"/>
              </a:cubicBezTo>
              <a:close/>
              <a:moveTo>
                <a:pt x="6288611" y="3191606"/>
              </a:moveTo>
              <a:cubicBezTo>
                <a:pt x="6269384" y="3191606"/>
                <a:pt x="6253786" y="3176015"/>
                <a:pt x="6253786" y="3156788"/>
              </a:cubicBezTo>
              <a:cubicBezTo>
                <a:pt x="6253786" y="3137560"/>
                <a:pt x="6269384" y="3121969"/>
                <a:pt x="6288611" y="3121969"/>
              </a:cubicBezTo>
              <a:cubicBezTo>
                <a:pt x="6307839" y="3121969"/>
                <a:pt x="6323424" y="3137560"/>
                <a:pt x="6323424" y="3156788"/>
              </a:cubicBezTo>
              <a:cubicBezTo>
                <a:pt x="6323424" y="3176015"/>
                <a:pt x="6307839" y="3191606"/>
                <a:pt x="6288611" y="3191606"/>
              </a:cubicBezTo>
              <a:close/>
              <a:moveTo>
                <a:pt x="6373504" y="3191606"/>
              </a:moveTo>
              <a:cubicBezTo>
                <a:pt x="6354276" y="3191606"/>
                <a:pt x="6338678" y="3176015"/>
                <a:pt x="6338678" y="3156788"/>
              </a:cubicBezTo>
              <a:cubicBezTo>
                <a:pt x="6338678" y="3137560"/>
                <a:pt x="6354276" y="3121969"/>
                <a:pt x="6373504" y="3121969"/>
              </a:cubicBezTo>
              <a:cubicBezTo>
                <a:pt x="6392731" y="3121969"/>
                <a:pt x="6408316" y="3137560"/>
                <a:pt x="6408316" y="3156788"/>
              </a:cubicBezTo>
              <a:cubicBezTo>
                <a:pt x="6408316" y="3176015"/>
                <a:pt x="6392731" y="3191606"/>
                <a:pt x="6373504" y="3191606"/>
              </a:cubicBezTo>
              <a:close/>
              <a:moveTo>
                <a:pt x="6458396" y="3191606"/>
              </a:moveTo>
              <a:cubicBezTo>
                <a:pt x="6439168" y="3191606"/>
                <a:pt x="6423570" y="3176015"/>
                <a:pt x="6423570" y="3156788"/>
              </a:cubicBezTo>
              <a:cubicBezTo>
                <a:pt x="6423570" y="3137560"/>
                <a:pt x="6439168" y="3121969"/>
                <a:pt x="6458396" y="3121969"/>
              </a:cubicBezTo>
              <a:cubicBezTo>
                <a:pt x="6477624" y="3121969"/>
                <a:pt x="6493208" y="3137560"/>
                <a:pt x="6493208" y="3156788"/>
              </a:cubicBezTo>
              <a:cubicBezTo>
                <a:pt x="6493208" y="3176015"/>
                <a:pt x="6477624" y="3191606"/>
                <a:pt x="6458396" y="3191606"/>
              </a:cubicBezTo>
              <a:close/>
              <a:moveTo>
                <a:pt x="6543288" y="3191606"/>
              </a:moveTo>
              <a:cubicBezTo>
                <a:pt x="6524060" y="3191606"/>
                <a:pt x="6508463" y="3176015"/>
                <a:pt x="6508463" y="3156788"/>
              </a:cubicBezTo>
              <a:cubicBezTo>
                <a:pt x="6508463" y="3137560"/>
                <a:pt x="6524060" y="3121969"/>
                <a:pt x="6543288" y="3121969"/>
              </a:cubicBezTo>
              <a:cubicBezTo>
                <a:pt x="6562516" y="3121969"/>
                <a:pt x="6578100" y="3137560"/>
                <a:pt x="6578100" y="3156788"/>
              </a:cubicBezTo>
              <a:cubicBezTo>
                <a:pt x="6578100" y="3176015"/>
                <a:pt x="6562516" y="3191606"/>
                <a:pt x="6543288" y="3191606"/>
              </a:cubicBezTo>
              <a:close/>
              <a:moveTo>
                <a:pt x="6628181" y="3191606"/>
              </a:moveTo>
              <a:cubicBezTo>
                <a:pt x="6608954" y="3191606"/>
                <a:pt x="6593356" y="3176015"/>
                <a:pt x="6593356" y="3156788"/>
              </a:cubicBezTo>
              <a:cubicBezTo>
                <a:pt x="6593356" y="3137560"/>
                <a:pt x="6608954" y="3121969"/>
                <a:pt x="6628181" y="3121969"/>
              </a:cubicBezTo>
              <a:cubicBezTo>
                <a:pt x="6647409" y="3121969"/>
                <a:pt x="6662994" y="3137560"/>
                <a:pt x="6662994" y="3156788"/>
              </a:cubicBezTo>
              <a:cubicBezTo>
                <a:pt x="6662994" y="3176015"/>
                <a:pt x="6647409" y="3191606"/>
                <a:pt x="6628181" y="3191606"/>
              </a:cubicBezTo>
              <a:close/>
              <a:moveTo>
                <a:pt x="6713074" y="3191606"/>
              </a:moveTo>
              <a:cubicBezTo>
                <a:pt x="6693846" y="3191606"/>
                <a:pt x="6678248" y="3176015"/>
                <a:pt x="6678248" y="3156788"/>
              </a:cubicBezTo>
              <a:cubicBezTo>
                <a:pt x="6678248" y="3137560"/>
                <a:pt x="6693846" y="3121969"/>
                <a:pt x="6713074" y="3121969"/>
              </a:cubicBezTo>
              <a:cubicBezTo>
                <a:pt x="6732301" y="3121969"/>
                <a:pt x="6747886" y="3137560"/>
                <a:pt x="6747886" y="3156788"/>
              </a:cubicBezTo>
              <a:cubicBezTo>
                <a:pt x="6747886" y="3176015"/>
                <a:pt x="6732301" y="3191606"/>
                <a:pt x="6713074" y="3191606"/>
              </a:cubicBezTo>
              <a:close/>
              <a:moveTo>
                <a:pt x="6797966" y="3191606"/>
              </a:moveTo>
              <a:cubicBezTo>
                <a:pt x="6778738" y="3191606"/>
                <a:pt x="6763140" y="3176015"/>
                <a:pt x="6763140" y="3156788"/>
              </a:cubicBezTo>
              <a:cubicBezTo>
                <a:pt x="6763140" y="3137560"/>
                <a:pt x="6778738" y="3121969"/>
                <a:pt x="6797966" y="3121969"/>
              </a:cubicBezTo>
              <a:cubicBezTo>
                <a:pt x="6817194" y="3121969"/>
                <a:pt x="6832778" y="3137560"/>
                <a:pt x="6832778" y="3156788"/>
              </a:cubicBezTo>
              <a:cubicBezTo>
                <a:pt x="6832778" y="3176015"/>
                <a:pt x="6817194" y="3191606"/>
                <a:pt x="6797966" y="3191606"/>
              </a:cubicBezTo>
              <a:close/>
              <a:moveTo>
                <a:pt x="6882858" y="3191606"/>
              </a:moveTo>
              <a:cubicBezTo>
                <a:pt x="6863630" y="3191606"/>
                <a:pt x="6848033" y="3176015"/>
                <a:pt x="6848033" y="3156788"/>
              </a:cubicBezTo>
              <a:cubicBezTo>
                <a:pt x="6848033" y="3137560"/>
                <a:pt x="6863630" y="3121969"/>
                <a:pt x="6882858" y="3121969"/>
              </a:cubicBezTo>
              <a:cubicBezTo>
                <a:pt x="6902086" y="3121969"/>
                <a:pt x="6917670" y="3137560"/>
                <a:pt x="6917670" y="3156788"/>
              </a:cubicBezTo>
              <a:cubicBezTo>
                <a:pt x="6917670" y="3176015"/>
                <a:pt x="6902086" y="3191606"/>
                <a:pt x="6882858" y="3191606"/>
              </a:cubicBezTo>
              <a:close/>
              <a:moveTo>
                <a:pt x="6967750" y="3191606"/>
              </a:moveTo>
              <a:cubicBezTo>
                <a:pt x="6948523" y="3191606"/>
                <a:pt x="6932925" y="3176015"/>
                <a:pt x="6932925" y="3156788"/>
              </a:cubicBezTo>
              <a:cubicBezTo>
                <a:pt x="6932925" y="3137560"/>
                <a:pt x="6948523" y="3121969"/>
                <a:pt x="6967750" y="3121969"/>
              </a:cubicBezTo>
              <a:cubicBezTo>
                <a:pt x="6986978" y="3121969"/>
                <a:pt x="7002563" y="3137560"/>
                <a:pt x="7002563" y="3156788"/>
              </a:cubicBezTo>
              <a:cubicBezTo>
                <a:pt x="7002563" y="3176015"/>
                <a:pt x="6986978" y="3191606"/>
                <a:pt x="6967750" y="3191606"/>
              </a:cubicBezTo>
              <a:close/>
              <a:moveTo>
                <a:pt x="7222428" y="3191606"/>
              </a:moveTo>
              <a:cubicBezTo>
                <a:pt x="7203200" y="3191606"/>
                <a:pt x="7187603" y="3176015"/>
                <a:pt x="7187603" y="3156788"/>
              </a:cubicBezTo>
              <a:cubicBezTo>
                <a:pt x="7187603" y="3137560"/>
                <a:pt x="7203200" y="3121969"/>
                <a:pt x="7222428" y="3121969"/>
              </a:cubicBezTo>
              <a:cubicBezTo>
                <a:pt x="7241656" y="3121969"/>
                <a:pt x="7257240" y="3137560"/>
                <a:pt x="7257240" y="3156788"/>
              </a:cubicBezTo>
              <a:cubicBezTo>
                <a:pt x="7257240" y="3176015"/>
                <a:pt x="7241656" y="3191606"/>
                <a:pt x="7222428" y="3191606"/>
              </a:cubicBezTo>
              <a:close/>
              <a:moveTo>
                <a:pt x="7307320" y="3191606"/>
              </a:moveTo>
              <a:cubicBezTo>
                <a:pt x="7288093" y="3191606"/>
                <a:pt x="7272495" y="3176015"/>
                <a:pt x="7272495" y="3156788"/>
              </a:cubicBezTo>
              <a:cubicBezTo>
                <a:pt x="7272495" y="3137560"/>
                <a:pt x="7288093" y="3121969"/>
                <a:pt x="7307320" y="3121969"/>
              </a:cubicBezTo>
              <a:cubicBezTo>
                <a:pt x="7326548" y="3121969"/>
                <a:pt x="7342133" y="3137560"/>
                <a:pt x="7342133" y="3156788"/>
              </a:cubicBezTo>
              <a:cubicBezTo>
                <a:pt x="7342133" y="3176015"/>
                <a:pt x="7326548" y="3191606"/>
                <a:pt x="7307320" y="3191606"/>
              </a:cubicBezTo>
              <a:close/>
              <a:moveTo>
                <a:pt x="7392214" y="3191606"/>
              </a:moveTo>
              <a:cubicBezTo>
                <a:pt x="7372986" y="3191606"/>
                <a:pt x="7357388" y="3176015"/>
                <a:pt x="7357388" y="3156788"/>
              </a:cubicBezTo>
              <a:cubicBezTo>
                <a:pt x="7357388" y="3137560"/>
                <a:pt x="7372986" y="3121969"/>
                <a:pt x="7392214" y="3121969"/>
              </a:cubicBezTo>
              <a:cubicBezTo>
                <a:pt x="7411441" y="3121969"/>
                <a:pt x="7427026" y="3137560"/>
                <a:pt x="7427026" y="3156788"/>
              </a:cubicBezTo>
              <a:cubicBezTo>
                <a:pt x="7427026" y="3176015"/>
                <a:pt x="7411441" y="3191606"/>
                <a:pt x="7392214" y="3191606"/>
              </a:cubicBezTo>
              <a:close/>
              <a:moveTo>
                <a:pt x="7477106" y="3191606"/>
              </a:moveTo>
              <a:cubicBezTo>
                <a:pt x="7457878" y="3191606"/>
                <a:pt x="7442280" y="3176015"/>
                <a:pt x="7442280" y="3156788"/>
              </a:cubicBezTo>
              <a:cubicBezTo>
                <a:pt x="7442280" y="3137560"/>
                <a:pt x="7457878" y="3121969"/>
                <a:pt x="7477106" y="3121969"/>
              </a:cubicBezTo>
              <a:cubicBezTo>
                <a:pt x="7496334" y="3121969"/>
                <a:pt x="7511918" y="3137560"/>
                <a:pt x="7511918" y="3156788"/>
              </a:cubicBezTo>
              <a:cubicBezTo>
                <a:pt x="7511918" y="3176015"/>
                <a:pt x="7496334" y="3191606"/>
                <a:pt x="7477106" y="3191606"/>
              </a:cubicBezTo>
              <a:close/>
              <a:moveTo>
                <a:pt x="7561998" y="3191606"/>
              </a:moveTo>
              <a:cubicBezTo>
                <a:pt x="7542770" y="3191606"/>
                <a:pt x="7527173" y="3176015"/>
                <a:pt x="7527173" y="3156788"/>
              </a:cubicBezTo>
              <a:cubicBezTo>
                <a:pt x="7527173" y="3137560"/>
                <a:pt x="7542770" y="3121969"/>
                <a:pt x="7561998" y="3121969"/>
              </a:cubicBezTo>
              <a:cubicBezTo>
                <a:pt x="7581226" y="3121969"/>
                <a:pt x="7596810" y="3137560"/>
                <a:pt x="7596810" y="3156788"/>
              </a:cubicBezTo>
              <a:cubicBezTo>
                <a:pt x="7596810" y="3176015"/>
                <a:pt x="7581226" y="3191606"/>
                <a:pt x="7561998" y="3191606"/>
              </a:cubicBezTo>
              <a:close/>
              <a:moveTo>
                <a:pt x="8156246" y="3191606"/>
              </a:moveTo>
              <a:cubicBezTo>
                <a:pt x="8137018" y="3191606"/>
                <a:pt x="8121420" y="3176015"/>
                <a:pt x="8121420" y="3156788"/>
              </a:cubicBezTo>
              <a:cubicBezTo>
                <a:pt x="8121420" y="3137560"/>
                <a:pt x="8137018" y="3121969"/>
                <a:pt x="8156246" y="3121969"/>
              </a:cubicBezTo>
              <a:cubicBezTo>
                <a:pt x="8175474" y="3121969"/>
                <a:pt x="8191058" y="3137560"/>
                <a:pt x="8191058" y="3156788"/>
              </a:cubicBezTo>
              <a:cubicBezTo>
                <a:pt x="8191058" y="3176015"/>
                <a:pt x="8175474" y="3191606"/>
                <a:pt x="8156246" y="3191606"/>
              </a:cubicBezTo>
              <a:close/>
              <a:moveTo>
                <a:pt x="8241138" y="3191606"/>
              </a:moveTo>
              <a:cubicBezTo>
                <a:pt x="8221910" y="3191606"/>
                <a:pt x="8206313" y="3176015"/>
                <a:pt x="8206313" y="3156788"/>
              </a:cubicBezTo>
              <a:cubicBezTo>
                <a:pt x="8206313" y="3137560"/>
                <a:pt x="8221910" y="3121969"/>
                <a:pt x="8241138" y="3121969"/>
              </a:cubicBezTo>
              <a:cubicBezTo>
                <a:pt x="8260366" y="3121969"/>
                <a:pt x="8275950" y="3137560"/>
                <a:pt x="8275950" y="3156788"/>
              </a:cubicBezTo>
              <a:cubicBezTo>
                <a:pt x="8275950" y="3176015"/>
                <a:pt x="8260366" y="3191606"/>
                <a:pt x="8241138" y="3191606"/>
              </a:cubicBezTo>
              <a:close/>
              <a:moveTo>
                <a:pt x="8326030" y="3191606"/>
              </a:moveTo>
              <a:cubicBezTo>
                <a:pt x="8306803" y="3191606"/>
                <a:pt x="8291205" y="3176015"/>
                <a:pt x="8291205" y="3156788"/>
              </a:cubicBezTo>
              <a:cubicBezTo>
                <a:pt x="8291205" y="3137560"/>
                <a:pt x="8306803" y="3121969"/>
                <a:pt x="8326030" y="3121969"/>
              </a:cubicBezTo>
              <a:cubicBezTo>
                <a:pt x="8345258" y="3121969"/>
                <a:pt x="8360843" y="3137560"/>
                <a:pt x="8360843" y="3156788"/>
              </a:cubicBezTo>
              <a:cubicBezTo>
                <a:pt x="8360843" y="3176015"/>
                <a:pt x="8345258" y="3191606"/>
                <a:pt x="8326030" y="3191606"/>
              </a:cubicBezTo>
              <a:close/>
              <a:moveTo>
                <a:pt x="8410923" y="3191606"/>
              </a:moveTo>
              <a:cubicBezTo>
                <a:pt x="8391695" y="3191606"/>
                <a:pt x="8376097" y="3176015"/>
                <a:pt x="8376097" y="3156788"/>
              </a:cubicBezTo>
              <a:cubicBezTo>
                <a:pt x="8376097" y="3137560"/>
                <a:pt x="8391695" y="3121969"/>
                <a:pt x="8410923" y="3121969"/>
              </a:cubicBezTo>
              <a:cubicBezTo>
                <a:pt x="8430150" y="3121969"/>
                <a:pt x="8445735" y="3137560"/>
                <a:pt x="8445735" y="3156788"/>
              </a:cubicBezTo>
              <a:cubicBezTo>
                <a:pt x="8445735" y="3176015"/>
                <a:pt x="8430150" y="3191606"/>
                <a:pt x="8410923" y="3191606"/>
              </a:cubicBezTo>
              <a:close/>
              <a:moveTo>
                <a:pt x="8835386" y="3191606"/>
              </a:moveTo>
              <a:cubicBezTo>
                <a:pt x="8816158" y="3191606"/>
                <a:pt x="8800560" y="3176015"/>
                <a:pt x="8800560" y="3156788"/>
              </a:cubicBezTo>
              <a:cubicBezTo>
                <a:pt x="8800560" y="3137560"/>
                <a:pt x="8816158" y="3121969"/>
                <a:pt x="8835386" y="3121969"/>
              </a:cubicBezTo>
              <a:cubicBezTo>
                <a:pt x="8854614" y="3121969"/>
                <a:pt x="8870198" y="3137560"/>
                <a:pt x="8870198" y="3156788"/>
              </a:cubicBezTo>
              <a:cubicBezTo>
                <a:pt x="8870198" y="3176015"/>
                <a:pt x="8854614" y="3191606"/>
                <a:pt x="8835386" y="3191606"/>
              </a:cubicBezTo>
              <a:close/>
              <a:moveTo>
                <a:pt x="8920278" y="3191606"/>
              </a:moveTo>
              <a:cubicBezTo>
                <a:pt x="8901050" y="3191606"/>
                <a:pt x="8885453" y="3176015"/>
                <a:pt x="8885453" y="3156788"/>
              </a:cubicBezTo>
              <a:cubicBezTo>
                <a:pt x="8885453" y="3137560"/>
                <a:pt x="8901050" y="3121969"/>
                <a:pt x="8920278" y="3121969"/>
              </a:cubicBezTo>
              <a:cubicBezTo>
                <a:pt x="8939506" y="3121969"/>
                <a:pt x="8955090" y="3137560"/>
                <a:pt x="8955090" y="3156788"/>
              </a:cubicBezTo>
              <a:cubicBezTo>
                <a:pt x="8955090" y="3176015"/>
                <a:pt x="8939506" y="3191606"/>
                <a:pt x="8920278" y="3191606"/>
              </a:cubicBezTo>
              <a:close/>
              <a:moveTo>
                <a:pt x="9005170" y="3191606"/>
              </a:moveTo>
              <a:cubicBezTo>
                <a:pt x="8985943" y="3191606"/>
                <a:pt x="8970345" y="3176015"/>
                <a:pt x="8970345" y="3156788"/>
              </a:cubicBezTo>
              <a:cubicBezTo>
                <a:pt x="8970345" y="3137560"/>
                <a:pt x="8985943" y="3121969"/>
                <a:pt x="9005170" y="3121969"/>
              </a:cubicBezTo>
              <a:cubicBezTo>
                <a:pt x="9024398" y="3121969"/>
                <a:pt x="9039983" y="3137560"/>
                <a:pt x="9039983" y="3156788"/>
              </a:cubicBezTo>
              <a:cubicBezTo>
                <a:pt x="9039983" y="3176015"/>
                <a:pt x="9024398" y="3191606"/>
                <a:pt x="9005170" y="3191606"/>
              </a:cubicBezTo>
              <a:close/>
              <a:moveTo>
                <a:pt x="9090063" y="3191606"/>
              </a:moveTo>
              <a:cubicBezTo>
                <a:pt x="9070835" y="3191606"/>
                <a:pt x="9055237" y="3176015"/>
                <a:pt x="9055237" y="3156788"/>
              </a:cubicBezTo>
              <a:cubicBezTo>
                <a:pt x="9055237" y="3137560"/>
                <a:pt x="9070835" y="3121969"/>
                <a:pt x="9090063" y="3121969"/>
              </a:cubicBezTo>
              <a:cubicBezTo>
                <a:pt x="9109290" y="3121969"/>
                <a:pt x="9124875" y="3137560"/>
                <a:pt x="9124875" y="3156788"/>
              </a:cubicBezTo>
              <a:cubicBezTo>
                <a:pt x="9124875" y="3176015"/>
                <a:pt x="9109290" y="3191606"/>
                <a:pt x="9090063" y="3191606"/>
              </a:cubicBezTo>
              <a:close/>
              <a:moveTo>
                <a:pt x="9344740" y="3191606"/>
              </a:moveTo>
              <a:cubicBezTo>
                <a:pt x="9325513" y="3191606"/>
                <a:pt x="9309915" y="3176015"/>
                <a:pt x="9309915" y="3156788"/>
              </a:cubicBezTo>
              <a:cubicBezTo>
                <a:pt x="9309915" y="3137560"/>
                <a:pt x="9325513" y="3121969"/>
                <a:pt x="9344740" y="3121969"/>
              </a:cubicBezTo>
              <a:cubicBezTo>
                <a:pt x="9363968" y="3121969"/>
                <a:pt x="9379553" y="3137560"/>
                <a:pt x="9379553" y="3156788"/>
              </a:cubicBezTo>
              <a:cubicBezTo>
                <a:pt x="9379553" y="3176015"/>
                <a:pt x="9363968" y="3191606"/>
                <a:pt x="9344740" y="3191606"/>
              </a:cubicBezTo>
              <a:close/>
              <a:moveTo>
                <a:pt x="2808016" y="3106746"/>
              </a:moveTo>
              <a:cubicBezTo>
                <a:pt x="2788788" y="3106746"/>
                <a:pt x="2773197" y="3091155"/>
                <a:pt x="2773197" y="3071927"/>
              </a:cubicBezTo>
              <a:cubicBezTo>
                <a:pt x="2773197" y="3052699"/>
                <a:pt x="2788788" y="3037108"/>
                <a:pt x="2808016" y="3037108"/>
              </a:cubicBezTo>
              <a:cubicBezTo>
                <a:pt x="2827243" y="3037108"/>
                <a:pt x="2842834" y="3052699"/>
                <a:pt x="2842834" y="3071927"/>
              </a:cubicBezTo>
              <a:cubicBezTo>
                <a:pt x="2842834" y="3091155"/>
                <a:pt x="2827243" y="3106746"/>
                <a:pt x="2808016" y="3106746"/>
              </a:cubicBezTo>
              <a:close/>
              <a:moveTo>
                <a:pt x="2892908" y="3106746"/>
              </a:moveTo>
              <a:cubicBezTo>
                <a:pt x="2873680" y="3106746"/>
                <a:pt x="2858089" y="3091155"/>
                <a:pt x="2858089" y="3071927"/>
              </a:cubicBezTo>
              <a:cubicBezTo>
                <a:pt x="2858089" y="3052699"/>
                <a:pt x="2873680" y="3037108"/>
                <a:pt x="2892908" y="3037108"/>
              </a:cubicBezTo>
              <a:cubicBezTo>
                <a:pt x="2912136" y="3037108"/>
                <a:pt x="2927727" y="3052699"/>
                <a:pt x="2927727" y="3071927"/>
              </a:cubicBezTo>
              <a:cubicBezTo>
                <a:pt x="2927727" y="3091155"/>
                <a:pt x="2912136" y="3106746"/>
                <a:pt x="2892908" y="3106746"/>
              </a:cubicBezTo>
              <a:close/>
              <a:moveTo>
                <a:pt x="2977801" y="3106746"/>
              </a:moveTo>
              <a:cubicBezTo>
                <a:pt x="2958573" y="3106746"/>
                <a:pt x="2942982" y="3091155"/>
                <a:pt x="2942982" y="3071927"/>
              </a:cubicBezTo>
              <a:cubicBezTo>
                <a:pt x="2942982" y="3052699"/>
                <a:pt x="2958573" y="3037108"/>
                <a:pt x="2977801" y="3037108"/>
              </a:cubicBezTo>
              <a:cubicBezTo>
                <a:pt x="2997029" y="3037108"/>
                <a:pt x="3012620" y="3052699"/>
                <a:pt x="3012620" y="3071927"/>
              </a:cubicBezTo>
              <a:cubicBezTo>
                <a:pt x="3012620" y="3091155"/>
                <a:pt x="2997029" y="3106746"/>
                <a:pt x="2977801" y="3106746"/>
              </a:cubicBezTo>
              <a:close/>
              <a:moveTo>
                <a:pt x="3062693" y="3106746"/>
              </a:moveTo>
              <a:cubicBezTo>
                <a:pt x="3043466" y="3106746"/>
                <a:pt x="3027874" y="3091155"/>
                <a:pt x="3027874" y="3071927"/>
              </a:cubicBezTo>
              <a:cubicBezTo>
                <a:pt x="3027874" y="3052699"/>
                <a:pt x="3043466" y="3037108"/>
                <a:pt x="3062693" y="3037108"/>
              </a:cubicBezTo>
              <a:cubicBezTo>
                <a:pt x="3081921" y="3037108"/>
                <a:pt x="3097512" y="3052699"/>
                <a:pt x="3097512" y="3071927"/>
              </a:cubicBezTo>
              <a:cubicBezTo>
                <a:pt x="3097512" y="3091155"/>
                <a:pt x="3081921" y="3106746"/>
                <a:pt x="3062693" y="3106746"/>
              </a:cubicBezTo>
              <a:close/>
              <a:moveTo>
                <a:pt x="5439686" y="3106746"/>
              </a:moveTo>
              <a:cubicBezTo>
                <a:pt x="5420458" y="3106746"/>
                <a:pt x="5404860" y="3091155"/>
                <a:pt x="5404860" y="3071927"/>
              </a:cubicBezTo>
              <a:cubicBezTo>
                <a:pt x="5404860" y="3052699"/>
                <a:pt x="5420458" y="3037108"/>
                <a:pt x="5439686" y="3037108"/>
              </a:cubicBezTo>
              <a:cubicBezTo>
                <a:pt x="5458914" y="3037108"/>
                <a:pt x="5474498" y="3052699"/>
                <a:pt x="5474498" y="3071927"/>
              </a:cubicBezTo>
              <a:cubicBezTo>
                <a:pt x="5474498" y="3091155"/>
                <a:pt x="5458914" y="3106746"/>
                <a:pt x="5439686" y="3106746"/>
              </a:cubicBezTo>
              <a:close/>
              <a:moveTo>
                <a:pt x="5524578" y="3106746"/>
              </a:moveTo>
              <a:cubicBezTo>
                <a:pt x="5505350" y="3106746"/>
                <a:pt x="5489753" y="3091155"/>
                <a:pt x="5489753" y="3071927"/>
              </a:cubicBezTo>
              <a:cubicBezTo>
                <a:pt x="5489753" y="3052699"/>
                <a:pt x="5505350" y="3037108"/>
                <a:pt x="5524578" y="3037108"/>
              </a:cubicBezTo>
              <a:cubicBezTo>
                <a:pt x="5543806" y="3037108"/>
                <a:pt x="5559390" y="3052699"/>
                <a:pt x="5559390" y="3071927"/>
              </a:cubicBezTo>
              <a:cubicBezTo>
                <a:pt x="5559390" y="3091155"/>
                <a:pt x="5543806" y="3106746"/>
                <a:pt x="5524578" y="3106746"/>
              </a:cubicBezTo>
              <a:close/>
              <a:moveTo>
                <a:pt x="5609471" y="3106746"/>
              </a:moveTo>
              <a:cubicBezTo>
                <a:pt x="5590244" y="3106746"/>
                <a:pt x="5574646" y="3091155"/>
                <a:pt x="5574646" y="3071927"/>
              </a:cubicBezTo>
              <a:cubicBezTo>
                <a:pt x="5574646" y="3052699"/>
                <a:pt x="5590244" y="3037108"/>
                <a:pt x="5609471" y="3037108"/>
              </a:cubicBezTo>
              <a:cubicBezTo>
                <a:pt x="5628699" y="3037108"/>
                <a:pt x="5644284" y="3052699"/>
                <a:pt x="5644284" y="3071927"/>
              </a:cubicBezTo>
              <a:cubicBezTo>
                <a:pt x="5644284" y="3091155"/>
                <a:pt x="5628699" y="3106746"/>
                <a:pt x="5609471" y="3106746"/>
              </a:cubicBezTo>
              <a:close/>
              <a:moveTo>
                <a:pt x="5694364" y="3106746"/>
              </a:moveTo>
              <a:cubicBezTo>
                <a:pt x="5675136" y="3106746"/>
                <a:pt x="5659538" y="3091155"/>
                <a:pt x="5659538" y="3071927"/>
              </a:cubicBezTo>
              <a:cubicBezTo>
                <a:pt x="5659538" y="3052699"/>
                <a:pt x="5675136" y="3037108"/>
                <a:pt x="5694364" y="3037108"/>
              </a:cubicBezTo>
              <a:cubicBezTo>
                <a:pt x="5713591" y="3037108"/>
                <a:pt x="5729176" y="3052699"/>
                <a:pt x="5729176" y="3071927"/>
              </a:cubicBezTo>
              <a:cubicBezTo>
                <a:pt x="5729176" y="3091155"/>
                <a:pt x="5713591" y="3106746"/>
                <a:pt x="5694364" y="3106746"/>
              </a:cubicBezTo>
              <a:close/>
              <a:moveTo>
                <a:pt x="5779256" y="3106746"/>
              </a:moveTo>
              <a:cubicBezTo>
                <a:pt x="5760028" y="3106746"/>
                <a:pt x="5744430" y="3091155"/>
                <a:pt x="5744430" y="3071927"/>
              </a:cubicBezTo>
              <a:cubicBezTo>
                <a:pt x="5744430" y="3052699"/>
                <a:pt x="5760028" y="3037108"/>
                <a:pt x="5779256" y="3037108"/>
              </a:cubicBezTo>
              <a:cubicBezTo>
                <a:pt x="5798484" y="3037108"/>
                <a:pt x="5814068" y="3052699"/>
                <a:pt x="5814068" y="3071927"/>
              </a:cubicBezTo>
              <a:cubicBezTo>
                <a:pt x="5814068" y="3091155"/>
                <a:pt x="5798484" y="3106746"/>
                <a:pt x="5779256" y="3106746"/>
              </a:cubicBezTo>
              <a:close/>
              <a:moveTo>
                <a:pt x="5864148" y="3106746"/>
              </a:moveTo>
              <a:cubicBezTo>
                <a:pt x="5844920" y="3106746"/>
                <a:pt x="5829323" y="3091155"/>
                <a:pt x="5829323" y="3071927"/>
              </a:cubicBezTo>
              <a:cubicBezTo>
                <a:pt x="5829323" y="3052699"/>
                <a:pt x="5844920" y="3037108"/>
                <a:pt x="5864148" y="3037108"/>
              </a:cubicBezTo>
              <a:cubicBezTo>
                <a:pt x="5883376" y="3037108"/>
                <a:pt x="5898960" y="3052699"/>
                <a:pt x="5898960" y="3071927"/>
              </a:cubicBezTo>
              <a:cubicBezTo>
                <a:pt x="5898960" y="3091155"/>
                <a:pt x="5883376" y="3106746"/>
                <a:pt x="5864148" y="3106746"/>
              </a:cubicBezTo>
              <a:close/>
              <a:moveTo>
                <a:pt x="5949041" y="3106746"/>
              </a:moveTo>
              <a:cubicBezTo>
                <a:pt x="5929814" y="3106746"/>
                <a:pt x="5914216" y="3091155"/>
                <a:pt x="5914216" y="3071927"/>
              </a:cubicBezTo>
              <a:cubicBezTo>
                <a:pt x="5914216" y="3052699"/>
                <a:pt x="5929814" y="3037108"/>
                <a:pt x="5949041" y="3037108"/>
              </a:cubicBezTo>
              <a:cubicBezTo>
                <a:pt x="5968269" y="3037108"/>
                <a:pt x="5983854" y="3052699"/>
                <a:pt x="5983854" y="3071927"/>
              </a:cubicBezTo>
              <a:cubicBezTo>
                <a:pt x="5983854" y="3091155"/>
                <a:pt x="5968269" y="3106746"/>
                <a:pt x="5949041" y="3106746"/>
              </a:cubicBezTo>
              <a:close/>
              <a:moveTo>
                <a:pt x="6033934" y="3106746"/>
              </a:moveTo>
              <a:cubicBezTo>
                <a:pt x="6014706" y="3106746"/>
                <a:pt x="5999108" y="3091155"/>
                <a:pt x="5999108" y="3071927"/>
              </a:cubicBezTo>
              <a:cubicBezTo>
                <a:pt x="5999108" y="3052699"/>
                <a:pt x="6014706" y="3037108"/>
                <a:pt x="6033934" y="3037108"/>
              </a:cubicBezTo>
              <a:cubicBezTo>
                <a:pt x="6053161" y="3037108"/>
                <a:pt x="6068746" y="3052699"/>
                <a:pt x="6068746" y="3071927"/>
              </a:cubicBezTo>
              <a:cubicBezTo>
                <a:pt x="6068746" y="3091155"/>
                <a:pt x="6053161" y="3106746"/>
                <a:pt x="6033934" y="3106746"/>
              </a:cubicBezTo>
              <a:close/>
              <a:moveTo>
                <a:pt x="6118826" y="3106746"/>
              </a:moveTo>
              <a:cubicBezTo>
                <a:pt x="6099598" y="3106746"/>
                <a:pt x="6084000" y="3091155"/>
                <a:pt x="6084000" y="3071927"/>
              </a:cubicBezTo>
              <a:cubicBezTo>
                <a:pt x="6084000" y="3052699"/>
                <a:pt x="6099598" y="3037108"/>
                <a:pt x="6118826" y="3037108"/>
              </a:cubicBezTo>
              <a:cubicBezTo>
                <a:pt x="6138054" y="3037108"/>
                <a:pt x="6153638" y="3052699"/>
                <a:pt x="6153638" y="3071927"/>
              </a:cubicBezTo>
              <a:cubicBezTo>
                <a:pt x="6153638" y="3091155"/>
                <a:pt x="6138054" y="3106746"/>
                <a:pt x="6118826" y="3106746"/>
              </a:cubicBezTo>
              <a:close/>
              <a:moveTo>
                <a:pt x="6203718" y="3106746"/>
              </a:moveTo>
              <a:cubicBezTo>
                <a:pt x="6184490" y="3106746"/>
                <a:pt x="6168893" y="3091155"/>
                <a:pt x="6168893" y="3071927"/>
              </a:cubicBezTo>
              <a:cubicBezTo>
                <a:pt x="6168893" y="3052699"/>
                <a:pt x="6184490" y="3037108"/>
                <a:pt x="6203718" y="3037108"/>
              </a:cubicBezTo>
              <a:cubicBezTo>
                <a:pt x="6222946" y="3037108"/>
                <a:pt x="6238530" y="3052699"/>
                <a:pt x="6238530" y="3071927"/>
              </a:cubicBezTo>
              <a:cubicBezTo>
                <a:pt x="6238530" y="3091155"/>
                <a:pt x="6222946" y="3106746"/>
                <a:pt x="6203718" y="3106746"/>
              </a:cubicBezTo>
              <a:close/>
              <a:moveTo>
                <a:pt x="6288611" y="3106746"/>
              </a:moveTo>
              <a:cubicBezTo>
                <a:pt x="6269384" y="3106746"/>
                <a:pt x="6253786" y="3091155"/>
                <a:pt x="6253786" y="3071927"/>
              </a:cubicBezTo>
              <a:cubicBezTo>
                <a:pt x="6253786" y="3052699"/>
                <a:pt x="6269384" y="3037108"/>
                <a:pt x="6288611" y="3037108"/>
              </a:cubicBezTo>
              <a:cubicBezTo>
                <a:pt x="6307839" y="3037108"/>
                <a:pt x="6323424" y="3052699"/>
                <a:pt x="6323424" y="3071927"/>
              </a:cubicBezTo>
              <a:cubicBezTo>
                <a:pt x="6323424" y="3091155"/>
                <a:pt x="6307839" y="3106746"/>
                <a:pt x="6288611" y="3106746"/>
              </a:cubicBezTo>
              <a:close/>
              <a:moveTo>
                <a:pt x="6373504" y="3106746"/>
              </a:moveTo>
              <a:cubicBezTo>
                <a:pt x="6354276" y="3106746"/>
                <a:pt x="6338678" y="3091155"/>
                <a:pt x="6338678" y="3071927"/>
              </a:cubicBezTo>
              <a:cubicBezTo>
                <a:pt x="6338678" y="3052699"/>
                <a:pt x="6354276" y="3037108"/>
                <a:pt x="6373504" y="3037108"/>
              </a:cubicBezTo>
              <a:cubicBezTo>
                <a:pt x="6392731" y="3037108"/>
                <a:pt x="6408316" y="3052699"/>
                <a:pt x="6408316" y="3071927"/>
              </a:cubicBezTo>
              <a:cubicBezTo>
                <a:pt x="6408316" y="3091155"/>
                <a:pt x="6392731" y="3106746"/>
                <a:pt x="6373504" y="3106746"/>
              </a:cubicBezTo>
              <a:close/>
              <a:moveTo>
                <a:pt x="6458396" y="3106746"/>
              </a:moveTo>
              <a:cubicBezTo>
                <a:pt x="6439168" y="3106746"/>
                <a:pt x="6423570" y="3091155"/>
                <a:pt x="6423570" y="3071927"/>
              </a:cubicBezTo>
              <a:cubicBezTo>
                <a:pt x="6423570" y="3052699"/>
                <a:pt x="6439168" y="3037108"/>
                <a:pt x="6458396" y="3037108"/>
              </a:cubicBezTo>
              <a:cubicBezTo>
                <a:pt x="6477624" y="3037108"/>
                <a:pt x="6493208" y="3052699"/>
                <a:pt x="6493208" y="3071927"/>
              </a:cubicBezTo>
              <a:cubicBezTo>
                <a:pt x="6493208" y="3091155"/>
                <a:pt x="6477624" y="3106746"/>
                <a:pt x="6458396" y="3106746"/>
              </a:cubicBezTo>
              <a:close/>
              <a:moveTo>
                <a:pt x="6543288" y="3106746"/>
              </a:moveTo>
              <a:cubicBezTo>
                <a:pt x="6524060" y="3106746"/>
                <a:pt x="6508463" y="3091155"/>
                <a:pt x="6508463" y="3071927"/>
              </a:cubicBezTo>
              <a:cubicBezTo>
                <a:pt x="6508463" y="3052699"/>
                <a:pt x="6524060" y="3037108"/>
                <a:pt x="6543288" y="3037108"/>
              </a:cubicBezTo>
              <a:cubicBezTo>
                <a:pt x="6562516" y="3037108"/>
                <a:pt x="6578100" y="3052699"/>
                <a:pt x="6578100" y="3071927"/>
              </a:cubicBezTo>
              <a:cubicBezTo>
                <a:pt x="6578100" y="3091155"/>
                <a:pt x="6562516" y="3106746"/>
                <a:pt x="6543288" y="3106746"/>
              </a:cubicBezTo>
              <a:close/>
              <a:moveTo>
                <a:pt x="6628181" y="3106746"/>
              </a:moveTo>
              <a:cubicBezTo>
                <a:pt x="6608954" y="3106746"/>
                <a:pt x="6593356" y="3091155"/>
                <a:pt x="6593356" y="3071927"/>
              </a:cubicBezTo>
              <a:cubicBezTo>
                <a:pt x="6593356" y="3052699"/>
                <a:pt x="6608954" y="3037108"/>
                <a:pt x="6628181" y="3037108"/>
              </a:cubicBezTo>
              <a:cubicBezTo>
                <a:pt x="6647409" y="3037108"/>
                <a:pt x="6662994" y="3052699"/>
                <a:pt x="6662994" y="3071927"/>
              </a:cubicBezTo>
              <a:cubicBezTo>
                <a:pt x="6662994" y="3091155"/>
                <a:pt x="6647409" y="3106746"/>
                <a:pt x="6628181" y="3106746"/>
              </a:cubicBezTo>
              <a:close/>
              <a:moveTo>
                <a:pt x="6713074" y="3106746"/>
              </a:moveTo>
              <a:cubicBezTo>
                <a:pt x="6693846" y="3106746"/>
                <a:pt x="6678248" y="3091155"/>
                <a:pt x="6678248" y="3071927"/>
              </a:cubicBezTo>
              <a:cubicBezTo>
                <a:pt x="6678248" y="3052699"/>
                <a:pt x="6693846" y="3037108"/>
                <a:pt x="6713074" y="3037108"/>
              </a:cubicBezTo>
              <a:cubicBezTo>
                <a:pt x="6732301" y="3037108"/>
                <a:pt x="6747886" y="3052699"/>
                <a:pt x="6747886" y="3071927"/>
              </a:cubicBezTo>
              <a:cubicBezTo>
                <a:pt x="6747886" y="3091155"/>
                <a:pt x="6732301" y="3106746"/>
                <a:pt x="6713074" y="3106746"/>
              </a:cubicBezTo>
              <a:close/>
              <a:moveTo>
                <a:pt x="6797966" y="3106746"/>
              </a:moveTo>
              <a:cubicBezTo>
                <a:pt x="6778738" y="3106746"/>
                <a:pt x="6763140" y="3091155"/>
                <a:pt x="6763140" y="3071927"/>
              </a:cubicBezTo>
              <a:cubicBezTo>
                <a:pt x="6763140" y="3052699"/>
                <a:pt x="6778738" y="3037108"/>
                <a:pt x="6797966" y="3037108"/>
              </a:cubicBezTo>
              <a:cubicBezTo>
                <a:pt x="6817194" y="3037108"/>
                <a:pt x="6832778" y="3052699"/>
                <a:pt x="6832778" y="3071927"/>
              </a:cubicBezTo>
              <a:cubicBezTo>
                <a:pt x="6832778" y="3091155"/>
                <a:pt x="6817194" y="3106746"/>
                <a:pt x="6797966" y="3106746"/>
              </a:cubicBezTo>
              <a:close/>
              <a:moveTo>
                <a:pt x="6882858" y="3106746"/>
              </a:moveTo>
              <a:cubicBezTo>
                <a:pt x="6863630" y="3106746"/>
                <a:pt x="6848033" y="3091155"/>
                <a:pt x="6848033" y="3071927"/>
              </a:cubicBezTo>
              <a:cubicBezTo>
                <a:pt x="6848033" y="3052699"/>
                <a:pt x="6863630" y="3037108"/>
                <a:pt x="6882858" y="3037108"/>
              </a:cubicBezTo>
              <a:cubicBezTo>
                <a:pt x="6902086" y="3037108"/>
                <a:pt x="6917670" y="3052699"/>
                <a:pt x="6917670" y="3071927"/>
              </a:cubicBezTo>
              <a:cubicBezTo>
                <a:pt x="6917670" y="3091155"/>
                <a:pt x="6902086" y="3106746"/>
                <a:pt x="6882858" y="3106746"/>
              </a:cubicBezTo>
              <a:close/>
              <a:moveTo>
                <a:pt x="6967750" y="3106746"/>
              </a:moveTo>
              <a:cubicBezTo>
                <a:pt x="6948523" y="3106746"/>
                <a:pt x="6932925" y="3091155"/>
                <a:pt x="6932925" y="3071927"/>
              </a:cubicBezTo>
              <a:cubicBezTo>
                <a:pt x="6932925" y="3052699"/>
                <a:pt x="6948523" y="3037108"/>
                <a:pt x="6967750" y="3037108"/>
              </a:cubicBezTo>
              <a:cubicBezTo>
                <a:pt x="6986978" y="3037108"/>
                <a:pt x="7002563" y="3052699"/>
                <a:pt x="7002563" y="3071927"/>
              </a:cubicBezTo>
              <a:cubicBezTo>
                <a:pt x="7002563" y="3091155"/>
                <a:pt x="6986978" y="3106746"/>
                <a:pt x="6967750" y="3106746"/>
              </a:cubicBezTo>
              <a:close/>
              <a:moveTo>
                <a:pt x="7052644" y="3106746"/>
              </a:moveTo>
              <a:cubicBezTo>
                <a:pt x="7033416" y="3106746"/>
                <a:pt x="7017818" y="3091155"/>
                <a:pt x="7017818" y="3071927"/>
              </a:cubicBezTo>
              <a:cubicBezTo>
                <a:pt x="7017818" y="3052699"/>
                <a:pt x="7033416" y="3037108"/>
                <a:pt x="7052644" y="3037108"/>
              </a:cubicBezTo>
              <a:cubicBezTo>
                <a:pt x="7071871" y="3037108"/>
                <a:pt x="7087456" y="3052699"/>
                <a:pt x="7087456" y="3071927"/>
              </a:cubicBezTo>
              <a:cubicBezTo>
                <a:pt x="7087456" y="3091155"/>
                <a:pt x="7071871" y="3106746"/>
                <a:pt x="7052644" y="3106746"/>
              </a:cubicBezTo>
              <a:close/>
              <a:moveTo>
                <a:pt x="7307320" y="3106746"/>
              </a:moveTo>
              <a:cubicBezTo>
                <a:pt x="7288093" y="3106746"/>
                <a:pt x="7272495" y="3091155"/>
                <a:pt x="7272495" y="3071927"/>
              </a:cubicBezTo>
              <a:cubicBezTo>
                <a:pt x="7272495" y="3052699"/>
                <a:pt x="7288093" y="3037108"/>
                <a:pt x="7307320" y="3037108"/>
              </a:cubicBezTo>
              <a:cubicBezTo>
                <a:pt x="7326548" y="3037108"/>
                <a:pt x="7342133" y="3052699"/>
                <a:pt x="7342133" y="3071927"/>
              </a:cubicBezTo>
              <a:cubicBezTo>
                <a:pt x="7342133" y="3091155"/>
                <a:pt x="7326548" y="3106746"/>
                <a:pt x="7307320" y="3106746"/>
              </a:cubicBezTo>
              <a:close/>
              <a:moveTo>
                <a:pt x="7392214" y="3106746"/>
              </a:moveTo>
              <a:cubicBezTo>
                <a:pt x="7372986" y="3106746"/>
                <a:pt x="7357388" y="3091155"/>
                <a:pt x="7357388" y="3071927"/>
              </a:cubicBezTo>
              <a:cubicBezTo>
                <a:pt x="7357388" y="3052699"/>
                <a:pt x="7372986" y="3037108"/>
                <a:pt x="7392214" y="3037108"/>
              </a:cubicBezTo>
              <a:cubicBezTo>
                <a:pt x="7411441" y="3037108"/>
                <a:pt x="7427026" y="3052699"/>
                <a:pt x="7427026" y="3071927"/>
              </a:cubicBezTo>
              <a:cubicBezTo>
                <a:pt x="7427026" y="3091155"/>
                <a:pt x="7411441" y="3106746"/>
                <a:pt x="7392214" y="3106746"/>
              </a:cubicBezTo>
              <a:close/>
              <a:moveTo>
                <a:pt x="7477106" y="3106746"/>
              </a:moveTo>
              <a:cubicBezTo>
                <a:pt x="7457878" y="3106746"/>
                <a:pt x="7442280" y="3091155"/>
                <a:pt x="7442280" y="3071927"/>
              </a:cubicBezTo>
              <a:cubicBezTo>
                <a:pt x="7442280" y="3052699"/>
                <a:pt x="7457878" y="3037108"/>
                <a:pt x="7477106" y="3037108"/>
              </a:cubicBezTo>
              <a:cubicBezTo>
                <a:pt x="7496334" y="3037108"/>
                <a:pt x="7511918" y="3052699"/>
                <a:pt x="7511918" y="3071927"/>
              </a:cubicBezTo>
              <a:cubicBezTo>
                <a:pt x="7511918" y="3091155"/>
                <a:pt x="7496334" y="3106746"/>
                <a:pt x="7477106" y="3106746"/>
              </a:cubicBezTo>
              <a:close/>
              <a:moveTo>
                <a:pt x="8241138" y="3106746"/>
              </a:moveTo>
              <a:cubicBezTo>
                <a:pt x="8221910" y="3106746"/>
                <a:pt x="8206313" y="3091155"/>
                <a:pt x="8206313" y="3071927"/>
              </a:cubicBezTo>
              <a:cubicBezTo>
                <a:pt x="8206313" y="3052699"/>
                <a:pt x="8221910" y="3037108"/>
                <a:pt x="8241138" y="3037108"/>
              </a:cubicBezTo>
              <a:cubicBezTo>
                <a:pt x="8260366" y="3037108"/>
                <a:pt x="8275950" y="3052699"/>
                <a:pt x="8275950" y="3071927"/>
              </a:cubicBezTo>
              <a:cubicBezTo>
                <a:pt x="8275950" y="3091155"/>
                <a:pt x="8260366" y="3106746"/>
                <a:pt x="8241138" y="3106746"/>
              </a:cubicBezTo>
              <a:close/>
              <a:moveTo>
                <a:pt x="8326030" y="3106746"/>
              </a:moveTo>
              <a:cubicBezTo>
                <a:pt x="8306803" y="3106746"/>
                <a:pt x="8291205" y="3091155"/>
                <a:pt x="8291205" y="3071927"/>
              </a:cubicBezTo>
              <a:cubicBezTo>
                <a:pt x="8291205" y="3052699"/>
                <a:pt x="8306803" y="3037108"/>
                <a:pt x="8326030" y="3037108"/>
              </a:cubicBezTo>
              <a:cubicBezTo>
                <a:pt x="8345258" y="3037108"/>
                <a:pt x="8360843" y="3052699"/>
                <a:pt x="8360843" y="3071927"/>
              </a:cubicBezTo>
              <a:cubicBezTo>
                <a:pt x="8360843" y="3091155"/>
                <a:pt x="8345258" y="3106746"/>
                <a:pt x="8326030" y="3106746"/>
              </a:cubicBezTo>
              <a:close/>
              <a:moveTo>
                <a:pt x="9005170" y="3106746"/>
              </a:moveTo>
              <a:cubicBezTo>
                <a:pt x="8985943" y="3106746"/>
                <a:pt x="8970345" y="3091155"/>
                <a:pt x="8970345" y="3071927"/>
              </a:cubicBezTo>
              <a:cubicBezTo>
                <a:pt x="8970345" y="3052699"/>
                <a:pt x="8985943" y="3037108"/>
                <a:pt x="9005170" y="3037108"/>
              </a:cubicBezTo>
              <a:cubicBezTo>
                <a:pt x="9024398" y="3037108"/>
                <a:pt x="9039983" y="3052699"/>
                <a:pt x="9039983" y="3071927"/>
              </a:cubicBezTo>
              <a:cubicBezTo>
                <a:pt x="9039983" y="3091155"/>
                <a:pt x="9024398" y="3106746"/>
                <a:pt x="9005170" y="3106746"/>
              </a:cubicBezTo>
              <a:close/>
              <a:moveTo>
                <a:pt x="9090063" y="3106746"/>
              </a:moveTo>
              <a:cubicBezTo>
                <a:pt x="9070835" y="3106746"/>
                <a:pt x="9055237" y="3091155"/>
                <a:pt x="9055237" y="3071927"/>
              </a:cubicBezTo>
              <a:cubicBezTo>
                <a:pt x="9055237" y="3052699"/>
                <a:pt x="9070835" y="3037108"/>
                <a:pt x="9090063" y="3037108"/>
              </a:cubicBezTo>
              <a:cubicBezTo>
                <a:pt x="9109290" y="3037108"/>
                <a:pt x="9124875" y="3052699"/>
                <a:pt x="9124875" y="3071927"/>
              </a:cubicBezTo>
              <a:cubicBezTo>
                <a:pt x="9124875" y="3091155"/>
                <a:pt x="9109290" y="3106746"/>
                <a:pt x="9090063" y="3106746"/>
              </a:cubicBezTo>
              <a:close/>
              <a:moveTo>
                <a:pt x="9174956" y="3106746"/>
              </a:moveTo>
              <a:cubicBezTo>
                <a:pt x="9155728" y="3106746"/>
                <a:pt x="9140130" y="3091155"/>
                <a:pt x="9140130" y="3071927"/>
              </a:cubicBezTo>
              <a:cubicBezTo>
                <a:pt x="9140130" y="3052699"/>
                <a:pt x="9155728" y="3037108"/>
                <a:pt x="9174956" y="3037108"/>
              </a:cubicBezTo>
              <a:cubicBezTo>
                <a:pt x="9194184" y="3037108"/>
                <a:pt x="9209768" y="3052699"/>
                <a:pt x="9209768" y="3071927"/>
              </a:cubicBezTo>
              <a:cubicBezTo>
                <a:pt x="9209768" y="3091155"/>
                <a:pt x="9194184" y="3106746"/>
                <a:pt x="9174956" y="3106746"/>
              </a:cubicBezTo>
              <a:close/>
              <a:moveTo>
                <a:pt x="9684310" y="3106746"/>
              </a:moveTo>
              <a:cubicBezTo>
                <a:pt x="9665083" y="3106746"/>
                <a:pt x="9649485" y="3091155"/>
                <a:pt x="9649485" y="3071927"/>
              </a:cubicBezTo>
              <a:cubicBezTo>
                <a:pt x="9649485" y="3052699"/>
                <a:pt x="9665083" y="3037108"/>
                <a:pt x="9684310" y="3037108"/>
              </a:cubicBezTo>
              <a:cubicBezTo>
                <a:pt x="9703538" y="3037108"/>
                <a:pt x="9719123" y="3052699"/>
                <a:pt x="9719123" y="3071927"/>
              </a:cubicBezTo>
              <a:cubicBezTo>
                <a:pt x="9719123" y="3091155"/>
                <a:pt x="9703538" y="3106746"/>
                <a:pt x="9684310" y="3106746"/>
              </a:cubicBezTo>
              <a:close/>
              <a:moveTo>
                <a:pt x="3062693" y="3021886"/>
              </a:moveTo>
              <a:cubicBezTo>
                <a:pt x="3043466" y="3021886"/>
                <a:pt x="3027874" y="3006295"/>
                <a:pt x="3027874" y="2987067"/>
              </a:cubicBezTo>
              <a:cubicBezTo>
                <a:pt x="3027874" y="2967839"/>
                <a:pt x="3043466" y="2952248"/>
                <a:pt x="3062693" y="2952248"/>
              </a:cubicBezTo>
              <a:cubicBezTo>
                <a:pt x="3081921" y="2952248"/>
                <a:pt x="3097512" y="2967839"/>
                <a:pt x="3097512" y="2987067"/>
              </a:cubicBezTo>
              <a:cubicBezTo>
                <a:pt x="3097512" y="3006295"/>
                <a:pt x="3081921" y="3021886"/>
                <a:pt x="3062693" y="3021886"/>
              </a:cubicBezTo>
              <a:close/>
              <a:moveTo>
                <a:pt x="3147586" y="3021886"/>
              </a:moveTo>
              <a:cubicBezTo>
                <a:pt x="3128358" y="3021886"/>
                <a:pt x="3112767" y="3006295"/>
                <a:pt x="3112767" y="2987067"/>
              </a:cubicBezTo>
              <a:cubicBezTo>
                <a:pt x="3112767" y="2967839"/>
                <a:pt x="3128358" y="2952248"/>
                <a:pt x="3147586" y="2952248"/>
              </a:cubicBezTo>
              <a:cubicBezTo>
                <a:pt x="3166813" y="2952248"/>
                <a:pt x="3182404" y="2967839"/>
                <a:pt x="3182404" y="2987067"/>
              </a:cubicBezTo>
              <a:cubicBezTo>
                <a:pt x="3182404" y="3006295"/>
                <a:pt x="3166813" y="3021886"/>
                <a:pt x="3147586" y="3021886"/>
              </a:cubicBezTo>
              <a:close/>
              <a:moveTo>
                <a:pt x="3232478" y="3021886"/>
              </a:moveTo>
              <a:cubicBezTo>
                <a:pt x="3213250" y="3021886"/>
                <a:pt x="3197659" y="3006295"/>
                <a:pt x="3197659" y="2987067"/>
              </a:cubicBezTo>
              <a:cubicBezTo>
                <a:pt x="3197659" y="2967839"/>
                <a:pt x="3213250" y="2952248"/>
                <a:pt x="3232478" y="2952248"/>
              </a:cubicBezTo>
              <a:cubicBezTo>
                <a:pt x="3251706" y="2952248"/>
                <a:pt x="3267297" y="2967839"/>
                <a:pt x="3267297" y="2987067"/>
              </a:cubicBezTo>
              <a:cubicBezTo>
                <a:pt x="3267297" y="3006295"/>
                <a:pt x="3251706" y="3021886"/>
                <a:pt x="3232478" y="3021886"/>
              </a:cubicBezTo>
              <a:close/>
              <a:moveTo>
                <a:pt x="5354794" y="3021886"/>
              </a:moveTo>
              <a:cubicBezTo>
                <a:pt x="5335566" y="3021886"/>
                <a:pt x="5319968" y="3006295"/>
                <a:pt x="5319968" y="2987067"/>
              </a:cubicBezTo>
              <a:cubicBezTo>
                <a:pt x="5319968" y="2967839"/>
                <a:pt x="5335566" y="2952248"/>
                <a:pt x="5354794" y="2952248"/>
              </a:cubicBezTo>
              <a:cubicBezTo>
                <a:pt x="5374021" y="2952248"/>
                <a:pt x="5389606" y="2967839"/>
                <a:pt x="5389606" y="2987067"/>
              </a:cubicBezTo>
              <a:cubicBezTo>
                <a:pt x="5389606" y="3006295"/>
                <a:pt x="5374021" y="3021886"/>
                <a:pt x="5354794" y="3021886"/>
              </a:cubicBezTo>
              <a:close/>
              <a:moveTo>
                <a:pt x="5439686" y="3021886"/>
              </a:moveTo>
              <a:cubicBezTo>
                <a:pt x="5420458" y="3021886"/>
                <a:pt x="5404860" y="3006295"/>
                <a:pt x="5404860" y="2987067"/>
              </a:cubicBezTo>
              <a:cubicBezTo>
                <a:pt x="5404860" y="2967839"/>
                <a:pt x="5420458" y="2952248"/>
                <a:pt x="5439686" y="2952248"/>
              </a:cubicBezTo>
              <a:cubicBezTo>
                <a:pt x="5458914" y="2952248"/>
                <a:pt x="5474498" y="2967839"/>
                <a:pt x="5474498" y="2987067"/>
              </a:cubicBezTo>
              <a:cubicBezTo>
                <a:pt x="5474498" y="3006295"/>
                <a:pt x="5458914" y="3021886"/>
                <a:pt x="5439686" y="3021886"/>
              </a:cubicBezTo>
              <a:close/>
              <a:moveTo>
                <a:pt x="5524578" y="3021886"/>
              </a:moveTo>
              <a:cubicBezTo>
                <a:pt x="5505350" y="3021886"/>
                <a:pt x="5489753" y="3006295"/>
                <a:pt x="5489753" y="2987067"/>
              </a:cubicBezTo>
              <a:cubicBezTo>
                <a:pt x="5489753" y="2967839"/>
                <a:pt x="5505350" y="2952248"/>
                <a:pt x="5524578" y="2952248"/>
              </a:cubicBezTo>
              <a:cubicBezTo>
                <a:pt x="5543806" y="2952248"/>
                <a:pt x="5559390" y="2967839"/>
                <a:pt x="5559390" y="2987067"/>
              </a:cubicBezTo>
              <a:cubicBezTo>
                <a:pt x="5559390" y="3006295"/>
                <a:pt x="5543806" y="3021886"/>
                <a:pt x="5524578" y="3021886"/>
              </a:cubicBezTo>
              <a:close/>
              <a:moveTo>
                <a:pt x="5609471" y="3021886"/>
              </a:moveTo>
              <a:cubicBezTo>
                <a:pt x="5590244" y="3021886"/>
                <a:pt x="5574646" y="3006295"/>
                <a:pt x="5574646" y="2987067"/>
              </a:cubicBezTo>
              <a:cubicBezTo>
                <a:pt x="5574646" y="2967839"/>
                <a:pt x="5590244" y="2952248"/>
                <a:pt x="5609471" y="2952248"/>
              </a:cubicBezTo>
              <a:cubicBezTo>
                <a:pt x="5628699" y="2952248"/>
                <a:pt x="5644284" y="2967839"/>
                <a:pt x="5644284" y="2987067"/>
              </a:cubicBezTo>
              <a:cubicBezTo>
                <a:pt x="5644284" y="3006295"/>
                <a:pt x="5628699" y="3021886"/>
                <a:pt x="5609471" y="3021886"/>
              </a:cubicBezTo>
              <a:close/>
              <a:moveTo>
                <a:pt x="5694364" y="3021886"/>
              </a:moveTo>
              <a:cubicBezTo>
                <a:pt x="5675136" y="3021886"/>
                <a:pt x="5659538" y="3006295"/>
                <a:pt x="5659538" y="2987067"/>
              </a:cubicBezTo>
              <a:cubicBezTo>
                <a:pt x="5659538" y="2967839"/>
                <a:pt x="5675136" y="2952248"/>
                <a:pt x="5694364" y="2952248"/>
              </a:cubicBezTo>
              <a:cubicBezTo>
                <a:pt x="5713591" y="2952248"/>
                <a:pt x="5729176" y="2967839"/>
                <a:pt x="5729176" y="2987067"/>
              </a:cubicBezTo>
              <a:cubicBezTo>
                <a:pt x="5729176" y="3006295"/>
                <a:pt x="5713591" y="3021886"/>
                <a:pt x="5694364" y="3021886"/>
              </a:cubicBezTo>
              <a:close/>
              <a:moveTo>
                <a:pt x="5779256" y="3021886"/>
              </a:moveTo>
              <a:cubicBezTo>
                <a:pt x="5760028" y="3021886"/>
                <a:pt x="5744430" y="3006295"/>
                <a:pt x="5744430" y="2987067"/>
              </a:cubicBezTo>
              <a:cubicBezTo>
                <a:pt x="5744430" y="2967839"/>
                <a:pt x="5760028" y="2952248"/>
                <a:pt x="5779256" y="2952248"/>
              </a:cubicBezTo>
              <a:cubicBezTo>
                <a:pt x="5798484" y="2952248"/>
                <a:pt x="5814068" y="2967839"/>
                <a:pt x="5814068" y="2987067"/>
              </a:cubicBezTo>
              <a:cubicBezTo>
                <a:pt x="5814068" y="3006295"/>
                <a:pt x="5798484" y="3021886"/>
                <a:pt x="5779256" y="3021886"/>
              </a:cubicBezTo>
              <a:close/>
              <a:moveTo>
                <a:pt x="5864148" y="3021886"/>
              </a:moveTo>
              <a:cubicBezTo>
                <a:pt x="5844920" y="3021886"/>
                <a:pt x="5829323" y="3006295"/>
                <a:pt x="5829323" y="2987067"/>
              </a:cubicBezTo>
              <a:cubicBezTo>
                <a:pt x="5829323" y="2967839"/>
                <a:pt x="5844920" y="2952248"/>
                <a:pt x="5864148" y="2952248"/>
              </a:cubicBezTo>
              <a:cubicBezTo>
                <a:pt x="5883376" y="2952248"/>
                <a:pt x="5898960" y="2967839"/>
                <a:pt x="5898960" y="2987067"/>
              </a:cubicBezTo>
              <a:cubicBezTo>
                <a:pt x="5898960" y="3006295"/>
                <a:pt x="5883376" y="3021886"/>
                <a:pt x="5864148" y="3021886"/>
              </a:cubicBezTo>
              <a:close/>
              <a:moveTo>
                <a:pt x="5949041" y="3021886"/>
              </a:moveTo>
              <a:cubicBezTo>
                <a:pt x="5929814" y="3021886"/>
                <a:pt x="5914216" y="3006295"/>
                <a:pt x="5914216" y="2987067"/>
              </a:cubicBezTo>
              <a:cubicBezTo>
                <a:pt x="5914216" y="2967839"/>
                <a:pt x="5929814" y="2952248"/>
                <a:pt x="5949041" y="2952248"/>
              </a:cubicBezTo>
              <a:cubicBezTo>
                <a:pt x="5968269" y="2952248"/>
                <a:pt x="5983854" y="2967839"/>
                <a:pt x="5983854" y="2987067"/>
              </a:cubicBezTo>
              <a:cubicBezTo>
                <a:pt x="5983854" y="3006295"/>
                <a:pt x="5968269" y="3021886"/>
                <a:pt x="5949041" y="3021886"/>
              </a:cubicBezTo>
              <a:close/>
              <a:moveTo>
                <a:pt x="6033934" y="3021886"/>
              </a:moveTo>
              <a:cubicBezTo>
                <a:pt x="6014706" y="3021886"/>
                <a:pt x="5999108" y="3006295"/>
                <a:pt x="5999108" y="2987067"/>
              </a:cubicBezTo>
              <a:cubicBezTo>
                <a:pt x="5999108" y="2967839"/>
                <a:pt x="6014706" y="2952248"/>
                <a:pt x="6033934" y="2952248"/>
              </a:cubicBezTo>
              <a:cubicBezTo>
                <a:pt x="6053161" y="2952248"/>
                <a:pt x="6068746" y="2967839"/>
                <a:pt x="6068746" y="2987067"/>
              </a:cubicBezTo>
              <a:cubicBezTo>
                <a:pt x="6068746" y="3006295"/>
                <a:pt x="6053161" y="3021886"/>
                <a:pt x="6033934" y="3021886"/>
              </a:cubicBezTo>
              <a:close/>
              <a:moveTo>
                <a:pt x="6118826" y="3021886"/>
              </a:moveTo>
              <a:cubicBezTo>
                <a:pt x="6099598" y="3021886"/>
                <a:pt x="6084000" y="3006295"/>
                <a:pt x="6084000" y="2987067"/>
              </a:cubicBezTo>
              <a:cubicBezTo>
                <a:pt x="6084000" y="2967839"/>
                <a:pt x="6099598" y="2952248"/>
                <a:pt x="6118826" y="2952248"/>
              </a:cubicBezTo>
              <a:cubicBezTo>
                <a:pt x="6138054" y="2952248"/>
                <a:pt x="6153638" y="2967839"/>
                <a:pt x="6153638" y="2987067"/>
              </a:cubicBezTo>
              <a:cubicBezTo>
                <a:pt x="6153638" y="3006295"/>
                <a:pt x="6138054" y="3021886"/>
                <a:pt x="6118826" y="3021886"/>
              </a:cubicBezTo>
              <a:close/>
              <a:moveTo>
                <a:pt x="6203718" y="3021886"/>
              </a:moveTo>
              <a:cubicBezTo>
                <a:pt x="6184490" y="3021886"/>
                <a:pt x="6168893" y="3006295"/>
                <a:pt x="6168893" y="2987067"/>
              </a:cubicBezTo>
              <a:cubicBezTo>
                <a:pt x="6168893" y="2967839"/>
                <a:pt x="6184490" y="2952248"/>
                <a:pt x="6203718" y="2952248"/>
              </a:cubicBezTo>
              <a:cubicBezTo>
                <a:pt x="6222946" y="2952248"/>
                <a:pt x="6238530" y="2967839"/>
                <a:pt x="6238530" y="2987067"/>
              </a:cubicBezTo>
              <a:cubicBezTo>
                <a:pt x="6238530" y="3006295"/>
                <a:pt x="6222946" y="3021886"/>
                <a:pt x="6203718" y="3021886"/>
              </a:cubicBezTo>
              <a:close/>
              <a:moveTo>
                <a:pt x="6288611" y="3021886"/>
              </a:moveTo>
              <a:cubicBezTo>
                <a:pt x="6269384" y="3021886"/>
                <a:pt x="6253786" y="3006295"/>
                <a:pt x="6253786" y="2987067"/>
              </a:cubicBezTo>
              <a:cubicBezTo>
                <a:pt x="6253786" y="2967839"/>
                <a:pt x="6269384" y="2952248"/>
                <a:pt x="6288611" y="2952248"/>
              </a:cubicBezTo>
              <a:cubicBezTo>
                <a:pt x="6307839" y="2952248"/>
                <a:pt x="6323424" y="2967839"/>
                <a:pt x="6323424" y="2987067"/>
              </a:cubicBezTo>
              <a:cubicBezTo>
                <a:pt x="6323424" y="3006295"/>
                <a:pt x="6307839" y="3021886"/>
                <a:pt x="6288611" y="3021886"/>
              </a:cubicBezTo>
              <a:close/>
              <a:moveTo>
                <a:pt x="6373504" y="3021886"/>
              </a:moveTo>
              <a:cubicBezTo>
                <a:pt x="6354276" y="3021886"/>
                <a:pt x="6338678" y="3006295"/>
                <a:pt x="6338678" y="2987067"/>
              </a:cubicBezTo>
              <a:cubicBezTo>
                <a:pt x="6338678" y="2967839"/>
                <a:pt x="6354276" y="2952248"/>
                <a:pt x="6373504" y="2952248"/>
              </a:cubicBezTo>
              <a:cubicBezTo>
                <a:pt x="6392731" y="2952248"/>
                <a:pt x="6408316" y="2967839"/>
                <a:pt x="6408316" y="2987067"/>
              </a:cubicBezTo>
              <a:cubicBezTo>
                <a:pt x="6408316" y="3006295"/>
                <a:pt x="6392731" y="3021886"/>
                <a:pt x="6373504" y="3021886"/>
              </a:cubicBezTo>
              <a:close/>
              <a:moveTo>
                <a:pt x="6458396" y="3021886"/>
              </a:moveTo>
              <a:cubicBezTo>
                <a:pt x="6439168" y="3021886"/>
                <a:pt x="6423570" y="3006295"/>
                <a:pt x="6423570" y="2987067"/>
              </a:cubicBezTo>
              <a:cubicBezTo>
                <a:pt x="6423570" y="2967839"/>
                <a:pt x="6439168" y="2952248"/>
                <a:pt x="6458396" y="2952248"/>
              </a:cubicBezTo>
              <a:cubicBezTo>
                <a:pt x="6477624" y="2952248"/>
                <a:pt x="6493208" y="2967839"/>
                <a:pt x="6493208" y="2987067"/>
              </a:cubicBezTo>
              <a:cubicBezTo>
                <a:pt x="6493208" y="3006295"/>
                <a:pt x="6477624" y="3021886"/>
                <a:pt x="6458396" y="3021886"/>
              </a:cubicBezTo>
              <a:close/>
              <a:moveTo>
                <a:pt x="6543288" y="3021886"/>
              </a:moveTo>
              <a:cubicBezTo>
                <a:pt x="6524060" y="3021886"/>
                <a:pt x="6508463" y="3006295"/>
                <a:pt x="6508463" y="2987067"/>
              </a:cubicBezTo>
              <a:cubicBezTo>
                <a:pt x="6508463" y="2967839"/>
                <a:pt x="6524060" y="2952248"/>
                <a:pt x="6543288" y="2952248"/>
              </a:cubicBezTo>
              <a:cubicBezTo>
                <a:pt x="6562516" y="2952248"/>
                <a:pt x="6578100" y="2967839"/>
                <a:pt x="6578100" y="2987067"/>
              </a:cubicBezTo>
              <a:cubicBezTo>
                <a:pt x="6578100" y="3006295"/>
                <a:pt x="6562516" y="3021886"/>
                <a:pt x="6543288" y="3021886"/>
              </a:cubicBezTo>
              <a:close/>
              <a:moveTo>
                <a:pt x="6628181" y="3021886"/>
              </a:moveTo>
              <a:cubicBezTo>
                <a:pt x="6608954" y="3021886"/>
                <a:pt x="6593356" y="3006295"/>
                <a:pt x="6593356" y="2987067"/>
              </a:cubicBezTo>
              <a:cubicBezTo>
                <a:pt x="6593356" y="2967839"/>
                <a:pt x="6608954" y="2952248"/>
                <a:pt x="6628181" y="2952248"/>
              </a:cubicBezTo>
              <a:cubicBezTo>
                <a:pt x="6647409" y="2952248"/>
                <a:pt x="6662994" y="2967839"/>
                <a:pt x="6662994" y="2987067"/>
              </a:cubicBezTo>
              <a:cubicBezTo>
                <a:pt x="6662994" y="3006295"/>
                <a:pt x="6647409" y="3021886"/>
                <a:pt x="6628181" y="3021886"/>
              </a:cubicBezTo>
              <a:close/>
              <a:moveTo>
                <a:pt x="6713074" y="3021886"/>
              </a:moveTo>
              <a:cubicBezTo>
                <a:pt x="6693846" y="3021886"/>
                <a:pt x="6678248" y="3006295"/>
                <a:pt x="6678248" y="2987067"/>
              </a:cubicBezTo>
              <a:cubicBezTo>
                <a:pt x="6678248" y="2967839"/>
                <a:pt x="6693846" y="2952248"/>
                <a:pt x="6713074" y="2952248"/>
              </a:cubicBezTo>
              <a:cubicBezTo>
                <a:pt x="6732301" y="2952248"/>
                <a:pt x="6747886" y="2967839"/>
                <a:pt x="6747886" y="2987067"/>
              </a:cubicBezTo>
              <a:cubicBezTo>
                <a:pt x="6747886" y="3006295"/>
                <a:pt x="6732301" y="3021886"/>
                <a:pt x="6713074" y="3021886"/>
              </a:cubicBezTo>
              <a:close/>
              <a:moveTo>
                <a:pt x="6797966" y="3021886"/>
              </a:moveTo>
              <a:cubicBezTo>
                <a:pt x="6778738" y="3021886"/>
                <a:pt x="6763140" y="3006295"/>
                <a:pt x="6763140" y="2987067"/>
              </a:cubicBezTo>
              <a:cubicBezTo>
                <a:pt x="6763140" y="2967839"/>
                <a:pt x="6778738" y="2952248"/>
                <a:pt x="6797966" y="2952248"/>
              </a:cubicBezTo>
              <a:cubicBezTo>
                <a:pt x="6817194" y="2952248"/>
                <a:pt x="6832778" y="2967839"/>
                <a:pt x="6832778" y="2987067"/>
              </a:cubicBezTo>
              <a:cubicBezTo>
                <a:pt x="6832778" y="3006295"/>
                <a:pt x="6817194" y="3021886"/>
                <a:pt x="6797966" y="3021886"/>
              </a:cubicBezTo>
              <a:close/>
              <a:moveTo>
                <a:pt x="6882858" y="3021886"/>
              </a:moveTo>
              <a:cubicBezTo>
                <a:pt x="6863630" y="3021886"/>
                <a:pt x="6848033" y="3006295"/>
                <a:pt x="6848033" y="2987067"/>
              </a:cubicBezTo>
              <a:cubicBezTo>
                <a:pt x="6848033" y="2967839"/>
                <a:pt x="6863630" y="2952248"/>
                <a:pt x="6882858" y="2952248"/>
              </a:cubicBezTo>
              <a:cubicBezTo>
                <a:pt x="6902086" y="2952248"/>
                <a:pt x="6917670" y="2967839"/>
                <a:pt x="6917670" y="2987067"/>
              </a:cubicBezTo>
              <a:cubicBezTo>
                <a:pt x="6917670" y="3006295"/>
                <a:pt x="6902086" y="3021886"/>
                <a:pt x="6882858" y="3021886"/>
              </a:cubicBezTo>
              <a:close/>
              <a:moveTo>
                <a:pt x="6967750" y="3021886"/>
              </a:moveTo>
              <a:cubicBezTo>
                <a:pt x="6948523" y="3021886"/>
                <a:pt x="6932925" y="3006295"/>
                <a:pt x="6932925" y="2987067"/>
              </a:cubicBezTo>
              <a:cubicBezTo>
                <a:pt x="6932925" y="2967839"/>
                <a:pt x="6948523" y="2952248"/>
                <a:pt x="6967750" y="2952248"/>
              </a:cubicBezTo>
              <a:cubicBezTo>
                <a:pt x="6986978" y="2952248"/>
                <a:pt x="7002563" y="2967839"/>
                <a:pt x="7002563" y="2987067"/>
              </a:cubicBezTo>
              <a:cubicBezTo>
                <a:pt x="7002563" y="3006295"/>
                <a:pt x="6986978" y="3021886"/>
                <a:pt x="6967750" y="3021886"/>
              </a:cubicBezTo>
              <a:close/>
              <a:moveTo>
                <a:pt x="7052644" y="3021886"/>
              </a:moveTo>
              <a:cubicBezTo>
                <a:pt x="7033416" y="3021886"/>
                <a:pt x="7017818" y="3006295"/>
                <a:pt x="7017818" y="2987067"/>
              </a:cubicBezTo>
              <a:cubicBezTo>
                <a:pt x="7017818" y="2967839"/>
                <a:pt x="7033416" y="2952248"/>
                <a:pt x="7052644" y="2952248"/>
              </a:cubicBezTo>
              <a:cubicBezTo>
                <a:pt x="7071871" y="2952248"/>
                <a:pt x="7087456" y="2967839"/>
                <a:pt x="7087456" y="2987067"/>
              </a:cubicBezTo>
              <a:cubicBezTo>
                <a:pt x="7087456" y="3006295"/>
                <a:pt x="7071871" y="3021886"/>
                <a:pt x="7052644" y="3021886"/>
              </a:cubicBezTo>
              <a:close/>
              <a:moveTo>
                <a:pt x="7222428" y="3021886"/>
              </a:moveTo>
              <a:cubicBezTo>
                <a:pt x="7203200" y="3021886"/>
                <a:pt x="7187603" y="3006295"/>
                <a:pt x="7187603" y="2987067"/>
              </a:cubicBezTo>
              <a:cubicBezTo>
                <a:pt x="7187603" y="2967839"/>
                <a:pt x="7203200" y="2952248"/>
                <a:pt x="7222428" y="2952248"/>
              </a:cubicBezTo>
              <a:cubicBezTo>
                <a:pt x="7241656" y="2952248"/>
                <a:pt x="7257240" y="2967839"/>
                <a:pt x="7257240" y="2987067"/>
              </a:cubicBezTo>
              <a:cubicBezTo>
                <a:pt x="7257240" y="3006295"/>
                <a:pt x="7241656" y="3021886"/>
                <a:pt x="7222428" y="3021886"/>
              </a:cubicBezTo>
              <a:close/>
              <a:moveTo>
                <a:pt x="8241138" y="3021886"/>
              </a:moveTo>
              <a:cubicBezTo>
                <a:pt x="8221910" y="3021886"/>
                <a:pt x="8206313" y="3006295"/>
                <a:pt x="8206313" y="2987067"/>
              </a:cubicBezTo>
              <a:cubicBezTo>
                <a:pt x="8206313" y="2967839"/>
                <a:pt x="8221910" y="2952248"/>
                <a:pt x="8241138" y="2952248"/>
              </a:cubicBezTo>
              <a:cubicBezTo>
                <a:pt x="8260366" y="2952248"/>
                <a:pt x="8275950" y="2967839"/>
                <a:pt x="8275950" y="2987067"/>
              </a:cubicBezTo>
              <a:cubicBezTo>
                <a:pt x="8275950" y="3006295"/>
                <a:pt x="8260366" y="3021886"/>
                <a:pt x="8241138" y="3021886"/>
              </a:cubicBezTo>
              <a:close/>
              <a:moveTo>
                <a:pt x="8326030" y="3021886"/>
              </a:moveTo>
              <a:cubicBezTo>
                <a:pt x="8306803" y="3021886"/>
                <a:pt x="8291205" y="3006295"/>
                <a:pt x="8291205" y="2987067"/>
              </a:cubicBezTo>
              <a:cubicBezTo>
                <a:pt x="8291205" y="2967839"/>
                <a:pt x="8306803" y="2952248"/>
                <a:pt x="8326030" y="2952248"/>
              </a:cubicBezTo>
              <a:cubicBezTo>
                <a:pt x="8345258" y="2952248"/>
                <a:pt x="8360843" y="2967839"/>
                <a:pt x="8360843" y="2987067"/>
              </a:cubicBezTo>
              <a:cubicBezTo>
                <a:pt x="8360843" y="3006295"/>
                <a:pt x="8345258" y="3021886"/>
                <a:pt x="8326030" y="3021886"/>
              </a:cubicBezTo>
              <a:close/>
              <a:moveTo>
                <a:pt x="9090063" y="3021886"/>
              </a:moveTo>
              <a:cubicBezTo>
                <a:pt x="9070835" y="3021886"/>
                <a:pt x="9055237" y="3006295"/>
                <a:pt x="9055237" y="2987067"/>
              </a:cubicBezTo>
              <a:cubicBezTo>
                <a:pt x="9055237" y="2967839"/>
                <a:pt x="9070835" y="2952248"/>
                <a:pt x="9090063" y="2952248"/>
              </a:cubicBezTo>
              <a:cubicBezTo>
                <a:pt x="9109290" y="2952248"/>
                <a:pt x="9124875" y="2967839"/>
                <a:pt x="9124875" y="2987067"/>
              </a:cubicBezTo>
              <a:cubicBezTo>
                <a:pt x="9124875" y="3006295"/>
                <a:pt x="9109290" y="3021886"/>
                <a:pt x="9090063" y="3021886"/>
              </a:cubicBezTo>
              <a:close/>
              <a:moveTo>
                <a:pt x="9174956" y="3021886"/>
              </a:moveTo>
              <a:cubicBezTo>
                <a:pt x="9155728" y="3021886"/>
                <a:pt x="9140130" y="3006295"/>
                <a:pt x="9140130" y="2987067"/>
              </a:cubicBezTo>
              <a:cubicBezTo>
                <a:pt x="9140130" y="2967839"/>
                <a:pt x="9155728" y="2952248"/>
                <a:pt x="9174956" y="2952248"/>
              </a:cubicBezTo>
              <a:cubicBezTo>
                <a:pt x="9194184" y="2952248"/>
                <a:pt x="9209768" y="2967839"/>
                <a:pt x="9209768" y="2987067"/>
              </a:cubicBezTo>
              <a:cubicBezTo>
                <a:pt x="9209768" y="3006295"/>
                <a:pt x="9194184" y="3021886"/>
                <a:pt x="9174956" y="3021886"/>
              </a:cubicBezTo>
              <a:close/>
              <a:moveTo>
                <a:pt x="9259848" y="3021886"/>
              </a:moveTo>
              <a:cubicBezTo>
                <a:pt x="9240620" y="3021886"/>
                <a:pt x="9225023" y="3006295"/>
                <a:pt x="9225023" y="2987067"/>
              </a:cubicBezTo>
              <a:cubicBezTo>
                <a:pt x="9225023" y="2967839"/>
                <a:pt x="9240620" y="2952248"/>
                <a:pt x="9259848" y="2952248"/>
              </a:cubicBezTo>
              <a:cubicBezTo>
                <a:pt x="9279076" y="2952248"/>
                <a:pt x="9294660" y="2967839"/>
                <a:pt x="9294660" y="2987067"/>
              </a:cubicBezTo>
              <a:cubicBezTo>
                <a:pt x="9294660" y="3006295"/>
                <a:pt x="9279076" y="3021886"/>
                <a:pt x="9259848" y="3021886"/>
              </a:cubicBezTo>
              <a:close/>
              <a:moveTo>
                <a:pt x="9684310" y="3021886"/>
              </a:moveTo>
              <a:cubicBezTo>
                <a:pt x="9665083" y="3021886"/>
                <a:pt x="9649485" y="3006295"/>
                <a:pt x="9649485" y="2987067"/>
              </a:cubicBezTo>
              <a:cubicBezTo>
                <a:pt x="9649485" y="2967839"/>
                <a:pt x="9665083" y="2952248"/>
                <a:pt x="9684310" y="2952248"/>
              </a:cubicBezTo>
              <a:cubicBezTo>
                <a:pt x="9703538" y="2952248"/>
                <a:pt x="9719123" y="2967839"/>
                <a:pt x="9719123" y="2987067"/>
              </a:cubicBezTo>
              <a:cubicBezTo>
                <a:pt x="9719123" y="3006295"/>
                <a:pt x="9703538" y="3021886"/>
                <a:pt x="9684310" y="3021886"/>
              </a:cubicBezTo>
              <a:close/>
              <a:moveTo>
                <a:pt x="3232478" y="2937026"/>
              </a:moveTo>
              <a:cubicBezTo>
                <a:pt x="3213250" y="2937026"/>
                <a:pt x="3197659" y="2921435"/>
                <a:pt x="3197659" y="2902207"/>
              </a:cubicBezTo>
              <a:cubicBezTo>
                <a:pt x="3197659" y="2882980"/>
                <a:pt x="3213250" y="2867389"/>
                <a:pt x="3232478" y="2867389"/>
              </a:cubicBezTo>
              <a:cubicBezTo>
                <a:pt x="3251706" y="2867389"/>
                <a:pt x="3267297" y="2882980"/>
                <a:pt x="3267297" y="2902207"/>
              </a:cubicBezTo>
              <a:cubicBezTo>
                <a:pt x="3267297" y="2921435"/>
                <a:pt x="3251706" y="2937026"/>
                <a:pt x="3232478" y="2937026"/>
              </a:cubicBezTo>
              <a:close/>
              <a:moveTo>
                <a:pt x="3572048" y="2937026"/>
              </a:moveTo>
              <a:cubicBezTo>
                <a:pt x="3552820" y="2937026"/>
                <a:pt x="3537229" y="2921435"/>
                <a:pt x="3537229" y="2902207"/>
              </a:cubicBezTo>
              <a:cubicBezTo>
                <a:pt x="3537229" y="2882980"/>
                <a:pt x="3552820" y="2867389"/>
                <a:pt x="3572048" y="2867389"/>
              </a:cubicBezTo>
              <a:cubicBezTo>
                <a:pt x="3591276" y="2867389"/>
                <a:pt x="3606867" y="2882980"/>
                <a:pt x="3606867" y="2902207"/>
              </a:cubicBezTo>
              <a:cubicBezTo>
                <a:pt x="3606867" y="2921435"/>
                <a:pt x="3591276" y="2937026"/>
                <a:pt x="3572048" y="2937026"/>
              </a:cubicBezTo>
              <a:close/>
              <a:moveTo>
                <a:pt x="5439686" y="2937026"/>
              </a:moveTo>
              <a:cubicBezTo>
                <a:pt x="5420458" y="2937026"/>
                <a:pt x="5404860" y="2921435"/>
                <a:pt x="5404860" y="2902207"/>
              </a:cubicBezTo>
              <a:cubicBezTo>
                <a:pt x="5404860" y="2882980"/>
                <a:pt x="5420458" y="2867389"/>
                <a:pt x="5439686" y="2867389"/>
              </a:cubicBezTo>
              <a:cubicBezTo>
                <a:pt x="5458914" y="2867389"/>
                <a:pt x="5474498" y="2882980"/>
                <a:pt x="5474498" y="2902207"/>
              </a:cubicBezTo>
              <a:cubicBezTo>
                <a:pt x="5474498" y="2921435"/>
                <a:pt x="5458914" y="2937026"/>
                <a:pt x="5439686" y="2937026"/>
              </a:cubicBezTo>
              <a:close/>
              <a:moveTo>
                <a:pt x="5524578" y="2937026"/>
              </a:moveTo>
              <a:cubicBezTo>
                <a:pt x="5505350" y="2937026"/>
                <a:pt x="5489753" y="2921435"/>
                <a:pt x="5489753" y="2902207"/>
              </a:cubicBezTo>
              <a:cubicBezTo>
                <a:pt x="5489753" y="2882980"/>
                <a:pt x="5505350" y="2867389"/>
                <a:pt x="5524578" y="2867389"/>
              </a:cubicBezTo>
              <a:cubicBezTo>
                <a:pt x="5543806" y="2867389"/>
                <a:pt x="5559390" y="2882980"/>
                <a:pt x="5559390" y="2902207"/>
              </a:cubicBezTo>
              <a:cubicBezTo>
                <a:pt x="5559390" y="2921435"/>
                <a:pt x="5543806" y="2937026"/>
                <a:pt x="5524578" y="2937026"/>
              </a:cubicBezTo>
              <a:close/>
              <a:moveTo>
                <a:pt x="5609471" y="2937026"/>
              </a:moveTo>
              <a:cubicBezTo>
                <a:pt x="5590244" y="2937026"/>
                <a:pt x="5574646" y="2921435"/>
                <a:pt x="5574646" y="2902207"/>
              </a:cubicBezTo>
              <a:cubicBezTo>
                <a:pt x="5574646" y="2882980"/>
                <a:pt x="5590244" y="2867389"/>
                <a:pt x="5609471" y="2867389"/>
              </a:cubicBezTo>
              <a:cubicBezTo>
                <a:pt x="5628699" y="2867389"/>
                <a:pt x="5644284" y="2882980"/>
                <a:pt x="5644284" y="2902207"/>
              </a:cubicBezTo>
              <a:cubicBezTo>
                <a:pt x="5644284" y="2921435"/>
                <a:pt x="5628699" y="2937026"/>
                <a:pt x="5609471" y="2937026"/>
              </a:cubicBezTo>
              <a:close/>
              <a:moveTo>
                <a:pt x="5694364" y="2937026"/>
              </a:moveTo>
              <a:cubicBezTo>
                <a:pt x="5675136" y="2937026"/>
                <a:pt x="5659538" y="2921435"/>
                <a:pt x="5659538" y="2902207"/>
              </a:cubicBezTo>
              <a:cubicBezTo>
                <a:pt x="5659538" y="2882980"/>
                <a:pt x="5675136" y="2867389"/>
                <a:pt x="5694364" y="2867389"/>
              </a:cubicBezTo>
              <a:cubicBezTo>
                <a:pt x="5713591" y="2867389"/>
                <a:pt x="5729176" y="2882980"/>
                <a:pt x="5729176" y="2902207"/>
              </a:cubicBezTo>
              <a:cubicBezTo>
                <a:pt x="5729176" y="2921435"/>
                <a:pt x="5713591" y="2937026"/>
                <a:pt x="5694364" y="2937026"/>
              </a:cubicBezTo>
              <a:close/>
              <a:moveTo>
                <a:pt x="5779256" y="2937026"/>
              </a:moveTo>
              <a:cubicBezTo>
                <a:pt x="5760028" y="2937026"/>
                <a:pt x="5744430" y="2921435"/>
                <a:pt x="5744430" y="2902207"/>
              </a:cubicBezTo>
              <a:cubicBezTo>
                <a:pt x="5744430" y="2882980"/>
                <a:pt x="5760028" y="2867389"/>
                <a:pt x="5779256" y="2867389"/>
              </a:cubicBezTo>
              <a:cubicBezTo>
                <a:pt x="5798484" y="2867389"/>
                <a:pt x="5814068" y="2882980"/>
                <a:pt x="5814068" y="2902207"/>
              </a:cubicBezTo>
              <a:cubicBezTo>
                <a:pt x="5814068" y="2921435"/>
                <a:pt x="5798484" y="2937026"/>
                <a:pt x="5779256" y="2937026"/>
              </a:cubicBezTo>
              <a:close/>
              <a:moveTo>
                <a:pt x="5864148" y="2937026"/>
              </a:moveTo>
              <a:cubicBezTo>
                <a:pt x="5844920" y="2937026"/>
                <a:pt x="5829323" y="2921435"/>
                <a:pt x="5829323" y="2902207"/>
              </a:cubicBezTo>
              <a:cubicBezTo>
                <a:pt x="5829323" y="2882980"/>
                <a:pt x="5844920" y="2867389"/>
                <a:pt x="5864148" y="2867389"/>
              </a:cubicBezTo>
              <a:cubicBezTo>
                <a:pt x="5883376" y="2867389"/>
                <a:pt x="5898960" y="2882980"/>
                <a:pt x="5898960" y="2902207"/>
              </a:cubicBezTo>
              <a:cubicBezTo>
                <a:pt x="5898960" y="2921435"/>
                <a:pt x="5883376" y="2937026"/>
                <a:pt x="5864148" y="2937026"/>
              </a:cubicBezTo>
              <a:close/>
              <a:moveTo>
                <a:pt x="5949041" y="2937026"/>
              </a:moveTo>
              <a:cubicBezTo>
                <a:pt x="5929814" y="2937026"/>
                <a:pt x="5914216" y="2921435"/>
                <a:pt x="5914216" y="2902207"/>
              </a:cubicBezTo>
              <a:cubicBezTo>
                <a:pt x="5914216" y="2882980"/>
                <a:pt x="5929814" y="2867389"/>
                <a:pt x="5949041" y="2867389"/>
              </a:cubicBezTo>
              <a:cubicBezTo>
                <a:pt x="5968269" y="2867389"/>
                <a:pt x="5983854" y="2882980"/>
                <a:pt x="5983854" y="2902207"/>
              </a:cubicBezTo>
              <a:cubicBezTo>
                <a:pt x="5983854" y="2921435"/>
                <a:pt x="5968269" y="2937026"/>
                <a:pt x="5949041" y="2937026"/>
              </a:cubicBezTo>
              <a:close/>
              <a:moveTo>
                <a:pt x="6033934" y="2937026"/>
              </a:moveTo>
              <a:cubicBezTo>
                <a:pt x="6014706" y="2937026"/>
                <a:pt x="5999108" y="2921435"/>
                <a:pt x="5999108" y="2902207"/>
              </a:cubicBezTo>
              <a:cubicBezTo>
                <a:pt x="5999108" y="2882980"/>
                <a:pt x="6014706" y="2867389"/>
                <a:pt x="6033934" y="2867389"/>
              </a:cubicBezTo>
              <a:cubicBezTo>
                <a:pt x="6053161" y="2867389"/>
                <a:pt x="6068746" y="2882980"/>
                <a:pt x="6068746" y="2902207"/>
              </a:cubicBezTo>
              <a:cubicBezTo>
                <a:pt x="6068746" y="2921435"/>
                <a:pt x="6053161" y="2937026"/>
                <a:pt x="6033934" y="2937026"/>
              </a:cubicBezTo>
              <a:close/>
              <a:moveTo>
                <a:pt x="6118826" y="2937026"/>
              </a:moveTo>
              <a:cubicBezTo>
                <a:pt x="6099598" y="2937026"/>
                <a:pt x="6084000" y="2921435"/>
                <a:pt x="6084000" y="2902207"/>
              </a:cubicBezTo>
              <a:cubicBezTo>
                <a:pt x="6084000" y="2882980"/>
                <a:pt x="6099598" y="2867389"/>
                <a:pt x="6118826" y="2867389"/>
              </a:cubicBezTo>
              <a:cubicBezTo>
                <a:pt x="6138054" y="2867389"/>
                <a:pt x="6153638" y="2882980"/>
                <a:pt x="6153638" y="2902207"/>
              </a:cubicBezTo>
              <a:cubicBezTo>
                <a:pt x="6153638" y="2921435"/>
                <a:pt x="6138054" y="2937026"/>
                <a:pt x="6118826" y="2937026"/>
              </a:cubicBezTo>
              <a:close/>
              <a:moveTo>
                <a:pt x="6203718" y="2937026"/>
              </a:moveTo>
              <a:cubicBezTo>
                <a:pt x="6184490" y="2937026"/>
                <a:pt x="6168893" y="2921435"/>
                <a:pt x="6168893" y="2902207"/>
              </a:cubicBezTo>
              <a:cubicBezTo>
                <a:pt x="6168893" y="2882980"/>
                <a:pt x="6184490" y="2867389"/>
                <a:pt x="6203718" y="2867389"/>
              </a:cubicBezTo>
              <a:cubicBezTo>
                <a:pt x="6222946" y="2867389"/>
                <a:pt x="6238530" y="2882980"/>
                <a:pt x="6238530" y="2902207"/>
              </a:cubicBezTo>
              <a:cubicBezTo>
                <a:pt x="6238530" y="2921435"/>
                <a:pt x="6222946" y="2937026"/>
                <a:pt x="6203718" y="2937026"/>
              </a:cubicBezTo>
              <a:close/>
              <a:moveTo>
                <a:pt x="6288611" y="2937026"/>
              </a:moveTo>
              <a:cubicBezTo>
                <a:pt x="6269384" y="2937026"/>
                <a:pt x="6253786" y="2921435"/>
                <a:pt x="6253786" y="2902207"/>
              </a:cubicBezTo>
              <a:cubicBezTo>
                <a:pt x="6253786" y="2882980"/>
                <a:pt x="6269384" y="2867389"/>
                <a:pt x="6288611" y="2867389"/>
              </a:cubicBezTo>
              <a:cubicBezTo>
                <a:pt x="6307839" y="2867389"/>
                <a:pt x="6323424" y="2882980"/>
                <a:pt x="6323424" y="2902207"/>
              </a:cubicBezTo>
              <a:cubicBezTo>
                <a:pt x="6323424" y="2921435"/>
                <a:pt x="6307839" y="2937026"/>
                <a:pt x="6288611" y="2937026"/>
              </a:cubicBezTo>
              <a:close/>
              <a:moveTo>
                <a:pt x="6373504" y="2937026"/>
              </a:moveTo>
              <a:cubicBezTo>
                <a:pt x="6354276" y="2937026"/>
                <a:pt x="6338678" y="2921435"/>
                <a:pt x="6338678" y="2902207"/>
              </a:cubicBezTo>
              <a:cubicBezTo>
                <a:pt x="6338678" y="2882980"/>
                <a:pt x="6354276" y="2867389"/>
                <a:pt x="6373504" y="2867389"/>
              </a:cubicBezTo>
              <a:cubicBezTo>
                <a:pt x="6392731" y="2867389"/>
                <a:pt x="6408316" y="2882980"/>
                <a:pt x="6408316" y="2902207"/>
              </a:cubicBezTo>
              <a:cubicBezTo>
                <a:pt x="6408316" y="2921435"/>
                <a:pt x="6392731" y="2937026"/>
                <a:pt x="6373504" y="2937026"/>
              </a:cubicBezTo>
              <a:close/>
              <a:moveTo>
                <a:pt x="6458396" y="2937026"/>
              </a:moveTo>
              <a:cubicBezTo>
                <a:pt x="6439168" y="2937026"/>
                <a:pt x="6423570" y="2921435"/>
                <a:pt x="6423570" y="2902207"/>
              </a:cubicBezTo>
              <a:cubicBezTo>
                <a:pt x="6423570" y="2882980"/>
                <a:pt x="6439168" y="2867389"/>
                <a:pt x="6458396" y="2867389"/>
              </a:cubicBezTo>
              <a:cubicBezTo>
                <a:pt x="6477624" y="2867389"/>
                <a:pt x="6493208" y="2882980"/>
                <a:pt x="6493208" y="2902207"/>
              </a:cubicBezTo>
              <a:cubicBezTo>
                <a:pt x="6493208" y="2921435"/>
                <a:pt x="6477624" y="2937026"/>
                <a:pt x="6458396" y="2937026"/>
              </a:cubicBezTo>
              <a:close/>
              <a:moveTo>
                <a:pt x="6543288" y="2937026"/>
              </a:moveTo>
              <a:cubicBezTo>
                <a:pt x="6524060" y="2937026"/>
                <a:pt x="6508463" y="2921435"/>
                <a:pt x="6508463" y="2902207"/>
              </a:cubicBezTo>
              <a:cubicBezTo>
                <a:pt x="6508463" y="2882980"/>
                <a:pt x="6524060" y="2867389"/>
                <a:pt x="6543288" y="2867389"/>
              </a:cubicBezTo>
              <a:cubicBezTo>
                <a:pt x="6562516" y="2867389"/>
                <a:pt x="6578100" y="2882980"/>
                <a:pt x="6578100" y="2902207"/>
              </a:cubicBezTo>
              <a:cubicBezTo>
                <a:pt x="6578100" y="2921435"/>
                <a:pt x="6562516" y="2937026"/>
                <a:pt x="6543288" y="2937026"/>
              </a:cubicBezTo>
              <a:close/>
              <a:moveTo>
                <a:pt x="6628181" y="2937026"/>
              </a:moveTo>
              <a:cubicBezTo>
                <a:pt x="6608954" y="2937026"/>
                <a:pt x="6593356" y="2921435"/>
                <a:pt x="6593356" y="2902207"/>
              </a:cubicBezTo>
              <a:cubicBezTo>
                <a:pt x="6593356" y="2882980"/>
                <a:pt x="6608954" y="2867389"/>
                <a:pt x="6628181" y="2867389"/>
              </a:cubicBezTo>
              <a:cubicBezTo>
                <a:pt x="6647409" y="2867389"/>
                <a:pt x="6662994" y="2882980"/>
                <a:pt x="6662994" y="2902207"/>
              </a:cubicBezTo>
              <a:cubicBezTo>
                <a:pt x="6662994" y="2921435"/>
                <a:pt x="6647409" y="2937026"/>
                <a:pt x="6628181" y="2937026"/>
              </a:cubicBezTo>
              <a:close/>
              <a:moveTo>
                <a:pt x="6713074" y="2937026"/>
              </a:moveTo>
              <a:cubicBezTo>
                <a:pt x="6693846" y="2937026"/>
                <a:pt x="6678248" y="2921435"/>
                <a:pt x="6678248" y="2902207"/>
              </a:cubicBezTo>
              <a:cubicBezTo>
                <a:pt x="6678248" y="2882980"/>
                <a:pt x="6693846" y="2867389"/>
                <a:pt x="6713074" y="2867389"/>
              </a:cubicBezTo>
              <a:cubicBezTo>
                <a:pt x="6732301" y="2867389"/>
                <a:pt x="6747886" y="2882980"/>
                <a:pt x="6747886" y="2902207"/>
              </a:cubicBezTo>
              <a:cubicBezTo>
                <a:pt x="6747886" y="2921435"/>
                <a:pt x="6732301" y="2937026"/>
                <a:pt x="6713074" y="2937026"/>
              </a:cubicBezTo>
              <a:close/>
              <a:moveTo>
                <a:pt x="6797966" y="2937026"/>
              </a:moveTo>
              <a:cubicBezTo>
                <a:pt x="6778738" y="2937026"/>
                <a:pt x="6763140" y="2921435"/>
                <a:pt x="6763140" y="2902207"/>
              </a:cubicBezTo>
              <a:cubicBezTo>
                <a:pt x="6763140" y="2882980"/>
                <a:pt x="6778738" y="2867389"/>
                <a:pt x="6797966" y="2867389"/>
              </a:cubicBezTo>
              <a:cubicBezTo>
                <a:pt x="6817194" y="2867389"/>
                <a:pt x="6832778" y="2882980"/>
                <a:pt x="6832778" y="2902207"/>
              </a:cubicBezTo>
              <a:cubicBezTo>
                <a:pt x="6832778" y="2921435"/>
                <a:pt x="6817194" y="2937026"/>
                <a:pt x="6797966" y="2937026"/>
              </a:cubicBezTo>
              <a:close/>
              <a:moveTo>
                <a:pt x="6882858" y="2937026"/>
              </a:moveTo>
              <a:cubicBezTo>
                <a:pt x="6863630" y="2937026"/>
                <a:pt x="6848033" y="2921435"/>
                <a:pt x="6848033" y="2902207"/>
              </a:cubicBezTo>
              <a:cubicBezTo>
                <a:pt x="6848033" y="2882980"/>
                <a:pt x="6863630" y="2867389"/>
                <a:pt x="6882858" y="2867389"/>
              </a:cubicBezTo>
              <a:cubicBezTo>
                <a:pt x="6902086" y="2867389"/>
                <a:pt x="6917670" y="2882980"/>
                <a:pt x="6917670" y="2902207"/>
              </a:cubicBezTo>
              <a:cubicBezTo>
                <a:pt x="6917670" y="2921435"/>
                <a:pt x="6902086" y="2937026"/>
                <a:pt x="6882858" y="2937026"/>
              </a:cubicBezTo>
              <a:close/>
              <a:moveTo>
                <a:pt x="6967750" y="2937026"/>
              </a:moveTo>
              <a:cubicBezTo>
                <a:pt x="6948523" y="2937026"/>
                <a:pt x="6932925" y="2921435"/>
                <a:pt x="6932925" y="2902207"/>
              </a:cubicBezTo>
              <a:cubicBezTo>
                <a:pt x="6932925" y="2882980"/>
                <a:pt x="6948523" y="2867389"/>
                <a:pt x="6967750" y="2867389"/>
              </a:cubicBezTo>
              <a:cubicBezTo>
                <a:pt x="6986978" y="2867389"/>
                <a:pt x="7002563" y="2882980"/>
                <a:pt x="7002563" y="2902207"/>
              </a:cubicBezTo>
              <a:cubicBezTo>
                <a:pt x="7002563" y="2921435"/>
                <a:pt x="6986978" y="2937026"/>
                <a:pt x="6967750" y="2937026"/>
              </a:cubicBezTo>
              <a:close/>
              <a:moveTo>
                <a:pt x="7052644" y="2937026"/>
              </a:moveTo>
              <a:cubicBezTo>
                <a:pt x="7033416" y="2937026"/>
                <a:pt x="7017818" y="2921435"/>
                <a:pt x="7017818" y="2902207"/>
              </a:cubicBezTo>
              <a:cubicBezTo>
                <a:pt x="7017818" y="2882980"/>
                <a:pt x="7033416" y="2867389"/>
                <a:pt x="7052644" y="2867389"/>
              </a:cubicBezTo>
              <a:cubicBezTo>
                <a:pt x="7071871" y="2867389"/>
                <a:pt x="7087456" y="2882980"/>
                <a:pt x="7087456" y="2902207"/>
              </a:cubicBezTo>
              <a:cubicBezTo>
                <a:pt x="7087456" y="2921435"/>
                <a:pt x="7071871" y="2937026"/>
                <a:pt x="7052644" y="2937026"/>
              </a:cubicBezTo>
              <a:close/>
              <a:moveTo>
                <a:pt x="7137536" y="2937026"/>
              </a:moveTo>
              <a:cubicBezTo>
                <a:pt x="7118308" y="2937026"/>
                <a:pt x="7102710" y="2921435"/>
                <a:pt x="7102710" y="2902207"/>
              </a:cubicBezTo>
              <a:cubicBezTo>
                <a:pt x="7102710" y="2882980"/>
                <a:pt x="7118308" y="2867389"/>
                <a:pt x="7137536" y="2867389"/>
              </a:cubicBezTo>
              <a:cubicBezTo>
                <a:pt x="7156764" y="2867389"/>
                <a:pt x="7172348" y="2882980"/>
                <a:pt x="7172348" y="2902207"/>
              </a:cubicBezTo>
              <a:cubicBezTo>
                <a:pt x="7172348" y="2921435"/>
                <a:pt x="7156764" y="2937026"/>
                <a:pt x="7137536" y="2937026"/>
              </a:cubicBezTo>
              <a:close/>
              <a:moveTo>
                <a:pt x="7477106" y="2937026"/>
              </a:moveTo>
              <a:cubicBezTo>
                <a:pt x="7457878" y="2937026"/>
                <a:pt x="7442280" y="2921435"/>
                <a:pt x="7442280" y="2902207"/>
              </a:cubicBezTo>
              <a:cubicBezTo>
                <a:pt x="7442280" y="2882980"/>
                <a:pt x="7457878" y="2867389"/>
                <a:pt x="7477106" y="2867389"/>
              </a:cubicBezTo>
              <a:cubicBezTo>
                <a:pt x="7496334" y="2867389"/>
                <a:pt x="7511918" y="2882980"/>
                <a:pt x="7511918" y="2902207"/>
              </a:cubicBezTo>
              <a:cubicBezTo>
                <a:pt x="7511918" y="2921435"/>
                <a:pt x="7496334" y="2937026"/>
                <a:pt x="7477106" y="2937026"/>
              </a:cubicBezTo>
              <a:close/>
              <a:moveTo>
                <a:pt x="8326030" y="2937026"/>
              </a:moveTo>
              <a:cubicBezTo>
                <a:pt x="8306803" y="2937026"/>
                <a:pt x="8291205" y="2921435"/>
                <a:pt x="8291205" y="2902207"/>
              </a:cubicBezTo>
              <a:cubicBezTo>
                <a:pt x="8291205" y="2882980"/>
                <a:pt x="8306803" y="2867389"/>
                <a:pt x="8326030" y="2867389"/>
              </a:cubicBezTo>
              <a:cubicBezTo>
                <a:pt x="8345258" y="2867389"/>
                <a:pt x="8360843" y="2882980"/>
                <a:pt x="8360843" y="2902207"/>
              </a:cubicBezTo>
              <a:cubicBezTo>
                <a:pt x="8360843" y="2921435"/>
                <a:pt x="8345258" y="2937026"/>
                <a:pt x="8326030" y="2937026"/>
              </a:cubicBezTo>
              <a:close/>
              <a:moveTo>
                <a:pt x="9005170" y="2937026"/>
              </a:moveTo>
              <a:cubicBezTo>
                <a:pt x="8985943" y="2937026"/>
                <a:pt x="8970345" y="2921435"/>
                <a:pt x="8970345" y="2902207"/>
              </a:cubicBezTo>
              <a:cubicBezTo>
                <a:pt x="8970345" y="2882980"/>
                <a:pt x="8985943" y="2867389"/>
                <a:pt x="9005170" y="2867389"/>
              </a:cubicBezTo>
              <a:cubicBezTo>
                <a:pt x="9024398" y="2867389"/>
                <a:pt x="9039983" y="2882980"/>
                <a:pt x="9039983" y="2902207"/>
              </a:cubicBezTo>
              <a:cubicBezTo>
                <a:pt x="9039983" y="2921435"/>
                <a:pt x="9024398" y="2937026"/>
                <a:pt x="9005170" y="2937026"/>
              </a:cubicBezTo>
              <a:close/>
              <a:moveTo>
                <a:pt x="9174956" y="2937026"/>
              </a:moveTo>
              <a:cubicBezTo>
                <a:pt x="9155728" y="2937026"/>
                <a:pt x="9140130" y="2921435"/>
                <a:pt x="9140130" y="2902207"/>
              </a:cubicBezTo>
              <a:cubicBezTo>
                <a:pt x="9140130" y="2882980"/>
                <a:pt x="9155728" y="2867389"/>
                <a:pt x="9174956" y="2867389"/>
              </a:cubicBezTo>
              <a:cubicBezTo>
                <a:pt x="9194184" y="2867389"/>
                <a:pt x="9209768" y="2882980"/>
                <a:pt x="9209768" y="2902207"/>
              </a:cubicBezTo>
              <a:cubicBezTo>
                <a:pt x="9209768" y="2921435"/>
                <a:pt x="9194184" y="2937026"/>
                <a:pt x="9174956" y="2937026"/>
              </a:cubicBezTo>
              <a:close/>
              <a:moveTo>
                <a:pt x="9259848" y="2937026"/>
              </a:moveTo>
              <a:cubicBezTo>
                <a:pt x="9240620" y="2937026"/>
                <a:pt x="9225023" y="2921435"/>
                <a:pt x="9225023" y="2902207"/>
              </a:cubicBezTo>
              <a:cubicBezTo>
                <a:pt x="9225023" y="2882980"/>
                <a:pt x="9240620" y="2867389"/>
                <a:pt x="9259848" y="2867389"/>
              </a:cubicBezTo>
              <a:cubicBezTo>
                <a:pt x="9279076" y="2867389"/>
                <a:pt x="9294660" y="2882980"/>
                <a:pt x="9294660" y="2902207"/>
              </a:cubicBezTo>
              <a:cubicBezTo>
                <a:pt x="9294660" y="2921435"/>
                <a:pt x="9279076" y="2937026"/>
                <a:pt x="9259848" y="2937026"/>
              </a:cubicBezTo>
              <a:close/>
              <a:moveTo>
                <a:pt x="9769203" y="2937026"/>
              </a:moveTo>
              <a:cubicBezTo>
                <a:pt x="9749975" y="2937026"/>
                <a:pt x="9734377" y="2921435"/>
                <a:pt x="9734377" y="2902207"/>
              </a:cubicBezTo>
              <a:cubicBezTo>
                <a:pt x="9734377" y="2882980"/>
                <a:pt x="9749975" y="2867389"/>
                <a:pt x="9769203" y="2867389"/>
              </a:cubicBezTo>
              <a:cubicBezTo>
                <a:pt x="9788430" y="2867389"/>
                <a:pt x="9804015" y="2882980"/>
                <a:pt x="9804015" y="2902207"/>
              </a:cubicBezTo>
              <a:cubicBezTo>
                <a:pt x="9804015" y="2921435"/>
                <a:pt x="9788430" y="2937026"/>
                <a:pt x="9769203" y="2937026"/>
              </a:cubicBezTo>
              <a:close/>
              <a:moveTo>
                <a:pt x="3317371" y="2852166"/>
              </a:moveTo>
              <a:cubicBezTo>
                <a:pt x="3298143" y="2852166"/>
                <a:pt x="3282552" y="2836575"/>
                <a:pt x="3282552" y="2817348"/>
              </a:cubicBezTo>
              <a:cubicBezTo>
                <a:pt x="3282552" y="2798120"/>
                <a:pt x="3298143" y="2782529"/>
                <a:pt x="3317371" y="2782529"/>
              </a:cubicBezTo>
              <a:cubicBezTo>
                <a:pt x="3336599" y="2782529"/>
                <a:pt x="3352190" y="2798120"/>
                <a:pt x="3352190" y="2817348"/>
              </a:cubicBezTo>
              <a:cubicBezTo>
                <a:pt x="3352190" y="2836575"/>
                <a:pt x="3336599" y="2852166"/>
                <a:pt x="3317371" y="2852166"/>
              </a:cubicBezTo>
              <a:close/>
              <a:moveTo>
                <a:pt x="3402263" y="2852166"/>
              </a:moveTo>
              <a:cubicBezTo>
                <a:pt x="3383036" y="2852166"/>
                <a:pt x="3367444" y="2836575"/>
                <a:pt x="3367444" y="2817348"/>
              </a:cubicBezTo>
              <a:cubicBezTo>
                <a:pt x="3367444" y="2798120"/>
                <a:pt x="3383036" y="2782529"/>
                <a:pt x="3402263" y="2782529"/>
              </a:cubicBezTo>
              <a:cubicBezTo>
                <a:pt x="3421491" y="2782529"/>
                <a:pt x="3437082" y="2798120"/>
                <a:pt x="3437082" y="2817348"/>
              </a:cubicBezTo>
              <a:cubicBezTo>
                <a:pt x="3437082" y="2836575"/>
                <a:pt x="3421491" y="2852166"/>
                <a:pt x="3402263" y="2852166"/>
              </a:cubicBezTo>
              <a:close/>
              <a:moveTo>
                <a:pt x="3487156" y="2852166"/>
              </a:moveTo>
              <a:cubicBezTo>
                <a:pt x="3467928" y="2852166"/>
                <a:pt x="3452337" y="2836575"/>
                <a:pt x="3452337" y="2817348"/>
              </a:cubicBezTo>
              <a:cubicBezTo>
                <a:pt x="3452337" y="2798120"/>
                <a:pt x="3467928" y="2782529"/>
                <a:pt x="3487156" y="2782529"/>
              </a:cubicBezTo>
              <a:cubicBezTo>
                <a:pt x="3506383" y="2782529"/>
                <a:pt x="3521974" y="2798120"/>
                <a:pt x="3521974" y="2817348"/>
              </a:cubicBezTo>
              <a:cubicBezTo>
                <a:pt x="3521974" y="2836575"/>
                <a:pt x="3506383" y="2852166"/>
                <a:pt x="3487156" y="2852166"/>
              </a:cubicBezTo>
              <a:close/>
              <a:moveTo>
                <a:pt x="3572048" y="2852166"/>
              </a:moveTo>
              <a:cubicBezTo>
                <a:pt x="3552820" y="2852166"/>
                <a:pt x="3537229" y="2836575"/>
                <a:pt x="3537229" y="2817348"/>
              </a:cubicBezTo>
              <a:cubicBezTo>
                <a:pt x="3537229" y="2798120"/>
                <a:pt x="3552820" y="2782529"/>
                <a:pt x="3572048" y="2782529"/>
              </a:cubicBezTo>
              <a:cubicBezTo>
                <a:pt x="3591276" y="2782529"/>
                <a:pt x="3606867" y="2798120"/>
                <a:pt x="3606867" y="2817348"/>
              </a:cubicBezTo>
              <a:cubicBezTo>
                <a:pt x="3606867" y="2836575"/>
                <a:pt x="3591276" y="2852166"/>
                <a:pt x="3572048" y="2852166"/>
              </a:cubicBezTo>
              <a:close/>
              <a:moveTo>
                <a:pt x="3656941" y="2852166"/>
              </a:moveTo>
              <a:cubicBezTo>
                <a:pt x="3637713" y="2852166"/>
                <a:pt x="3622122" y="2836575"/>
                <a:pt x="3622122" y="2817348"/>
              </a:cubicBezTo>
              <a:cubicBezTo>
                <a:pt x="3622122" y="2798120"/>
                <a:pt x="3637713" y="2782529"/>
                <a:pt x="3656941" y="2782529"/>
              </a:cubicBezTo>
              <a:cubicBezTo>
                <a:pt x="3676169" y="2782529"/>
                <a:pt x="3691760" y="2798120"/>
                <a:pt x="3691760" y="2817348"/>
              </a:cubicBezTo>
              <a:cubicBezTo>
                <a:pt x="3691760" y="2836575"/>
                <a:pt x="3676169" y="2852166"/>
                <a:pt x="3656941" y="2852166"/>
              </a:cubicBezTo>
              <a:close/>
              <a:moveTo>
                <a:pt x="3741833" y="2852166"/>
              </a:moveTo>
              <a:cubicBezTo>
                <a:pt x="3722606" y="2852166"/>
                <a:pt x="3707014" y="2836575"/>
                <a:pt x="3707014" y="2817348"/>
              </a:cubicBezTo>
              <a:cubicBezTo>
                <a:pt x="3707014" y="2798120"/>
                <a:pt x="3722606" y="2782529"/>
                <a:pt x="3741833" y="2782529"/>
              </a:cubicBezTo>
              <a:cubicBezTo>
                <a:pt x="3761061" y="2782529"/>
                <a:pt x="3776652" y="2798120"/>
                <a:pt x="3776652" y="2817348"/>
              </a:cubicBezTo>
              <a:cubicBezTo>
                <a:pt x="3776652" y="2836575"/>
                <a:pt x="3761061" y="2852166"/>
                <a:pt x="3741833" y="2852166"/>
              </a:cubicBezTo>
              <a:close/>
              <a:moveTo>
                <a:pt x="3826726" y="2852166"/>
              </a:moveTo>
              <a:cubicBezTo>
                <a:pt x="3807498" y="2852166"/>
                <a:pt x="3791907" y="2836575"/>
                <a:pt x="3791907" y="2817348"/>
              </a:cubicBezTo>
              <a:cubicBezTo>
                <a:pt x="3791907" y="2798120"/>
                <a:pt x="3807498" y="2782529"/>
                <a:pt x="3826726" y="2782529"/>
              </a:cubicBezTo>
              <a:cubicBezTo>
                <a:pt x="3845953" y="2782529"/>
                <a:pt x="3861544" y="2798120"/>
                <a:pt x="3861544" y="2817348"/>
              </a:cubicBezTo>
              <a:cubicBezTo>
                <a:pt x="3861544" y="2836575"/>
                <a:pt x="3845953" y="2852166"/>
                <a:pt x="3826726" y="2852166"/>
              </a:cubicBezTo>
              <a:close/>
              <a:moveTo>
                <a:pt x="3911618" y="2852166"/>
              </a:moveTo>
              <a:cubicBezTo>
                <a:pt x="3892390" y="2852166"/>
                <a:pt x="3876799" y="2836575"/>
                <a:pt x="3876799" y="2817348"/>
              </a:cubicBezTo>
              <a:cubicBezTo>
                <a:pt x="3876799" y="2798120"/>
                <a:pt x="3892390" y="2782529"/>
                <a:pt x="3911618" y="2782529"/>
              </a:cubicBezTo>
              <a:cubicBezTo>
                <a:pt x="3930846" y="2782529"/>
                <a:pt x="3946437" y="2798120"/>
                <a:pt x="3946437" y="2817348"/>
              </a:cubicBezTo>
              <a:cubicBezTo>
                <a:pt x="3946437" y="2836575"/>
                <a:pt x="3930846" y="2852166"/>
                <a:pt x="3911618" y="2852166"/>
              </a:cubicBezTo>
              <a:close/>
              <a:moveTo>
                <a:pt x="5524578" y="2852166"/>
              </a:moveTo>
              <a:cubicBezTo>
                <a:pt x="5505350" y="2852166"/>
                <a:pt x="5489753" y="2836575"/>
                <a:pt x="5489753" y="2817348"/>
              </a:cubicBezTo>
              <a:cubicBezTo>
                <a:pt x="5489753" y="2798120"/>
                <a:pt x="5505350" y="2782529"/>
                <a:pt x="5524578" y="2782529"/>
              </a:cubicBezTo>
              <a:cubicBezTo>
                <a:pt x="5543806" y="2782529"/>
                <a:pt x="5559390" y="2798120"/>
                <a:pt x="5559390" y="2817348"/>
              </a:cubicBezTo>
              <a:cubicBezTo>
                <a:pt x="5559390" y="2836575"/>
                <a:pt x="5543806" y="2852166"/>
                <a:pt x="5524578" y="2852166"/>
              </a:cubicBezTo>
              <a:close/>
              <a:moveTo>
                <a:pt x="5609471" y="2852166"/>
              </a:moveTo>
              <a:cubicBezTo>
                <a:pt x="5590244" y="2852166"/>
                <a:pt x="5574646" y="2836575"/>
                <a:pt x="5574646" y="2817348"/>
              </a:cubicBezTo>
              <a:cubicBezTo>
                <a:pt x="5574646" y="2798120"/>
                <a:pt x="5590244" y="2782529"/>
                <a:pt x="5609471" y="2782529"/>
              </a:cubicBezTo>
              <a:cubicBezTo>
                <a:pt x="5628699" y="2782529"/>
                <a:pt x="5644284" y="2798120"/>
                <a:pt x="5644284" y="2817348"/>
              </a:cubicBezTo>
              <a:cubicBezTo>
                <a:pt x="5644284" y="2836575"/>
                <a:pt x="5628699" y="2852166"/>
                <a:pt x="5609471" y="2852166"/>
              </a:cubicBezTo>
              <a:close/>
              <a:moveTo>
                <a:pt x="5694364" y="2852166"/>
              </a:moveTo>
              <a:cubicBezTo>
                <a:pt x="5675136" y="2852166"/>
                <a:pt x="5659538" y="2836575"/>
                <a:pt x="5659538" y="2817348"/>
              </a:cubicBezTo>
              <a:cubicBezTo>
                <a:pt x="5659538" y="2798120"/>
                <a:pt x="5675136" y="2782529"/>
                <a:pt x="5694364" y="2782529"/>
              </a:cubicBezTo>
              <a:cubicBezTo>
                <a:pt x="5713591" y="2782529"/>
                <a:pt x="5729176" y="2798120"/>
                <a:pt x="5729176" y="2817348"/>
              </a:cubicBezTo>
              <a:cubicBezTo>
                <a:pt x="5729176" y="2836575"/>
                <a:pt x="5713591" y="2852166"/>
                <a:pt x="5694364" y="2852166"/>
              </a:cubicBezTo>
              <a:close/>
              <a:moveTo>
                <a:pt x="5779256" y="2852166"/>
              </a:moveTo>
              <a:cubicBezTo>
                <a:pt x="5760028" y="2852166"/>
                <a:pt x="5744430" y="2836575"/>
                <a:pt x="5744430" y="2817348"/>
              </a:cubicBezTo>
              <a:cubicBezTo>
                <a:pt x="5744430" y="2798120"/>
                <a:pt x="5760028" y="2782529"/>
                <a:pt x="5779256" y="2782529"/>
              </a:cubicBezTo>
              <a:cubicBezTo>
                <a:pt x="5798484" y="2782529"/>
                <a:pt x="5814068" y="2798120"/>
                <a:pt x="5814068" y="2817348"/>
              </a:cubicBezTo>
              <a:cubicBezTo>
                <a:pt x="5814068" y="2836575"/>
                <a:pt x="5798484" y="2852166"/>
                <a:pt x="5779256" y="2852166"/>
              </a:cubicBezTo>
              <a:close/>
              <a:moveTo>
                <a:pt x="5864148" y="2852166"/>
              </a:moveTo>
              <a:cubicBezTo>
                <a:pt x="5844920" y="2852166"/>
                <a:pt x="5829323" y="2836575"/>
                <a:pt x="5829323" y="2817348"/>
              </a:cubicBezTo>
              <a:cubicBezTo>
                <a:pt x="5829323" y="2798120"/>
                <a:pt x="5844920" y="2782529"/>
                <a:pt x="5864148" y="2782529"/>
              </a:cubicBezTo>
              <a:cubicBezTo>
                <a:pt x="5883376" y="2782529"/>
                <a:pt x="5898960" y="2798120"/>
                <a:pt x="5898960" y="2817348"/>
              </a:cubicBezTo>
              <a:cubicBezTo>
                <a:pt x="5898960" y="2836575"/>
                <a:pt x="5883376" y="2852166"/>
                <a:pt x="5864148" y="2852166"/>
              </a:cubicBezTo>
              <a:close/>
              <a:moveTo>
                <a:pt x="5949041" y="2852166"/>
              </a:moveTo>
              <a:cubicBezTo>
                <a:pt x="5929814" y="2852166"/>
                <a:pt x="5914216" y="2836575"/>
                <a:pt x="5914216" y="2817348"/>
              </a:cubicBezTo>
              <a:cubicBezTo>
                <a:pt x="5914216" y="2798120"/>
                <a:pt x="5929814" y="2782529"/>
                <a:pt x="5949041" y="2782529"/>
              </a:cubicBezTo>
              <a:cubicBezTo>
                <a:pt x="5968269" y="2782529"/>
                <a:pt x="5983854" y="2798120"/>
                <a:pt x="5983854" y="2817348"/>
              </a:cubicBezTo>
              <a:cubicBezTo>
                <a:pt x="5983854" y="2836575"/>
                <a:pt x="5968269" y="2852166"/>
                <a:pt x="5949041" y="2852166"/>
              </a:cubicBezTo>
              <a:close/>
              <a:moveTo>
                <a:pt x="6033934" y="2852166"/>
              </a:moveTo>
              <a:cubicBezTo>
                <a:pt x="6014706" y="2852166"/>
                <a:pt x="5999108" y="2836575"/>
                <a:pt x="5999108" y="2817348"/>
              </a:cubicBezTo>
              <a:cubicBezTo>
                <a:pt x="5999108" y="2798120"/>
                <a:pt x="6014706" y="2782529"/>
                <a:pt x="6033934" y="2782529"/>
              </a:cubicBezTo>
              <a:cubicBezTo>
                <a:pt x="6053161" y="2782529"/>
                <a:pt x="6068746" y="2798120"/>
                <a:pt x="6068746" y="2817348"/>
              </a:cubicBezTo>
              <a:cubicBezTo>
                <a:pt x="6068746" y="2836575"/>
                <a:pt x="6053161" y="2852166"/>
                <a:pt x="6033934" y="2852166"/>
              </a:cubicBezTo>
              <a:close/>
              <a:moveTo>
                <a:pt x="6118826" y="2852166"/>
              </a:moveTo>
              <a:cubicBezTo>
                <a:pt x="6099598" y="2852166"/>
                <a:pt x="6084000" y="2836575"/>
                <a:pt x="6084000" y="2817348"/>
              </a:cubicBezTo>
              <a:cubicBezTo>
                <a:pt x="6084000" y="2798120"/>
                <a:pt x="6099598" y="2782529"/>
                <a:pt x="6118826" y="2782529"/>
              </a:cubicBezTo>
              <a:cubicBezTo>
                <a:pt x="6138054" y="2782529"/>
                <a:pt x="6153638" y="2798120"/>
                <a:pt x="6153638" y="2817348"/>
              </a:cubicBezTo>
              <a:cubicBezTo>
                <a:pt x="6153638" y="2836575"/>
                <a:pt x="6138054" y="2852166"/>
                <a:pt x="6118826" y="2852166"/>
              </a:cubicBezTo>
              <a:close/>
              <a:moveTo>
                <a:pt x="6203718" y="2852166"/>
              </a:moveTo>
              <a:cubicBezTo>
                <a:pt x="6184490" y="2852166"/>
                <a:pt x="6168893" y="2836575"/>
                <a:pt x="6168893" y="2817348"/>
              </a:cubicBezTo>
              <a:cubicBezTo>
                <a:pt x="6168893" y="2798120"/>
                <a:pt x="6184490" y="2782529"/>
                <a:pt x="6203718" y="2782529"/>
              </a:cubicBezTo>
              <a:cubicBezTo>
                <a:pt x="6222946" y="2782529"/>
                <a:pt x="6238530" y="2798120"/>
                <a:pt x="6238530" y="2817348"/>
              </a:cubicBezTo>
              <a:cubicBezTo>
                <a:pt x="6238530" y="2836575"/>
                <a:pt x="6222946" y="2852166"/>
                <a:pt x="6203718" y="2852166"/>
              </a:cubicBezTo>
              <a:close/>
              <a:moveTo>
                <a:pt x="6288611" y="2852166"/>
              </a:moveTo>
              <a:cubicBezTo>
                <a:pt x="6269384" y="2852166"/>
                <a:pt x="6253786" y="2836575"/>
                <a:pt x="6253786" y="2817348"/>
              </a:cubicBezTo>
              <a:cubicBezTo>
                <a:pt x="6253786" y="2798120"/>
                <a:pt x="6269384" y="2782529"/>
                <a:pt x="6288611" y="2782529"/>
              </a:cubicBezTo>
              <a:cubicBezTo>
                <a:pt x="6307839" y="2782529"/>
                <a:pt x="6323424" y="2798120"/>
                <a:pt x="6323424" y="2817348"/>
              </a:cubicBezTo>
              <a:cubicBezTo>
                <a:pt x="6323424" y="2836575"/>
                <a:pt x="6307839" y="2852166"/>
                <a:pt x="6288611" y="2852166"/>
              </a:cubicBezTo>
              <a:close/>
              <a:moveTo>
                <a:pt x="6373504" y="2852166"/>
              </a:moveTo>
              <a:cubicBezTo>
                <a:pt x="6354276" y="2852166"/>
                <a:pt x="6338678" y="2836575"/>
                <a:pt x="6338678" y="2817348"/>
              </a:cubicBezTo>
              <a:cubicBezTo>
                <a:pt x="6338678" y="2798120"/>
                <a:pt x="6354276" y="2782529"/>
                <a:pt x="6373504" y="2782529"/>
              </a:cubicBezTo>
              <a:cubicBezTo>
                <a:pt x="6392731" y="2782529"/>
                <a:pt x="6408316" y="2798120"/>
                <a:pt x="6408316" y="2817348"/>
              </a:cubicBezTo>
              <a:cubicBezTo>
                <a:pt x="6408316" y="2836575"/>
                <a:pt x="6392731" y="2852166"/>
                <a:pt x="6373504" y="2852166"/>
              </a:cubicBezTo>
              <a:close/>
              <a:moveTo>
                <a:pt x="6458396" y="2852166"/>
              </a:moveTo>
              <a:cubicBezTo>
                <a:pt x="6439168" y="2852166"/>
                <a:pt x="6423570" y="2836575"/>
                <a:pt x="6423570" y="2817348"/>
              </a:cubicBezTo>
              <a:cubicBezTo>
                <a:pt x="6423570" y="2798120"/>
                <a:pt x="6439168" y="2782529"/>
                <a:pt x="6458396" y="2782529"/>
              </a:cubicBezTo>
              <a:cubicBezTo>
                <a:pt x="6477624" y="2782529"/>
                <a:pt x="6493208" y="2798120"/>
                <a:pt x="6493208" y="2817348"/>
              </a:cubicBezTo>
              <a:cubicBezTo>
                <a:pt x="6493208" y="2836575"/>
                <a:pt x="6477624" y="2852166"/>
                <a:pt x="6458396" y="2852166"/>
              </a:cubicBezTo>
              <a:close/>
              <a:moveTo>
                <a:pt x="6543288" y="2852166"/>
              </a:moveTo>
              <a:cubicBezTo>
                <a:pt x="6524060" y="2852166"/>
                <a:pt x="6508463" y="2836575"/>
                <a:pt x="6508463" y="2817348"/>
              </a:cubicBezTo>
              <a:cubicBezTo>
                <a:pt x="6508463" y="2798120"/>
                <a:pt x="6524060" y="2782529"/>
                <a:pt x="6543288" y="2782529"/>
              </a:cubicBezTo>
              <a:cubicBezTo>
                <a:pt x="6562516" y="2782529"/>
                <a:pt x="6578100" y="2798120"/>
                <a:pt x="6578100" y="2817348"/>
              </a:cubicBezTo>
              <a:cubicBezTo>
                <a:pt x="6578100" y="2836575"/>
                <a:pt x="6562516" y="2852166"/>
                <a:pt x="6543288" y="2852166"/>
              </a:cubicBezTo>
              <a:close/>
              <a:moveTo>
                <a:pt x="6628181" y="2852166"/>
              </a:moveTo>
              <a:cubicBezTo>
                <a:pt x="6608954" y="2852166"/>
                <a:pt x="6593356" y="2836575"/>
                <a:pt x="6593356" y="2817348"/>
              </a:cubicBezTo>
              <a:cubicBezTo>
                <a:pt x="6593356" y="2798120"/>
                <a:pt x="6608954" y="2782529"/>
                <a:pt x="6628181" y="2782529"/>
              </a:cubicBezTo>
              <a:cubicBezTo>
                <a:pt x="6647409" y="2782529"/>
                <a:pt x="6662994" y="2798120"/>
                <a:pt x="6662994" y="2817348"/>
              </a:cubicBezTo>
              <a:cubicBezTo>
                <a:pt x="6662994" y="2836575"/>
                <a:pt x="6647409" y="2852166"/>
                <a:pt x="6628181" y="2852166"/>
              </a:cubicBezTo>
              <a:close/>
              <a:moveTo>
                <a:pt x="6713074" y="2852166"/>
              </a:moveTo>
              <a:cubicBezTo>
                <a:pt x="6693846" y="2852166"/>
                <a:pt x="6678248" y="2836575"/>
                <a:pt x="6678248" y="2817348"/>
              </a:cubicBezTo>
              <a:cubicBezTo>
                <a:pt x="6678248" y="2798120"/>
                <a:pt x="6693846" y="2782529"/>
                <a:pt x="6713074" y="2782529"/>
              </a:cubicBezTo>
              <a:cubicBezTo>
                <a:pt x="6732301" y="2782529"/>
                <a:pt x="6747886" y="2798120"/>
                <a:pt x="6747886" y="2817348"/>
              </a:cubicBezTo>
              <a:cubicBezTo>
                <a:pt x="6747886" y="2836575"/>
                <a:pt x="6732301" y="2852166"/>
                <a:pt x="6713074" y="2852166"/>
              </a:cubicBezTo>
              <a:close/>
              <a:moveTo>
                <a:pt x="6797966" y="2852166"/>
              </a:moveTo>
              <a:cubicBezTo>
                <a:pt x="6778738" y="2852166"/>
                <a:pt x="6763140" y="2836575"/>
                <a:pt x="6763140" y="2817348"/>
              </a:cubicBezTo>
              <a:cubicBezTo>
                <a:pt x="6763140" y="2798120"/>
                <a:pt x="6778738" y="2782529"/>
                <a:pt x="6797966" y="2782529"/>
              </a:cubicBezTo>
              <a:cubicBezTo>
                <a:pt x="6817194" y="2782529"/>
                <a:pt x="6832778" y="2798120"/>
                <a:pt x="6832778" y="2817348"/>
              </a:cubicBezTo>
              <a:cubicBezTo>
                <a:pt x="6832778" y="2836575"/>
                <a:pt x="6817194" y="2852166"/>
                <a:pt x="6797966" y="2852166"/>
              </a:cubicBezTo>
              <a:close/>
              <a:moveTo>
                <a:pt x="6882858" y="2852166"/>
              </a:moveTo>
              <a:cubicBezTo>
                <a:pt x="6863630" y="2852166"/>
                <a:pt x="6848033" y="2836575"/>
                <a:pt x="6848033" y="2817348"/>
              </a:cubicBezTo>
              <a:cubicBezTo>
                <a:pt x="6848033" y="2798120"/>
                <a:pt x="6863630" y="2782529"/>
                <a:pt x="6882858" y="2782529"/>
              </a:cubicBezTo>
              <a:cubicBezTo>
                <a:pt x="6902086" y="2782529"/>
                <a:pt x="6917670" y="2798120"/>
                <a:pt x="6917670" y="2817348"/>
              </a:cubicBezTo>
              <a:cubicBezTo>
                <a:pt x="6917670" y="2836575"/>
                <a:pt x="6902086" y="2852166"/>
                <a:pt x="6882858" y="2852166"/>
              </a:cubicBezTo>
              <a:close/>
              <a:moveTo>
                <a:pt x="6967750" y="2852166"/>
              </a:moveTo>
              <a:cubicBezTo>
                <a:pt x="6948523" y="2852166"/>
                <a:pt x="6932925" y="2836575"/>
                <a:pt x="6932925" y="2817348"/>
              </a:cubicBezTo>
              <a:cubicBezTo>
                <a:pt x="6932925" y="2798120"/>
                <a:pt x="6948523" y="2782529"/>
                <a:pt x="6967750" y="2782529"/>
              </a:cubicBezTo>
              <a:cubicBezTo>
                <a:pt x="6986978" y="2782529"/>
                <a:pt x="7002563" y="2798120"/>
                <a:pt x="7002563" y="2817348"/>
              </a:cubicBezTo>
              <a:cubicBezTo>
                <a:pt x="7002563" y="2836575"/>
                <a:pt x="6986978" y="2852166"/>
                <a:pt x="6967750" y="2852166"/>
              </a:cubicBezTo>
              <a:close/>
              <a:moveTo>
                <a:pt x="7052644" y="2852166"/>
              </a:moveTo>
              <a:cubicBezTo>
                <a:pt x="7033416" y="2852166"/>
                <a:pt x="7017818" y="2836575"/>
                <a:pt x="7017818" y="2817348"/>
              </a:cubicBezTo>
              <a:cubicBezTo>
                <a:pt x="7017818" y="2798120"/>
                <a:pt x="7033416" y="2782529"/>
                <a:pt x="7052644" y="2782529"/>
              </a:cubicBezTo>
              <a:cubicBezTo>
                <a:pt x="7071871" y="2782529"/>
                <a:pt x="7087456" y="2798120"/>
                <a:pt x="7087456" y="2817348"/>
              </a:cubicBezTo>
              <a:cubicBezTo>
                <a:pt x="7087456" y="2836575"/>
                <a:pt x="7071871" y="2852166"/>
                <a:pt x="7052644" y="2852166"/>
              </a:cubicBezTo>
              <a:close/>
              <a:moveTo>
                <a:pt x="7137536" y="2852166"/>
              </a:moveTo>
              <a:cubicBezTo>
                <a:pt x="7118308" y="2852166"/>
                <a:pt x="7102710" y="2836575"/>
                <a:pt x="7102710" y="2817348"/>
              </a:cubicBezTo>
              <a:cubicBezTo>
                <a:pt x="7102710" y="2798120"/>
                <a:pt x="7118308" y="2782529"/>
                <a:pt x="7137536" y="2782529"/>
              </a:cubicBezTo>
              <a:cubicBezTo>
                <a:pt x="7156764" y="2782529"/>
                <a:pt x="7172348" y="2798120"/>
                <a:pt x="7172348" y="2817348"/>
              </a:cubicBezTo>
              <a:cubicBezTo>
                <a:pt x="7172348" y="2836575"/>
                <a:pt x="7156764" y="2852166"/>
                <a:pt x="7137536" y="2852166"/>
              </a:cubicBezTo>
              <a:close/>
              <a:moveTo>
                <a:pt x="7222428" y="2852166"/>
              </a:moveTo>
              <a:cubicBezTo>
                <a:pt x="7203200" y="2852166"/>
                <a:pt x="7187603" y="2836575"/>
                <a:pt x="7187603" y="2817348"/>
              </a:cubicBezTo>
              <a:cubicBezTo>
                <a:pt x="7187603" y="2798120"/>
                <a:pt x="7203200" y="2782529"/>
                <a:pt x="7222428" y="2782529"/>
              </a:cubicBezTo>
              <a:cubicBezTo>
                <a:pt x="7241656" y="2782529"/>
                <a:pt x="7257240" y="2798120"/>
                <a:pt x="7257240" y="2817348"/>
              </a:cubicBezTo>
              <a:cubicBezTo>
                <a:pt x="7257240" y="2836575"/>
                <a:pt x="7241656" y="2852166"/>
                <a:pt x="7222428" y="2852166"/>
              </a:cubicBezTo>
              <a:close/>
              <a:moveTo>
                <a:pt x="7307320" y="2852166"/>
              </a:moveTo>
              <a:cubicBezTo>
                <a:pt x="7288093" y="2852166"/>
                <a:pt x="7272495" y="2836575"/>
                <a:pt x="7272495" y="2817348"/>
              </a:cubicBezTo>
              <a:cubicBezTo>
                <a:pt x="7272495" y="2798120"/>
                <a:pt x="7288093" y="2782529"/>
                <a:pt x="7307320" y="2782529"/>
              </a:cubicBezTo>
              <a:cubicBezTo>
                <a:pt x="7326548" y="2782529"/>
                <a:pt x="7342133" y="2798120"/>
                <a:pt x="7342133" y="2817348"/>
              </a:cubicBezTo>
              <a:cubicBezTo>
                <a:pt x="7342133" y="2836575"/>
                <a:pt x="7326548" y="2852166"/>
                <a:pt x="7307320" y="2852166"/>
              </a:cubicBezTo>
              <a:close/>
              <a:moveTo>
                <a:pt x="7392214" y="2852166"/>
              </a:moveTo>
              <a:cubicBezTo>
                <a:pt x="7372986" y="2852166"/>
                <a:pt x="7357388" y="2836575"/>
                <a:pt x="7357388" y="2817348"/>
              </a:cubicBezTo>
              <a:cubicBezTo>
                <a:pt x="7357388" y="2798120"/>
                <a:pt x="7372986" y="2782529"/>
                <a:pt x="7392214" y="2782529"/>
              </a:cubicBezTo>
              <a:cubicBezTo>
                <a:pt x="7411441" y="2782529"/>
                <a:pt x="7427026" y="2798120"/>
                <a:pt x="7427026" y="2817348"/>
              </a:cubicBezTo>
              <a:cubicBezTo>
                <a:pt x="7427026" y="2836575"/>
                <a:pt x="7411441" y="2852166"/>
                <a:pt x="7392214" y="2852166"/>
              </a:cubicBezTo>
              <a:close/>
              <a:moveTo>
                <a:pt x="8410923" y="2852166"/>
              </a:moveTo>
              <a:cubicBezTo>
                <a:pt x="8391695" y="2852166"/>
                <a:pt x="8376097" y="2836575"/>
                <a:pt x="8376097" y="2817348"/>
              </a:cubicBezTo>
              <a:cubicBezTo>
                <a:pt x="8376097" y="2798120"/>
                <a:pt x="8391695" y="2782529"/>
                <a:pt x="8410923" y="2782529"/>
              </a:cubicBezTo>
              <a:cubicBezTo>
                <a:pt x="8430150" y="2782529"/>
                <a:pt x="8445735" y="2798120"/>
                <a:pt x="8445735" y="2817348"/>
              </a:cubicBezTo>
              <a:cubicBezTo>
                <a:pt x="8445735" y="2836575"/>
                <a:pt x="8430150" y="2852166"/>
                <a:pt x="8410923" y="2852166"/>
              </a:cubicBezTo>
              <a:close/>
              <a:moveTo>
                <a:pt x="9005170" y="2852166"/>
              </a:moveTo>
              <a:cubicBezTo>
                <a:pt x="8985943" y="2852166"/>
                <a:pt x="8970345" y="2836575"/>
                <a:pt x="8970345" y="2817348"/>
              </a:cubicBezTo>
              <a:cubicBezTo>
                <a:pt x="8970345" y="2798120"/>
                <a:pt x="8985943" y="2782529"/>
                <a:pt x="9005170" y="2782529"/>
              </a:cubicBezTo>
              <a:cubicBezTo>
                <a:pt x="9024398" y="2782529"/>
                <a:pt x="9039983" y="2798120"/>
                <a:pt x="9039983" y="2817348"/>
              </a:cubicBezTo>
              <a:cubicBezTo>
                <a:pt x="9039983" y="2836575"/>
                <a:pt x="9024398" y="2852166"/>
                <a:pt x="9005170" y="2852166"/>
              </a:cubicBezTo>
              <a:close/>
              <a:moveTo>
                <a:pt x="9769203" y="2852166"/>
              </a:moveTo>
              <a:cubicBezTo>
                <a:pt x="9749975" y="2852166"/>
                <a:pt x="9734377" y="2836575"/>
                <a:pt x="9734377" y="2817348"/>
              </a:cubicBezTo>
              <a:cubicBezTo>
                <a:pt x="9734377" y="2798120"/>
                <a:pt x="9749975" y="2782529"/>
                <a:pt x="9769203" y="2782529"/>
              </a:cubicBezTo>
              <a:cubicBezTo>
                <a:pt x="9788430" y="2782529"/>
                <a:pt x="9804015" y="2798120"/>
                <a:pt x="9804015" y="2817348"/>
              </a:cubicBezTo>
              <a:cubicBezTo>
                <a:pt x="9804015" y="2836575"/>
                <a:pt x="9788430" y="2852166"/>
                <a:pt x="9769203" y="2852166"/>
              </a:cubicBezTo>
              <a:close/>
              <a:moveTo>
                <a:pt x="9854095" y="2852166"/>
              </a:moveTo>
              <a:cubicBezTo>
                <a:pt x="9834867" y="2852166"/>
                <a:pt x="9819269" y="2836575"/>
                <a:pt x="9819269" y="2817348"/>
              </a:cubicBezTo>
              <a:cubicBezTo>
                <a:pt x="9819269" y="2798120"/>
                <a:pt x="9834867" y="2782529"/>
                <a:pt x="9854095" y="2782529"/>
              </a:cubicBezTo>
              <a:cubicBezTo>
                <a:pt x="9873323" y="2782529"/>
                <a:pt x="9888907" y="2798120"/>
                <a:pt x="9888907" y="2817348"/>
              </a:cubicBezTo>
              <a:cubicBezTo>
                <a:pt x="9888907" y="2836575"/>
                <a:pt x="9873323" y="2852166"/>
                <a:pt x="9854095" y="2852166"/>
              </a:cubicBezTo>
              <a:close/>
              <a:moveTo>
                <a:pt x="3487156" y="2767306"/>
              </a:moveTo>
              <a:cubicBezTo>
                <a:pt x="3467928" y="2767306"/>
                <a:pt x="3452337" y="2751715"/>
                <a:pt x="3452337" y="2732487"/>
              </a:cubicBezTo>
              <a:cubicBezTo>
                <a:pt x="3452337" y="2713259"/>
                <a:pt x="3467928" y="2697668"/>
                <a:pt x="3487156" y="2697668"/>
              </a:cubicBezTo>
              <a:cubicBezTo>
                <a:pt x="3506383" y="2697668"/>
                <a:pt x="3521974" y="2713259"/>
                <a:pt x="3521974" y="2732487"/>
              </a:cubicBezTo>
              <a:cubicBezTo>
                <a:pt x="3521974" y="2751715"/>
                <a:pt x="3506383" y="2767306"/>
                <a:pt x="3487156" y="2767306"/>
              </a:cubicBezTo>
              <a:close/>
              <a:moveTo>
                <a:pt x="3572048" y="2767306"/>
              </a:moveTo>
              <a:cubicBezTo>
                <a:pt x="3552820" y="2767306"/>
                <a:pt x="3537229" y="2751715"/>
                <a:pt x="3537229" y="2732487"/>
              </a:cubicBezTo>
              <a:cubicBezTo>
                <a:pt x="3537229" y="2713259"/>
                <a:pt x="3552820" y="2697668"/>
                <a:pt x="3572048" y="2697668"/>
              </a:cubicBezTo>
              <a:cubicBezTo>
                <a:pt x="3591276" y="2697668"/>
                <a:pt x="3606867" y="2713259"/>
                <a:pt x="3606867" y="2732487"/>
              </a:cubicBezTo>
              <a:cubicBezTo>
                <a:pt x="3606867" y="2751715"/>
                <a:pt x="3591276" y="2767306"/>
                <a:pt x="3572048" y="2767306"/>
              </a:cubicBezTo>
              <a:close/>
              <a:moveTo>
                <a:pt x="3656941" y="2767306"/>
              </a:moveTo>
              <a:cubicBezTo>
                <a:pt x="3637713" y="2767306"/>
                <a:pt x="3622122" y="2751715"/>
                <a:pt x="3622122" y="2732487"/>
              </a:cubicBezTo>
              <a:cubicBezTo>
                <a:pt x="3622122" y="2713259"/>
                <a:pt x="3637713" y="2697668"/>
                <a:pt x="3656941" y="2697668"/>
              </a:cubicBezTo>
              <a:cubicBezTo>
                <a:pt x="3676169" y="2697668"/>
                <a:pt x="3691760" y="2713259"/>
                <a:pt x="3691760" y="2732487"/>
              </a:cubicBezTo>
              <a:cubicBezTo>
                <a:pt x="3691760" y="2751715"/>
                <a:pt x="3676169" y="2767306"/>
                <a:pt x="3656941" y="2767306"/>
              </a:cubicBezTo>
              <a:close/>
              <a:moveTo>
                <a:pt x="3741833" y="2767306"/>
              </a:moveTo>
              <a:cubicBezTo>
                <a:pt x="3722606" y="2767306"/>
                <a:pt x="3707014" y="2751715"/>
                <a:pt x="3707014" y="2732487"/>
              </a:cubicBezTo>
              <a:cubicBezTo>
                <a:pt x="3707014" y="2713259"/>
                <a:pt x="3722606" y="2697668"/>
                <a:pt x="3741833" y="2697668"/>
              </a:cubicBezTo>
              <a:cubicBezTo>
                <a:pt x="3761061" y="2697668"/>
                <a:pt x="3776652" y="2713259"/>
                <a:pt x="3776652" y="2732487"/>
              </a:cubicBezTo>
              <a:cubicBezTo>
                <a:pt x="3776652" y="2751715"/>
                <a:pt x="3761061" y="2767306"/>
                <a:pt x="3741833" y="2767306"/>
              </a:cubicBezTo>
              <a:close/>
              <a:moveTo>
                <a:pt x="3826726" y="2767306"/>
              </a:moveTo>
              <a:cubicBezTo>
                <a:pt x="3807498" y="2767306"/>
                <a:pt x="3791907" y="2751715"/>
                <a:pt x="3791907" y="2732487"/>
              </a:cubicBezTo>
              <a:cubicBezTo>
                <a:pt x="3791907" y="2713259"/>
                <a:pt x="3807498" y="2697668"/>
                <a:pt x="3826726" y="2697668"/>
              </a:cubicBezTo>
              <a:cubicBezTo>
                <a:pt x="3845953" y="2697668"/>
                <a:pt x="3861544" y="2713259"/>
                <a:pt x="3861544" y="2732487"/>
              </a:cubicBezTo>
              <a:cubicBezTo>
                <a:pt x="3861544" y="2751715"/>
                <a:pt x="3845953" y="2767306"/>
                <a:pt x="3826726" y="2767306"/>
              </a:cubicBezTo>
              <a:close/>
              <a:moveTo>
                <a:pt x="3911618" y="2767306"/>
              </a:moveTo>
              <a:cubicBezTo>
                <a:pt x="3892390" y="2767306"/>
                <a:pt x="3876799" y="2751715"/>
                <a:pt x="3876799" y="2732487"/>
              </a:cubicBezTo>
              <a:cubicBezTo>
                <a:pt x="3876799" y="2713259"/>
                <a:pt x="3892390" y="2697668"/>
                <a:pt x="3911618" y="2697668"/>
              </a:cubicBezTo>
              <a:cubicBezTo>
                <a:pt x="3930846" y="2697668"/>
                <a:pt x="3946437" y="2713259"/>
                <a:pt x="3946437" y="2732487"/>
              </a:cubicBezTo>
              <a:cubicBezTo>
                <a:pt x="3946437" y="2751715"/>
                <a:pt x="3930846" y="2767306"/>
                <a:pt x="3911618" y="2767306"/>
              </a:cubicBezTo>
              <a:close/>
              <a:moveTo>
                <a:pt x="3996511" y="2767306"/>
              </a:moveTo>
              <a:cubicBezTo>
                <a:pt x="3977283" y="2767306"/>
                <a:pt x="3961692" y="2751715"/>
                <a:pt x="3961692" y="2732487"/>
              </a:cubicBezTo>
              <a:cubicBezTo>
                <a:pt x="3961692" y="2713259"/>
                <a:pt x="3977283" y="2697668"/>
                <a:pt x="3996511" y="2697668"/>
              </a:cubicBezTo>
              <a:cubicBezTo>
                <a:pt x="4015739" y="2697668"/>
                <a:pt x="4031330" y="2713259"/>
                <a:pt x="4031330" y="2732487"/>
              </a:cubicBezTo>
              <a:cubicBezTo>
                <a:pt x="4031330" y="2751715"/>
                <a:pt x="4015739" y="2767306"/>
                <a:pt x="3996511" y="2767306"/>
              </a:cubicBezTo>
              <a:close/>
              <a:moveTo>
                <a:pt x="5609471" y="2767306"/>
              </a:moveTo>
              <a:cubicBezTo>
                <a:pt x="5590244" y="2767306"/>
                <a:pt x="5574646" y="2751715"/>
                <a:pt x="5574646" y="2732487"/>
              </a:cubicBezTo>
              <a:cubicBezTo>
                <a:pt x="5574646" y="2713259"/>
                <a:pt x="5590244" y="2697668"/>
                <a:pt x="5609471" y="2697668"/>
              </a:cubicBezTo>
              <a:cubicBezTo>
                <a:pt x="5628699" y="2697668"/>
                <a:pt x="5644284" y="2713259"/>
                <a:pt x="5644284" y="2732487"/>
              </a:cubicBezTo>
              <a:cubicBezTo>
                <a:pt x="5644284" y="2751715"/>
                <a:pt x="5628699" y="2767306"/>
                <a:pt x="5609471" y="2767306"/>
              </a:cubicBezTo>
              <a:close/>
              <a:moveTo>
                <a:pt x="5694364" y="2767306"/>
              </a:moveTo>
              <a:cubicBezTo>
                <a:pt x="5675136" y="2767306"/>
                <a:pt x="5659538" y="2751715"/>
                <a:pt x="5659538" y="2732487"/>
              </a:cubicBezTo>
              <a:cubicBezTo>
                <a:pt x="5659538" y="2713259"/>
                <a:pt x="5675136" y="2697668"/>
                <a:pt x="5694364" y="2697668"/>
              </a:cubicBezTo>
              <a:cubicBezTo>
                <a:pt x="5713591" y="2697668"/>
                <a:pt x="5729176" y="2713259"/>
                <a:pt x="5729176" y="2732487"/>
              </a:cubicBezTo>
              <a:cubicBezTo>
                <a:pt x="5729176" y="2751715"/>
                <a:pt x="5713591" y="2767306"/>
                <a:pt x="5694364" y="2767306"/>
              </a:cubicBezTo>
              <a:close/>
              <a:moveTo>
                <a:pt x="5779256" y="2767306"/>
              </a:moveTo>
              <a:cubicBezTo>
                <a:pt x="5760028" y="2767306"/>
                <a:pt x="5744430" y="2751715"/>
                <a:pt x="5744430" y="2732487"/>
              </a:cubicBezTo>
              <a:cubicBezTo>
                <a:pt x="5744430" y="2713259"/>
                <a:pt x="5760028" y="2697668"/>
                <a:pt x="5779256" y="2697668"/>
              </a:cubicBezTo>
              <a:cubicBezTo>
                <a:pt x="5798484" y="2697668"/>
                <a:pt x="5814068" y="2713259"/>
                <a:pt x="5814068" y="2732487"/>
              </a:cubicBezTo>
              <a:cubicBezTo>
                <a:pt x="5814068" y="2751715"/>
                <a:pt x="5798484" y="2767306"/>
                <a:pt x="5779256" y="2767306"/>
              </a:cubicBezTo>
              <a:close/>
              <a:moveTo>
                <a:pt x="6033934" y="2767306"/>
              </a:moveTo>
              <a:cubicBezTo>
                <a:pt x="6014706" y="2767306"/>
                <a:pt x="5999108" y="2751715"/>
                <a:pt x="5999108" y="2732487"/>
              </a:cubicBezTo>
              <a:cubicBezTo>
                <a:pt x="5999108" y="2713259"/>
                <a:pt x="6014706" y="2697668"/>
                <a:pt x="6033934" y="2697668"/>
              </a:cubicBezTo>
              <a:cubicBezTo>
                <a:pt x="6053161" y="2697668"/>
                <a:pt x="6068746" y="2713259"/>
                <a:pt x="6068746" y="2732487"/>
              </a:cubicBezTo>
              <a:cubicBezTo>
                <a:pt x="6068746" y="2751715"/>
                <a:pt x="6053161" y="2767306"/>
                <a:pt x="6033934" y="2767306"/>
              </a:cubicBezTo>
              <a:close/>
              <a:moveTo>
                <a:pt x="6118826" y="2767306"/>
              </a:moveTo>
              <a:cubicBezTo>
                <a:pt x="6099598" y="2767306"/>
                <a:pt x="6084000" y="2751715"/>
                <a:pt x="6084000" y="2732487"/>
              </a:cubicBezTo>
              <a:cubicBezTo>
                <a:pt x="6084000" y="2713259"/>
                <a:pt x="6099598" y="2697668"/>
                <a:pt x="6118826" y="2697668"/>
              </a:cubicBezTo>
              <a:cubicBezTo>
                <a:pt x="6138054" y="2697668"/>
                <a:pt x="6153638" y="2713259"/>
                <a:pt x="6153638" y="2732487"/>
              </a:cubicBezTo>
              <a:cubicBezTo>
                <a:pt x="6153638" y="2751715"/>
                <a:pt x="6138054" y="2767306"/>
                <a:pt x="6118826" y="2767306"/>
              </a:cubicBezTo>
              <a:close/>
              <a:moveTo>
                <a:pt x="6203718" y="2767306"/>
              </a:moveTo>
              <a:cubicBezTo>
                <a:pt x="6184490" y="2767306"/>
                <a:pt x="6168893" y="2751715"/>
                <a:pt x="6168893" y="2732487"/>
              </a:cubicBezTo>
              <a:cubicBezTo>
                <a:pt x="6168893" y="2713259"/>
                <a:pt x="6184490" y="2697668"/>
                <a:pt x="6203718" y="2697668"/>
              </a:cubicBezTo>
              <a:cubicBezTo>
                <a:pt x="6222946" y="2697668"/>
                <a:pt x="6238530" y="2713259"/>
                <a:pt x="6238530" y="2732487"/>
              </a:cubicBezTo>
              <a:cubicBezTo>
                <a:pt x="6238530" y="2751715"/>
                <a:pt x="6222946" y="2767306"/>
                <a:pt x="6203718" y="2767306"/>
              </a:cubicBezTo>
              <a:close/>
              <a:moveTo>
                <a:pt x="6288611" y="2767306"/>
              </a:moveTo>
              <a:cubicBezTo>
                <a:pt x="6269384" y="2767306"/>
                <a:pt x="6253786" y="2751715"/>
                <a:pt x="6253786" y="2732487"/>
              </a:cubicBezTo>
              <a:cubicBezTo>
                <a:pt x="6253786" y="2713259"/>
                <a:pt x="6269384" y="2697668"/>
                <a:pt x="6288611" y="2697668"/>
              </a:cubicBezTo>
              <a:cubicBezTo>
                <a:pt x="6307839" y="2697668"/>
                <a:pt x="6323424" y="2713259"/>
                <a:pt x="6323424" y="2732487"/>
              </a:cubicBezTo>
              <a:cubicBezTo>
                <a:pt x="6323424" y="2751715"/>
                <a:pt x="6307839" y="2767306"/>
                <a:pt x="6288611" y="2767306"/>
              </a:cubicBezTo>
              <a:close/>
              <a:moveTo>
                <a:pt x="6373504" y="2767306"/>
              </a:moveTo>
              <a:cubicBezTo>
                <a:pt x="6354276" y="2767306"/>
                <a:pt x="6338678" y="2751715"/>
                <a:pt x="6338678" y="2732487"/>
              </a:cubicBezTo>
              <a:cubicBezTo>
                <a:pt x="6338678" y="2713259"/>
                <a:pt x="6354276" y="2697668"/>
                <a:pt x="6373504" y="2697668"/>
              </a:cubicBezTo>
              <a:cubicBezTo>
                <a:pt x="6392731" y="2697668"/>
                <a:pt x="6408316" y="2713259"/>
                <a:pt x="6408316" y="2732487"/>
              </a:cubicBezTo>
              <a:cubicBezTo>
                <a:pt x="6408316" y="2751715"/>
                <a:pt x="6392731" y="2767306"/>
                <a:pt x="6373504" y="2767306"/>
              </a:cubicBezTo>
              <a:close/>
              <a:moveTo>
                <a:pt x="6458396" y="2767306"/>
              </a:moveTo>
              <a:cubicBezTo>
                <a:pt x="6439168" y="2767306"/>
                <a:pt x="6423570" y="2751715"/>
                <a:pt x="6423570" y="2732487"/>
              </a:cubicBezTo>
              <a:cubicBezTo>
                <a:pt x="6423570" y="2713259"/>
                <a:pt x="6439168" y="2697668"/>
                <a:pt x="6458396" y="2697668"/>
              </a:cubicBezTo>
              <a:cubicBezTo>
                <a:pt x="6477624" y="2697668"/>
                <a:pt x="6493208" y="2713259"/>
                <a:pt x="6493208" y="2732487"/>
              </a:cubicBezTo>
              <a:cubicBezTo>
                <a:pt x="6493208" y="2751715"/>
                <a:pt x="6477624" y="2767306"/>
                <a:pt x="6458396" y="2767306"/>
              </a:cubicBezTo>
              <a:close/>
              <a:moveTo>
                <a:pt x="6543288" y="2767306"/>
              </a:moveTo>
              <a:cubicBezTo>
                <a:pt x="6524060" y="2767306"/>
                <a:pt x="6508463" y="2751715"/>
                <a:pt x="6508463" y="2732487"/>
              </a:cubicBezTo>
              <a:cubicBezTo>
                <a:pt x="6508463" y="2713259"/>
                <a:pt x="6524060" y="2697668"/>
                <a:pt x="6543288" y="2697668"/>
              </a:cubicBezTo>
              <a:cubicBezTo>
                <a:pt x="6562516" y="2697668"/>
                <a:pt x="6578100" y="2713259"/>
                <a:pt x="6578100" y="2732487"/>
              </a:cubicBezTo>
              <a:cubicBezTo>
                <a:pt x="6578100" y="2751715"/>
                <a:pt x="6562516" y="2767306"/>
                <a:pt x="6543288" y="2767306"/>
              </a:cubicBezTo>
              <a:close/>
              <a:moveTo>
                <a:pt x="6628181" y="2767306"/>
              </a:moveTo>
              <a:cubicBezTo>
                <a:pt x="6608954" y="2767306"/>
                <a:pt x="6593356" y="2751715"/>
                <a:pt x="6593356" y="2732487"/>
              </a:cubicBezTo>
              <a:cubicBezTo>
                <a:pt x="6593356" y="2713259"/>
                <a:pt x="6608954" y="2697668"/>
                <a:pt x="6628181" y="2697668"/>
              </a:cubicBezTo>
              <a:cubicBezTo>
                <a:pt x="6647409" y="2697668"/>
                <a:pt x="6662994" y="2713259"/>
                <a:pt x="6662994" y="2732487"/>
              </a:cubicBezTo>
              <a:cubicBezTo>
                <a:pt x="6662994" y="2751715"/>
                <a:pt x="6647409" y="2767306"/>
                <a:pt x="6628181" y="2767306"/>
              </a:cubicBezTo>
              <a:close/>
              <a:moveTo>
                <a:pt x="6713074" y="2767306"/>
              </a:moveTo>
              <a:cubicBezTo>
                <a:pt x="6693846" y="2767306"/>
                <a:pt x="6678248" y="2751715"/>
                <a:pt x="6678248" y="2732487"/>
              </a:cubicBezTo>
              <a:cubicBezTo>
                <a:pt x="6678248" y="2713259"/>
                <a:pt x="6693846" y="2697668"/>
                <a:pt x="6713074" y="2697668"/>
              </a:cubicBezTo>
              <a:cubicBezTo>
                <a:pt x="6732301" y="2697668"/>
                <a:pt x="6747886" y="2713259"/>
                <a:pt x="6747886" y="2732487"/>
              </a:cubicBezTo>
              <a:cubicBezTo>
                <a:pt x="6747886" y="2751715"/>
                <a:pt x="6732301" y="2767306"/>
                <a:pt x="6713074" y="2767306"/>
              </a:cubicBezTo>
              <a:close/>
              <a:moveTo>
                <a:pt x="6797966" y="2767306"/>
              </a:moveTo>
              <a:cubicBezTo>
                <a:pt x="6778738" y="2767306"/>
                <a:pt x="6763140" y="2751715"/>
                <a:pt x="6763140" y="2732487"/>
              </a:cubicBezTo>
              <a:cubicBezTo>
                <a:pt x="6763140" y="2713259"/>
                <a:pt x="6778738" y="2697668"/>
                <a:pt x="6797966" y="2697668"/>
              </a:cubicBezTo>
              <a:cubicBezTo>
                <a:pt x="6817194" y="2697668"/>
                <a:pt x="6832778" y="2713259"/>
                <a:pt x="6832778" y="2732487"/>
              </a:cubicBezTo>
              <a:cubicBezTo>
                <a:pt x="6832778" y="2751715"/>
                <a:pt x="6817194" y="2767306"/>
                <a:pt x="6797966" y="2767306"/>
              </a:cubicBezTo>
              <a:close/>
              <a:moveTo>
                <a:pt x="6882858" y="2767306"/>
              </a:moveTo>
              <a:cubicBezTo>
                <a:pt x="6863630" y="2767306"/>
                <a:pt x="6848033" y="2751715"/>
                <a:pt x="6848033" y="2732487"/>
              </a:cubicBezTo>
              <a:cubicBezTo>
                <a:pt x="6848033" y="2713259"/>
                <a:pt x="6863630" y="2697668"/>
                <a:pt x="6882858" y="2697668"/>
              </a:cubicBezTo>
              <a:cubicBezTo>
                <a:pt x="6902086" y="2697668"/>
                <a:pt x="6917670" y="2713259"/>
                <a:pt x="6917670" y="2732487"/>
              </a:cubicBezTo>
              <a:cubicBezTo>
                <a:pt x="6917670" y="2751715"/>
                <a:pt x="6902086" y="2767306"/>
                <a:pt x="6882858" y="2767306"/>
              </a:cubicBezTo>
              <a:close/>
              <a:moveTo>
                <a:pt x="6967750" y="2767306"/>
              </a:moveTo>
              <a:cubicBezTo>
                <a:pt x="6948523" y="2767306"/>
                <a:pt x="6932925" y="2751715"/>
                <a:pt x="6932925" y="2732487"/>
              </a:cubicBezTo>
              <a:cubicBezTo>
                <a:pt x="6932925" y="2713259"/>
                <a:pt x="6948523" y="2697668"/>
                <a:pt x="6967750" y="2697668"/>
              </a:cubicBezTo>
              <a:cubicBezTo>
                <a:pt x="6986978" y="2697668"/>
                <a:pt x="7002563" y="2713259"/>
                <a:pt x="7002563" y="2732487"/>
              </a:cubicBezTo>
              <a:cubicBezTo>
                <a:pt x="7002563" y="2751715"/>
                <a:pt x="6986978" y="2767306"/>
                <a:pt x="6967750" y="2767306"/>
              </a:cubicBezTo>
              <a:close/>
              <a:moveTo>
                <a:pt x="7052644" y="2767306"/>
              </a:moveTo>
              <a:cubicBezTo>
                <a:pt x="7033416" y="2767306"/>
                <a:pt x="7017818" y="2751715"/>
                <a:pt x="7017818" y="2732487"/>
              </a:cubicBezTo>
              <a:cubicBezTo>
                <a:pt x="7017818" y="2713259"/>
                <a:pt x="7033416" y="2697668"/>
                <a:pt x="7052644" y="2697668"/>
              </a:cubicBezTo>
              <a:cubicBezTo>
                <a:pt x="7071871" y="2697668"/>
                <a:pt x="7087456" y="2713259"/>
                <a:pt x="7087456" y="2732487"/>
              </a:cubicBezTo>
              <a:cubicBezTo>
                <a:pt x="7087456" y="2751715"/>
                <a:pt x="7071871" y="2767306"/>
                <a:pt x="7052644" y="2767306"/>
              </a:cubicBezTo>
              <a:close/>
              <a:moveTo>
                <a:pt x="7137536" y="2767306"/>
              </a:moveTo>
              <a:cubicBezTo>
                <a:pt x="7118308" y="2767306"/>
                <a:pt x="7102710" y="2751715"/>
                <a:pt x="7102710" y="2732487"/>
              </a:cubicBezTo>
              <a:cubicBezTo>
                <a:pt x="7102710" y="2713259"/>
                <a:pt x="7118308" y="2697668"/>
                <a:pt x="7137536" y="2697668"/>
              </a:cubicBezTo>
              <a:cubicBezTo>
                <a:pt x="7156764" y="2697668"/>
                <a:pt x="7172348" y="2713259"/>
                <a:pt x="7172348" y="2732487"/>
              </a:cubicBezTo>
              <a:cubicBezTo>
                <a:pt x="7172348" y="2751715"/>
                <a:pt x="7156764" y="2767306"/>
                <a:pt x="7137536" y="2767306"/>
              </a:cubicBezTo>
              <a:close/>
              <a:moveTo>
                <a:pt x="7222428" y="2767306"/>
              </a:moveTo>
              <a:cubicBezTo>
                <a:pt x="7203200" y="2767306"/>
                <a:pt x="7187603" y="2751715"/>
                <a:pt x="7187603" y="2732487"/>
              </a:cubicBezTo>
              <a:cubicBezTo>
                <a:pt x="7187603" y="2713259"/>
                <a:pt x="7203200" y="2697668"/>
                <a:pt x="7222428" y="2697668"/>
              </a:cubicBezTo>
              <a:cubicBezTo>
                <a:pt x="7241656" y="2697668"/>
                <a:pt x="7257240" y="2713259"/>
                <a:pt x="7257240" y="2732487"/>
              </a:cubicBezTo>
              <a:cubicBezTo>
                <a:pt x="7257240" y="2751715"/>
                <a:pt x="7241656" y="2767306"/>
                <a:pt x="7222428" y="2767306"/>
              </a:cubicBezTo>
              <a:close/>
              <a:moveTo>
                <a:pt x="7307320" y="2767306"/>
              </a:moveTo>
              <a:cubicBezTo>
                <a:pt x="7288093" y="2767306"/>
                <a:pt x="7272495" y="2751715"/>
                <a:pt x="7272495" y="2732487"/>
              </a:cubicBezTo>
              <a:cubicBezTo>
                <a:pt x="7272495" y="2713259"/>
                <a:pt x="7288093" y="2697668"/>
                <a:pt x="7307320" y="2697668"/>
              </a:cubicBezTo>
              <a:cubicBezTo>
                <a:pt x="7326548" y="2697668"/>
                <a:pt x="7342133" y="2713259"/>
                <a:pt x="7342133" y="2732487"/>
              </a:cubicBezTo>
              <a:cubicBezTo>
                <a:pt x="7342133" y="2751715"/>
                <a:pt x="7326548" y="2767306"/>
                <a:pt x="7307320" y="2767306"/>
              </a:cubicBezTo>
              <a:close/>
              <a:moveTo>
                <a:pt x="9090063" y="2767306"/>
              </a:moveTo>
              <a:cubicBezTo>
                <a:pt x="9070835" y="2767306"/>
                <a:pt x="9055237" y="2751715"/>
                <a:pt x="9055237" y="2732487"/>
              </a:cubicBezTo>
              <a:cubicBezTo>
                <a:pt x="9055237" y="2713259"/>
                <a:pt x="9070835" y="2697668"/>
                <a:pt x="9090063" y="2697668"/>
              </a:cubicBezTo>
              <a:cubicBezTo>
                <a:pt x="9109290" y="2697668"/>
                <a:pt x="9124875" y="2713259"/>
                <a:pt x="9124875" y="2732487"/>
              </a:cubicBezTo>
              <a:cubicBezTo>
                <a:pt x="9124875" y="2751715"/>
                <a:pt x="9109290" y="2767306"/>
                <a:pt x="9090063" y="2767306"/>
              </a:cubicBezTo>
              <a:close/>
              <a:moveTo>
                <a:pt x="9599418" y="2767306"/>
              </a:moveTo>
              <a:cubicBezTo>
                <a:pt x="9580190" y="2767306"/>
                <a:pt x="9564593" y="2751715"/>
                <a:pt x="9564593" y="2732487"/>
              </a:cubicBezTo>
              <a:cubicBezTo>
                <a:pt x="9564593" y="2713259"/>
                <a:pt x="9580190" y="2697668"/>
                <a:pt x="9599418" y="2697668"/>
              </a:cubicBezTo>
              <a:cubicBezTo>
                <a:pt x="9618646" y="2697668"/>
                <a:pt x="9634230" y="2713259"/>
                <a:pt x="9634230" y="2732487"/>
              </a:cubicBezTo>
              <a:cubicBezTo>
                <a:pt x="9634230" y="2751715"/>
                <a:pt x="9618646" y="2767306"/>
                <a:pt x="9599418" y="2767306"/>
              </a:cubicBezTo>
              <a:close/>
              <a:moveTo>
                <a:pt x="3487156" y="2682446"/>
              </a:moveTo>
              <a:cubicBezTo>
                <a:pt x="3467928" y="2682446"/>
                <a:pt x="3452337" y="2666855"/>
                <a:pt x="3452337" y="2647627"/>
              </a:cubicBezTo>
              <a:cubicBezTo>
                <a:pt x="3452337" y="2628399"/>
                <a:pt x="3467928" y="2612808"/>
                <a:pt x="3487156" y="2612808"/>
              </a:cubicBezTo>
              <a:cubicBezTo>
                <a:pt x="3506383" y="2612808"/>
                <a:pt x="3521974" y="2628399"/>
                <a:pt x="3521974" y="2647627"/>
              </a:cubicBezTo>
              <a:cubicBezTo>
                <a:pt x="3521974" y="2666855"/>
                <a:pt x="3506383" y="2682446"/>
                <a:pt x="3487156" y="2682446"/>
              </a:cubicBezTo>
              <a:close/>
              <a:moveTo>
                <a:pt x="3572048" y="2682446"/>
              </a:moveTo>
              <a:cubicBezTo>
                <a:pt x="3552820" y="2682446"/>
                <a:pt x="3537229" y="2666855"/>
                <a:pt x="3537229" y="2647627"/>
              </a:cubicBezTo>
              <a:cubicBezTo>
                <a:pt x="3537229" y="2628399"/>
                <a:pt x="3552820" y="2612808"/>
                <a:pt x="3572048" y="2612808"/>
              </a:cubicBezTo>
              <a:cubicBezTo>
                <a:pt x="3591276" y="2612808"/>
                <a:pt x="3606867" y="2628399"/>
                <a:pt x="3606867" y="2647627"/>
              </a:cubicBezTo>
              <a:cubicBezTo>
                <a:pt x="3606867" y="2666855"/>
                <a:pt x="3591276" y="2682446"/>
                <a:pt x="3572048" y="2682446"/>
              </a:cubicBezTo>
              <a:close/>
              <a:moveTo>
                <a:pt x="3656941" y="2682446"/>
              </a:moveTo>
              <a:cubicBezTo>
                <a:pt x="3637713" y="2682446"/>
                <a:pt x="3622122" y="2666855"/>
                <a:pt x="3622122" y="2647627"/>
              </a:cubicBezTo>
              <a:cubicBezTo>
                <a:pt x="3622122" y="2628399"/>
                <a:pt x="3637713" y="2612808"/>
                <a:pt x="3656941" y="2612808"/>
              </a:cubicBezTo>
              <a:cubicBezTo>
                <a:pt x="3676169" y="2612808"/>
                <a:pt x="3691760" y="2628399"/>
                <a:pt x="3691760" y="2647627"/>
              </a:cubicBezTo>
              <a:cubicBezTo>
                <a:pt x="3691760" y="2666855"/>
                <a:pt x="3676169" y="2682446"/>
                <a:pt x="3656941" y="2682446"/>
              </a:cubicBezTo>
              <a:close/>
              <a:moveTo>
                <a:pt x="3741833" y="2682446"/>
              </a:moveTo>
              <a:cubicBezTo>
                <a:pt x="3722606" y="2682446"/>
                <a:pt x="3707014" y="2666855"/>
                <a:pt x="3707014" y="2647627"/>
              </a:cubicBezTo>
              <a:cubicBezTo>
                <a:pt x="3707014" y="2628399"/>
                <a:pt x="3722606" y="2612808"/>
                <a:pt x="3741833" y="2612808"/>
              </a:cubicBezTo>
              <a:cubicBezTo>
                <a:pt x="3761061" y="2612808"/>
                <a:pt x="3776652" y="2628399"/>
                <a:pt x="3776652" y="2647627"/>
              </a:cubicBezTo>
              <a:cubicBezTo>
                <a:pt x="3776652" y="2666855"/>
                <a:pt x="3761061" y="2682446"/>
                <a:pt x="3741833" y="2682446"/>
              </a:cubicBezTo>
              <a:close/>
              <a:moveTo>
                <a:pt x="3826726" y="2682446"/>
              </a:moveTo>
              <a:cubicBezTo>
                <a:pt x="3807498" y="2682446"/>
                <a:pt x="3791907" y="2666855"/>
                <a:pt x="3791907" y="2647627"/>
              </a:cubicBezTo>
              <a:cubicBezTo>
                <a:pt x="3791907" y="2628399"/>
                <a:pt x="3807498" y="2612808"/>
                <a:pt x="3826726" y="2612808"/>
              </a:cubicBezTo>
              <a:cubicBezTo>
                <a:pt x="3845953" y="2612808"/>
                <a:pt x="3861544" y="2628399"/>
                <a:pt x="3861544" y="2647627"/>
              </a:cubicBezTo>
              <a:cubicBezTo>
                <a:pt x="3861544" y="2666855"/>
                <a:pt x="3845953" y="2682446"/>
                <a:pt x="3826726" y="2682446"/>
              </a:cubicBezTo>
              <a:close/>
              <a:moveTo>
                <a:pt x="3911618" y="2682446"/>
              </a:moveTo>
              <a:cubicBezTo>
                <a:pt x="3892390" y="2682446"/>
                <a:pt x="3876799" y="2666855"/>
                <a:pt x="3876799" y="2647627"/>
              </a:cubicBezTo>
              <a:cubicBezTo>
                <a:pt x="3876799" y="2628399"/>
                <a:pt x="3892390" y="2612808"/>
                <a:pt x="3911618" y="2612808"/>
              </a:cubicBezTo>
              <a:cubicBezTo>
                <a:pt x="3930846" y="2612808"/>
                <a:pt x="3946437" y="2628399"/>
                <a:pt x="3946437" y="2647627"/>
              </a:cubicBezTo>
              <a:cubicBezTo>
                <a:pt x="3946437" y="2666855"/>
                <a:pt x="3930846" y="2682446"/>
                <a:pt x="3911618" y="2682446"/>
              </a:cubicBezTo>
              <a:close/>
              <a:moveTo>
                <a:pt x="3996511" y="2682446"/>
              </a:moveTo>
              <a:cubicBezTo>
                <a:pt x="3977283" y="2682446"/>
                <a:pt x="3961692" y="2666855"/>
                <a:pt x="3961692" y="2647627"/>
              </a:cubicBezTo>
              <a:cubicBezTo>
                <a:pt x="3961692" y="2628399"/>
                <a:pt x="3977283" y="2612808"/>
                <a:pt x="3996511" y="2612808"/>
              </a:cubicBezTo>
              <a:cubicBezTo>
                <a:pt x="4015739" y="2612808"/>
                <a:pt x="4031330" y="2628399"/>
                <a:pt x="4031330" y="2647627"/>
              </a:cubicBezTo>
              <a:cubicBezTo>
                <a:pt x="4031330" y="2666855"/>
                <a:pt x="4015739" y="2682446"/>
                <a:pt x="3996511" y="2682446"/>
              </a:cubicBezTo>
              <a:close/>
              <a:moveTo>
                <a:pt x="4081403" y="2682446"/>
              </a:moveTo>
              <a:cubicBezTo>
                <a:pt x="4062176" y="2682446"/>
                <a:pt x="4046584" y="2666855"/>
                <a:pt x="4046584" y="2647627"/>
              </a:cubicBezTo>
              <a:cubicBezTo>
                <a:pt x="4046584" y="2628399"/>
                <a:pt x="4062176" y="2612808"/>
                <a:pt x="4081403" y="2612808"/>
              </a:cubicBezTo>
              <a:cubicBezTo>
                <a:pt x="4100631" y="2612808"/>
                <a:pt x="4116222" y="2628399"/>
                <a:pt x="4116222" y="2647627"/>
              </a:cubicBezTo>
              <a:cubicBezTo>
                <a:pt x="4116222" y="2666855"/>
                <a:pt x="4100631" y="2682446"/>
                <a:pt x="4081403" y="2682446"/>
              </a:cubicBezTo>
              <a:close/>
              <a:moveTo>
                <a:pt x="4166296" y="2682446"/>
              </a:moveTo>
              <a:cubicBezTo>
                <a:pt x="4147068" y="2682446"/>
                <a:pt x="4131477" y="2666855"/>
                <a:pt x="4131477" y="2647627"/>
              </a:cubicBezTo>
              <a:cubicBezTo>
                <a:pt x="4131477" y="2628399"/>
                <a:pt x="4147068" y="2612808"/>
                <a:pt x="4166296" y="2612808"/>
              </a:cubicBezTo>
              <a:cubicBezTo>
                <a:pt x="4185523" y="2612808"/>
                <a:pt x="4201114" y="2628399"/>
                <a:pt x="4201114" y="2647627"/>
              </a:cubicBezTo>
              <a:cubicBezTo>
                <a:pt x="4201114" y="2666855"/>
                <a:pt x="4185523" y="2682446"/>
                <a:pt x="4166296" y="2682446"/>
              </a:cubicBezTo>
              <a:close/>
              <a:moveTo>
                <a:pt x="4251188" y="2682446"/>
              </a:moveTo>
              <a:cubicBezTo>
                <a:pt x="4231960" y="2682446"/>
                <a:pt x="4216369" y="2666855"/>
                <a:pt x="4216369" y="2647627"/>
              </a:cubicBezTo>
              <a:cubicBezTo>
                <a:pt x="4216369" y="2628399"/>
                <a:pt x="4231960" y="2612808"/>
                <a:pt x="4251188" y="2612808"/>
              </a:cubicBezTo>
              <a:cubicBezTo>
                <a:pt x="4270416" y="2612808"/>
                <a:pt x="4286007" y="2628399"/>
                <a:pt x="4286007" y="2647627"/>
              </a:cubicBezTo>
              <a:cubicBezTo>
                <a:pt x="4286007" y="2666855"/>
                <a:pt x="4270416" y="2682446"/>
                <a:pt x="4251188" y="2682446"/>
              </a:cubicBezTo>
              <a:close/>
              <a:moveTo>
                <a:pt x="6203718" y="2682446"/>
              </a:moveTo>
              <a:cubicBezTo>
                <a:pt x="6184490" y="2682446"/>
                <a:pt x="6168893" y="2666855"/>
                <a:pt x="6168893" y="2647627"/>
              </a:cubicBezTo>
              <a:cubicBezTo>
                <a:pt x="6168893" y="2628399"/>
                <a:pt x="6184490" y="2612808"/>
                <a:pt x="6203718" y="2612808"/>
              </a:cubicBezTo>
              <a:cubicBezTo>
                <a:pt x="6222946" y="2612808"/>
                <a:pt x="6238530" y="2628399"/>
                <a:pt x="6238530" y="2647627"/>
              </a:cubicBezTo>
              <a:cubicBezTo>
                <a:pt x="6238530" y="2666855"/>
                <a:pt x="6222946" y="2682446"/>
                <a:pt x="6203718" y="2682446"/>
              </a:cubicBezTo>
              <a:close/>
              <a:moveTo>
                <a:pt x="6288611" y="2682446"/>
              </a:moveTo>
              <a:cubicBezTo>
                <a:pt x="6269384" y="2682446"/>
                <a:pt x="6253786" y="2666855"/>
                <a:pt x="6253786" y="2647627"/>
              </a:cubicBezTo>
              <a:cubicBezTo>
                <a:pt x="6253786" y="2628399"/>
                <a:pt x="6269384" y="2612808"/>
                <a:pt x="6288611" y="2612808"/>
              </a:cubicBezTo>
              <a:cubicBezTo>
                <a:pt x="6307839" y="2612808"/>
                <a:pt x="6323424" y="2628399"/>
                <a:pt x="6323424" y="2647627"/>
              </a:cubicBezTo>
              <a:cubicBezTo>
                <a:pt x="6323424" y="2666855"/>
                <a:pt x="6307839" y="2682446"/>
                <a:pt x="6288611" y="2682446"/>
              </a:cubicBezTo>
              <a:close/>
              <a:moveTo>
                <a:pt x="6373504" y="2682446"/>
              </a:moveTo>
              <a:cubicBezTo>
                <a:pt x="6354276" y="2682446"/>
                <a:pt x="6338678" y="2666855"/>
                <a:pt x="6338678" y="2647627"/>
              </a:cubicBezTo>
              <a:cubicBezTo>
                <a:pt x="6338678" y="2628399"/>
                <a:pt x="6354276" y="2612808"/>
                <a:pt x="6373504" y="2612808"/>
              </a:cubicBezTo>
              <a:cubicBezTo>
                <a:pt x="6392731" y="2612808"/>
                <a:pt x="6408316" y="2628399"/>
                <a:pt x="6408316" y="2647627"/>
              </a:cubicBezTo>
              <a:cubicBezTo>
                <a:pt x="6408316" y="2666855"/>
                <a:pt x="6392731" y="2682446"/>
                <a:pt x="6373504" y="2682446"/>
              </a:cubicBezTo>
              <a:close/>
              <a:moveTo>
                <a:pt x="6458396" y="2682446"/>
              </a:moveTo>
              <a:cubicBezTo>
                <a:pt x="6439168" y="2682446"/>
                <a:pt x="6423570" y="2666855"/>
                <a:pt x="6423570" y="2647627"/>
              </a:cubicBezTo>
              <a:cubicBezTo>
                <a:pt x="6423570" y="2628399"/>
                <a:pt x="6439168" y="2612808"/>
                <a:pt x="6458396" y="2612808"/>
              </a:cubicBezTo>
              <a:cubicBezTo>
                <a:pt x="6477624" y="2612808"/>
                <a:pt x="6493208" y="2628399"/>
                <a:pt x="6493208" y="2647627"/>
              </a:cubicBezTo>
              <a:cubicBezTo>
                <a:pt x="6493208" y="2666855"/>
                <a:pt x="6477624" y="2682446"/>
                <a:pt x="6458396" y="2682446"/>
              </a:cubicBezTo>
              <a:close/>
              <a:moveTo>
                <a:pt x="6543288" y="2682446"/>
              </a:moveTo>
              <a:cubicBezTo>
                <a:pt x="6524060" y="2682446"/>
                <a:pt x="6508463" y="2666855"/>
                <a:pt x="6508463" y="2647627"/>
              </a:cubicBezTo>
              <a:cubicBezTo>
                <a:pt x="6508463" y="2628399"/>
                <a:pt x="6524060" y="2612808"/>
                <a:pt x="6543288" y="2612808"/>
              </a:cubicBezTo>
              <a:cubicBezTo>
                <a:pt x="6562516" y="2612808"/>
                <a:pt x="6578100" y="2628399"/>
                <a:pt x="6578100" y="2647627"/>
              </a:cubicBezTo>
              <a:cubicBezTo>
                <a:pt x="6578100" y="2666855"/>
                <a:pt x="6562516" y="2682446"/>
                <a:pt x="6543288" y="2682446"/>
              </a:cubicBezTo>
              <a:close/>
              <a:moveTo>
                <a:pt x="6628181" y="2682446"/>
              </a:moveTo>
              <a:cubicBezTo>
                <a:pt x="6608954" y="2682446"/>
                <a:pt x="6593356" y="2666855"/>
                <a:pt x="6593356" y="2647627"/>
              </a:cubicBezTo>
              <a:cubicBezTo>
                <a:pt x="6593356" y="2628399"/>
                <a:pt x="6608954" y="2612808"/>
                <a:pt x="6628181" y="2612808"/>
              </a:cubicBezTo>
              <a:cubicBezTo>
                <a:pt x="6647409" y="2612808"/>
                <a:pt x="6662994" y="2628399"/>
                <a:pt x="6662994" y="2647627"/>
              </a:cubicBezTo>
              <a:cubicBezTo>
                <a:pt x="6662994" y="2666855"/>
                <a:pt x="6647409" y="2682446"/>
                <a:pt x="6628181" y="2682446"/>
              </a:cubicBezTo>
              <a:close/>
              <a:moveTo>
                <a:pt x="6713074" y="2682446"/>
              </a:moveTo>
              <a:cubicBezTo>
                <a:pt x="6693846" y="2682446"/>
                <a:pt x="6678248" y="2666855"/>
                <a:pt x="6678248" y="2647627"/>
              </a:cubicBezTo>
              <a:cubicBezTo>
                <a:pt x="6678248" y="2628399"/>
                <a:pt x="6693846" y="2612808"/>
                <a:pt x="6713074" y="2612808"/>
              </a:cubicBezTo>
              <a:cubicBezTo>
                <a:pt x="6732301" y="2612808"/>
                <a:pt x="6747886" y="2628399"/>
                <a:pt x="6747886" y="2647627"/>
              </a:cubicBezTo>
              <a:cubicBezTo>
                <a:pt x="6747886" y="2666855"/>
                <a:pt x="6732301" y="2682446"/>
                <a:pt x="6713074" y="2682446"/>
              </a:cubicBezTo>
              <a:close/>
              <a:moveTo>
                <a:pt x="6797966" y="2682446"/>
              </a:moveTo>
              <a:cubicBezTo>
                <a:pt x="6778738" y="2682446"/>
                <a:pt x="6763140" y="2666855"/>
                <a:pt x="6763140" y="2647627"/>
              </a:cubicBezTo>
              <a:cubicBezTo>
                <a:pt x="6763140" y="2628399"/>
                <a:pt x="6778738" y="2612808"/>
                <a:pt x="6797966" y="2612808"/>
              </a:cubicBezTo>
              <a:cubicBezTo>
                <a:pt x="6817194" y="2612808"/>
                <a:pt x="6832778" y="2628399"/>
                <a:pt x="6832778" y="2647627"/>
              </a:cubicBezTo>
              <a:cubicBezTo>
                <a:pt x="6832778" y="2666855"/>
                <a:pt x="6817194" y="2682446"/>
                <a:pt x="6797966" y="2682446"/>
              </a:cubicBezTo>
              <a:close/>
              <a:moveTo>
                <a:pt x="6882858" y="2682446"/>
              </a:moveTo>
              <a:cubicBezTo>
                <a:pt x="6863630" y="2682446"/>
                <a:pt x="6848033" y="2666855"/>
                <a:pt x="6848033" y="2647627"/>
              </a:cubicBezTo>
              <a:cubicBezTo>
                <a:pt x="6848033" y="2628399"/>
                <a:pt x="6863630" y="2612808"/>
                <a:pt x="6882858" y="2612808"/>
              </a:cubicBezTo>
              <a:cubicBezTo>
                <a:pt x="6902086" y="2612808"/>
                <a:pt x="6917670" y="2628399"/>
                <a:pt x="6917670" y="2647627"/>
              </a:cubicBezTo>
              <a:cubicBezTo>
                <a:pt x="6917670" y="2666855"/>
                <a:pt x="6902086" y="2682446"/>
                <a:pt x="6882858" y="2682446"/>
              </a:cubicBezTo>
              <a:close/>
              <a:moveTo>
                <a:pt x="6967750" y="2682446"/>
              </a:moveTo>
              <a:cubicBezTo>
                <a:pt x="6948523" y="2682446"/>
                <a:pt x="6932925" y="2666855"/>
                <a:pt x="6932925" y="2647627"/>
              </a:cubicBezTo>
              <a:cubicBezTo>
                <a:pt x="6932925" y="2628399"/>
                <a:pt x="6948523" y="2612808"/>
                <a:pt x="6967750" y="2612808"/>
              </a:cubicBezTo>
              <a:cubicBezTo>
                <a:pt x="6986978" y="2612808"/>
                <a:pt x="7002563" y="2628399"/>
                <a:pt x="7002563" y="2647627"/>
              </a:cubicBezTo>
              <a:cubicBezTo>
                <a:pt x="7002563" y="2666855"/>
                <a:pt x="6986978" y="2682446"/>
                <a:pt x="6967750" y="2682446"/>
              </a:cubicBezTo>
              <a:close/>
              <a:moveTo>
                <a:pt x="7052644" y="2682446"/>
              </a:moveTo>
              <a:cubicBezTo>
                <a:pt x="7033416" y="2682446"/>
                <a:pt x="7017818" y="2666855"/>
                <a:pt x="7017818" y="2647627"/>
              </a:cubicBezTo>
              <a:cubicBezTo>
                <a:pt x="7017818" y="2628399"/>
                <a:pt x="7033416" y="2612808"/>
                <a:pt x="7052644" y="2612808"/>
              </a:cubicBezTo>
              <a:cubicBezTo>
                <a:pt x="7071871" y="2612808"/>
                <a:pt x="7087456" y="2628399"/>
                <a:pt x="7087456" y="2647627"/>
              </a:cubicBezTo>
              <a:cubicBezTo>
                <a:pt x="7087456" y="2666855"/>
                <a:pt x="7071871" y="2682446"/>
                <a:pt x="7052644" y="2682446"/>
              </a:cubicBezTo>
              <a:close/>
              <a:moveTo>
                <a:pt x="7137536" y="2682446"/>
              </a:moveTo>
              <a:cubicBezTo>
                <a:pt x="7118308" y="2682446"/>
                <a:pt x="7102710" y="2666855"/>
                <a:pt x="7102710" y="2647627"/>
              </a:cubicBezTo>
              <a:cubicBezTo>
                <a:pt x="7102710" y="2628399"/>
                <a:pt x="7118308" y="2612808"/>
                <a:pt x="7137536" y="2612808"/>
              </a:cubicBezTo>
              <a:cubicBezTo>
                <a:pt x="7156764" y="2612808"/>
                <a:pt x="7172348" y="2628399"/>
                <a:pt x="7172348" y="2647627"/>
              </a:cubicBezTo>
              <a:cubicBezTo>
                <a:pt x="7172348" y="2666855"/>
                <a:pt x="7156764" y="2682446"/>
                <a:pt x="7137536" y="2682446"/>
              </a:cubicBezTo>
              <a:close/>
              <a:moveTo>
                <a:pt x="7222428" y="2682446"/>
              </a:moveTo>
              <a:cubicBezTo>
                <a:pt x="7203200" y="2682446"/>
                <a:pt x="7187603" y="2666855"/>
                <a:pt x="7187603" y="2647627"/>
              </a:cubicBezTo>
              <a:cubicBezTo>
                <a:pt x="7187603" y="2628399"/>
                <a:pt x="7203200" y="2612808"/>
                <a:pt x="7222428" y="2612808"/>
              </a:cubicBezTo>
              <a:cubicBezTo>
                <a:pt x="7241656" y="2612808"/>
                <a:pt x="7257240" y="2628399"/>
                <a:pt x="7257240" y="2647627"/>
              </a:cubicBezTo>
              <a:cubicBezTo>
                <a:pt x="7257240" y="2666855"/>
                <a:pt x="7241656" y="2682446"/>
                <a:pt x="7222428" y="2682446"/>
              </a:cubicBezTo>
              <a:close/>
              <a:moveTo>
                <a:pt x="8920278" y="2682446"/>
              </a:moveTo>
              <a:cubicBezTo>
                <a:pt x="8901050" y="2682446"/>
                <a:pt x="8885453" y="2666855"/>
                <a:pt x="8885453" y="2647627"/>
              </a:cubicBezTo>
              <a:cubicBezTo>
                <a:pt x="8885453" y="2628399"/>
                <a:pt x="8901050" y="2612808"/>
                <a:pt x="8920278" y="2612808"/>
              </a:cubicBezTo>
              <a:cubicBezTo>
                <a:pt x="8939506" y="2612808"/>
                <a:pt x="8955090" y="2628399"/>
                <a:pt x="8955090" y="2647627"/>
              </a:cubicBezTo>
              <a:cubicBezTo>
                <a:pt x="8955090" y="2666855"/>
                <a:pt x="8939506" y="2682446"/>
                <a:pt x="8920278" y="2682446"/>
              </a:cubicBezTo>
              <a:close/>
              <a:moveTo>
                <a:pt x="9090063" y="2682446"/>
              </a:moveTo>
              <a:cubicBezTo>
                <a:pt x="9070835" y="2682446"/>
                <a:pt x="9055237" y="2666855"/>
                <a:pt x="9055237" y="2647627"/>
              </a:cubicBezTo>
              <a:cubicBezTo>
                <a:pt x="9055237" y="2628399"/>
                <a:pt x="9070835" y="2612808"/>
                <a:pt x="9090063" y="2612808"/>
              </a:cubicBezTo>
              <a:cubicBezTo>
                <a:pt x="9109290" y="2612808"/>
                <a:pt x="9124875" y="2628399"/>
                <a:pt x="9124875" y="2647627"/>
              </a:cubicBezTo>
              <a:cubicBezTo>
                <a:pt x="9124875" y="2666855"/>
                <a:pt x="9109290" y="2682446"/>
                <a:pt x="9090063" y="2682446"/>
              </a:cubicBezTo>
              <a:close/>
              <a:moveTo>
                <a:pt x="9514525" y="2682446"/>
              </a:moveTo>
              <a:cubicBezTo>
                <a:pt x="9495297" y="2682446"/>
                <a:pt x="9479699" y="2666855"/>
                <a:pt x="9479699" y="2647627"/>
              </a:cubicBezTo>
              <a:cubicBezTo>
                <a:pt x="9479699" y="2628399"/>
                <a:pt x="9495297" y="2612808"/>
                <a:pt x="9514525" y="2612808"/>
              </a:cubicBezTo>
              <a:cubicBezTo>
                <a:pt x="9533753" y="2612808"/>
                <a:pt x="9549337" y="2628399"/>
                <a:pt x="9549337" y="2647627"/>
              </a:cubicBezTo>
              <a:cubicBezTo>
                <a:pt x="9549337" y="2666855"/>
                <a:pt x="9533753" y="2682446"/>
                <a:pt x="9514525" y="2682446"/>
              </a:cubicBezTo>
              <a:close/>
              <a:moveTo>
                <a:pt x="2977801" y="2597586"/>
              </a:moveTo>
              <a:cubicBezTo>
                <a:pt x="2958573" y="2597586"/>
                <a:pt x="2942982" y="2581995"/>
                <a:pt x="2942982" y="2562767"/>
              </a:cubicBezTo>
              <a:cubicBezTo>
                <a:pt x="2942982" y="2543540"/>
                <a:pt x="2958573" y="2527949"/>
                <a:pt x="2977801" y="2527949"/>
              </a:cubicBezTo>
              <a:cubicBezTo>
                <a:pt x="2997029" y="2527949"/>
                <a:pt x="3012620" y="2543540"/>
                <a:pt x="3012620" y="2562767"/>
              </a:cubicBezTo>
              <a:cubicBezTo>
                <a:pt x="3012620" y="2581995"/>
                <a:pt x="2997029" y="2597586"/>
                <a:pt x="2977801" y="2597586"/>
              </a:cubicBezTo>
              <a:close/>
              <a:moveTo>
                <a:pt x="3402263" y="2597586"/>
              </a:moveTo>
              <a:cubicBezTo>
                <a:pt x="3383036" y="2597586"/>
                <a:pt x="3367444" y="2581995"/>
                <a:pt x="3367444" y="2562767"/>
              </a:cubicBezTo>
              <a:cubicBezTo>
                <a:pt x="3367444" y="2543540"/>
                <a:pt x="3383036" y="2527949"/>
                <a:pt x="3402263" y="2527949"/>
              </a:cubicBezTo>
              <a:cubicBezTo>
                <a:pt x="3421491" y="2527949"/>
                <a:pt x="3437082" y="2543540"/>
                <a:pt x="3437082" y="2562767"/>
              </a:cubicBezTo>
              <a:cubicBezTo>
                <a:pt x="3437082" y="2581995"/>
                <a:pt x="3421491" y="2597586"/>
                <a:pt x="3402263" y="2597586"/>
              </a:cubicBezTo>
              <a:close/>
              <a:moveTo>
                <a:pt x="3487156" y="2597586"/>
              </a:moveTo>
              <a:cubicBezTo>
                <a:pt x="3467928" y="2597586"/>
                <a:pt x="3452337" y="2581995"/>
                <a:pt x="3452337" y="2562767"/>
              </a:cubicBezTo>
              <a:cubicBezTo>
                <a:pt x="3452337" y="2543540"/>
                <a:pt x="3467928" y="2527949"/>
                <a:pt x="3487156" y="2527949"/>
              </a:cubicBezTo>
              <a:cubicBezTo>
                <a:pt x="3506383" y="2527949"/>
                <a:pt x="3521974" y="2543540"/>
                <a:pt x="3521974" y="2562767"/>
              </a:cubicBezTo>
              <a:cubicBezTo>
                <a:pt x="3521974" y="2581995"/>
                <a:pt x="3506383" y="2597586"/>
                <a:pt x="3487156" y="2597586"/>
              </a:cubicBezTo>
              <a:close/>
              <a:moveTo>
                <a:pt x="3572048" y="2597586"/>
              </a:moveTo>
              <a:cubicBezTo>
                <a:pt x="3552820" y="2597586"/>
                <a:pt x="3537229" y="2581995"/>
                <a:pt x="3537229" y="2562767"/>
              </a:cubicBezTo>
              <a:cubicBezTo>
                <a:pt x="3537229" y="2543540"/>
                <a:pt x="3552820" y="2527949"/>
                <a:pt x="3572048" y="2527949"/>
              </a:cubicBezTo>
              <a:cubicBezTo>
                <a:pt x="3591276" y="2527949"/>
                <a:pt x="3606867" y="2543540"/>
                <a:pt x="3606867" y="2562767"/>
              </a:cubicBezTo>
              <a:cubicBezTo>
                <a:pt x="3606867" y="2581995"/>
                <a:pt x="3591276" y="2597586"/>
                <a:pt x="3572048" y="2597586"/>
              </a:cubicBezTo>
              <a:close/>
              <a:moveTo>
                <a:pt x="3656941" y="2597586"/>
              </a:moveTo>
              <a:cubicBezTo>
                <a:pt x="3637713" y="2597586"/>
                <a:pt x="3622122" y="2581995"/>
                <a:pt x="3622122" y="2562767"/>
              </a:cubicBezTo>
              <a:cubicBezTo>
                <a:pt x="3622122" y="2543540"/>
                <a:pt x="3637713" y="2527949"/>
                <a:pt x="3656941" y="2527949"/>
              </a:cubicBezTo>
              <a:cubicBezTo>
                <a:pt x="3676169" y="2527949"/>
                <a:pt x="3691760" y="2543540"/>
                <a:pt x="3691760" y="2562767"/>
              </a:cubicBezTo>
              <a:cubicBezTo>
                <a:pt x="3691760" y="2581995"/>
                <a:pt x="3676169" y="2597586"/>
                <a:pt x="3656941" y="2597586"/>
              </a:cubicBezTo>
              <a:close/>
              <a:moveTo>
                <a:pt x="3741833" y="2597586"/>
              </a:moveTo>
              <a:cubicBezTo>
                <a:pt x="3722606" y="2597586"/>
                <a:pt x="3707014" y="2581995"/>
                <a:pt x="3707014" y="2562767"/>
              </a:cubicBezTo>
              <a:cubicBezTo>
                <a:pt x="3707014" y="2543540"/>
                <a:pt x="3722606" y="2527949"/>
                <a:pt x="3741833" y="2527949"/>
              </a:cubicBezTo>
              <a:cubicBezTo>
                <a:pt x="3761061" y="2527949"/>
                <a:pt x="3776652" y="2543540"/>
                <a:pt x="3776652" y="2562767"/>
              </a:cubicBezTo>
              <a:cubicBezTo>
                <a:pt x="3776652" y="2581995"/>
                <a:pt x="3761061" y="2597586"/>
                <a:pt x="3741833" y="2597586"/>
              </a:cubicBezTo>
              <a:close/>
              <a:moveTo>
                <a:pt x="3826726" y="2597586"/>
              </a:moveTo>
              <a:cubicBezTo>
                <a:pt x="3807498" y="2597586"/>
                <a:pt x="3791907" y="2581995"/>
                <a:pt x="3791907" y="2562767"/>
              </a:cubicBezTo>
              <a:cubicBezTo>
                <a:pt x="3791907" y="2543540"/>
                <a:pt x="3807498" y="2527949"/>
                <a:pt x="3826726" y="2527949"/>
              </a:cubicBezTo>
              <a:cubicBezTo>
                <a:pt x="3845953" y="2527949"/>
                <a:pt x="3861544" y="2543540"/>
                <a:pt x="3861544" y="2562767"/>
              </a:cubicBezTo>
              <a:cubicBezTo>
                <a:pt x="3861544" y="2581995"/>
                <a:pt x="3845953" y="2597586"/>
                <a:pt x="3826726" y="2597586"/>
              </a:cubicBezTo>
              <a:close/>
              <a:moveTo>
                <a:pt x="3911618" y="2597586"/>
              </a:moveTo>
              <a:cubicBezTo>
                <a:pt x="3892390" y="2597586"/>
                <a:pt x="3876799" y="2581995"/>
                <a:pt x="3876799" y="2562767"/>
              </a:cubicBezTo>
              <a:cubicBezTo>
                <a:pt x="3876799" y="2543540"/>
                <a:pt x="3892390" y="2527949"/>
                <a:pt x="3911618" y="2527949"/>
              </a:cubicBezTo>
              <a:cubicBezTo>
                <a:pt x="3930846" y="2527949"/>
                <a:pt x="3946437" y="2543540"/>
                <a:pt x="3946437" y="2562767"/>
              </a:cubicBezTo>
              <a:cubicBezTo>
                <a:pt x="3946437" y="2581995"/>
                <a:pt x="3930846" y="2597586"/>
                <a:pt x="3911618" y="2597586"/>
              </a:cubicBezTo>
              <a:close/>
              <a:moveTo>
                <a:pt x="3996511" y="2597586"/>
              </a:moveTo>
              <a:cubicBezTo>
                <a:pt x="3977283" y="2597586"/>
                <a:pt x="3961692" y="2581995"/>
                <a:pt x="3961692" y="2562767"/>
              </a:cubicBezTo>
              <a:cubicBezTo>
                <a:pt x="3961692" y="2543540"/>
                <a:pt x="3977283" y="2527949"/>
                <a:pt x="3996511" y="2527949"/>
              </a:cubicBezTo>
              <a:cubicBezTo>
                <a:pt x="4015739" y="2527949"/>
                <a:pt x="4031330" y="2543540"/>
                <a:pt x="4031330" y="2562767"/>
              </a:cubicBezTo>
              <a:cubicBezTo>
                <a:pt x="4031330" y="2581995"/>
                <a:pt x="4015739" y="2597586"/>
                <a:pt x="3996511" y="2597586"/>
              </a:cubicBezTo>
              <a:close/>
              <a:moveTo>
                <a:pt x="4081403" y="2597586"/>
              </a:moveTo>
              <a:cubicBezTo>
                <a:pt x="4062176" y="2597586"/>
                <a:pt x="4046584" y="2581995"/>
                <a:pt x="4046584" y="2562767"/>
              </a:cubicBezTo>
              <a:cubicBezTo>
                <a:pt x="4046584" y="2543540"/>
                <a:pt x="4062176" y="2527949"/>
                <a:pt x="4081403" y="2527949"/>
              </a:cubicBezTo>
              <a:cubicBezTo>
                <a:pt x="4100631" y="2527949"/>
                <a:pt x="4116222" y="2543540"/>
                <a:pt x="4116222" y="2562767"/>
              </a:cubicBezTo>
              <a:cubicBezTo>
                <a:pt x="4116222" y="2581995"/>
                <a:pt x="4100631" y="2597586"/>
                <a:pt x="4081403" y="2597586"/>
              </a:cubicBezTo>
              <a:close/>
              <a:moveTo>
                <a:pt x="4166296" y="2597586"/>
              </a:moveTo>
              <a:cubicBezTo>
                <a:pt x="4147068" y="2597586"/>
                <a:pt x="4131477" y="2581995"/>
                <a:pt x="4131477" y="2562767"/>
              </a:cubicBezTo>
              <a:cubicBezTo>
                <a:pt x="4131477" y="2543540"/>
                <a:pt x="4147068" y="2527949"/>
                <a:pt x="4166296" y="2527949"/>
              </a:cubicBezTo>
              <a:cubicBezTo>
                <a:pt x="4185523" y="2527949"/>
                <a:pt x="4201114" y="2543540"/>
                <a:pt x="4201114" y="2562767"/>
              </a:cubicBezTo>
              <a:cubicBezTo>
                <a:pt x="4201114" y="2581995"/>
                <a:pt x="4185523" y="2597586"/>
                <a:pt x="4166296" y="2597586"/>
              </a:cubicBezTo>
              <a:close/>
              <a:moveTo>
                <a:pt x="4251188" y="2597586"/>
              </a:moveTo>
              <a:cubicBezTo>
                <a:pt x="4231960" y="2597586"/>
                <a:pt x="4216369" y="2581995"/>
                <a:pt x="4216369" y="2562767"/>
              </a:cubicBezTo>
              <a:cubicBezTo>
                <a:pt x="4216369" y="2543540"/>
                <a:pt x="4231960" y="2527949"/>
                <a:pt x="4251188" y="2527949"/>
              </a:cubicBezTo>
              <a:cubicBezTo>
                <a:pt x="4270416" y="2527949"/>
                <a:pt x="4286007" y="2543540"/>
                <a:pt x="4286007" y="2562767"/>
              </a:cubicBezTo>
              <a:cubicBezTo>
                <a:pt x="4286007" y="2581995"/>
                <a:pt x="4270416" y="2597586"/>
                <a:pt x="4251188" y="2597586"/>
              </a:cubicBezTo>
              <a:close/>
              <a:moveTo>
                <a:pt x="6203718" y="2597586"/>
              </a:moveTo>
              <a:cubicBezTo>
                <a:pt x="6184490" y="2597586"/>
                <a:pt x="6168893" y="2581995"/>
                <a:pt x="6168893" y="2562767"/>
              </a:cubicBezTo>
              <a:cubicBezTo>
                <a:pt x="6168893" y="2543540"/>
                <a:pt x="6184490" y="2527949"/>
                <a:pt x="6203718" y="2527949"/>
              </a:cubicBezTo>
              <a:cubicBezTo>
                <a:pt x="6222946" y="2527949"/>
                <a:pt x="6238530" y="2543540"/>
                <a:pt x="6238530" y="2562767"/>
              </a:cubicBezTo>
              <a:cubicBezTo>
                <a:pt x="6238530" y="2581995"/>
                <a:pt x="6222946" y="2597586"/>
                <a:pt x="6203718" y="2597586"/>
              </a:cubicBezTo>
              <a:close/>
              <a:moveTo>
                <a:pt x="6288611" y="2597586"/>
              </a:moveTo>
              <a:cubicBezTo>
                <a:pt x="6269384" y="2597586"/>
                <a:pt x="6253786" y="2581995"/>
                <a:pt x="6253786" y="2562767"/>
              </a:cubicBezTo>
              <a:cubicBezTo>
                <a:pt x="6253786" y="2543540"/>
                <a:pt x="6269384" y="2527949"/>
                <a:pt x="6288611" y="2527949"/>
              </a:cubicBezTo>
              <a:cubicBezTo>
                <a:pt x="6307839" y="2527949"/>
                <a:pt x="6323424" y="2543540"/>
                <a:pt x="6323424" y="2562767"/>
              </a:cubicBezTo>
              <a:cubicBezTo>
                <a:pt x="6323424" y="2581995"/>
                <a:pt x="6307839" y="2597586"/>
                <a:pt x="6288611" y="2597586"/>
              </a:cubicBezTo>
              <a:close/>
              <a:moveTo>
                <a:pt x="6373504" y="2597586"/>
              </a:moveTo>
              <a:cubicBezTo>
                <a:pt x="6354276" y="2597586"/>
                <a:pt x="6338678" y="2581995"/>
                <a:pt x="6338678" y="2562767"/>
              </a:cubicBezTo>
              <a:cubicBezTo>
                <a:pt x="6338678" y="2543540"/>
                <a:pt x="6354276" y="2527949"/>
                <a:pt x="6373504" y="2527949"/>
              </a:cubicBezTo>
              <a:cubicBezTo>
                <a:pt x="6392731" y="2527949"/>
                <a:pt x="6408316" y="2543540"/>
                <a:pt x="6408316" y="2562767"/>
              </a:cubicBezTo>
              <a:cubicBezTo>
                <a:pt x="6408316" y="2581995"/>
                <a:pt x="6392731" y="2597586"/>
                <a:pt x="6373504" y="2597586"/>
              </a:cubicBezTo>
              <a:close/>
              <a:moveTo>
                <a:pt x="6458396" y="2597586"/>
              </a:moveTo>
              <a:cubicBezTo>
                <a:pt x="6439168" y="2597586"/>
                <a:pt x="6423570" y="2581995"/>
                <a:pt x="6423570" y="2562767"/>
              </a:cubicBezTo>
              <a:cubicBezTo>
                <a:pt x="6423570" y="2543540"/>
                <a:pt x="6439168" y="2527949"/>
                <a:pt x="6458396" y="2527949"/>
              </a:cubicBezTo>
              <a:cubicBezTo>
                <a:pt x="6477624" y="2527949"/>
                <a:pt x="6493208" y="2543540"/>
                <a:pt x="6493208" y="2562767"/>
              </a:cubicBezTo>
              <a:cubicBezTo>
                <a:pt x="6493208" y="2581995"/>
                <a:pt x="6477624" y="2597586"/>
                <a:pt x="6458396" y="2597586"/>
              </a:cubicBezTo>
              <a:close/>
              <a:moveTo>
                <a:pt x="6543288" y="2597586"/>
              </a:moveTo>
              <a:cubicBezTo>
                <a:pt x="6524060" y="2597586"/>
                <a:pt x="6508463" y="2581995"/>
                <a:pt x="6508463" y="2562767"/>
              </a:cubicBezTo>
              <a:cubicBezTo>
                <a:pt x="6508463" y="2543540"/>
                <a:pt x="6524060" y="2527949"/>
                <a:pt x="6543288" y="2527949"/>
              </a:cubicBezTo>
              <a:cubicBezTo>
                <a:pt x="6562516" y="2527949"/>
                <a:pt x="6578100" y="2543540"/>
                <a:pt x="6578100" y="2562767"/>
              </a:cubicBezTo>
              <a:cubicBezTo>
                <a:pt x="6578100" y="2581995"/>
                <a:pt x="6562516" y="2597586"/>
                <a:pt x="6543288" y="2597586"/>
              </a:cubicBezTo>
              <a:close/>
              <a:moveTo>
                <a:pt x="6628181" y="2597586"/>
              </a:moveTo>
              <a:cubicBezTo>
                <a:pt x="6608954" y="2597586"/>
                <a:pt x="6593356" y="2581995"/>
                <a:pt x="6593356" y="2562767"/>
              </a:cubicBezTo>
              <a:cubicBezTo>
                <a:pt x="6593356" y="2543540"/>
                <a:pt x="6608954" y="2527949"/>
                <a:pt x="6628181" y="2527949"/>
              </a:cubicBezTo>
              <a:cubicBezTo>
                <a:pt x="6647409" y="2527949"/>
                <a:pt x="6662994" y="2543540"/>
                <a:pt x="6662994" y="2562767"/>
              </a:cubicBezTo>
              <a:cubicBezTo>
                <a:pt x="6662994" y="2581995"/>
                <a:pt x="6647409" y="2597586"/>
                <a:pt x="6628181" y="2597586"/>
              </a:cubicBezTo>
              <a:close/>
              <a:moveTo>
                <a:pt x="6713074" y="2597586"/>
              </a:moveTo>
              <a:cubicBezTo>
                <a:pt x="6693846" y="2597586"/>
                <a:pt x="6678248" y="2581995"/>
                <a:pt x="6678248" y="2562767"/>
              </a:cubicBezTo>
              <a:cubicBezTo>
                <a:pt x="6678248" y="2543540"/>
                <a:pt x="6693846" y="2527949"/>
                <a:pt x="6713074" y="2527949"/>
              </a:cubicBezTo>
              <a:cubicBezTo>
                <a:pt x="6732301" y="2527949"/>
                <a:pt x="6747886" y="2543540"/>
                <a:pt x="6747886" y="2562767"/>
              </a:cubicBezTo>
              <a:cubicBezTo>
                <a:pt x="6747886" y="2581995"/>
                <a:pt x="6732301" y="2597586"/>
                <a:pt x="6713074" y="2597586"/>
              </a:cubicBezTo>
              <a:close/>
              <a:moveTo>
                <a:pt x="6797966" y="2597586"/>
              </a:moveTo>
              <a:cubicBezTo>
                <a:pt x="6778738" y="2597586"/>
                <a:pt x="6763140" y="2581995"/>
                <a:pt x="6763140" y="2562767"/>
              </a:cubicBezTo>
              <a:cubicBezTo>
                <a:pt x="6763140" y="2543540"/>
                <a:pt x="6778738" y="2527949"/>
                <a:pt x="6797966" y="2527949"/>
              </a:cubicBezTo>
              <a:cubicBezTo>
                <a:pt x="6817194" y="2527949"/>
                <a:pt x="6832778" y="2543540"/>
                <a:pt x="6832778" y="2562767"/>
              </a:cubicBezTo>
              <a:cubicBezTo>
                <a:pt x="6832778" y="2581995"/>
                <a:pt x="6817194" y="2597586"/>
                <a:pt x="6797966" y="2597586"/>
              </a:cubicBezTo>
              <a:close/>
              <a:moveTo>
                <a:pt x="6967750" y="2597586"/>
              </a:moveTo>
              <a:cubicBezTo>
                <a:pt x="6948523" y="2597586"/>
                <a:pt x="6932925" y="2581995"/>
                <a:pt x="6932925" y="2562767"/>
              </a:cubicBezTo>
              <a:cubicBezTo>
                <a:pt x="6932925" y="2543540"/>
                <a:pt x="6948523" y="2527949"/>
                <a:pt x="6967750" y="2527949"/>
              </a:cubicBezTo>
              <a:cubicBezTo>
                <a:pt x="6986978" y="2527949"/>
                <a:pt x="7002563" y="2543540"/>
                <a:pt x="7002563" y="2562767"/>
              </a:cubicBezTo>
              <a:cubicBezTo>
                <a:pt x="7002563" y="2581995"/>
                <a:pt x="6986978" y="2597586"/>
                <a:pt x="6967750" y="2597586"/>
              </a:cubicBezTo>
              <a:close/>
              <a:moveTo>
                <a:pt x="7052644" y="2597586"/>
              </a:moveTo>
              <a:cubicBezTo>
                <a:pt x="7033416" y="2597586"/>
                <a:pt x="7017818" y="2581995"/>
                <a:pt x="7017818" y="2562767"/>
              </a:cubicBezTo>
              <a:cubicBezTo>
                <a:pt x="7017818" y="2543540"/>
                <a:pt x="7033416" y="2527949"/>
                <a:pt x="7052644" y="2527949"/>
              </a:cubicBezTo>
              <a:cubicBezTo>
                <a:pt x="7071871" y="2527949"/>
                <a:pt x="7087456" y="2543540"/>
                <a:pt x="7087456" y="2562767"/>
              </a:cubicBezTo>
              <a:cubicBezTo>
                <a:pt x="7087456" y="2581995"/>
                <a:pt x="7071871" y="2597586"/>
                <a:pt x="7052644" y="2597586"/>
              </a:cubicBezTo>
              <a:close/>
              <a:moveTo>
                <a:pt x="7137536" y="2597586"/>
              </a:moveTo>
              <a:cubicBezTo>
                <a:pt x="7118308" y="2597586"/>
                <a:pt x="7102710" y="2581995"/>
                <a:pt x="7102710" y="2562767"/>
              </a:cubicBezTo>
              <a:cubicBezTo>
                <a:pt x="7102710" y="2543540"/>
                <a:pt x="7118308" y="2527949"/>
                <a:pt x="7137536" y="2527949"/>
              </a:cubicBezTo>
              <a:cubicBezTo>
                <a:pt x="7156764" y="2527949"/>
                <a:pt x="7172348" y="2543540"/>
                <a:pt x="7172348" y="2562767"/>
              </a:cubicBezTo>
              <a:cubicBezTo>
                <a:pt x="7172348" y="2581995"/>
                <a:pt x="7156764" y="2597586"/>
                <a:pt x="7137536" y="2597586"/>
              </a:cubicBezTo>
              <a:close/>
              <a:moveTo>
                <a:pt x="9005170" y="2597586"/>
              </a:moveTo>
              <a:cubicBezTo>
                <a:pt x="8985943" y="2597586"/>
                <a:pt x="8970345" y="2581995"/>
                <a:pt x="8970345" y="2562767"/>
              </a:cubicBezTo>
              <a:cubicBezTo>
                <a:pt x="8970345" y="2543540"/>
                <a:pt x="8985943" y="2527949"/>
                <a:pt x="9005170" y="2527949"/>
              </a:cubicBezTo>
              <a:cubicBezTo>
                <a:pt x="9024398" y="2527949"/>
                <a:pt x="9039983" y="2543540"/>
                <a:pt x="9039983" y="2562767"/>
              </a:cubicBezTo>
              <a:cubicBezTo>
                <a:pt x="9039983" y="2581995"/>
                <a:pt x="9024398" y="2597586"/>
                <a:pt x="9005170" y="2597586"/>
              </a:cubicBezTo>
              <a:close/>
              <a:moveTo>
                <a:pt x="9090063" y="2597586"/>
              </a:moveTo>
              <a:cubicBezTo>
                <a:pt x="9070835" y="2597586"/>
                <a:pt x="9055237" y="2581995"/>
                <a:pt x="9055237" y="2562767"/>
              </a:cubicBezTo>
              <a:cubicBezTo>
                <a:pt x="9055237" y="2543540"/>
                <a:pt x="9070835" y="2527949"/>
                <a:pt x="9090063" y="2527949"/>
              </a:cubicBezTo>
              <a:cubicBezTo>
                <a:pt x="9109290" y="2527949"/>
                <a:pt x="9124875" y="2543540"/>
                <a:pt x="9124875" y="2562767"/>
              </a:cubicBezTo>
              <a:cubicBezTo>
                <a:pt x="9124875" y="2581995"/>
                <a:pt x="9109290" y="2597586"/>
                <a:pt x="9090063" y="2597586"/>
              </a:cubicBezTo>
              <a:close/>
              <a:moveTo>
                <a:pt x="9344740" y="2597586"/>
              </a:moveTo>
              <a:cubicBezTo>
                <a:pt x="9325513" y="2597586"/>
                <a:pt x="9309915" y="2581995"/>
                <a:pt x="9309915" y="2562767"/>
              </a:cubicBezTo>
              <a:cubicBezTo>
                <a:pt x="9309915" y="2543540"/>
                <a:pt x="9325513" y="2527949"/>
                <a:pt x="9344740" y="2527949"/>
              </a:cubicBezTo>
              <a:cubicBezTo>
                <a:pt x="9363968" y="2527949"/>
                <a:pt x="9379553" y="2543540"/>
                <a:pt x="9379553" y="2562767"/>
              </a:cubicBezTo>
              <a:cubicBezTo>
                <a:pt x="9379553" y="2581995"/>
                <a:pt x="9363968" y="2597586"/>
                <a:pt x="9344740" y="2597586"/>
              </a:cubicBezTo>
              <a:close/>
              <a:moveTo>
                <a:pt x="9429633" y="2597586"/>
              </a:moveTo>
              <a:cubicBezTo>
                <a:pt x="9410405" y="2597586"/>
                <a:pt x="9394807" y="2581995"/>
                <a:pt x="9394807" y="2562767"/>
              </a:cubicBezTo>
              <a:cubicBezTo>
                <a:pt x="9394807" y="2543540"/>
                <a:pt x="9410405" y="2527949"/>
                <a:pt x="9429633" y="2527949"/>
              </a:cubicBezTo>
              <a:cubicBezTo>
                <a:pt x="9448860" y="2527949"/>
                <a:pt x="9464445" y="2543540"/>
                <a:pt x="9464445" y="2562767"/>
              </a:cubicBezTo>
              <a:cubicBezTo>
                <a:pt x="9464445" y="2581995"/>
                <a:pt x="9448860" y="2597586"/>
                <a:pt x="9429633" y="2597586"/>
              </a:cubicBezTo>
              <a:close/>
              <a:moveTo>
                <a:pt x="9514525" y="2597586"/>
              </a:moveTo>
              <a:cubicBezTo>
                <a:pt x="9495297" y="2597586"/>
                <a:pt x="9479699" y="2581995"/>
                <a:pt x="9479699" y="2562767"/>
              </a:cubicBezTo>
              <a:cubicBezTo>
                <a:pt x="9479699" y="2543540"/>
                <a:pt x="9495297" y="2527949"/>
                <a:pt x="9514525" y="2527949"/>
              </a:cubicBezTo>
              <a:cubicBezTo>
                <a:pt x="9533753" y="2527949"/>
                <a:pt x="9549337" y="2543540"/>
                <a:pt x="9549337" y="2562767"/>
              </a:cubicBezTo>
              <a:cubicBezTo>
                <a:pt x="9549337" y="2581995"/>
                <a:pt x="9533753" y="2597586"/>
                <a:pt x="9514525" y="2597586"/>
              </a:cubicBezTo>
              <a:close/>
              <a:moveTo>
                <a:pt x="9769203" y="2597586"/>
              </a:moveTo>
              <a:cubicBezTo>
                <a:pt x="9749975" y="2597586"/>
                <a:pt x="9734377" y="2581995"/>
                <a:pt x="9734377" y="2562767"/>
              </a:cubicBezTo>
              <a:cubicBezTo>
                <a:pt x="9734377" y="2543540"/>
                <a:pt x="9749975" y="2527949"/>
                <a:pt x="9769203" y="2527949"/>
              </a:cubicBezTo>
              <a:cubicBezTo>
                <a:pt x="9788430" y="2527949"/>
                <a:pt x="9804015" y="2543540"/>
                <a:pt x="9804015" y="2562767"/>
              </a:cubicBezTo>
              <a:cubicBezTo>
                <a:pt x="9804015" y="2581995"/>
                <a:pt x="9788430" y="2597586"/>
                <a:pt x="9769203" y="2597586"/>
              </a:cubicBezTo>
              <a:close/>
              <a:moveTo>
                <a:pt x="9938988" y="2597586"/>
              </a:moveTo>
              <a:cubicBezTo>
                <a:pt x="9919760" y="2597586"/>
                <a:pt x="9904163" y="2581995"/>
                <a:pt x="9904163" y="2562767"/>
              </a:cubicBezTo>
              <a:cubicBezTo>
                <a:pt x="9904163" y="2543540"/>
                <a:pt x="9919760" y="2527949"/>
                <a:pt x="9938988" y="2527949"/>
              </a:cubicBezTo>
              <a:cubicBezTo>
                <a:pt x="9958216" y="2527949"/>
                <a:pt x="9973800" y="2543540"/>
                <a:pt x="9973800" y="2562767"/>
              </a:cubicBezTo>
              <a:cubicBezTo>
                <a:pt x="9973800" y="2581995"/>
                <a:pt x="9958216" y="2597586"/>
                <a:pt x="9938988" y="2597586"/>
              </a:cubicBezTo>
              <a:close/>
              <a:moveTo>
                <a:pt x="3402263" y="2512726"/>
              </a:moveTo>
              <a:cubicBezTo>
                <a:pt x="3383036" y="2512726"/>
                <a:pt x="3367444" y="2497135"/>
                <a:pt x="3367444" y="2477908"/>
              </a:cubicBezTo>
              <a:cubicBezTo>
                <a:pt x="3367444" y="2458680"/>
                <a:pt x="3383036" y="2443089"/>
                <a:pt x="3402263" y="2443089"/>
              </a:cubicBezTo>
              <a:cubicBezTo>
                <a:pt x="3421491" y="2443089"/>
                <a:pt x="3437082" y="2458680"/>
                <a:pt x="3437082" y="2477908"/>
              </a:cubicBezTo>
              <a:cubicBezTo>
                <a:pt x="3437082" y="2497135"/>
                <a:pt x="3421491" y="2512726"/>
                <a:pt x="3402263" y="2512726"/>
              </a:cubicBezTo>
              <a:close/>
              <a:moveTo>
                <a:pt x="3487156" y="2512726"/>
              </a:moveTo>
              <a:cubicBezTo>
                <a:pt x="3467928" y="2512726"/>
                <a:pt x="3452337" y="2497135"/>
                <a:pt x="3452337" y="2477908"/>
              </a:cubicBezTo>
              <a:cubicBezTo>
                <a:pt x="3452337" y="2458680"/>
                <a:pt x="3467928" y="2443089"/>
                <a:pt x="3487156" y="2443089"/>
              </a:cubicBezTo>
              <a:cubicBezTo>
                <a:pt x="3506383" y="2443089"/>
                <a:pt x="3521974" y="2458680"/>
                <a:pt x="3521974" y="2477908"/>
              </a:cubicBezTo>
              <a:cubicBezTo>
                <a:pt x="3521974" y="2497135"/>
                <a:pt x="3506383" y="2512726"/>
                <a:pt x="3487156" y="2512726"/>
              </a:cubicBezTo>
              <a:close/>
              <a:moveTo>
                <a:pt x="3572048" y="2512726"/>
              </a:moveTo>
              <a:cubicBezTo>
                <a:pt x="3552820" y="2512726"/>
                <a:pt x="3537229" y="2497135"/>
                <a:pt x="3537229" y="2477908"/>
              </a:cubicBezTo>
              <a:cubicBezTo>
                <a:pt x="3537229" y="2458680"/>
                <a:pt x="3552820" y="2443089"/>
                <a:pt x="3572048" y="2443089"/>
              </a:cubicBezTo>
              <a:cubicBezTo>
                <a:pt x="3591276" y="2443089"/>
                <a:pt x="3606867" y="2458680"/>
                <a:pt x="3606867" y="2477908"/>
              </a:cubicBezTo>
              <a:cubicBezTo>
                <a:pt x="3606867" y="2497135"/>
                <a:pt x="3591276" y="2512726"/>
                <a:pt x="3572048" y="2512726"/>
              </a:cubicBezTo>
              <a:close/>
              <a:moveTo>
                <a:pt x="3656941" y="2512726"/>
              </a:moveTo>
              <a:cubicBezTo>
                <a:pt x="3637713" y="2512726"/>
                <a:pt x="3622122" y="2497135"/>
                <a:pt x="3622122" y="2477908"/>
              </a:cubicBezTo>
              <a:cubicBezTo>
                <a:pt x="3622122" y="2458680"/>
                <a:pt x="3637713" y="2443089"/>
                <a:pt x="3656941" y="2443089"/>
              </a:cubicBezTo>
              <a:cubicBezTo>
                <a:pt x="3676169" y="2443089"/>
                <a:pt x="3691760" y="2458680"/>
                <a:pt x="3691760" y="2477908"/>
              </a:cubicBezTo>
              <a:cubicBezTo>
                <a:pt x="3691760" y="2497135"/>
                <a:pt x="3676169" y="2512726"/>
                <a:pt x="3656941" y="2512726"/>
              </a:cubicBezTo>
              <a:close/>
              <a:moveTo>
                <a:pt x="3741833" y="2512726"/>
              </a:moveTo>
              <a:cubicBezTo>
                <a:pt x="3722606" y="2512726"/>
                <a:pt x="3707014" y="2497135"/>
                <a:pt x="3707014" y="2477908"/>
              </a:cubicBezTo>
              <a:cubicBezTo>
                <a:pt x="3707014" y="2458680"/>
                <a:pt x="3722606" y="2443089"/>
                <a:pt x="3741833" y="2443089"/>
              </a:cubicBezTo>
              <a:cubicBezTo>
                <a:pt x="3761061" y="2443089"/>
                <a:pt x="3776652" y="2458680"/>
                <a:pt x="3776652" y="2477908"/>
              </a:cubicBezTo>
              <a:cubicBezTo>
                <a:pt x="3776652" y="2497135"/>
                <a:pt x="3761061" y="2512726"/>
                <a:pt x="3741833" y="2512726"/>
              </a:cubicBezTo>
              <a:close/>
              <a:moveTo>
                <a:pt x="3826726" y="2512726"/>
              </a:moveTo>
              <a:cubicBezTo>
                <a:pt x="3807498" y="2512726"/>
                <a:pt x="3791907" y="2497135"/>
                <a:pt x="3791907" y="2477908"/>
              </a:cubicBezTo>
              <a:cubicBezTo>
                <a:pt x="3791907" y="2458680"/>
                <a:pt x="3807498" y="2443089"/>
                <a:pt x="3826726" y="2443089"/>
              </a:cubicBezTo>
              <a:cubicBezTo>
                <a:pt x="3845953" y="2443089"/>
                <a:pt x="3861544" y="2458680"/>
                <a:pt x="3861544" y="2477908"/>
              </a:cubicBezTo>
              <a:cubicBezTo>
                <a:pt x="3861544" y="2497135"/>
                <a:pt x="3845953" y="2512726"/>
                <a:pt x="3826726" y="2512726"/>
              </a:cubicBezTo>
              <a:close/>
              <a:moveTo>
                <a:pt x="3911618" y="2512726"/>
              </a:moveTo>
              <a:cubicBezTo>
                <a:pt x="3892390" y="2512726"/>
                <a:pt x="3876799" y="2497135"/>
                <a:pt x="3876799" y="2477908"/>
              </a:cubicBezTo>
              <a:cubicBezTo>
                <a:pt x="3876799" y="2458680"/>
                <a:pt x="3892390" y="2443089"/>
                <a:pt x="3911618" y="2443089"/>
              </a:cubicBezTo>
              <a:cubicBezTo>
                <a:pt x="3930846" y="2443089"/>
                <a:pt x="3946437" y="2458680"/>
                <a:pt x="3946437" y="2477908"/>
              </a:cubicBezTo>
              <a:cubicBezTo>
                <a:pt x="3946437" y="2497135"/>
                <a:pt x="3930846" y="2512726"/>
                <a:pt x="3911618" y="2512726"/>
              </a:cubicBezTo>
              <a:close/>
              <a:moveTo>
                <a:pt x="3996511" y="2512726"/>
              </a:moveTo>
              <a:cubicBezTo>
                <a:pt x="3977283" y="2512726"/>
                <a:pt x="3961692" y="2497135"/>
                <a:pt x="3961692" y="2477908"/>
              </a:cubicBezTo>
              <a:cubicBezTo>
                <a:pt x="3961692" y="2458680"/>
                <a:pt x="3977283" y="2443089"/>
                <a:pt x="3996511" y="2443089"/>
              </a:cubicBezTo>
              <a:cubicBezTo>
                <a:pt x="4015739" y="2443089"/>
                <a:pt x="4031330" y="2458680"/>
                <a:pt x="4031330" y="2477908"/>
              </a:cubicBezTo>
              <a:cubicBezTo>
                <a:pt x="4031330" y="2497135"/>
                <a:pt x="4015739" y="2512726"/>
                <a:pt x="3996511" y="2512726"/>
              </a:cubicBezTo>
              <a:close/>
              <a:moveTo>
                <a:pt x="4081403" y="2512726"/>
              </a:moveTo>
              <a:cubicBezTo>
                <a:pt x="4062176" y="2512726"/>
                <a:pt x="4046584" y="2497135"/>
                <a:pt x="4046584" y="2477908"/>
              </a:cubicBezTo>
              <a:cubicBezTo>
                <a:pt x="4046584" y="2458680"/>
                <a:pt x="4062176" y="2443089"/>
                <a:pt x="4081403" y="2443089"/>
              </a:cubicBezTo>
              <a:cubicBezTo>
                <a:pt x="4100631" y="2443089"/>
                <a:pt x="4116222" y="2458680"/>
                <a:pt x="4116222" y="2477908"/>
              </a:cubicBezTo>
              <a:cubicBezTo>
                <a:pt x="4116222" y="2497135"/>
                <a:pt x="4100631" y="2512726"/>
                <a:pt x="4081403" y="2512726"/>
              </a:cubicBezTo>
              <a:close/>
              <a:moveTo>
                <a:pt x="4166296" y="2512726"/>
              </a:moveTo>
              <a:cubicBezTo>
                <a:pt x="4147068" y="2512726"/>
                <a:pt x="4131477" y="2497135"/>
                <a:pt x="4131477" y="2477908"/>
              </a:cubicBezTo>
              <a:cubicBezTo>
                <a:pt x="4131477" y="2458680"/>
                <a:pt x="4147068" y="2443089"/>
                <a:pt x="4166296" y="2443089"/>
              </a:cubicBezTo>
              <a:cubicBezTo>
                <a:pt x="4185523" y="2443089"/>
                <a:pt x="4201114" y="2458680"/>
                <a:pt x="4201114" y="2477908"/>
              </a:cubicBezTo>
              <a:cubicBezTo>
                <a:pt x="4201114" y="2497135"/>
                <a:pt x="4185523" y="2512726"/>
                <a:pt x="4166296" y="2512726"/>
              </a:cubicBezTo>
              <a:close/>
              <a:moveTo>
                <a:pt x="4251188" y="2512726"/>
              </a:moveTo>
              <a:cubicBezTo>
                <a:pt x="4231960" y="2512726"/>
                <a:pt x="4216369" y="2497135"/>
                <a:pt x="4216369" y="2477908"/>
              </a:cubicBezTo>
              <a:cubicBezTo>
                <a:pt x="4216369" y="2458680"/>
                <a:pt x="4231960" y="2443089"/>
                <a:pt x="4251188" y="2443089"/>
              </a:cubicBezTo>
              <a:cubicBezTo>
                <a:pt x="4270416" y="2443089"/>
                <a:pt x="4286007" y="2458680"/>
                <a:pt x="4286007" y="2477908"/>
              </a:cubicBezTo>
              <a:cubicBezTo>
                <a:pt x="4286007" y="2497135"/>
                <a:pt x="4270416" y="2512726"/>
                <a:pt x="4251188" y="2512726"/>
              </a:cubicBezTo>
              <a:close/>
              <a:moveTo>
                <a:pt x="4336080" y="2512726"/>
              </a:moveTo>
              <a:cubicBezTo>
                <a:pt x="4316852" y="2512726"/>
                <a:pt x="4301261" y="2497135"/>
                <a:pt x="4301261" y="2477908"/>
              </a:cubicBezTo>
              <a:cubicBezTo>
                <a:pt x="4301261" y="2458680"/>
                <a:pt x="4316852" y="2443089"/>
                <a:pt x="4336080" y="2443089"/>
              </a:cubicBezTo>
              <a:cubicBezTo>
                <a:pt x="4355308" y="2443089"/>
                <a:pt x="4370899" y="2458680"/>
                <a:pt x="4370899" y="2477908"/>
              </a:cubicBezTo>
              <a:cubicBezTo>
                <a:pt x="4370899" y="2497135"/>
                <a:pt x="4355308" y="2512726"/>
                <a:pt x="4336080" y="2512726"/>
              </a:cubicBezTo>
              <a:close/>
              <a:moveTo>
                <a:pt x="4420973" y="2512726"/>
              </a:moveTo>
              <a:cubicBezTo>
                <a:pt x="4401746" y="2512726"/>
                <a:pt x="4386154" y="2497135"/>
                <a:pt x="4386154" y="2477908"/>
              </a:cubicBezTo>
              <a:cubicBezTo>
                <a:pt x="4386154" y="2458680"/>
                <a:pt x="4401746" y="2443089"/>
                <a:pt x="4420973" y="2443089"/>
              </a:cubicBezTo>
              <a:cubicBezTo>
                <a:pt x="4440201" y="2443089"/>
                <a:pt x="4455792" y="2458680"/>
                <a:pt x="4455792" y="2477908"/>
              </a:cubicBezTo>
              <a:cubicBezTo>
                <a:pt x="4455792" y="2497135"/>
                <a:pt x="4440201" y="2512726"/>
                <a:pt x="4420973" y="2512726"/>
              </a:cubicBezTo>
              <a:close/>
              <a:moveTo>
                <a:pt x="6203718" y="2512726"/>
              </a:moveTo>
              <a:cubicBezTo>
                <a:pt x="6184490" y="2512726"/>
                <a:pt x="6168893" y="2497135"/>
                <a:pt x="6168893" y="2477908"/>
              </a:cubicBezTo>
              <a:cubicBezTo>
                <a:pt x="6168893" y="2458680"/>
                <a:pt x="6184490" y="2443089"/>
                <a:pt x="6203718" y="2443089"/>
              </a:cubicBezTo>
              <a:cubicBezTo>
                <a:pt x="6222946" y="2443089"/>
                <a:pt x="6238530" y="2458680"/>
                <a:pt x="6238530" y="2477908"/>
              </a:cubicBezTo>
              <a:cubicBezTo>
                <a:pt x="6238530" y="2497135"/>
                <a:pt x="6222946" y="2512726"/>
                <a:pt x="6203718" y="2512726"/>
              </a:cubicBezTo>
              <a:close/>
              <a:moveTo>
                <a:pt x="6288611" y="2512726"/>
              </a:moveTo>
              <a:cubicBezTo>
                <a:pt x="6269384" y="2512726"/>
                <a:pt x="6253786" y="2497135"/>
                <a:pt x="6253786" y="2477908"/>
              </a:cubicBezTo>
              <a:cubicBezTo>
                <a:pt x="6253786" y="2458680"/>
                <a:pt x="6269384" y="2443089"/>
                <a:pt x="6288611" y="2443089"/>
              </a:cubicBezTo>
              <a:cubicBezTo>
                <a:pt x="6307839" y="2443089"/>
                <a:pt x="6323424" y="2458680"/>
                <a:pt x="6323424" y="2477908"/>
              </a:cubicBezTo>
              <a:cubicBezTo>
                <a:pt x="6323424" y="2497135"/>
                <a:pt x="6307839" y="2512726"/>
                <a:pt x="6288611" y="2512726"/>
              </a:cubicBezTo>
              <a:close/>
              <a:moveTo>
                <a:pt x="6373504" y="2512726"/>
              </a:moveTo>
              <a:cubicBezTo>
                <a:pt x="6354276" y="2512726"/>
                <a:pt x="6338678" y="2497135"/>
                <a:pt x="6338678" y="2477908"/>
              </a:cubicBezTo>
              <a:cubicBezTo>
                <a:pt x="6338678" y="2458680"/>
                <a:pt x="6354276" y="2443089"/>
                <a:pt x="6373504" y="2443089"/>
              </a:cubicBezTo>
              <a:cubicBezTo>
                <a:pt x="6392731" y="2443089"/>
                <a:pt x="6408316" y="2458680"/>
                <a:pt x="6408316" y="2477908"/>
              </a:cubicBezTo>
              <a:cubicBezTo>
                <a:pt x="6408316" y="2497135"/>
                <a:pt x="6392731" y="2512726"/>
                <a:pt x="6373504" y="2512726"/>
              </a:cubicBezTo>
              <a:close/>
              <a:moveTo>
                <a:pt x="6458396" y="2512726"/>
              </a:moveTo>
              <a:cubicBezTo>
                <a:pt x="6439168" y="2512726"/>
                <a:pt x="6423570" y="2497135"/>
                <a:pt x="6423570" y="2477908"/>
              </a:cubicBezTo>
              <a:cubicBezTo>
                <a:pt x="6423570" y="2458680"/>
                <a:pt x="6439168" y="2443089"/>
                <a:pt x="6458396" y="2443089"/>
              </a:cubicBezTo>
              <a:cubicBezTo>
                <a:pt x="6477624" y="2443089"/>
                <a:pt x="6493208" y="2458680"/>
                <a:pt x="6493208" y="2477908"/>
              </a:cubicBezTo>
              <a:cubicBezTo>
                <a:pt x="6493208" y="2497135"/>
                <a:pt x="6477624" y="2512726"/>
                <a:pt x="6458396" y="2512726"/>
              </a:cubicBezTo>
              <a:close/>
              <a:moveTo>
                <a:pt x="6543288" y="2512726"/>
              </a:moveTo>
              <a:cubicBezTo>
                <a:pt x="6524060" y="2512726"/>
                <a:pt x="6508463" y="2497135"/>
                <a:pt x="6508463" y="2477908"/>
              </a:cubicBezTo>
              <a:cubicBezTo>
                <a:pt x="6508463" y="2458680"/>
                <a:pt x="6524060" y="2443089"/>
                <a:pt x="6543288" y="2443089"/>
              </a:cubicBezTo>
              <a:cubicBezTo>
                <a:pt x="6562516" y="2443089"/>
                <a:pt x="6578100" y="2458680"/>
                <a:pt x="6578100" y="2477908"/>
              </a:cubicBezTo>
              <a:cubicBezTo>
                <a:pt x="6578100" y="2497135"/>
                <a:pt x="6562516" y="2512726"/>
                <a:pt x="6543288" y="2512726"/>
              </a:cubicBezTo>
              <a:close/>
              <a:moveTo>
                <a:pt x="6628181" y="2512726"/>
              </a:moveTo>
              <a:cubicBezTo>
                <a:pt x="6608954" y="2512726"/>
                <a:pt x="6593356" y="2497135"/>
                <a:pt x="6593356" y="2477908"/>
              </a:cubicBezTo>
              <a:cubicBezTo>
                <a:pt x="6593356" y="2458680"/>
                <a:pt x="6608954" y="2443089"/>
                <a:pt x="6628181" y="2443089"/>
              </a:cubicBezTo>
              <a:cubicBezTo>
                <a:pt x="6647409" y="2443089"/>
                <a:pt x="6662994" y="2458680"/>
                <a:pt x="6662994" y="2477908"/>
              </a:cubicBezTo>
              <a:cubicBezTo>
                <a:pt x="6662994" y="2497135"/>
                <a:pt x="6647409" y="2512726"/>
                <a:pt x="6628181" y="2512726"/>
              </a:cubicBezTo>
              <a:close/>
              <a:moveTo>
                <a:pt x="6713074" y="2512726"/>
              </a:moveTo>
              <a:cubicBezTo>
                <a:pt x="6693846" y="2512726"/>
                <a:pt x="6678248" y="2497135"/>
                <a:pt x="6678248" y="2477908"/>
              </a:cubicBezTo>
              <a:cubicBezTo>
                <a:pt x="6678248" y="2458680"/>
                <a:pt x="6693846" y="2443089"/>
                <a:pt x="6713074" y="2443089"/>
              </a:cubicBezTo>
              <a:cubicBezTo>
                <a:pt x="6732301" y="2443089"/>
                <a:pt x="6747886" y="2458680"/>
                <a:pt x="6747886" y="2477908"/>
              </a:cubicBezTo>
              <a:cubicBezTo>
                <a:pt x="6747886" y="2497135"/>
                <a:pt x="6732301" y="2512726"/>
                <a:pt x="6713074" y="2512726"/>
              </a:cubicBezTo>
              <a:close/>
              <a:moveTo>
                <a:pt x="6797966" y="2512726"/>
              </a:moveTo>
              <a:cubicBezTo>
                <a:pt x="6778738" y="2512726"/>
                <a:pt x="6763140" y="2497135"/>
                <a:pt x="6763140" y="2477908"/>
              </a:cubicBezTo>
              <a:cubicBezTo>
                <a:pt x="6763140" y="2458680"/>
                <a:pt x="6778738" y="2443089"/>
                <a:pt x="6797966" y="2443089"/>
              </a:cubicBezTo>
              <a:cubicBezTo>
                <a:pt x="6817194" y="2443089"/>
                <a:pt x="6832778" y="2458680"/>
                <a:pt x="6832778" y="2477908"/>
              </a:cubicBezTo>
              <a:cubicBezTo>
                <a:pt x="6832778" y="2497135"/>
                <a:pt x="6817194" y="2512726"/>
                <a:pt x="6797966" y="2512726"/>
              </a:cubicBezTo>
              <a:close/>
              <a:moveTo>
                <a:pt x="6967750" y="2512726"/>
              </a:moveTo>
              <a:cubicBezTo>
                <a:pt x="6948523" y="2512726"/>
                <a:pt x="6932925" y="2497135"/>
                <a:pt x="6932925" y="2477908"/>
              </a:cubicBezTo>
              <a:cubicBezTo>
                <a:pt x="6932925" y="2458680"/>
                <a:pt x="6948523" y="2443089"/>
                <a:pt x="6967750" y="2443089"/>
              </a:cubicBezTo>
              <a:cubicBezTo>
                <a:pt x="6986978" y="2443089"/>
                <a:pt x="7002563" y="2458680"/>
                <a:pt x="7002563" y="2477908"/>
              </a:cubicBezTo>
              <a:cubicBezTo>
                <a:pt x="7002563" y="2497135"/>
                <a:pt x="6986978" y="2512726"/>
                <a:pt x="6967750" y="2512726"/>
              </a:cubicBezTo>
              <a:close/>
              <a:moveTo>
                <a:pt x="7052644" y="2512726"/>
              </a:moveTo>
              <a:cubicBezTo>
                <a:pt x="7033416" y="2512726"/>
                <a:pt x="7017818" y="2497135"/>
                <a:pt x="7017818" y="2477908"/>
              </a:cubicBezTo>
              <a:cubicBezTo>
                <a:pt x="7017818" y="2458680"/>
                <a:pt x="7033416" y="2443089"/>
                <a:pt x="7052644" y="2443089"/>
              </a:cubicBezTo>
              <a:cubicBezTo>
                <a:pt x="7071871" y="2443089"/>
                <a:pt x="7087456" y="2458680"/>
                <a:pt x="7087456" y="2477908"/>
              </a:cubicBezTo>
              <a:cubicBezTo>
                <a:pt x="7087456" y="2497135"/>
                <a:pt x="7071871" y="2512726"/>
                <a:pt x="7052644" y="2512726"/>
              </a:cubicBezTo>
              <a:close/>
              <a:moveTo>
                <a:pt x="9090063" y="2512726"/>
              </a:moveTo>
              <a:cubicBezTo>
                <a:pt x="9070835" y="2512726"/>
                <a:pt x="9055237" y="2497135"/>
                <a:pt x="9055237" y="2477908"/>
              </a:cubicBezTo>
              <a:cubicBezTo>
                <a:pt x="9055237" y="2458680"/>
                <a:pt x="9070835" y="2443089"/>
                <a:pt x="9090063" y="2443089"/>
              </a:cubicBezTo>
              <a:cubicBezTo>
                <a:pt x="9109290" y="2443089"/>
                <a:pt x="9124875" y="2458680"/>
                <a:pt x="9124875" y="2477908"/>
              </a:cubicBezTo>
              <a:cubicBezTo>
                <a:pt x="9124875" y="2497135"/>
                <a:pt x="9109290" y="2512726"/>
                <a:pt x="9090063" y="2512726"/>
              </a:cubicBezTo>
              <a:close/>
              <a:moveTo>
                <a:pt x="9174956" y="2512726"/>
              </a:moveTo>
              <a:cubicBezTo>
                <a:pt x="9155728" y="2512726"/>
                <a:pt x="9140130" y="2497135"/>
                <a:pt x="9140130" y="2477908"/>
              </a:cubicBezTo>
              <a:cubicBezTo>
                <a:pt x="9140130" y="2458680"/>
                <a:pt x="9155728" y="2443089"/>
                <a:pt x="9174956" y="2443089"/>
              </a:cubicBezTo>
              <a:cubicBezTo>
                <a:pt x="9194184" y="2443089"/>
                <a:pt x="9209768" y="2458680"/>
                <a:pt x="9209768" y="2477908"/>
              </a:cubicBezTo>
              <a:cubicBezTo>
                <a:pt x="9209768" y="2497135"/>
                <a:pt x="9194184" y="2512726"/>
                <a:pt x="9174956" y="2512726"/>
              </a:cubicBezTo>
              <a:close/>
              <a:moveTo>
                <a:pt x="9344740" y="2512726"/>
              </a:moveTo>
              <a:cubicBezTo>
                <a:pt x="9325513" y="2512726"/>
                <a:pt x="9309915" y="2497135"/>
                <a:pt x="9309915" y="2477908"/>
              </a:cubicBezTo>
              <a:cubicBezTo>
                <a:pt x="9309915" y="2458680"/>
                <a:pt x="9325513" y="2443089"/>
                <a:pt x="9344740" y="2443089"/>
              </a:cubicBezTo>
              <a:cubicBezTo>
                <a:pt x="9363968" y="2443089"/>
                <a:pt x="9379553" y="2458680"/>
                <a:pt x="9379553" y="2477908"/>
              </a:cubicBezTo>
              <a:cubicBezTo>
                <a:pt x="9379553" y="2497135"/>
                <a:pt x="9363968" y="2512726"/>
                <a:pt x="9344740" y="2512726"/>
              </a:cubicBezTo>
              <a:close/>
              <a:moveTo>
                <a:pt x="9429633" y="2512726"/>
              </a:moveTo>
              <a:cubicBezTo>
                <a:pt x="9410405" y="2512726"/>
                <a:pt x="9394807" y="2497135"/>
                <a:pt x="9394807" y="2477908"/>
              </a:cubicBezTo>
              <a:cubicBezTo>
                <a:pt x="9394807" y="2458680"/>
                <a:pt x="9410405" y="2443089"/>
                <a:pt x="9429633" y="2443089"/>
              </a:cubicBezTo>
              <a:cubicBezTo>
                <a:pt x="9448860" y="2443089"/>
                <a:pt x="9464445" y="2458680"/>
                <a:pt x="9464445" y="2477908"/>
              </a:cubicBezTo>
              <a:cubicBezTo>
                <a:pt x="9464445" y="2497135"/>
                <a:pt x="9448860" y="2512726"/>
                <a:pt x="9429633" y="2512726"/>
              </a:cubicBezTo>
              <a:close/>
              <a:moveTo>
                <a:pt x="9514525" y="2512726"/>
              </a:moveTo>
              <a:cubicBezTo>
                <a:pt x="9495297" y="2512726"/>
                <a:pt x="9479699" y="2497135"/>
                <a:pt x="9479699" y="2477908"/>
              </a:cubicBezTo>
              <a:cubicBezTo>
                <a:pt x="9479699" y="2458680"/>
                <a:pt x="9495297" y="2443089"/>
                <a:pt x="9514525" y="2443089"/>
              </a:cubicBezTo>
              <a:cubicBezTo>
                <a:pt x="9533753" y="2443089"/>
                <a:pt x="9549337" y="2458680"/>
                <a:pt x="9549337" y="2477908"/>
              </a:cubicBezTo>
              <a:cubicBezTo>
                <a:pt x="9549337" y="2497135"/>
                <a:pt x="9533753" y="2512726"/>
                <a:pt x="9514525" y="2512726"/>
              </a:cubicBezTo>
              <a:close/>
              <a:moveTo>
                <a:pt x="9684310" y="2512726"/>
              </a:moveTo>
              <a:cubicBezTo>
                <a:pt x="9665083" y="2512726"/>
                <a:pt x="9649485" y="2497135"/>
                <a:pt x="9649485" y="2477908"/>
              </a:cubicBezTo>
              <a:cubicBezTo>
                <a:pt x="9649485" y="2458680"/>
                <a:pt x="9665083" y="2443089"/>
                <a:pt x="9684310" y="2443089"/>
              </a:cubicBezTo>
              <a:cubicBezTo>
                <a:pt x="9703538" y="2443089"/>
                <a:pt x="9719123" y="2458680"/>
                <a:pt x="9719123" y="2477908"/>
              </a:cubicBezTo>
              <a:cubicBezTo>
                <a:pt x="9719123" y="2497135"/>
                <a:pt x="9703538" y="2512726"/>
                <a:pt x="9684310" y="2512726"/>
              </a:cubicBezTo>
              <a:close/>
              <a:moveTo>
                <a:pt x="10023880" y="2512726"/>
              </a:moveTo>
              <a:cubicBezTo>
                <a:pt x="10004653" y="2512726"/>
                <a:pt x="9989055" y="2497135"/>
                <a:pt x="9989055" y="2477908"/>
              </a:cubicBezTo>
              <a:cubicBezTo>
                <a:pt x="9989055" y="2458680"/>
                <a:pt x="10004653" y="2443089"/>
                <a:pt x="10023880" y="2443089"/>
              </a:cubicBezTo>
              <a:cubicBezTo>
                <a:pt x="10043108" y="2443089"/>
                <a:pt x="10058693" y="2458680"/>
                <a:pt x="10058693" y="2477908"/>
              </a:cubicBezTo>
              <a:cubicBezTo>
                <a:pt x="10058693" y="2497135"/>
                <a:pt x="10043108" y="2512726"/>
                <a:pt x="10023880" y="2512726"/>
              </a:cubicBezTo>
              <a:close/>
              <a:moveTo>
                <a:pt x="10108773" y="2512726"/>
              </a:moveTo>
              <a:cubicBezTo>
                <a:pt x="10089545" y="2512726"/>
                <a:pt x="10073947" y="2497135"/>
                <a:pt x="10073947" y="2477908"/>
              </a:cubicBezTo>
              <a:cubicBezTo>
                <a:pt x="10073947" y="2458680"/>
                <a:pt x="10089545" y="2443089"/>
                <a:pt x="10108773" y="2443089"/>
              </a:cubicBezTo>
              <a:cubicBezTo>
                <a:pt x="10128000" y="2443089"/>
                <a:pt x="10143585" y="2458680"/>
                <a:pt x="10143585" y="2477908"/>
              </a:cubicBezTo>
              <a:cubicBezTo>
                <a:pt x="10143585" y="2497135"/>
                <a:pt x="10128000" y="2512726"/>
                <a:pt x="10108773" y="2512726"/>
              </a:cubicBezTo>
              <a:close/>
              <a:moveTo>
                <a:pt x="10193665" y="2512726"/>
              </a:moveTo>
              <a:cubicBezTo>
                <a:pt x="10174437" y="2512726"/>
                <a:pt x="10158839" y="2497135"/>
                <a:pt x="10158839" y="2477908"/>
              </a:cubicBezTo>
              <a:cubicBezTo>
                <a:pt x="10158839" y="2458680"/>
                <a:pt x="10174437" y="2443089"/>
                <a:pt x="10193665" y="2443089"/>
              </a:cubicBezTo>
              <a:cubicBezTo>
                <a:pt x="10212893" y="2443089"/>
                <a:pt x="10228477" y="2458680"/>
                <a:pt x="10228477" y="2477908"/>
              </a:cubicBezTo>
              <a:cubicBezTo>
                <a:pt x="10228477" y="2497135"/>
                <a:pt x="10212893" y="2512726"/>
                <a:pt x="10193665" y="2512726"/>
              </a:cubicBezTo>
              <a:close/>
              <a:moveTo>
                <a:pt x="3402263" y="2427866"/>
              </a:moveTo>
              <a:cubicBezTo>
                <a:pt x="3383036" y="2427866"/>
                <a:pt x="3367444" y="2412275"/>
                <a:pt x="3367444" y="2393047"/>
              </a:cubicBezTo>
              <a:cubicBezTo>
                <a:pt x="3367444" y="2373819"/>
                <a:pt x="3383036" y="2358228"/>
                <a:pt x="3402263" y="2358228"/>
              </a:cubicBezTo>
              <a:cubicBezTo>
                <a:pt x="3421491" y="2358228"/>
                <a:pt x="3437082" y="2373819"/>
                <a:pt x="3437082" y="2393047"/>
              </a:cubicBezTo>
              <a:cubicBezTo>
                <a:pt x="3437082" y="2412275"/>
                <a:pt x="3421491" y="2427866"/>
                <a:pt x="3402263" y="2427866"/>
              </a:cubicBezTo>
              <a:close/>
              <a:moveTo>
                <a:pt x="3487156" y="2427866"/>
              </a:moveTo>
              <a:cubicBezTo>
                <a:pt x="3467928" y="2427866"/>
                <a:pt x="3452337" y="2412275"/>
                <a:pt x="3452337" y="2393047"/>
              </a:cubicBezTo>
              <a:cubicBezTo>
                <a:pt x="3452337" y="2373819"/>
                <a:pt x="3467928" y="2358228"/>
                <a:pt x="3487156" y="2358228"/>
              </a:cubicBezTo>
              <a:cubicBezTo>
                <a:pt x="3506383" y="2358228"/>
                <a:pt x="3521974" y="2373819"/>
                <a:pt x="3521974" y="2393047"/>
              </a:cubicBezTo>
              <a:cubicBezTo>
                <a:pt x="3521974" y="2412275"/>
                <a:pt x="3506383" y="2427866"/>
                <a:pt x="3487156" y="2427866"/>
              </a:cubicBezTo>
              <a:close/>
              <a:moveTo>
                <a:pt x="3572048" y="2427866"/>
              </a:moveTo>
              <a:cubicBezTo>
                <a:pt x="3552820" y="2427866"/>
                <a:pt x="3537229" y="2412275"/>
                <a:pt x="3537229" y="2393047"/>
              </a:cubicBezTo>
              <a:cubicBezTo>
                <a:pt x="3537229" y="2373819"/>
                <a:pt x="3552820" y="2358228"/>
                <a:pt x="3572048" y="2358228"/>
              </a:cubicBezTo>
              <a:cubicBezTo>
                <a:pt x="3591276" y="2358228"/>
                <a:pt x="3606867" y="2373819"/>
                <a:pt x="3606867" y="2393047"/>
              </a:cubicBezTo>
              <a:cubicBezTo>
                <a:pt x="3606867" y="2412275"/>
                <a:pt x="3591276" y="2427866"/>
                <a:pt x="3572048" y="2427866"/>
              </a:cubicBezTo>
              <a:close/>
              <a:moveTo>
                <a:pt x="3656941" y="2427866"/>
              </a:moveTo>
              <a:cubicBezTo>
                <a:pt x="3637713" y="2427866"/>
                <a:pt x="3622122" y="2412275"/>
                <a:pt x="3622122" y="2393047"/>
              </a:cubicBezTo>
              <a:cubicBezTo>
                <a:pt x="3622122" y="2373819"/>
                <a:pt x="3637713" y="2358228"/>
                <a:pt x="3656941" y="2358228"/>
              </a:cubicBezTo>
              <a:cubicBezTo>
                <a:pt x="3676169" y="2358228"/>
                <a:pt x="3691760" y="2373819"/>
                <a:pt x="3691760" y="2393047"/>
              </a:cubicBezTo>
              <a:cubicBezTo>
                <a:pt x="3691760" y="2412275"/>
                <a:pt x="3676169" y="2427866"/>
                <a:pt x="3656941" y="2427866"/>
              </a:cubicBezTo>
              <a:close/>
              <a:moveTo>
                <a:pt x="3741833" y="2427866"/>
              </a:moveTo>
              <a:cubicBezTo>
                <a:pt x="3722606" y="2427866"/>
                <a:pt x="3707014" y="2412275"/>
                <a:pt x="3707014" y="2393047"/>
              </a:cubicBezTo>
              <a:cubicBezTo>
                <a:pt x="3707014" y="2373819"/>
                <a:pt x="3722606" y="2358228"/>
                <a:pt x="3741833" y="2358228"/>
              </a:cubicBezTo>
              <a:cubicBezTo>
                <a:pt x="3761061" y="2358228"/>
                <a:pt x="3776652" y="2373819"/>
                <a:pt x="3776652" y="2393047"/>
              </a:cubicBezTo>
              <a:cubicBezTo>
                <a:pt x="3776652" y="2412275"/>
                <a:pt x="3761061" y="2427866"/>
                <a:pt x="3741833" y="2427866"/>
              </a:cubicBezTo>
              <a:close/>
              <a:moveTo>
                <a:pt x="3826726" y="2427866"/>
              </a:moveTo>
              <a:cubicBezTo>
                <a:pt x="3807498" y="2427866"/>
                <a:pt x="3791907" y="2412275"/>
                <a:pt x="3791907" y="2393047"/>
              </a:cubicBezTo>
              <a:cubicBezTo>
                <a:pt x="3791907" y="2373819"/>
                <a:pt x="3807498" y="2358228"/>
                <a:pt x="3826726" y="2358228"/>
              </a:cubicBezTo>
              <a:cubicBezTo>
                <a:pt x="3845953" y="2358228"/>
                <a:pt x="3861544" y="2373819"/>
                <a:pt x="3861544" y="2393047"/>
              </a:cubicBezTo>
              <a:cubicBezTo>
                <a:pt x="3861544" y="2412275"/>
                <a:pt x="3845953" y="2427866"/>
                <a:pt x="3826726" y="2427866"/>
              </a:cubicBezTo>
              <a:close/>
              <a:moveTo>
                <a:pt x="3911618" y="2427866"/>
              </a:moveTo>
              <a:cubicBezTo>
                <a:pt x="3892390" y="2427866"/>
                <a:pt x="3876799" y="2412275"/>
                <a:pt x="3876799" y="2393047"/>
              </a:cubicBezTo>
              <a:cubicBezTo>
                <a:pt x="3876799" y="2373819"/>
                <a:pt x="3892390" y="2358228"/>
                <a:pt x="3911618" y="2358228"/>
              </a:cubicBezTo>
              <a:cubicBezTo>
                <a:pt x="3930846" y="2358228"/>
                <a:pt x="3946437" y="2373819"/>
                <a:pt x="3946437" y="2393047"/>
              </a:cubicBezTo>
              <a:cubicBezTo>
                <a:pt x="3946437" y="2412275"/>
                <a:pt x="3930846" y="2427866"/>
                <a:pt x="3911618" y="2427866"/>
              </a:cubicBezTo>
              <a:close/>
              <a:moveTo>
                <a:pt x="3996511" y="2427866"/>
              </a:moveTo>
              <a:cubicBezTo>
                <a:pt x="3977283" y="2427866"/>
                <a:pt x="3961692" y="2412275"/>
                <a:pt x="3961692" y="2393047"/>
              </a:cubicBezTo>
              <a:cubicBezTo>
                <a:pt x="3961692" y="2373819"/>
                <a:pt x="3977283" y="2358228"/>
                <a:pt x="3996511" y="2358228"/>
              </a:cubicBezTo>
              <a:cubicBezTo>
                <a:pt x="4015739" y="2358228"/>
                <a:pt x="4031330" y="2373819"/>
                <a:pt x="4031330" y="2393047"/>
              </a:cubicBezTo>
              <a:cubicBezTo>
                <a:pt x="4031330" y="2412275"/>
                <a:pt x="4015739" y="2427866"/>
                <a:pt x="3996511" y="2427866"/>
              </a:cubicBezTo>
              <a:close/>
              <a:moveTo>
                <a:pt x="4081403" y="2427866"/>
              </a:moveTo>
              <a:cubicBezTo>
                <a:pt x="4062176" y="2427866"/>
                <a:pt x="4046584" y="2412275"/>
                <a:pt x="4046584" y="2393047"/>
              </a:cubicBezTo>
              <a:cubicBezTo>
                <a:pt x="4046584" y="2373819"/>
                <a:pt x="4062176" y="2358228"/>
                <a:pt x="4081403" y="2358228"/>
              </a:cubicBezTo>
              <a:cubicBezTo>
                <a:pt x="4100631" y="2358228"/>
                <a:pt x="4116222" y="2373819"/>
                <a:pt x="4116222" y="2393047"/>
              </a:cubicBezTo>
              <a:cubicBezTo>
                <a:pt x="4116222" y="2412275"/>
                <a:pt x="4100631" y="2427866"/>
                <a:pt x="4081403" y="2427866"/>
              </a:cubicBezTo>
              <a:close/>
              <a:moveTo>
                <a:pt x="4166296" y="2427866"/>
              </a:moveTo>
              <a:cubicBezTo>
                <a:pt x="4147068" y="2427866"/>
                <a:pt x="4131477" y="2412275"/>
                <a:pt x="4131477" y="2393047"/>
              </a:cubicBezTo>
              <a:cubicBezTo>
                <a:pt x="4131477" y="2373819"/>
                <a:pt x="4147068" y="2358228"/>
                <a:pt x="4166296" y="2358228"/>
              </a:cubicBezTo>
              <a:cubicBezTo>
                <a:pt x="4185523" y="2358228"/>
                <a:pt x="4201114" y="2373819"/>
                <a:pt x="4201114" y="2393047"/>
              </a:cubicBezTo>
              <a:cubicBezTo>
                <a:pt x="4201114" y="2412275"/>
                <a:pt x="4185523" y="2427866"/>
                <a:pt x="4166296" y="2427866"/>
              </a:cubicBezTo>
              <a:close/>
              <a:moveTo>
                <a:pt x="4251188" y="2427866"/>
              </a:moveTo>
              <a:cubicBezTo>
                <a:pt x="4231960" y="2427866"/>
                <a:pt x="4216369" y="2412275"/>
                <a:pt x="4216369" y="2393047"/>
              </a:cubicBezTo>
              <a:cubicBezTo>
                <a:pt x="4216369" y="2373819"/>
                <a:pt x="4231960" y="2358228"/>
                <a:pt x="4251188" y="2358228"/>
              </a:cubicBezTo>
              <a:cubicBezTo>
                <a:pt x="4270416" y="2358228"/>
                <a:pt x="4286007" y="2373819"/>
                <a:pt x="4286007" y="2393047"/>
              </a:cubicBezTo>
              <a:cubicBezTo>
                <a:pt x="4286007" y="2412275"/>
                <a:pt x="4270416" y="2427866"/>
                <a:pt x="4251188" y="2427866"/>
              </a:cubicBezTo>
              <a:close/>
              <a:moveTo>
                <a:pt x="4336080" y="2427866"/>
              </a:moveTo>
              <a:cubicBezTo>
                <a:pt x="4316852" y="2427866"/>
                <a:pt x="4301261" y="2412275"/>
                <a:pt x="4301261" y="2393047"/>
              </a:cubicBezTo>
              <a:cubicBezTo>
                <a:pt x="4301261" y="2373819"/>
                <a:pt x="4316852" y="2358228"/>
                <a:pt x="4336080" y="2358228"/>
              </a:cubicBezTo>
              <a:cubicBezTo>
                <a:pt x="4355308" y="2358228"/>
                <a:pt x="4370899" y="2373819"/>
                <a:pt x="4370899" y="2393047"/>
              </a:cubicBezTo>
              <a:cubicBezTo>
                <a:pt x="4370899" y="2412275"/>
                <a:pt x="4355308" y="2427866"/>
                <a:pt x="4336080" y="2427866"/>
              </a:cubicBezTo>
              <a:close/>
              <a:moveTo>
                <a:pt x="4420973" y="2427866"/>
              </a:moveTo>
              <a:cubicBezTo>
                <a:pt x="4401746" y="2427866"/>
                <a:pt x="4386154" y="2412275"/>
                <a:pt x="4386154" y="2393047"/>
              </a:cubicBezTo>
              <a:cubicBezTo>
                <a:pt x="4386154" y="2373819"/>
                <a:pt x="4401746" y="2358228"/>
                <a:pt x="4420973" y="2358228"/>
              </a:cubicBezTo>
              <a:cubicBezTo>
                <a:pt x="4440201" y="2358228"/>
                <a:pt x="4455792" y="2373819"/>
                <a:pt x="4455792" y="2393047"/>
              </a:cubicBezTo>
              <a:cubicBezTo>
                <a:pt x="4455792" y="2412275"/>
                <a:pt x="4440201" y="2427866"/>
                <a:pt x="4420973" y="2427866"/>
              </a:cubicBezTo>
              <a:close/>
              <a:moveTo>
                <a:pt x="4505866" y="2427866"/>
              </a:moveTo>
              <a:cubicBezTo>
                <a:pt x="4486638" y="2427866"/>
                <a:pt x="4471047" y="2412275"/>
                <a:pt x="4471047" y="2393047"/>
              </a:cubicBezTo>
              <a:cubicBezTo>
                <a:pt x="4471047" y="2373819"/>
                <a:pt x="4486638" y="2358228"/>
                <a:pt x="4505866" y="2358228"/>
              </a:cubicBezTo>
              <a:cubicBezTo>
                <a:pt x="4525093" y="2358228"/>
                <a:pt x="4540684" y="2373819"/>
                <a:pt x="4540684" y="2393047"/>
              </a:cubicBezTo>
              <a:cubicBezTo>
                <a:pt x="4540684" y="2412275"/>
                <a:pt x="4525093" y="2427866"/>
                <a:pt x="4505866" y="2427866"/>
              </a:cubicBezTo>
              <a:close/>
              <a:moveTo>
                <a:pt x="4590758" y="2427866"/>
              </a:moveTo>
              <a:cubicBezTo>
                <a:pt x="4571530" y="2427866"/>
                <a:pt x="4555939" y="2412275"/>
                <a:pt x="4555939" y="2393047"/>
              </a:cubicBezTo>
              <a:cubicBezTo>
                <a:pt x="4555939" y="2373819"/>
                <a:pt x="4571530" y="2358228"/>
                <a:pt x="4590758" y="2358228"/>
              </a:cubicBezTo>
              <a:cubicBezTo>
                <a:pt x="4609986" y="2358228"/>
                <a:pt x="4625577" y="2373819"/>
                <a:pt x="4625577" y="2393047"/>
              </a:cubicBezTo>
              <a:cubicBezTo>
                <a:pt x="4625577" y="2412275"/>
                <a:pt x="4609986" y="2427866"/>
                <a:pt x="4590758" y="2427866"/>
              </a:cubicBezTo>
              <a:close/>
              <a:moveTo>
                <a:pt x="4675650" y="2427866"/>
              </a:moveTo>
              <a:cubicBezTo>
                <a:pt x="4656422" y="2427866"/>
                <a:pt x="4640831" y="2412275"/>
                <a:pt x="4640831" y="2393047"/>
              </a:cubicBezTo>
              <a:cubicBezTo>
                <a:pt x="4640831" y="2373819"/>
                <a:pt x="4656422" y="2358228"/>
                <a:pt x="4675650" y="2358228"/>
              </a:cubicBezTo>
              <a:cubicBezTo>
                <a:pt x="4694878" y="2358228"/>
                <a:pt x="4710469" y="2373819"/>
                <a:pt x="4710469" y="2393047"/>
              </a:cubicBezTo>
              <a:cubicBezTo>
                <a:pt x="4710469" y="2412275"/>
                <a:pt x="4694878" y="2427866"/>
                <a:pt x="4675650" y="2427866"/>
              </a:cubicBezTo>
              <a:close/>
              <a:moveTo>
                <a:pt x="6288611" y="2427866"/>
              </a:moveTo>
              <a:cubicBezTo>
                <a:pt x="6269384" y="2427866"/>
                <a:pt x="6253786" y="2412275"/>
                <a:pt x="6253786" y="2393047"/>
              </a:cubicBezTo>
              <a:cubicBezTo>
                <a:pt x="6253786" y="2373819"/>
                <a:pt x="6269384" y="2358228"/>
                <a:pt x="6288611" y="2358228"/>
              </a:cubicBezTo>
              <a:cubicBezTo>
                <a:pt x="6307839" y="2358228"/>
                <a:pt x="6323424" y="2373819"/>
                <a:pt x="6323424" y="2393047"/>
              </a:cubicBezTo>
              <a:cubicBezTo>
                <a:pt x="6323424" y="2412275"/>
                <a:pt x="6307839" y="2427866"/>
                <a:pt x="6288611" y="2427866"/>
              </a:cubicBezTo>
              <a:close/>
              <a:moveTo>
                <a:pt x="6373504" y="2427866"/>
              </a:moveTo>
              <a:cubicBezTo>
                <a:pt x="6354276" y="2427866"/>
                <a:pt x="6338678" y="2412275"/>
                <a:pt x="6338678" y="2393047"/>
              </a:cubicBezTo>
              <a:cubicBezTo>
                <a:pt x="6338678" y="2373819"/>
                <a:pt x="6354276" y="2358228"/>
                <a:pt x="6373504" y="2358228"/>
              </a:cubicBezTo>
              <a:cubicBezTo>
                <a:pt x="6392731" y="2358228"/>
                <a:pt x="6408316" y="2373819"/>
                <a:pt x="6408316" y="2393047"/>
              </a:cubicBezTo>
              <a:cubicBezTo>
                <a:pt x="6408316" y="2412275"/>
                <a:pt x="6392731" y="2427866"/>
                <a:pt x="6373504" y="2427866"/>
              </a:cubicBezTo>
              <a:close/>
              <a:moveTo>
                <a:pt x="6458396" y="2427866"/>
              </a:moveTo>
              <a:cubicBezTo>
                <a:pt x="6439168" y="2427866"/>
                <a:pt x="6423570" y="2412275"/>
                <a:pt x="6423570" y="2393047"/>
              </a:cubicBezTo>
              <a:cubicBezTo>
                <a:pt x="6423570" y="2373819"/>
                <a:pt x="6439168" y="2358228"/>
                <a:pt x="6458396" y="2358228"/>
              </a:cubicBezTo>
              <a:cubicBezTo>
                <a:pt x="6477624" y="2358228"/>
                <a:pt x="6493208" y="2373819"/>
                <a:pt x="6493208" y="2393047"/>
              </a:cubicBezTo>
              <a:cubicBezTo>
                <a:pt x="6493208" y="2412275"/>
                <a:pt x="6477624" y="2427866"/>
                <a:pt x="6458396" y="2427866"/>
              </a:cubicBezTo>
              <a:close/>
              <a:moveTo>
                <a:pt x="6543288" y="2427866"/>
              </a:moveTo>
              <a:cubicBezTo>
                <a:pt x="6524060" y="2427866"/>
                <a:pt x="6508463" y="2412275"/>
                <a:pt x="6508463" y="2393047"/>
              </a:cubicBezTo>
              <a:cubicBezTo>
                <a:pt x="6508463" y="2373819"/>
                <a:pt x="6524060" y="2358228"/>
                <a:pt x="6543288" y="2358228"/>
              </a:cubicBezTo>
              <a:cubicBezTo>
                <a:pt x="6562516" y="2358228"/>
                <a:pt x="6578100" y="2373819"/>
                <a:pt x="6578100" y="2393047"/>
              </a:cubicBezTo>
              <a:cubicBezTo>
                <a:pt x="6578100" y="2412275"/>
                <a:pt x="6562516" y="2427866"/>
                <a:pt x="6543288" y="2427866"/>
              </a:cubicBezTo>
              <a:close/>
              <a:moveTo>
                <a:pt x="6628181" y="2427866"/>
              </a:moveTo>
              <a:cubicBezTo>
                <a:pt x="6608954" y="2427866"/>
                <a:pt x="6593356" y="2412275"/>
                <a:pt x="6593356" y="2393047"/>
              </a:cubicBezTo>
              <a:cubicBezTo>
                <a:pt x="6593356" y="2373819"/>
                <a:pt x="6608954" y="2358228"/>
                <a:pt x="6628181" y="2358228"/>
              </a:cubicBezTo>
              <a:cubicBezTo>
                <a:pt x="6647409" y="2358228"/>
                <a:pt x="6662994" y="2373819"/>
                <a:pt x="6662994" y="2393047"/>
              </a:cubicBezTo>
              <a:cubicBezTo>
                <a:pt x="6662994" y="2412275"/>
                <a:pt x="6647409" y="2427866"/>
                <a:pt x="6628181" y="2427866"/>
              </a:cubicBezTo>
              <a:close/>
              <a:moveTo>
                <a:pt x="6713074" y="2427866"/>
              </a:moveTo>
              <a:cubicBezTo>
                <a:pt x="6693846" y="2427866"/>
                <a:pt x="6678248" y="2412275"/>
                <a:pt x="6678248" y="2393047"/>
              </a:cubicBezTo>
              <a:cubicBezTo>
                <a:pt x="6678248" y="2373819"/>
                <a:pt x="6693846" y="2358228"/>
                <a:pt x="6713074" y="2358228"/>
              </a:cubicBezTo>
              <a:cubicBezTo>
                <a:pt x="6732301" y="2358228"/>
                <a:pt x="6747886" y="2373819"/>
                <a:pt x="6747886" y="2393047"/>
              </a:cubicBezTo>
              <a:cubicBezTo>
                <a:pt x="6747886" y="2412275"/>
                <a:pt x="6732301" y="2427866"/>
                <a:pt x="6713074" y="2427866"/>
              </a:cubicBezTo>
              <a:close/>
              <a:moveTo>
                <a:pt x="6882858" y="2427866"/>
              </a:moveTo>
              <a:cubicBezTo>
                <a:pt x="6863630" y="2427866"/>
                <a:pt x="6848033" y="2412275"/>
                <a:pt x="6848033" y="2393047"/>
              </a:cubicBezTo>
              <a:cubicBezTo>
                <a:pt x="6848033" y="2373819"/>
                <a:pt x="6863630" y="2358228"/>
                <a:pt x="6882858" y="2358228"/>
              </a:cubicBezTo>
              <a:cubicBezTo>
                <a:pt x="6902086" y="2358228"/>
                <a:pt x="6917670" y="2373819"/>
                <a:pt x="6917670" y="2393047"/>
              </a:cubicBezTo>
              <a:cubicBezTo>
                <a:pt x="6917670" y="2412275"/>
                <a:pt x="6902086" y="2427866"/>
                <a:pt x="6882858" y="2427866"/>
              </a:cubicBezTo>
              <a:close/>
              <a:moveTo>
                <a:pt x="6967750" y="2427866"/>
              </a:moveTo>
              <a:cubicBezTo>
                <a:pt x="6948523" y="2427866"/>
                <a:pt x="6932925" y="2412275"/>
                <a:pt x="6932925" y="2393047"/>
              </a:cubicBezTo>
              <a:cubicBezTo>
                <a:pt x="6932925" y="2373819"/>
                <a:pt x="6948523" y="2358228"/>
                <a:pt x="6967750" y="2358228"/>
              </a:cubicBezTo>
              <a:cubicBezTo>
                <a:pt x="6986978" y="2358228"/>
                <a:pt x="7002563" y="2373819"/>
                <a:pt x="7002563" y="2393047"/>
              </a:cubicBezTo>
              <a:cubicBezTo>
                <a:pt x="7002563" y="2412275"/>
                <a:pt x="6986978" y="2427866"/>
                <a:pt x="6967750" y="2427866"/>
              </a:cubicBezTo>
              <a:close/>
              <a:moveTo>
                <a:pt x="7052644" y="2427866"/>
              </a:moveTo>
              <a:cubicBezTo>
                <a:pt x="7033416" y="2427866"/>
                <a:pt x="7017818" y="2412275"/>
                <a:pt x="7017818" y="2393047"/>
              </a:cubicBezTo>
              <a:cubicBezTo>
                <a:pt x="7017818" y="2373819"/>
                <a:pt x="7033416" y="2358228"/>
                <a:pt x="7052644" y="2358228"/>
              </a:cubicBezTo>
              <a:cubicBezTo>
                <a:pt x="7071871" y="2358228"/>
                <a:pt x="7087456" y="2373819"/>
                <a:pt x="7087456" y="2393047"/>
              </a:cubicBezTo>
              <a:cubicBezTo>
                <a:pt x="7087456" y="2412275"/>
                <a:pt x="7071871" y="2427866"/>
                <a:pt x="7052644" y="2427866"/>
              </a:cubicBezTo>
              <a:close/>
              <a:moveTo>
                <a:pt x="9174956" y="2427866"/>
              </a:moveTo>
              <a:cubicBezTo>
                <a:pt x="9155728" y="2427866"/>
                <a:pt x="9140130" y="2412275"/>
                <a:pt x="9140130" y="2393047"/>
              </a:cubicBezTo>
              <a:cubicBezTo>
                <a:pt x="9140130" y="2373819"/>
                <a:pt x="9155728" y="2358228"/>
                <a:pt x="9174956" y="2358228"/>
              </a:cubicBezTo>
              <a:cubicBezTo>
                <a:pt x="9194184" y="2358228"/>
                <a:pt x="9209768" y="2373819"/>
                <a:pt x="9209768" y="2393047"/>
              </a:cubicBezTo>
              <a:cubicBezTo>
                <a:pt x="9209768" y="2412275"/>
                <a:pt x="9194184" y="2427866"/>
                <a:pt x="9174956" y="2427866"/>
              </a:cubicBezTo>
              <a:close/>
              <a:moveTo>
                <a:pt x="9684310" y="2427866"/>
              </a:moveTo>
              <a:cubicBezTo>
                <a:pt x="9665083" y="2427866"/>
                <a:pt x="9649485" y="2412275"/>
                <a:pt x="9649485" y="2393047"/>
              </a:cubicBezTo>
              <a:cubicBezTo>
                <a:pt x="9649485" y="2373819"/>
                <a:pt x="9665083" y="2358228"/>
                <a:pt x="9684310" y="2358228"/>
              </a:cubicBezTo>
              <a:cubicBezTo>
                <a:pt x="9703538" y="2358228"/>
                <a:pt x="9719123" y="2373819"/>
                <a:pt x="9719123" y="2393047"/>
              </a:cubicBezTo>
              <a:cubicBezTo>
                <a:pt x="9719123" y="2412275"/>
                <a:pt x="9703538" y="2427866"/>
                <a:pt x="9684310" y="2427866"/>
              </a:cubicBezTo>
              <a:close/>
              <a:moveTo>
                <a:pt x="10108773" y="2427866"/>
              </a:moveTo>
              <a:cubicBezTo>
                <a:pt x="10089545" y="2427866"/>
                <a:pt x="10073947" y="2412275"/>
                <a:pt x="10073947" y="2393047"/>
              </a:cubicBezTo>
              <a:cubicBezTo>
                <a:pt x="10073947" y="2373819"/>
                <a:pt x="10089545" y="2358228"/>
                <a:pt x="10108773" y="2358228"/>
              </a:cubicBezTo>
              <a:cubicBezTo>
                <a:pt x="10128000" y="2358228"/>
                <a:pt x="10143585" y="2373819"/>
                <a:pt x="10143585" y="2393047"/>
              </a:cubicBezTo>
              <a:cubicBezTo>
                <a:pt x="10143585" y="2412275"/>
                <a:pt x="10128000" y="2427866"/>
                <a:pt x="10108773" y="2427866"/>
              </a:cubicBezTo>
              <a:close/>
              <a:moveTo>
                <a:pt x="10193665" y="2427866"/>
              </a:moveTo>
              <a:cubicBezTo>
                <a:pt x="10174437" y="2427866"/>
                <a:pt x="10158839" y="2412275"/>
                <a:pt x="10158839" y="2393047"/>
              </a:cubicBezTo>
              <a:cubicBezTo>
                <a:pt x="10158839" y="2373819"/>
                <a:pt x="10174437" y="2358228"/>
                <a:pt x="10193665" y="2358228"/>
              </a:cubicBezTo>
              <a:cubicBezTo>
                <a:pt x="10212893" y="2358228"/>
                <a:pt x="10228477" y="2373819"/>
                <a:pt x="10228477" y="2393047"/>
              </a:cubicBezTo>
              <a:cubicBezTo>
                <a:pt x="10228477" y="2412275"/>
                <a:pt x="10212893" y="2427866"/>
                <a:pt x="10193665" y="2427866"/>
              </a:cubicBezTo>
              <a:close/>
              <a:moveTo>
                <a:pt x="10278558" y="2427866"/>
              </a:moveTo>
              <a:cubicBezTo>
                <a:pt x="10259330" y="2427866"/>
                <a:pt x="10243733" y="2412275"/>
                <a:pt x="10243733" y="2393047"/>
              </a:cubicBezTo>
              <a:cubicBezTo>
                <a:pt x="10243733" y="2373819"/>
                <a:pt x="10259330" y="2358228"/>
                <a:pt x="10278558" y="2358228"/>
              </a:cubicBezTo>
              <a:cubicBezTo>
                <a:pt x="10297786" y="2358228"/>
                <a:pt x="10313370" y="2373819"/>
                <a:pt x="10313370" y="2393047"/>
              </a:cubicBezTo>
              <a:cubicBezTo>
                <a:pt x="10313370" y="2412275"/>
                <a:pt x="10297786" y="2427866"/>
                <a:pt x="10278558" y="2427866"/>
              </a:cubicBezTo>
              <a:close/>
              <a:moveTo>
                <a:pt x="10363450" y="2427866"/>
              </a:moveTo>
              <a:cubicBezTo>
                <a:pt x="10344223" y="2427866"/>
                <a:pt x="10328625" y="2412275"/>
                <a:pt x="10328625" y="2393047"/>
              </a:cubicBezTo>
              <a:cubicBezTo>
                <a:pt x="10328625" y="2373819"/>
                <a:pt x="10344223" y="2358228"/>
                <a:pt x="10363450" y="2358228"/>
              </a:cubicBezTo>
              <a:cubicBezTo>
                <a:pt x="10382678" y="2358228"/>
                <a:pt x="10398263" y="2373819"/>
                <a:pt x="10398263" y="2393047"/>
              </a:cubicBezTo>
              <a:cubicBezTo>
                <a:pt x="10398263" y="2412275"/>
                <a:pt x="10382678" y="2427866"/>
                <a:pt x="10363450" y="2427866"/>
              </a:cubicBezTo>
              <a:close/>
              <a:moveTo>
                <a:pt x="10618128" y="2427866"/>
              </a:moveTo>
              <a:cubicBezTo>
                <a:pt x="10598900" y="2427866"/>
                <a:pt x="10583303" y="2412275"/>
                <a:pt x="10583303" y="2393047"/>
              </a:cubicBezTo>
              <a:cubicBezTo>
                <a:pt x="10583303" y="2373819"/>
                <a:pt x="10598900" y="2358228"/>
                <a:pt x="10618128" y="2358228"/>
              </a:cubicBezTo>
              <a:cubicBezTo>
                <a:pt x="10637356" y="2358228"/>
                <a:pt x="10652940" y="2373819"/>
                <a:pt x="10652940" y="2393047"/>
              </a:cubicBezTo>
              <a:cubicBezTo>
                <a:pt x="10652940" y="2412275"/>
                <a:pt x="10637356" y="2427866"/>
                <a:pt x="10618128" y="2427866"/>
              </a:cubicBezTo>
              <a:close/>
              <a:moveTo>
                <a:pt x="3402263" y="2343006"/>
              </a:moveTo>
              <a:cubicBezTo>
                <a:pt x="3383036" y="2343006"/>
                <a:pt x="3367444" y="2327415"/>
                <a:pt x="3367444" y="2308187"/>
              </a:cubicBezTo>
              <a:cubicBezTo>
                <a:pt x="3367444" y="2288959"/>
                <a:pt x="3383036" y="2273368"/>
                <a:pt x="3402263" y="2273368"/>
              </a:cubicBezTo>
              <a:cubicBezTo>
                <a:pt x="3421491" y="2273368"/>
                <a:pt x="3437082" y="2288959"/>
                <a:pt x="3437082" y="2308187"/>
              </a:cubicBezTo>
              <a:cubicBezTo>
                <a:pt x="3437082" y="2327415"/>
                <a:pt x="3421491" y="2343006"/>
                <a:pt x="3402263" y="2343006"/>
              </a:cubicBezTo>
              <a:close/>
              <a:moveTo>
                <a:pt x="3487156" y="2343006"/>
              </a:moveTo>
              <a:cubicBezTo>
                <a:pt x="3467928" y="2343006"/>
                <a:pt x="3452337" y="2327415"/>
                <a:pt x="3452337" y="2308187"/>
              </a:cubicBezTo>
              <a:cubicBezTo>
                <a:pt x="3452337" y="2288959"/>
                <a:pt x="3467928" y="2273368"/>
                <a:pt x="3487156" y="2273368"/>
              </a:cubicBezTo>
              <a:cubicBezTo>
                <a:pt x="3506383" y="2273368"/>
                <a:pt x="3521974" y="2288959"/>
                <a:pt x="3521974" y="2308187"/>
              </a:cubicBezTo>
              <a:cubicBezTo>
                <a:pt x="3521974" y="2327415"/>
                <a:pt x="3506383" y="2343006"/>
                <a:pt x="3487156" y="2343006"/>
              </a:cubicBezTo>
              <a:close/>
              <a:moveTo>
                <a:pt x="3572048" y="2343006"/>
              </a:moveTo>
              <a:cubicBezTo>
                <a:pt x="3552820" y="2343006"/>
                <a:pt x="3537229" y="2327415"/>
                <a:pt x="3537229" y="2308187"/>
              </a:cubicBezTo>
              <a:cubicBezTo>
                <a:pt x="3537229" y="2288959"/>
                <a:pt x="3552820" y="2273368"/>
                <a:pt x="3572048" y="2273368"/>
              </a:cubicBezTo>
              <a:cubicBezTo>
                <a:pt x="3591276" y="2273368"/>
                <a:pt x="3606867" y="2288959"/>
                <a:pt x="3606867" y="2308187"/>
              </a:cubicBezTo>
              <a:cubicBezTo>
                <a:pt x="3606867" y="2327415"/>
                <a:pt x="3591276" y="2343006"/>
                <a:pt x="3572048" y="2343006"/>
              </a:cubicBezTo>
              <a:close/>
              <a:moveTo>
                <a:pt x="3656941" y="2343006"/>
              </a:moveTo>
              <a:cubicBezTo>
                <a:pt x="3637713" y="2343006"/>
                <a:pt x="3622122" y="2327415"/>
                <a:pt x="3622122" y="2308187"/>
              </a:cubicBezTo>
              <a:cubicBezTo>
                <a:pt x="3622122" y="2288959"/>
                <a:pt x="3637713" y="2273368"/>
                <a:pt x="3656941" y="2273368"/>
              </a:cubicBezTo>
              <a:cubicBezTo>
                <a:pt x="3676169" y="2273368"/>
                <a:pt x="3691760" y="2288959"/>
                <a:pt x="3691760" y="2308187"/>
              </a:cubicBezTo>
              <a:cubicBezTo>
                <a:pt x="3691760" y="2327415"/>
                <a:pt x="3676169" y="2343006"/>
                <a:pt x="3656941" y="2343006"/>
              </a:cubicBezTo>
              <a:close/>
              <a:moveTo>
                <a:pt x="3741833" y="2343006"/>
              </a:moveTo>
              <a:cubicBezTo>
                <a:pt x="3722606" y="2343006"/>
                <a:pt x="3707014" y="2327415"/>
                <a:pt x="3707014" y="2308187"/>
              </a:cubicBezTo>
              <a:cubicBezTo>
                <a:pt x="3707014" y="2288959"/>
                <a:pt x="3722606" y="2273368"/>
                <a:pt x="3741833" y="2273368"/>
              </a:cubicBezTo>
              <a:cubicBezTo>
                <a:pt x="3761061" y="2273368"/>
                <a:pt x="3776652" y="2288959"/>
                <a:pt x="3776652" y="2308187"/>
              </a:cubicBezTo>
              <a:cubicBezTo>
                <a:pt x="3776652" y="2327415"/>
                <a:pt x="3761061" y="2343006"/>
                <a:pt x="3741833" y="2343006"/>
              </a:cubicBezTo>
              <a:close/>
              <a:moveTo>
                <a:pt x="3826726" y="2343006"/>
              </a:moveTo>
              <a:cubicBezTo>
                <a:pt x="3807498" y="2343006"/>
                <a:pt x="3791907" y="2327415"/>
                <a:pt x="3791907" y="2308187"/>
              </a:cubicBezTo>
              <a:cubicBezTo>
                <a:pt x="3791907" y="2288959"/>
                <a:pt x="3807498" y="2273368"/>
                <a:pt x="3826726" y="2273368"/>
              </a:cubicBezTo>
              <a:cubicBezTo>
                <a:pt x="3845953" y="2273368"/>
                <a:pt x="3861544" y="2288959"/>
                <a:pt x="3861544" y="2308187"/>
              </a:cubicBezTo>
              <a:cubicBezTo>
                <a:pt x="3861544" y="2327415"/>
                <a:pt x="3845953" y="2343006"/>
                <a:pt x="3826726" y="2343006"/>
              </a:cubicBezTo>
              <a:close/>
              <a:moveTo>
                <a:pt x="3911618" y="2343006"/>
              </a:moveTo>
              <a:cubicBezTo>
                <a:pt x="3892390" y="2343006"/>
                <a:pt x="3876799" y="2327415"/>
                <a:pt x="3876799" y="2308187"/>
              </a:cubicBezTo>
              <a:cubicBezTo>
                <a:pt x="3876799" y="2288959"/>
                <a:pt x="3892390" y="2273368"/>
                <a:pt x="3911618" y="2273368"/>
              </a:cubicBezTo>
              <a:cubicBezTo>
                <a:pt x="3930846" y="2273368"/>
                <a:pt x="3946437" y="2288959"/>
                <a:pt x="3946437" y="2308187"/>
              </a:cubicBezTo>
              <a:cubicBezTo>
                <a:pt x="3946437" y="2327415"/>
                <a:pt x="3930846" y="2343006"/>
                <a:pt x="3911618" y="2343006"/>
              </a:cubicBezTo>
              <a:close/>
              <a:moveTo>
                <a:pt x="3996511" y="2343006"/>
              </a:moveTo>
              <a:cubicBezTo>
                <a:pt x="3977283" y="2343006"/>
                <a:pt x="3961692" y="2327415"/>
                <a:pt x="3961692" y="2308187"/>
              </a:cubicBezTo>
              <a:cubicBezTo>
                <a:pt x="3961692" y="2288959"/>
                <a:pt x="3977283" y="2273368"/>
                <a:pt x="3996511" y="2273368"/>
              </a:cubicBezTo>
              <a:cubicBezTo>
                <a:pt x="4015739" y="2273368"/>
                <a:pt x="4031330" y="2288959"/>
                <a:pt x="4031330" y="2308187"/>
              </a:cubicBezTo>
              <a:cubicBezTo>
                <a:pt x="4031330" y="2327415"/>
                <a:pt x="4015739" y="2343006"/>
                <a:pt x="3996511" y="2343006"/>
              </a:cubicBezTo>
              <a:close/>
              <a:moveTo>
                <a:pt x="4081403" y="2343006"/>
              </a:moveTo>
              <a:cubicBezTo>
                <a:pt x="4062176" y="2343006"/>
                <a:pt x="4046584" y="2327415"/>
                <a:pt x="4046584" y="2308187"/>
              </a:cubicBezTo>
              <a:cubicBezTo>
                <a:pt x="4046584" y="2288959"/>
                <a:pt x="4062176" y="2273368"/>
                <a:pt x="4081403" y="2273368"/>
              </a:cubicBezTo>
              <a:cubicBezTo>
                <a:pt x="4100631" y="2273368"/>
                <a:pt x="4116222" y="2288959"/>
                <a:pt x="4116222" y="2308187"/>
              </a:cubicBezTo>
              <a:cubicBezTo>
                <a:pt x="4116222" y="2327415"/>
                <a:pt x="4100631" y="2343006"/>
                <a:pt x="4081403" y="2343006"/>
              </a:cubicBezTo>
              <a:close/>
              <a:moveTo>
                <a:pt x="4166296" y="2343006"/>
              </a:moveTo>
              <a:cubicBezTo>
                <a:pt x="4147068" y="2343006"/>
                <a:pt x="4131477" y="2327415"/>
                <a:pt x="4131477" y="2308187"/>
              </a:cubicBezTo>
              <a:cubicBezTo>
                <a:pt x="4131477" y="2288959"/>
                <a:pt x="4147068" y="2273368"/>
                <a:pt x="4166296" y="2273368"/>
              </a:cubicBezTo>
              <a:cubicBezTo>
                <a:pt x="4185523" y="2273368"/>
                <a:pt x="4201114" y="2288959"/>
                <a:pt x="4201114" y="2308187"/>
              </a:cubicBezTo>
              <a:cubicBezTo>
                <a:pt x="4201114" y="2327415"/>
                <a:pt x="4185523" y="2343006"/>
                <a:pt x="4166296" y="2343006"/>
              </a:cubicBezTo>
              <a:close/>
              <a:moveTo>
                <a:pt x="4251188" y="2343006"/>
              </a:moveTo>
              <a:cubicBezTo>
                <a:pt x="4231960" y="2343006"/>
                <a:pt x="4216369" y="2327415"/>
                <a:pt x="4216369" y="2308187"/>
              </a:cubicBezTo>
              <a:cubicBezTo>
                <a:pt x="4216369" y="2288959"/>
                <a:pt x="4231960" y="2273368"/>
                <a:pt x="4251188" y="2273368"/>
              </a:cubicBezTo>
              <a:cubicBezTo>
                <a:pt x="4270416" y="2273368"/>
                <a:pt x="4286007" y="2288959"/>
                <a:pt x="4286007" y="2308187"/>
              </a:cubicBezTo>
              <a:cubicBezTo>
                <a:pt x="4286007" y="2327415"/>
                <a:pt x="4270416" y="2343006"/>
                <a:pt x="4251188" y="2343006"/>
              </a:cubicBezTo>
              <a:close/>
              <a:moveTo>
                <a:pt x="4336080" y="2343006"/>
              </a:moveTo>
              <a:cubicBezTo>
                <a:pt x="4316852" y="2343006"/>
                <a:pt x="4301261" y="2327415"/>
                <a:pt x="4301261" y="2308187"/>
              </a:cubicBezTo>
              <a:cubicBezTo>
                <a:pt x="4301261" y="2288959"/>
                <a:pt x="4316852" y="2273368"/>
                <a:pt x="4336080" y="2273368"/>
              </a:cubicBezTo>
              <a:cubicBezTo>
                <a:pt x="4355308" y="2273368"/>
                <a:pt x="4370899" y="2288959"/>
                <a:pt x="4370899" y="2308187"/>
              </a:cubicBezTo>
              <a:cubicBezTo>
                <a:pt x="4370899" y="2327415"/>
                <a:pt x="4355308" y="2343006"/>
                <a:pt x="4336080" y="2343006"/>
              </a:cubicBezTo>
              <a:close/>
              <a:moveTo>
                <a:pt x="4420973" y="2343006"/>
              </a:moveTo>
              <a:cubicBezTo>
                <a:pt x="4401746" y="2343006"/>
                <a:pt x="4386154" y="2327415"/>
                <a:pt x="4386154" y="2308187"/>
              </a:cubicBezTo>
              <a:cubicBezTo>
                <a:pt x="4386154" y="2288959"/>
                <a:pt x="4401746" y="2273368"/>
                <a:pt x="4420973" y="2273368"/>
              </a:cubicBezTo>
              <a:cubicBezTo>
                <a:pt x="4440201" y="2273368"/>
                <a:pt x="4455792" y="2288959"/>
                <a:pt x="4455792" y="2308187"/>
              </a:cubicBezTo>
              <a:cubicBezTo>
                <a:pt x="4455792" y="2327415"/>
                <a:pt x="4440201" y="2343006"/>
                <a:pt x="4420973" y="2343006"/>
              </a:cubicBezTo>
              <a:close/>
              <a:moveTo>
                <a:pt x="4505866" y="2343006"/>
              </a:moveTo>
              <a:cubicBezTo>
                <a:pt x="4486638" y="2343006"/>
                <a:pt x="4471047" y="2327415"/>
                <a:pt x="4471047" y="2308187"/>
              </a:cubicBezTo>
              <a:cubicBezTo>
                <a:pt x="4471047" y="2288959"/>
                <a:pt x="4486638" y="2273368"/>
                <a:pt x="4505866" y="2273368"/>
              </a:cubicBezTo>
              <a:cubicBezTo>
                <a:pt x="4525093" y="2273368"/>
                <a:pt x="4540684" y="2288959"/>
                <a:pt x="4540684" y="2308187"/>
              </a:cubicBezTo>
              <a:cubicBezTo>
                <a:pt x="4540684" y="2327415"/>
                <a:pt x="4525093" y="2343006"/>
                <a:pt x="4505866" y="2343006"/>
              </a:cubicBezTo>
              <a:close/>
              <a:moveTo>
                <a:pt x="4590758" y="2343006"/>
              </a:moveTo>
              <a:cubicBezTo>
                <a:pt x="4571530" y="2343006"/>
                <a:pt x="4555939" y="2327415"/>
                <a:pt x="4555939" y="2308187"/>
              </a:cubicBezTo>
              <a:cubicBezTo>
                <a:pt x="4555939" y="2288959"/>
                <a:pt x="4571530" y="2273368"/>
                <a:pt x="4590758" y="2273368"/>
              </a:cubicBezTo>
              <a:cubicBezTo>
                <a:pt x="4609986" y="2273368"/>
                <a:pt x="4625577" y="2288959"/>
                <a:pt x="4625577" y="2308187"/>
              </a:cubicBezTo>
              <a:cubicBezTo>
                <a:pt x="4625577" y="2327415"/>
                <a:pt x="4609986" y="2343006"/>
                <a:pt x="4590758" y="2343006"/>
              </a:cubicBezTo>
              <a:close/>
              <a:moveTo>
                <a:pt x="4675650" y="2343006"/>
              </a:moveTo>
              <a:cubicBezTo>
                <a:pt x="4656422" y="2343006"/>
                <a:pt x="4640831" y="2327415"/>
                <a:pt x="4640831" y="2308187"/>
              </a:cubicBezTo>
              <a:cubicBezTo>
                <a:pt x="4640831" y="2288959"/>
                <a:pt x="4656422" y="2273368"/>
                <a:pt x="4675650" y="2273368"/>
              </a:cubicBezTo>
              <a:cubicBezTo>
                <a:pt x="4694878" y="2273368"/>
                <a:pt x="4710469" y="2288959"/>
                <a:pt x="4710469" y="2308187"/>
              </a:cubicBezTo>
              <a:cubicBezTo>
                <a:pt x="4710469" y="2327415"/>
                <a:pt x="4694878" y="2343006"/>
                <a:pt x="4675650" y="2343006"/>
              </a:cubicBezTo>
              <a:close/>
              <a:moveTo>
                <a:pt x="4760543" y="2343006"/>
              </a:moveTo>
              <a:cubicBezTo>
                <a:pt x="4741316" y="2343006"/>
                <a:pt x="4725724" y="2327415"/>
                <a:pt x="4725724" y="2308187"/>
              </a:cubicBezTo>
              <a:cubicBezTo>
                <a:pt x="4725724" y="2288959"/>
                <a:pt x="4741316" y="2273368"/>
                <a:pt x="4760543" y="2273368"/>
              </a:cubicBezTo>
              <a:cubicBezTo>
                <a:pt x="4779771" y="2273368"/>
                <a:pt x="4795362" y="2288959"/>
                <a:pt x="4795362" y="2308187"/>
              </a:cubicBezTo>
              <a:cubicBezTo>
                <a:pt x="4795362" y="2327415"/>
                <a:pt x="4779771" y="2343006"/>
                <a:pt x="4760543" y="2343006"/>
              </a:cubicBezTo>
              <a:close/>
              <a:moveTo>
                <a:pt x="6288611" y="2343006"/>
              </a:moveTo>
              <a:cubicBezTo>
                <a:pt x="6269384" y="2343006"/>
                <a:pt x="6253786" y="2327415"/>
                <a:pt x="6253786" y="2308187"/>
              </a:cubicBezTo>
              <a:cubicBezTo>
                <a:pt x="6253786" y="2288959"/>
                <a:pt x="6269384" y="2273368"/>
                <a:pt x="6288611" y="2273368"/>
              </a:cubicBezTo>
              <a:cubicBezTo>
                <a:pt x="6307839" y="2273368"/>
                <a:pt x="6323424" y="2288959"/>
                <a:pt x="6323424" y="2308187"/>
              </a:cubicBezTo>
              <a:cubicBezTo>
                <a:pt x="6323424" y="2327415"/>
                <a:pt x="6307839" y="2343006"/>
                <a:pt x="6288611" y="2343006"/>
              </a:cubicBezTo>
              <a:close/>
              <a:moveTo>
                <a:pt x="6373504" y="2343006"/>
              </a:moveTo>
              <a:cubicBezTo>
                <a:pt x="6354276" y="2343006"/>
                <a:pt x="6338678" y="2327415"/>
                <a:pt x="6338678" y="2308187"/>
              </a:cubicBezTo>
              <a:cubicBezTo>
                <a:pt x="6338678" y="2288959"/>
                <a:pt x="6354276" y="2273368"/>
                <a:pt x="6373504" y="2273368"/>
              </a:cubicBezTo>
              <a:cubicBezTo>
                <a:pt x="6392731" y="2273368"/>
                <a:pt x="6408316" y="2288959"/>
                <a:pt x="6408316" y="2308187"/>
              </a:cubicBezTo>
              <a:cubicBezTo>
                <a:pt x="6408316" y="2327415"/>
                <a:pt x="6392731" y="2343006"/>
                <a:pt x="6373504" y="2343006"/>
              </a:cubicBezTo>
              <a:close/>
              <a:moveTo>
                <a:pt x="6458396" y="2343006"/>
              </a:moveTo>
              <a:cubicBezTo>
                <a:pt x="6439168" y="2343006"/>
                <a:pt x="6423570" y="2327415"/>
                <a:pt x="6423570" y="2308187"/>
              </a:cubicBezTo>
              <a:cubicBezTo>
                <a:pt x="6423570" y="2288959"/>
                <a:pt x="6439168" y="2273368"/>
                <a:pt x="6458396" y="2273368"/>
              </a:cubicBezTo>
              <a:cubicBezTo>
                <a:pt x="6477624" y="2273368"/>
                <a:pt x="6493208" y="2288959"/>
                <a:pt x="6493208" y="2308187"/>
              </a:cubicBezTo>
              <a:cubicBezTo>
                <a:pt x="6493208" y="2327415"/>
                <a:pt x="6477624" y="2343006"/>
                <a:pt x="6458396" y="2343006"/>
              </a:cubicBezTo>
              <a:close/>
              <a:moveTo>
                <a:pt x="6543288" y="2343006"/>
              </a:moveTo>
              <a:cubicBezTo>
                <a:pt x="6524060" y="2343006"/>
                <a:pt x="6508463" y="2327415"/>
                <a:pt x="6508463" y="2308187"/>
              </a:cubicBezTo>
              <a:cubicBezTo>
                <a:pt x="6508463" y="2288959"/>
                <a:pt x="6524060" y="2273368"/>
                <a:pt x="6543288" y="2273368"/>
              </a:cubicBezTo>
              <a:cubicBezTo>
                <a:pt x="6562516" y="2273368"/>
                <a:pt x="6578100" y="2288959"/>
                <a:pt x="6578100" y="2308187"/>
              </a:cubicBezTo>
              <a:cubicBezTo>
                <a:pt x="6578100" y="2327415"/>
                <a:pt x="6562516" y="2343006"/>
                <a:pt x="6543288" y="2343006"/>
              </a:cubicBezTo>
              <a:close/>
              <a:moveTo>
                <a:pt x="6628181" y="2343006"/>
              </a:moveTo>
              <a:cubicBezTo>
                <a:pt x="6608954" y="2343006"/>
                <a:pt x="6593356" y="2327415"/>
                <a:pt x="6593356" y="2308187"/>
              </a:cubicBezTo>
              <a:cubicBezTo>
                <a:pt x="6593356" y="2288959"/>
                <a:pt x="6608954" y="2273368"/>
                <a:pt x="6628181" y="2273368"/>
              </a:cubicBezTo>
              <a:cubicBezTo>
                <a:pt x="6647409" y="2273368"/>
                <a:pt x="6662994" y="2288959"/>
                <a:pt x="6662994" y="2308187"/>
              </a:cubicBezTo>
              <a:cubicBezTo>
                <a:pt x="6662994" y="2327415"/>
                <a:pt x="6647409" y="2343006"/>
                <a:pt x="6628181" y="2343006"/>
              </a:cubicBezTo>
              <a:close/>
              <a:moveTo>
                <a:pt x="6713074" y="2343006"/>
              </a:moveTo>
              <a:cubicBezTo>
                <a:pt x="6693846" y="2343006"/>
                <a:pt x="6678248" y="2327415"/>
                <a:pt x="6678248" y="2308187"/>
              </a:cubicBezTo>
              <a:cubicBezTo>
                <a:pt x="6678248" y="2288959"/>
                <a:pt x="6693846" y="2273368"/>
                <a:pt x="6713074" y="2273368"/>
              </a:cubicBezTo>
              <a:cubicBezTo>
                <a:pt x="6732301" y="2273368"/>
                <a:pt x="6747886" y="2288959"/>
                <a:pt x="6747886" y="2308187"/>
              </a:cubicBezTo>
              <a:cubicBezTo>
                <a:pt x="6747886" y="2327415"/>
                <a:pt x="6732301" y="2343006"/>
                <a:pt x="6713074" y="2343006"/>
              </a:cubicBezTo>
              <a:close/>
              <a:moveTo>
                <a:pt x="6882858" y="2343006"/>
              </a:moveTo>
              <a:cubicBezTo>
                <a:pt x="6863630" y="2343006"/>
                <a:pt x="6848033" y="2327415"/>
                <a:pt x="6848033" y="2308187"/>
              </a:cubicBezTo>
              <a:cubicBezTo>
                <a:pt x="6848033" y="2288959"/>
                <a:pt x="6863630" y="2273368"/>
                <a:pt x="6882858" y="2273368"/>
              </a:cubicBezTo>
              <a:cubicBezTo>
                <a:pt x="6902086" y="2273368"/>
                <a:pt x="6917670" y="2288959"/>
                <a:pt x="6917670" y="2308187"/>
              </a:cubicBezTo>
              <a:cubicBezTo>
                <a:pt x="6917670" y="2327415"/>
                <a:pt x="6902086" y="2343006"/>
                <a:pt x="6882858" y="2343006"/>
              </a:cubicBezTo>
              <a:close/>
              <a:moveTo>
                <a:pt x="6967750" y="2343006"/>
              </a:moveTo>
              <a:cubicBezTo>
                <a:pt x="6948523" y="2343006"/>
                <a:pt x="6932925" y="2327415"/>
                <a:pt x="6932925" y="2308187"/>
              </a:cubicBezTo>
              <a:cubicBezTo>
                <a:pt x="6932925" y="2288959"/>
                <a:pt x="6948523" y="2273368"/>
                <a:pt x="6967750" y="2273368"/>
              </a:cubicBezTo>
              <a:cubicBezTo>
                <a:pt x="6986978" y="2273368"/>
                <a:pt x="7002563" y="2288959"/>
                <a:pt x="7002563" y="2308187"/>
              </a:cubicBezTo>
              <a:cubicBezTo>
                <a:pt x="7002563" y="2327415"/>
                <a:pt x="6986978" y="2343006"/>
                <a:pt x="6967750" y="2343006"/>
              </a:cubicBezTo>
              <a:close/>
              <a:moveTo>
                <a:pt x="7052644" y="2343006"/>
              </a:moveTo>
              <a:cubicBezTo>
                <a:pt x="7033416" y="2343006"/>
                <a:pt x="7017818" y="2327415"/>
                <a:pt x="7017818" y="2308187"/>
              </a:cubicBezTo>
              <a:cubicBezTo>
                <a:pt x="7017818" y="2288959"/>
                <a:pt x="7033416" y="2273368"/>
                <a:pt x="7052644" y="2273368"/>
              </a:cubicBezTo>
              <a:cubicBezTo>
                <a:pt x="7071871" y="2273368"/>
                <a:pt x="7087456" y="2288959"/>
                <a:pt x="7087456" y="2308187"/>
              </a:cubicBezTo>
              <a:cubicBezTo>
                <a:pt x="7087456" y="2327415"/>
                <a:pt x="7071871" y="2343006"/>
                <a:pt x="7052644" y="2343006"/>
              </a:cubicBezTo>
              <a:close/>
              <a:moveTo>
                <a:pt x="9259848" y="2343006"/>
              </a:moveTo>
              <a:cubicBezTo>
                <a:pt x="9240620" y="2343006"/>
                <a:pt x="9225023" y="2327415"/>
                <a:pt x="9225023" y="2308187"/>
              </a:cubicBezTo>
              <a:cubicBezTo>
                <a:pt x="9225023" y="2288959"/>
                <a:pt x="9240620" y="2273368"/>
                <a:pt x="9259848" y="2273368"/>
              </a:cubicBezTo>
              <a:cubicBezTo>
                <a:pt x="9279076" y="2273368"/>
                <a:pt x="9294660" y="2288959"/>
                <a:pt x="9294660" y="2308187"/>
              </a:cubicBezTo>
              <a:cubicBezTo>
                <a:pt x="9294660" y="2327415"/>
                <a:pt x="9279076" y="2343006"/>
                <a:pt x="9259848" y="2343006"/>
              </a:cubicBezTo>
              <a:close/>
              <a:moveTo>
                <a:pt x="9344740" y="2343006"/>
              </a:moveTo>
              <a:cubicBezTo>
                <a:pt x="9325513" y="2343006"/>
                <a:pt x="9309915" y="2327415"/>
                <a:pt x="9309915" y="2308187"/>
              </a:cubicBezTo>
              <a:cubicBezTo>
                <a:pt x="9309915" y="2288959"/>
                <a:pt x="9325513" y="2273368"/>
                <a:pt x="9344740" y="2273368"/>
              </a:cubicBezTo>
              <a:cubicBezTo>
                <a:pt x="9363968" y="2273368"/>
                <a:pt x="9379553" y="2288959"/>
                <a:pt x="9379553" y="2308187"/>
              </a:cubicBezTo>
              <a:cubicBezTo>
                <a:pt x="9379553" y="2327415"/>
                <a:pt x="9363968" y="2343006"/>
                <a:pt x="9344740" y="2343006"/>
              </a:cubicBezTo>
              <a:close/>
              <a:moveTo>
                <a:pt x="9429633" y="2343006"/>
              </a:moveTo>
              <a:cubicBezTo>
                <a:pt x="9410405" y="2343006"/>
                <a:pt x="9394807" y="2327415"/>
                <a:pt x="9394807" y="2308187"/>
              </a:cubicBezTo>
              <a:cubicBezTo>
                <a:pt x="9394807" y="2288959"/>
                <a:pt x="9410405" y="2273368"/>
                <a:pt x="9429633" y="2273368"/>
              </a:cubicBezTo>
              <a:cubicBezTo>
                <a:pt x="9448860" y="2273368"/>
                <a:pt x="9464445" y="2288959"/>
                <a:pt x="9464445" y="2308187"/>
              </a:cubicBezTo>
              <a:cubicBezTo>
                <a:pt x="9464445" y="2327415"/>
                <a:pt x="9448860" y="2343006"/>
                <a:pt x="9429633" y="2343006"/>
              </a:cubicBezTo>
              <a:close/>
              <a:moveTo>
                <a:pt x="10278558" y="2343006"/>
              </a:moveTo>
              <a:cubicBezTo>
                <a:pt x="10259330" y="2343006"/>
                <a:pt x="10243733" y="2327415"/>
                <a:pt x="10243733" y="2308187"/>
              </a:cubicBezTo>
              <a:cubicBezTo>
                <a:pt x="10243733" y="2288959"/>
                <a:pt x="10259330" y="2273368"/>
                <a:pt x="10278558" y="2273368"/>
              </a:cubicBezTo>
              <a:cubicBezTo>
                <a:pt x="10297786" y="2273368"/>
                <a:pt x="10313370" y="2288959"/>
                <a:pt x="10313370" y="2308187"/>
              </a:cubicBezTo>
              <a:cubicBezTo>
                <a:pt x="10313370" y="2327415"/>
                <a:pt x="10297786" y="2343006"/>
                <a:pt x="10278558" y="2343006"/>
              </a:cubicBezTo>
              <a:close/>
              <a:moveTo>
                <a:pt x="10363450" y="2343006"/>
              </a:moveTo>
              <a:cubicBezTo>
                <a:pt x="10344223" y="2343006"/>
                <a:pt x="10328625" y="2327415"/>
                <a:pt x="10328625" y="2308187"/>
              </a:cubicBezTo>
              <a:cubicBezTo>
                <a:pt x="10328625" y="2288959"/>
                <a:pt x="10344223" y="2273368"/>
                <a:pt x="10363450" y="2273368"/>
              </a:cubicBezTo>
              <a:cubicBezTo>
                <a:pt x="10382678" y="2273368"/>
                <a:pt x="10398263" y="2288959"/>
                <a:pt x="10398263" y="2308187"/>
              </a:cubicBezTo>
              <a:cubicBezTo>
                <a:pt x="10398263" y="2327415"/>
                <a:pt x="10382678" y="2343006"/>
                <a:pt x="10363450" y="2343006"/>
              </a:cubicBezTo>
              <a:close/>
              <a:moveTo>
                <a:pt x="10448343" y="2343006"/>
              </a:moveTo>
              <a:cubicBezTo>
                <a:pt x="10429115" y="2343006"/>
                <a:pt x="10413517" y="2327415"/>
                <a:pt x="10413517" y="2308187"/>
              </a:cubicBezTo>
              <a:cubicBezTo>
                <a:pt x="10413517" y="2288959"/>
                <a:pt x="10429115" y="2273368"/>
                <a:pt x="10448343" y="2273368"/>
              </a:cubicBezTo>
              <a:cubicBezTo>
                <a:pt x="10467570" y="2273368"/>
                <a:pt x="10483155" y="2288959"/>
                <a:pt x="10483155" y="2308187"/>
              </a:cubicBezTo>
              <a:cubicBezTo>
                <a:pt x="10483155" y="2327415"/>
                <a:pt x="10467570" y="2343006"/>
                <a:pt x="10448343" y="2343006"/>
              </a:cubicBezTo>
              <a:close/>
              <a:moveTo>
                <a:pt x="10787913" y="2343006"/>
              </a:moveTo>
              <a:cubicBezTo>
                <a:pt x="10768685" y="2343006"/>
                <a:pt x="10753087" y="2327415"/>
                <a:pt x="10753087" y="2308187"/>
              </a:cubicBezTo>
              <a:cubicBezTo>
                <a:pt x="10753087" y="2288959"/>
                <a:pt x="10768685" y="2273368"/>
                <a:pt x="10787913" y="2273368"/>
              </a:cubicBezTo>
              <a:cubicBezTo>
                <a:pt x="10807140" y="2273368"/>
                <a:pt x="10822725" y="2288959"/>
                <a:pt x="10822725" y="2308187"/>
              </a:cubicBezTo>
              <a:cubicBezTo>
                <a:pt x="10822725" y="2327415"/>
                <a:pt x="10807140" y="2343006"/>
                <a:pt x="10787913" y="2343006"/>
              </a:cubicBezTo>
              <a:close/>
              <a:moveTo>
                <a:pt x="10872805" y="2343006"/>
              </a:moveTo>
              <a:cubicBezTo>
                <a:pt x="10853577" y="2343006"/>
                <a:pt x="10837979" y="2327415"/>
                <a:pt x="10837979" y="2308187"/>
              </a:cubicBezTo>
              <a:cubicBezTo>
                <a:pt x="10837979" y="2288959"/>
                <a:pt x="10853577" y="2273368"/>
                <a:pt x="10872805" y="2273368"/>
              </a:cubicBezTo>
              <a:cubicBezTo>
                <a:pt x="10892033" y="2273368"/>
                <a:pt x="10907617" y="2288959"/>
                <a:pt x="10907617" y="2308187"/>
              </a:cubicBezTo>
              <a:cubicBezTo>
                <a:pt x="10907617" y="2327415"/>
                <a:pt x="10892033" y="2343006"/>
                <a:pt x="10872805" y="2343006"/>
              </a:cubicBezTo>
              <a:close/>
              <a:moveTo>
                <a:pt x="3487156" y="2258146"/>
              </a:moveTo>
              <a:cubicBezTo>
                <a:pt x="3467928" y="2258146"/>
                <a:pt x="3452337" y="2242555"/>
                <a:pt x="3452337" y="2223327"/>
              </a:cubicBezTo>
              <a:cubicBezTo>
                <a:pt x="3452337" y="2204100"/>
                <a:pt x="3467928" y="2188509"/>
                <a:pt x="3487156" y="2188509"/>
              </a:cubicBezTo>
              <a:cubicBezTo>
                <a:pt x="3506383" y="2188509"/>
                <a:pt x="3521974" y="2204100"/>
                <a:pt x="3521974" y="2223327"/>
              </a:cubicBezTo>
              <a:cubicBezTo>
                <a:pt x="3521974" y="2242555"/>
                <a:pt x="3506383" y="2258146"/>
                <a:pt x="3487156" y="2258146"/>
              </a:cubicBezTo>
              <a:close/>
              <a:moveTo>
                <a:pt x="3572048" y="2258146"/>
              </a:moveTo>
              <a:cubicBezTo>
                <a:pt x="3552820" y="2258146"/>
                <a:pt x="3537229" y="2242555"/>
                <a:pt x="3537229" y="2223327"/>
              </a:cubicBezTo>
              <a:cubicBezTo>
                <a:pt x="3537229" y="2204100"/>
                <a:pt x="3552820" y="2188509"/>
                <a:pt x="3572048" y="2188509"/>
              </a:cubicBezTo>
              <a:cubicBezTo>
                <a:pt x="3591276" y="2188509"/>
                <a:pt x="3606867" y="2204100"/>
                <a:pt x="3606867" y="2223327"/>
              </a:cubicBezTo>
              <a:cubicBezTo>
                <a:pt x="3606867" y="2242555"/>
                <a:pt x="3591276" y="2258146"/>
                <a:pt x="3572048" y="2258146"/>
              </a:cubicBezTo>
              <a:close/>
              <a:moveTo>
                <a:pt x="3656941" y="2258146"/>
              </a:moveTo>
              <a:cubicBezTo>
                <a:pt x="3637713" y="2258146"/>
                <a:pt x="3622122" y="2242555"/>
                <a:pt x="3622122" y="2223327"/>
              </a:cubicBezTo>
              <a:cubicBezTo>
                <a:pt x="3622122" y="2204100"/>
                <a:pt x="3637713" y="2188509"/>
                <a:pt x="3656941" y="2188509"/>
              </a:cubicBezTo>
              <a:cubicBezTo>
                <a:pt x="3676169" y="2188509"/>
                <a:pt x="3691760" y="2204100"/>
                <a:pt x="3691760" y="2223327"/>
              </a:cubicBezTo>
              <a:cubicBezTo>
                <a:pt x="3691760" y="2242555"/>
                <a:pt x="3676169" y="2258146"/>
                <a:pt x="3656941" y="2258146"/>
              </a:cubicBezTo>
              <a:close/>
              <a:moveTo>
                <a:pt x="3741833" y="2258146"/>
              </a:moveTo>
              <a:cubicBezTo>
                <a:pt x="3722606" y="2258146"/>
                <a:pt x="3707014" y="2242555"/>
                <a:pt x="3707014" y="2223327"/>
              </a:cubicBezTo>
              <a:cubicBezTo>
                <a:pt x="3707014" y="2204100"/>
                <a:pt x="3722606" y="2188509"/>
                <a:pt x="3741833" y="2188509"/>
              </a:cubicBezTo>
              <a:cubicBezTo>
                <a:pt x="3761061" y="2188509"/>
                <a:pt x="3776652" y="2204100"/>
                <a:pt x="3776652" y="2223327"/>
              </a:cubicBezTo>
              <a:cubicBezTo>
                <a:pt x="3776652" y="2242555"/>
                <a:pt x="3761061" y="2258146"/>
                <a:pt x="3741833" y="2258146"/>
              </a:cubicBezTo>
              <a:close/>
              <a:moveTo>
                <a:pt x="3826726" y="2258146"/>
              </a:moveTo>
              <a:cubicBezTo>
                <a:pt x="3807498" y="2258146"/>
                <a:pt x="3791907" y="2242555"/>
                <a:pt x="3791907" y="2223327"/>
              </a:cubicBezTo>
              <a:cubicBezTo>
                <a:pt x="3791907" y="2204100"/>
                <a:pt x="3807498" y="2188509"/>
                <a:pt x="3826726" y="2188509"/>
              </a:cubicBezTo>
              <a:cubicBezTo>
                <a:pt x="3845953" y="2188509"/>
                <a:pt x="3861544" y="2204100"/>
                <a:pt x="3861544" y="2223327"/>
              </a:cubicBezTo>
              <a:cubicBezTo>
                <a:pt x="3861544" y="2242555"/>
                <a:pt x="3845953" y="2258146"/>
                <a:pt x="3826726" y="2258146"/>
              </a:cubicBezTo>
              <a:close/>
              <a:moveTo>
                <a:pt x="3911618" y="2258146"/>
              </a:moveTo>
              <a:cubicBezTo>
                <a:pt x="3892390" y="2258146"/>
                <a:pt x="3876799" y="2242555"/>
                <a:pt x="3876799" y="2223327"/>
              </a:cubicBezTo>
              <a:cubicBezTo>
                <a:pt x="3876799" y="2204100"/>
                <a:pt x="3892390" y="2188509"/>
                <a:pt x="3911618" y="2188509"/>
              </a:cubicBezTo>
              <a:cubicBezTo>
                <a:pt x="3930846" y="2188509"/>
                <a:pt x="3946437" y="2204100"/>
                <a:pt x="3946437" y="2223327"/>
              </a:cubicBezTo>
              <a:cubicBezTo>
                <a:pt x="3946437" y="2242555"/>
                <a:pt x="3930846" y="2258146"/>
                <a:pt x="3911618" y="2258146"/>
              </a:cubicBezTo>
              <a:close/>
              <a:moveTo>
                <a:pt x="3996511" y="2258146"/>
              </a:moveTo>
              <a:cubicBezTo>
                <a:pt x="3977283" y="2258146"/>
                <a:pt x="3961692" y="2242555"/>
                <a:pt x="3961692" y="2223327"/>
              </a:cubicBezTo>
              <a:cubicBezTo>
                <a:pt x="3961692" y="2204100"/>
                <a:pt x="3977283" y="2188509"/>
                <a:pt x="3996511" y="2188509"/>
              </a:cubicBezTo>
              <a:cubicBezTo>
                <a:pt x="4015739" y="2188509"/>
                <a:pt x="4031330" y="2204100"/>
                <a:pt x="4031330" y="2223327"/>
              </a:cubicBezTo>
              <a:cubicBezTo>
                <a:pt x="4031330" y="2242555"/>
                <a:pt x="4015739" y="2258146"/>
                <a:pt x="3996511" y="2258146"/>
              </a:cubicBezTo>
              <a:close/>
              <a:moveTo>
                <a:pt x="4081403" y="2258146"/>
              </a:moveTo>
              <a:cubicBezTo>
                <a:pt x="4062176" y="2258146"/>
                <a:pt x="4046584" y="2242555"/>
                <a:pt x="4046584" y="2223327"/>
              </a:cubicBezTo>
              <a:cubicBezTo>
                <a:pt x="4046584" y="2204100"/>
                <a:pt x="4062176" y="2188509"/>
                <a:pt x="4081403" y="2188509"/>
              </a:cubicBezTo>
              <a:cubicBezTo>
                <a:pt x="4100631" y="2188509"/>
                <a:pt x="4116222" y="2204100"/>
                <a:pt x="4116222" y="2223327"/>
              </a:cubicBezTo>
              <a:cubicBezTo>
                <a:pt x="4116222" y="2242555"/>
                <a:pt x="4100631" y="2258146"/>
                <a:pt x="4081403" y="2258146"/>
              </a:cubicBezTo>
              <a:close/>
              <a:moveTo>
                <a:pt x="4166296" y="2258146"/>
              </a:moveTo>
              <a:cubicBezTo>
                <a:pt x="4147068" y="2258146"/>
                <a:pt x="4131477" y="2242555"/>
                <a:pt x="4131477" y="2223327"/>
              </a:cubicBezTo>
              <a:cubicBezTo>
                <a:pt x="4131477" y="2204100"/>
                <a:pt x="4147068" y="2188509"/>
                <a:pt x="4166296" y="2188509"/>
              </a:cubicBezTo>
              <a:cubicBezTo>
                <a:pt x="4185523" y="2188509"/>
                <a:pt x="4201114" y="2204100"/>
                <a:pt x="4201114" y="2223327"/>
              </a:cubicBezTo>
              <a:cubicBezTo>
                <a:pt x="4201114" y="2242555"/>
                <a:pt x="4185523" y="2258146"/>
                <a:pt x="4166296" y="2258146"/>
              </a:cubicBezTo>
              <a:close/>
              <a:moveTo>
                <a:pt x="4251188" y="2258146"/>
              </a:moveTo>
              <a:cubicBezTo>
                <a:pt x="4231960" y="2258146"/>
                <a:pt x="4216369" y="2242555"/>
                <a:pt x="4216369" y="2223327"/>
              </a:cubicBezTo>
              <a:cubicBezTo>
                <a:pt x="4216369" y="2204100"/>
                <a:pt x="4231960" y="2188509"/>
                <a:pt x="4251188" y="2188509"/>
              </a:cubicBezTo>
              <a:cubicBezTo>
                <a:pt x="4270416" y="2188509"/>
                <a:pt x="4286007" y="2204100"/>
                <a:pt x="4286007" y="2223327"/>
              </a:cubicBezTo>
              <a:cubicBezTo>
                <a:pt x="4286007" y="2242555"/>
                <a:pt x="4270416" y="2258146"/>
                <a:pt x="4251188" y="2258146"/>
              </a:cubicBezTo>
              <a:close/>
              <a:moveTo>
                <a:pt x="4336080" y="2258146"/>
              </a:moveTo>
              <a:cubicBezTo>
                <a:pt x="4316852" y="2258146"/>
                <a:pt x="4301261" y="2242555"/>
                <a:pt x="4301261" y="2223327"/>
              </a:cubicBezTo>
              <a:cubicBezTo>
                <a:pt x="4301261" y="2204100"/>
                <a:pt x="4316852" y="2188509"/>
                <a:pt x="4336080" y="2188509"/>
              </a:cubicBezTo>
              <a:cubicBezTo>
                <a:pt x="4355308" y="2188509"/>
                <a:pt x="4370899" y="2204100"/>
                <a:pt x="4370899" y="2223327"/>
              </a:cubicBezTo>
              <a:cubicBezTo>
                <a:pt x="4370899" y="2242555"/>
                <a:pt x="4355308" y="2258146"/>
                <a:pt x="4336080" y="2258146"/>
              </a:cubicBezTo>
              <a:close/>
              <a:moveTo>
                <a:pt x="4420973" y="2258146"/>
              </a:moveTo>
              <a:cubicBezTo>
                <a:pt x="4401746" y="2258146"/>
                <a:pt x="4386154" y="2242555"/>
                <a:pt x="4386154" y="2223327"/>
              </a:cubicBezTo>
              <a:cubicBezTo>
                <a:pt x="4386154" y="2204100"/>
                <a:pt x="4401746" y="2188509"/>
                <a:pt x="4420973" y="2188509"/>
              </a:cubicBezTo>
              <a:cubicBezTo>
                <a:pt x="4440201" y="2188509"/>
                <a:pt x="4455792" y="2204100"/>
                <a:pt x="4455792" y="2223327"/>
              </a:cubicBezTo>
              <a:cubicBezTo>
                <a:pt x="4455792" y="2242555"/>
                <a:pt x="4440201" y="2258146"/>
                <a:pt x="4420973" y="2258146"/>
              </a:cubicBezTo>
              <a:close/>
              <a:moveTo>
                <a:pt x="4505866" y="2258146"/>
              </a:moveTo>
              <a:cubicBezTo>
                <a:pt x="4486638" y="2258146"/>
                <a:pt x="4471047" y="2242555"/>
                <a:pt x="4471047" y="2223327"/>
              </a:cubicBezTo>
              <a:cubicBezTo>
                <a:pt x="4471047" y="2204100"/>
                <a:pt x="4486638" y="2188509"/>
                <a:pt x="4505866" y="2188509"/>
              </a:cubicBezTo>
              <a:cubicBezTo>
                <a:pt x="4525093" y="2188509"/>
                <a:pt x="4540684" y="2204100"/>
                <a:pt x="4540684" y="2223327"/>
              </a:cubicBezTo>
              <a:cubicBezTo>
                <a:pt x="4540684" y="2242555"/>
                <a:pt x="4525093" y="2258146"/>
                <a:pt x="4505866" y="2258146"/>
              </a:cubicBezTo>
              <a:close/>
              <a:moveTo>
                <a:pt x="4590758" y="2258146"/>
              </a:moveTo>
              <a:cubicBezTo>
                <a:pt x="4571530" y="2258146"/>
                <a:pt x="4555939" y="2242555"/>
                <a:pt x="4555939" y="2223327"/>
              </a:cubicBezTo>
              <a:cubicBezTo>
                <a:pt x="4555939" y="2204100"/>
                <a:pt x="4571530" y="2188509"/>
                <a:pt x="4590758" y="2188509"/>
              </a:cubicBezTo>
              <a:cubicBezTo>
                <a:pt x="4609986" y="2188509"/>
                <a:pt x="4625577" y="2204100"/>
                <a:pt x="4625577" y="2223327"/>
              </a:cubicBezTo>
              <a:cubicBezTo>
                <a:pt x="4625577" y="2242555"/>
                <a:pt x="4609986" y="2258146"/>
                <a:pt x="4590758" y="2258146"/>
              </a:cubicBezTo>
              <a:close/>
              <a:moveTo>
                <a:pt x="4675650" y="2258146"/>
              </a:moveTo>
              <a:cubicBezTo>
                <a:pt x="4656422" y="2258146"/>
                <a:pt x="4640831" y="2242555"/>
                <a:pt x="4640831" y="2223327"/>
              </a:cubicBezTo>
              <a:cubicBezTo>
                <a:pt x="4640831" y="2204100"/>
                <a:pt x="4656422" y="2188509"/>
                <a:pt x="4675650" y="2188509"/>
              </a:cubicBezTo>
              <a:cubicBezTo>
                <a:pt x="4694878" y="2188509"/>
                <a:pt x="4710469" y="2204100"/>
                <a:pt x="4710469" y="2223327"/>
              </a:cubicBezTo>
              <a:cubicBezTo>
                <a:pt x="4710469" y="2242555"/>
                <a:pt x="4694878" y="2258146"/>
                <a:pt x="4675650" y="2258146"/>
              </a:cubicBezTo>
              <a:close/>
              <a:moveTo>
                <a:pt x="6288611" y="2258146"/>
              </a:moveTo>
              <a:cubicBezTo>
                <a:pt x="6269384" y="2258146"/>
                <a:pt x="6253786" y="2242555"/>
                <a:pt x="6253786" y="2223327"/>
              </a:cubicBezTo>
              <a:cubicBezTo>
                <a:pt x="6253786" y="2204100"/>
                <a:pt x="6269384" y="2188509"/>
                <a:pt x="6288611" y="2188509"/>
              </a:cubicBezTo>
              <a:cubicBezTo>
                <a:pt x="6307839" y="2188509"/>
                <a:pt x="6323424" y="2204100"/>
                <a:pt x="6323424" y="2223327"/>
              </a:cubicBezTo>
              <a:cubicBezTo>
                <a:pt x="6323424" y="2242555"/>
                <a:pt x="6307839" y="2258146"/>
                <a:pt x="6288611" y="2258146"/>
              </a:cubicBezTo>
              <a:close/>
              <a:moveTo>
                <a:pt x="6373504" y="2258146"/>
              </a:moveTo>
              <a:cubicBezTo>
                <a:pt x="6354276" y="2258146"/>
                <a:pt x="6338678" y="2242555"/>
                <a:pt x="6338678" y="2223327"/>
              </a:cubicBezTo>
              <a:cubicBezTo>
                <a:pt x="6338678" y="2204100"/>
                <a:pt x="6354276" y="2188509"/>
                <a:pt x="6373504" y="2188509"/>
              </a:cubicBezTo>
              <a:cubicBezTo>
                <a:pt x="6392731" y="2188509"/>
                <a:pt x="6408316" y="2204100"/>
                <a:pt x="6408316" y="2223327"/>
              </a:cubicBezTo>
              <a:cubicBezTo>
                <a:pt x="6408316" y="2242555"/>
                <a:pt x="6392731" y="2258146"/>
                <a:pt x="6373504" y="2258146"/>
              </a:cubicBezTo>
              <a:close/>
              <a:moveTo>
                <a:pt x="6458396" y="2258146"/>
              </a:moveTo>
              <a:cubicBezTo>
                <a:pt x="6439168" y="2258146"/>
                <a:pt x="6423570" y="2242555"/>
                <a:pt x="6423570" y="2223327"/>
              </a:cubicBezTo>
              <a:cubicBezTo>
                <a:pt x="6423570" y="2204100"/>
                <a:pt x="6439168" y="2188509"/>
                <a:pt x="6458396" y="2188509"/>
              </a:cubicBezTo>
              <a:cubicBezTo>
                <a:pt x="6477624" y="2188509"/>
                <a:pt x="6493208" y="2204100"/>
                <a:pt x="6493208" y="2223327"/>
              </a:cubicBezTo>
              <a:cubicBezTo>
                <a:pt x="6493208" y="2242555"/>
                <a:pt x="6477624" y="2258146"/>
                <a:pt x="6458396" y="2258146"/>
              </a:cubicBezTo>
              <a:close/>
              <a:moveTo>
                <a:pt x="6543288" y="2258146"/>
              </a:moveTo>
              <a:cubicBezTo>
                <a:pt x="6524060" y="2258146"/>
                <a:pt x="6508463" y="2242555"/>
                <a:pt x="6508463" y="2223327"/>
              </a:cubicBezTo>
              <a:cubicBezTo>
                <a:pt x="6508463" y="2204100"/>
                <a:pt x="6524060" y="2188509"/>
                <a:pt x="6543288" y="2188509"/>
              </a:cubicBezTo>
              <a:cubicBezTo>
                <a:pt x="6562516" y="2188509"/>
                <a:pt x="6578100" y="2204100"/>
                <a:pt x="6578100" y="2223327"/>
              </a:cubicBezTo>
              <a:cubicBezTo>
                <a:pt x="6578100" y="2242555"/>
                <a:pt x="6562516" y="2258146"/>
                <a:pt x="6543288" y="2258146"/>
              </a:cubicBezTo>
              <a:close/>
              <a:moveTo>
                <a:pt x="6628181" y="2258146"/>
              </a:moveTo>
              <a:cubicBezTo>
                <a:pt x="6608954" y="2258146"/>
                <a:pt x="6593356" y="2242555"/>
                <a:pt x="6593356" y="2223327"/>
              </a:cubicBezTo>
              <a:cubicBezTo>
                <a:pt x="6593356" y="2204100"/>
                <a:pt x="6608954" y="2188509"/>
                <a:pt x="6628181" y="2188509"/>
              </a:cubicBezTo>
              <a:cubicBezTo>
                <a:pt x="6647409" y="2188509"/>
                <a:pt x="6662994" y="2204100"/>
                <a:pt x="6662994" y="2223327"/>
              </a:cubicBezTo>
              <a:cubicBezTo>
                <a:pt x="6662994" y="2242555"/>
                <a:pt x="6647409" y="2258146"/>
                <a:pt x="6628181" y="2258146"/>
              </a:cubicBezTo>
              <a:close/>
              <a:moveTo>
                <a:pt x="6713074" y="2258146"/>
              </a:moveTo>
              <a:cubicBezTo>
                <a:pt x="6693846" y="2258146"/>
                <a:pt x="6678248" y="2242555"/>
                <a:pt x="6678248" y="2223327"/>
              </a:cubicBezTo>
              <a:cubicBezTo>
                <a:pt x="6678248" y="2204100"/>
                <a:pt x="6693846" y="2188509"/>
                <a:pt x="6713074" y="2188509"/>
              </a:cubicBezTo>
              <a:cubicBezTo>
                <a:pt x="6732301" y="2188509"/>
                <a:pt x="6747886" y="2204100"/>
                <a:pt x="6747886" y="2223327"/>
              </a:cubicBezTo>
              <a:cubicBezTo>
                <a:pt x="6747886" y="2242555"/>
                <a:pt x="6732301" y="2258146"/>
                <a:pt x="6713074" y="2258146"/>
              </a:cubicBezTo>
              <a:close/>
              <a:moveTo>
                <a:pt x="6797966" y="2258146"/>
              </a:moveTo>
              <a:cubicBezTo>
                <a:pt x="6778738" y="2258146"/>
                <a:pt x="6763140" y="2242555"/>
                <a:pt x="6763140" y="2223327"/>
              </a:cubicBezTo>
              <a:cubicBezTo>
                <a:pt x="6763140" y="2204100"/>
                <a:pt x="6778738" y="2188509"/>
                <a:pt x="6797966" y="2188509"/>
              </a:cubicBezTo>
              <a:cubicBezTo>
                <a:pt x="6817194" y="2188509"/>
                <a:pt x="6832778" y="2204100"/>
                <a:pt x="6832778" y="2223327"/>
              </a:cubicBezTo>
              <a:cubicBezTo>
                <a:pt x="6832778" y="2242555"/>
                <a:pt x="6817194" y="2258146"/>
                <a:pt x="6797966" y="2258146"/>
              </a:cubicBezTo>
              <a:close/>
              <a:moveTo>
                <a:pt x="6882858" y="2258146"/>
              </a:moveTo>
              <a:cubicBezTo>
                <a:pt x="6863630" y="2258146"/>
                <a:pt x="6848033" y="2242555"/>
                <a:pt x="6848033" y="2223327"/>
              </a:cubicBezTo>
              <a:cubicBezTo>
                <a:pt x="6848033" y="2204100"/>
                <a:pt x="6863630" y="2188509"/>
                <a:pt x="6882858" y="2188509"/>
              </a:cubicBezTo>
              <a:cubicBezTo>
                <a:pt x="6902086" y="2188509"/>
                <a:pt x="6917670" y="2204100"/>
                <a:pt x="6917670" y="2223327"/>
              </a:cubicBezTo>
              <a:cubicBezTo>
                <a:pt x="6917670" y="2242555"/>
                <a:pt x="6902086" y="2258146"/>
                <a:pt x="6882858" y="2258146"/>
              </a:cubicBezTo>
              <a:close/>
              <a:moveTo>
                <a:pt x="6967750" y="2258146"/>
              </a:moveTo>
              <a:cubicBezTo>
                <a:pt x="6948523" y="2258146"/>
                <a:pt x="6932925" y="2242555"/>
                <a:pt x="6932925" y="2223327"/>
              </a:cubicBezTo>
              <a:cubicBezTo>
                <a:pt x="6932925" y="2204100"/>
                <a:pt x="6948523" y="2188509"/>
                <a:pt x="6967750" y="2188509"/>
              </a:cubicBezTo>
              <a:cubicBezTo>
                <a:pt x="6986978" y="2188509"/>
                <a:pt x="7002563" y="2204100"/>
                <a:pt x="7002563" y="2223327"/>
              </a:cubicBezTo>
              <a:cubicBezTo>
                <a:pt x="7002563" y="2242555"/>
                <a:pt x="6986978" y="2258146"/>
                <a:pt x="6967750" y="2258146"/>
              </a:cubicBezTo>
              <a:close/>
              <a:moveTo>
                <a:pt x="7052644" y="2258146"/>
              </a:moveTo>
              <a:cubicBezTo>
                <a:pt x="7033416" y="2258146"/>
                <a:pt x="7017818" y="2242555"/>
                <a:pt x="7017818" y="2223327"/>
              </a:cubicBezTo>
              <a:cubicBezTo>
                <a:pt x="7017818" y="2204100"/>
                <a:pt x="7033416" y="2188509"/>
                <a:pt x="7052644" y="2188509"/>
              </a:cubicBezTo>
              <a:cubicBezTo>
                <a:pt x="7071871" y="2188509"/>
                <a:pt x="7087456" y="2204100"/>
                <a:pt x="7087456" y="2223327"/>
              </a:cubicBezTo>
              <a:cubicBezTo>
                <a:pt x="7087456" y="2242555"/>
                <a:pt x="7071871" y="2258146"/>
                <a:pt x="7052644" y="2258146"/>
              </a:cubicBezTo>
              <a:close/>
              <a:moveTo>
                <a:pt x="9599418" y="2258146"/>
              </a:moveTo>
              <a:cubicBezTo>
                <a:pt x="9580190" y="2258146"/>
                <a:pt x="9564593" y="2242555"/>
                <a:pt x="9564593" y="2223327"/>
              </a:cubicBezTo>
              <a:cubicBezTo>
                <a:pt x="9564593" y="2204100"/>
                <a:pt x="9580190" y="2188509"/>
                <a:pt x="9599418" y="2188509"/>
              </a:cubicBezTo>
              <a:cubicBezTo>
                <a:pt x="9618646" y="2188509"/>
                <a:pt x="9634230" y="2204100"/>
                <a:pt x="9634230" y="2223327"/>
              </a:cubicBezTo>
              <a:cubicBezTo>
                <a:pt x="9634230" y="2242555"/>
                <a:pt x="9618646" y="2258146"/>
                <a:pt x="9599418" y="2258146"/>
              </a:cubicBezTo>
              <a:close/>
              <a:moveTo>
                <a:pt x="9684310" y="2258146"/>
              </a:moveTo>
              <a:cubicBezTo>
                <a:pt x="9665083" y="2258146"/>
                <a:pt x="9649485" y="2242555"/>
                <a:pt x="9649485" y="2223327"/>
              </a:cubicBezTo>
              <a:cubicBezTo>
                <a:pt x="9649485" y="2204100"/>
                <a:pt x="9665083" y="2188509"/>
                <a:pt x="9684310" y="2188509"/>
              </a:cubicBezTo>
              <a:cubicBezTo>
                <a:pt x="9703538" y="2188509"/>
                <a:pt x="9719123" y="2204100"/>
                <a:pt x="9719123" y="2223327"/>
              </a:cubicBezTo>
              <a:cubicBezTo>
                <a:pt x="9719123" y="2242555"/>
                <a:pt x="9703538" y="2258146"/>
                <a:pt x="9684310" y="2258146"/>
              </a:cubicBezTo>
              <a:close/>
              <a:moveTo>
                <a:pt x="9769203" y="2258146"/>
              </a:moveTo>
              <a:cubicBezTo>
                <a:pt x="9749975" y="2258146"/>
                <a:pt x="9734377" y="2242555"/>
                <a:pt x="9734377" y="2223327"/>
              </a:cubicBezTo>
              <a:cubicBezTo>
                <a:pt x="9734377" y="2204100"/>
                <a:pt x="9749975" y="2188509"/>
                <a:pt x="9769203" y="2188509"/>
              </a:cubicBezTo>
              <a:cubicBezTo>
                <a:pt x="9788430" y="2188509"/>
                <a:pt x="9804015" y="2204100"/>
                <a:pt x="9804015" y="2223327"/>
              </a:cubicBezTo>
              <a:cubicBezTo>
                <a:pt x="9804015" y="2242555"/>
                <a:pt x="9788430" y="2258146"/>
                <a:pt x="9769203" y="2258146"/>
              </a:cubicBezTo>
              <a:close/>
              <a:moveTo>
                <a:pt x="10533235" y="2258146"/>
              </a:moveTo>
              <a:cubicBezTo>
                <a:pt x="10514007" y="2258146"/>
                <a:pt x="10498409" y="2242555"/>
                <a:pt x="10498409" y="2223327"/>
              </a:cubicBezTo>
              <a:cubicBezTo>
                <a:pt x="10498409" y="2204100"/>
                <a:pt x="10514007" y="2188509"/>
                <a:pt x="10533235" y="2188509"/>
              </a:cubicBezTo>
              <a:cubicBezTo>
                <a:pt x="10552463" y="2188509"/>
                <a:pt x="10568047" y="2204100"/>
                <a:pt x="10568047" y="2223327"/>
              </a:cubicBezTo>
              <a:cubicBezTo>
                <a:pt x="10568047" y="2242555"/>
                <a:pt x="10552463" y="2258146"/>
                <a:pt x="10533235" y="2258146"/>
              </a:cubicBezTo>
              <a:close/>
              <a:moveTo>
                <a:pt x="10957697" y="2258146"/>
              </a:moveTo>
              <a:cubicBezTo>
                <a:pt x="10938469" y="2258146"/>
                <a:pt x="10922872" y="2242555"/>
                <a:pt x="10922872" y="2223327"/>
              </a:cubicBezTo>
              <a:cubicBezTo>
                <a:pt x="10922872" y="2204100"/>
                <a:pt x="10938469" y="2188509"/>
                <a:pt x="10957697" y="2188509"/>
              </a:cubicBezTo>
              <a:cubicBezTo>
                <a:pt x="10976925" y="2188509"/>
                <a:pt x="10992509" y="2204100"/>
                <a:pt x="10992509" y="2223327"/>
              </a:cubicBezTo>
              <a:cubicBezTo>
                <a:pt x="10992509" y="2242555"/>
                <a:pt x="10976925" y="2258146"/>
                <a:pt x="10957697" y="2258146"/>
              </a:cubicBezTo>
              <a:close/>
              <a:moveTo>
                <a:pt x="3487156" y="2173286"/>
              </a:moveTo>
              <a:cubicBezTo>
                <a:pt x="3467928" y="2173286"/>
                <a:pt x="3452337" y="2157695"/>
                <a:pt x="3452337" y="2138468"/>
              </a:cubicBezTo>
              <a:cubicBezTo>
                <a:pt x="3452337" y="2119240"/>
                <a:pt x="3467928" y="2103649"/>
                <a:pt x="3487156" y="2103649"/>
              </a:cubicBezTo>
              <a:cubicBezTo>
                <a:pt x="3506383" y="2103649"/>
                <a:pt x="3521974" y="2119240"/>
                <a:pt x="3521974" y="2138468"/>
              </a:cubicBezTo>
              <a:cubicBezTo>
                <a:pt x="3521974" y="2157695"/>
                <a:pt x="3506383" y="2173286"/>
                <a:pt x="3487156" y="2173286"/>
              </a:cubicBezTo>
              <a:close/>
              <a:moveTo>
                <a:pt x="3572048" y="2173286"/>
              </a:moveTo>
              <a:cubicBezTo>
                <a:pt x="3552820" y="2173286"/>
                <a:pt x="3537229" y="2157695"/>
                <a:pt x="3537229" y="2138468"/>
              </a:cubicBezTo>
              <a:cubicBezTo>
                <a:pt x="3537229" y="2119240"/>
                <a:pt x="3552820" y="2103649"/>
                <a:pt x="3572048" y="2103649"/>
              </a:cubicBezTo>
              <a:cubicBezTo>
                <a:pt x="3591276" y="2103649"/>
                <a:pt x="3606867" y="2119240"/>
                <a:pt x="3606867" y="2138468"/>
              </a:cubicBezTo>
              <a:cubicBezTo>
                <a:pt x="3606867" y="2157695"/>
                <a:pt x="3591276" y="2173286"/>
                <a:pt x="3572048" y="2173286"/>
              </a:cubicBezTo>
              <a:close/>
              <a:moveTo>
                <a:pt x="3656941" y="2173286"/>
              </a:moveTo>
              <a:cubicBezTo>
                <a:pt x="3637713" y="2173286"/>
                <a:pt x="3622122" y="2157695"/>
                <a:pt x="3622122" y="2138468"/>
              </a:cubicBezTo>
              <a:cubicBezTo>
                <a:pt x="3622122" y="2119240"/>
                <a:pt x="3637713" y="2103649"/>
                <a:pt x="3656941" y="2103649"/>
              </a:cubicBezTo>
              <a:cubicBezTo>
                <a:pt x="3676169" y="2103649"/>
                <a:pt x="3691760" y="2119240"/>
                <a:pt x="3691760" y="2138468"/>
              </a:cubicBezTo>
              <a:cubicBezTo>
                <a:pt x="3691760" y="2157695"/>
                <a:pt x="3676169" y="2173286"/>
                <a:pt x="3656941" y="2173286"/>
              </a:cubicBezTo>
              <a:close/>
              <a:moveTo>
                <a:pt x="3741833" y="2173286"/>
              </a:moveTo>
              <a:cubicBezTo>
                <a:pt x="3722606" y="2173286"/>
                <a:pt x="3707014" y="2157695"/>
                <a:pt x="3707014" y="2138468"/>
              </a:cubicBezTo>
              <a:cubicBezTo>
                <a:pt x="3707014" y="2119240"/>
                <a:pt x="3722606" y="2103649"/>
                <a:pt x="3741833" y="2103649"/>
              </a:cubicBezTo>
              <a:cubicBezTo>
                <a:pt x="3761061" y="2103649"/>
                <a:pt x="3776652" y="2119240"/>
                <a:pt x="3776652" y="2138468"/>
              </a:cubicBezTo>
              <a:cubicBezTo>
                <a:pt x="3776652" y="2157695"/>
                <a:pt x="3761061" y="2173286"/>
                <a:pt x="3741833" y="2173286"/>
              </a:cubicBezTo>
              <a:close/>
              <a:moveTo>
                <a:pt x="3826726" y="2173286"/>
              </a:moveTo>
              <a:cubicBezTo>
                <a:pt x="3807498" y="2173286"/>
                <a:pt x="3791907" y="2157695"/>
                <a:pt x="3791907" y="2138468"/>
              </a:cubicBezTo>
              <a:cubicBezTo>
                <a:pt x="3791907" y="2119240"/>
                <a:pt x="3807498" y="2103649"/>
                <a:pt x="3826726" y="2103649"/>
              </a:cubicBezTo>
              <a:cubicBezTo>
                <a:pt x="3845953" y="2103649"/>
                <a:pt x="3861544" y="2119240"/>
                <a:pt x="3861544" y="2138468"/>
              </a:cubicBezTo>
              <a:cubicBezTo>
                <a:pt x="3861544" y="2157695"/>
                <a:pt x="3845953" y="2173286"/>
                <a:pt x="3826726" y="2173286"/>
              </a:cubicBezTo>
              <a:close/>
              <a:moveTo>
                <a:pt x="3911618" y="2173286"/>
              </a:moveTo>
              <a:cubicBezTo>
                <a:pt x="3892390" y="2173286"/>
                <a:pt x="3876799" y="2157695"/>
                <a:pt x="3876799" y="2138468"/>
              </a:cubicBezTo>
              <a:cubicBezTo>
                <a:pt x="3876799" y="2119240"/>
                <a:pt x="3892390" y="2103649"/>
                <a:pt x="3911618" y="2103649"/>
              </a:cubicBezTo>
              <a:cubicBezTo>
                <a:pt x="3930846" y="2103649"/>
                <a:pt x="3946437" y="2119240"/>
                <a:pt x="3946437" y="2138468"/>
              </a:cubicBezTo>
              <a:cubicBezTo>
                <a:pt x="3946437" y="2157695"/>
                <a:pt x="3930846" y="2173286"/>
                <a:pt x="3911618" y="2173286"/>
              </a:cubicBezTo>
              <a:close/>
              <a:moveTo>
                <a:pt x="3996511" y="2173286"/>
              </a:moveTo>
              <a:cubicBezTo>
                <a:pt x="3977283" y="2173286"/>
                <a:pt x="3961692" y="2157695"/>
                <a:pt x="3961692" y="2138468"/>
              </a:cubicBezTo>
              <a:cubicBezTo>
                <a:pt x="3961692" y="2119240"/>
                <a:pt x="3977283" y="2103649"/>
                <a:pt x="3996511" y="2103649"/>
              </a:cubicBezTo>
              <a:cubicBezTo>
                <a:pt x="4015739" y="2103649"/>
                <a:pt x="4031330" y="2119240"/>
                <a:pt x="4031330" y="2138468"/>
              </a:cubicBezTo>
              <a:cubicBezTo>
                <a:pt x="4031330" y="2157695"/>
                <a:pt x="4015739" y="2173286"/>
                <a:pt x="3996511" y="2173286"/>
              </a:cubicBezTo>
              <a:close/>
              <a:moveTo>
                <a:pt x="4081403" y="2173286"/>
              </a:moveTo>
              <a:cubicBezTo>
                <a:pt x="4062176" y="2173286"/>
                <a:pt x="4046584" y="2157695"/>
                <a:pt x="4046584" y="2138468"/>
              </a:cubicBezTo>
              <a:cubicBezTo>
                <a:pt x="4046584" y="2119240"/>
                <a:pt x="4062176" y="2103649"/>
                <a:pt x="4081403" y="2103649"/>
              </a:cubicBezTo>
              <a:cubicBezTo>
                <a:pt x="4100631" y="2103649"/>
                <a:pt x="4116222" y="2119240"/>
                <a:pt x="4116222" y="2138468"/>
              </a:cubicBezTo>
              <a:cubicBezTo>
                <a:pt x="4116222" y="2157695"/>
                <a:pt x="4100631" y="2173286"/>
                <a:pt x="4081403" y="2173286"/>
              </a:cubicBezTo>
              <a:close/>
              <a:moveTo>
                <a:pt x="4166296" y="2173286"/>
              </a:moveTo>
              <a:cubicBezTo>
                <a:pt x="4147068" y="2173286"/>
                <a:pt x="4131477" y="2157695"/>
                <a:pt x="4131477" y="2138468"/>
              </a:cubicBezTo>
              <a:cubicBezTo>
                <a:pt x="4131477" y="2119240"/>
                <a:pt x="4147068" y="2103649"/>
                <a:pt x="4166296" y="2103649"/>
              </a:cubicBezTo>
              <a:cubicBezTo>
                <a:pt x="4185523" y="2103649"/>
                <a:pt x="4201114" y="2119240"/>
                <a:pt x="4201114" y="2138468"/>
              </a:cubicBezTo>
              <a:cubicBezTo>
                <a:pt x="4201114" y="2157695"/>
                <a:pt x="4185523" y="2173286"/>
                <a:pt x="4166296" y="2173286"/>
              </a:cubicBezTo>
              <a:close/>
              <a:moveTo>
                <a:pt x="4251188" y="2173286"/>
              </a:moveTo>
              <a:cubicBezTo>
                <a:pt x="4231960" y="2173286"/>
                <a:pt x="4216369" y="2157695"/>
                <a:pt x="4216369" y="2138468"/>
              </a:cubicBezTo>
              <a:cubicBezTo>
                <a:pt x="4216369" y="2119240"/>
                <a:pt x="4231960" y="2103649"/>
                <a:pt x="4251188" y="2103649"/>
              </a:cubicBezTo>
              <a:cubicBezTo>
                <a:pt x="4270416" y="2103649"/>
                <a:pt x="4286007" y="2119240"/>
                <a:pt x="4286007" y="2138468"/>
              </a:cubicBezTo>
              <a:cubicBezTo>
                <a:pt x="4286007" y="2157695"/>
                <a:pt x="4270416" y="2173286"/>
                <a:pt x="4251188" y="2173286"/>
              </a:cubicBezTo>
              <a:close/>
              <a:moveTo>
                <a:pt x="4336080" y="2173286"/>
              </a:moveTo>
              <a:cubicBezTo>
                <a:pt x="4316852" y="2173286"/>
                <a:pt x="4301261" y="2157695"/>
                <a:pt x="4301261" y="2138468"/>
              </a:cubicBezTo>
              <a:cubicBezTo>
                <a:pt x="4301261" y="2119240"/>
                <a:pt x="4316852" y="2103649"/>
                <a:pt x="4336080" y="2103649"/>
              </a:cubicBezTo>
              <a:cubicBezTo>
                <a:pt x="4355308" y="2103649"/>
                <a:pt x="4370899" y="2119240"/>
                <a:pt x="4370899" y="2138468"/>
              </a:cubicBezTo>
              <a:cubicBezTo>
                <a:pt x="4370899" y="2157695"/>
                <a:pt x="4355308" y="2173286"/>
                <a:pt x="4336080" y="2173286"/>
              </a:cubicBezTo>
              <a:close/>
              <a:moveTo>
                <a:pt x="4420973" y="2173286"/>
              </a:moveTo>
              <a:cubicBezTo>
                <a:pt x="4401746" y="2173286"/>
                <a:pt x="4386154" y="2157695"/>
                <a:pt x="4386154" y="2138468"/>
              </a:cubicBezTo>
              <a:cubicBezTo>
                <a:pt x="4386154" y="2119240"/>
                <a:pt x="4401746" y="2103649"/>
                <a:pt x="4420973" y="2103649"/>
              </a:cubicBezTo>
              <a:cubicBezTo>
                <a:pt x="4440201" y="2103649"/>
                <a:pt x="4455792" y="2119240"/>
                <a:pt x="4455792" y="2138468"/>
              </a:cubicBezTo>
              <a:cubicBezTo>
                <a:pt x="4455792" y="2157695"/>
                <a:pt x="4440201" y="2173286"/>
                <a:pt x="4420973" y="2173286"/>
              </a:cubicBezTo>
              <a:close/>
              <a:moveTo>
                <a:pt x="4505866" y="2173286"/>
              </a:moveTo>
              <a:cubicBezTo>
                <a:pt x="4486638" y="2173286"/>
                <a:pt x="4471047" y="2157695"/>
                <a:pt x="4471047" y="2138468"/>
              </a:cubicBezTo>
              <a:cubicBezTo>
                <a:pt x="4471047" y="2119240"/>
                <a:pt x="4486638" y="2103649"/>
                <a:pt x="4505866" y="2103649"/>
              </a:cubicBezTo>
              <a:cubicBezTo>
                <a:pt x="4525093" y="2103649"/>
                <a:pt x="4540684" y="2119240"/>
                <a:pt x="4540684" y="2138468"/>
              </a:cubicBezTo>
              <a:cubicBezTo>
                <a:pt x="4540684" y="2157695"/>
                <a:pt x="4525093" y="2173286"/>
                <a:pt x="4505866" y="2173286"/>
              </a:cubicBezTo>
              <a:close/>
              <a:moveTo>
                <a:pt x="4590758" y="2173286"/>
              </a:moveTo>
              <a:cubicBezTo>
                <a:pt x="4571530" y="2173286"/>
                <a:pt x="4555939" y="2157695"/>
                <a:pt x="4555939" y="2138468"/>
              </a:cubicBezTo>
              <a:cubicBezTo>
                <a:pt x="4555939" y="2119240"/>
                <a:pt x="4571530" y="2103649"/>
                <a:pt x="4590758" y="2103649"/>
              </a:cubicBezTo>
              <a:cubicBezTo>
                <a:pt x="4609986" y="2103649"/>
                <a:pt x="4625577" y="2119240"/>
                <a:pt x="4625577" y="2138468"/>
              </a:cubicBezTo>
              <a:cubicBezTo>
                <a:pt x="4625577" y="2157695"/>
                <a:pt x="4609986" y="2173286"/>
                <a:pt x="4590758" y="2173286"/>
              </a:cubicBezTo>
              <a:close/>
              <a:moveTo>
                <a:pt x="6373504" y="2173286"/>
              </a:moveTo>
              <a:cubicBezTo>
                <a:pt x="6354276" y="2173286"/>
                <a:pt x="6338678" y="2157695"/>
                <a:pt x="6338678" y="2138468"/>
              </a:cubicBezTo>
              <a:cubicBezTo>
                <a:pt x="6338678" y="2119240"/>
                <a:pt x="6354276" y="2103649"/>
                <a:pt x="6373504" y="2103649"/>
              </a:cubicBezTo>
              <a:cubicBezTo>
                <a:pt x="6392731" y="2103649"/>
                <a:pt x="6408316" y="2119240"/>
                <a:pt x="6408316" y="2138468"/>
              </a:cubicBezTo>
              <a:cubicBezTo>
                <a:pt x="6408316" y="2157695"/>
                <a:pt x="6392731" y="2173286"/>
                <a:pt x="6373504" y="2173286"/>
              </a:cubicBezTo>
              <a:close/>
              <a:moveTo>
                <a:pt x="6458396" y="2173286"/>
              </a:moveTo>
              <a:cubicBezTo>
                <a:pt x="6439168" y="2173286"/>
                <a:pt x="6423570" y="2157695"/>
                <a:pt x="6423570" y="2138468"/>
              </a:cubicBezTo>
              <a:cubicBezTo>
                <a:pt x="6423570" y="2119240"/>
                <a:pt x="6439168" y="2103649"/>
                <a:pt x="6458396" y="2103649"/>
              </a:cubicBezTo>
              <a:cubicBezTo>
                <a:pt x="6477624" y="2103649"/>
                <a:pt x="6493208" y="2119240"/>
                <a:pt x="6493208" y="2138468"/>
              </a:cubicBezTo>
              <a:cubicBezTo>
                <a:pt x="6493208" y="2157695"/>
                <a:pt x="6477624" y="2173286"/>
                <a:pt x="6458396" y="2173286"/>
              </a:cubicBezTo>
              <a:close/>
              <a:moveTo>
                <a:pt x="6543288" y="2173286"/>
              </a:moveTo>
              <a:cubicBezTo>
                <a:pt x="6524060" y="2173286"/>
                <a:pt x="6508463" y="2157695"/>
                <a:pt x="6508463" y="2138468"/>
              </a:cubicBezTo>
              <a:cubicBezTo>
                <a:pt x="6508463" y="2119240"/>
                <a:pt x="6524060" y="2103649"/>
                <a:pt x="6543288" y="2103649"/>
              </a:cubicBezTo>
              <a:cubicBezTo>
                <a:pt x="6562516" y="2103649"/>
                <a:pt x="6578100" y="2119240"/>
                <a:pt x="6578100" y="2138468"/>
              </a:cubicBezTo>
              <a:cubicBezTo>
                <a:pt x="6578100" y="2157695"/>
                <a:pt x="6562516" y="2173286"/>
                <a:pt x="6543288" y="2173286"/>
              </a:cubicBezTo>
              <a:close/>
              <a:moveTo>
                <a:pt x="6628181" y="2173286"/>
              </a:moveTo>
              <a:cubicBezTo>
                <a:pt x="6608954" y="2173286"/>
                <a:pt x="6593356" y="2157695"/>
                <a:pt x="6593356" y="2138468"/>
              </a:cubicBezTo>
              <a:cubicBezTo>
                <a:pt x="6593356" y="2119240"/>
                <a:pt x="6608954" y="2103649"/>
                <a:pt x="6628181" y="2103649"/>
              </a:cubicBezTo>
              <a:cubicBezTo>
                <a:pt x="6647409" y="2103649"/>
                <a:pt x="6662994" y="2119240"/>
                <a:pt x="6662994" y="2138468"/>
              </a:cubicBezTo>
              <a:cubicBezTo>
                <a:pt x="6662994" y="2157695"/>
                <a:pt x="6647409" y="2173286"/>
                <a:pt x="6628181" y="2173286"/>
              </a:cubicBezTo>
              <a:close/>
              <a:moveTo>
                <a:pt x="6713074" y="2173286"/>
              </a:moveTo>
              <a:cubicBezTo>
                <a:pt x="6693846" y="2173286"/>
                <a:pt x="6678248" y="2157695"/>
                <a:pt x="6678248" y="2138468"/>
              </a:cubicBezTo>
              <a:cubicBezTo>
                <a:pt x="6678248" y="2119240"/>
                <a:pt x="6693846" y="2103649"/>
                <a:pt x="6713074" y="2103649"/>
              </a:cubicBezTo>
              <a:cubicBezTo>
                <a:pt x="6732301" y="2103649"/>
                <a:pt x="6747886" y="2119240"/>
                <a:pt x="6747886" y="2138468"/>
              </a:cubicBezTo>
              <a:cubicBezTo>
                <a:pt x="6747886" y="2157695"/>
                <a:pt x="6732301" y="2173286"/>
                <a:pt x="6713074" y="2173286"/>
              </a:cubicBezTo>
              <a:close/>
              <a:moveTo>
                <a:pt x="6797966" y="2173286"/>
              </a:moveTo>
              <a:cubicBezTo>
                <a:pt x="6778738" y="2173286"/>
                <a:pt x="6763140" y="2157695"/>
                <a:pt x="6763140" y="2138468"/>
              </a:cubicBezTo>
              <a:cubicBezTo>
                <a:pt x="6763140" y="2119240"/>
                <a:pt x="6778738" y="2103649"/>
                <a:pt x="6797966" y="2103649"/>
              </a:cubicBezTo>
              <a:cubicBezTo>
                <a:pt x="6817194" y="2103649"/>
                <a:pt x="6832778" y="2119240"/>
                <a:pt x="6832778" y="2138468"/>
              </a:cubicBezTo>
              <a:cubicBezTo>
                <a:pt x="6832778" y="2157695"/>
                <a:pt x="6817194" y="2173286"/>
                <a:pt x="6797966" y="2173286"/>
              </a:cubicBezTo>
              <a:close/>
              <a:moveTo>
                <a:pt x="6882858" y="2173286"/>
              </a:moveTo>
              <a:cubicBezTo>
                <a:pt x="6863630" y="2173286"/>
                <a:pt x="6848033" y="2157695"/>
                <a:pt x="6848033" y="2138468"/>
              </a:cubicBezTo>
              <a:cubicBezTo>
                <a:pt x="6848033" y="2119240"/>
                <a:pt x="6863630" y="2103649"/>
                <a:pt x="6882858" y="2103649"/>
              </a:cubicBezTo>
              <a:cubicBezTo>
                <a:pt x="6902086" y="2103649"/>
                <a:pt x="6917670" y="2119240"/>
                <a:pt x="6917670" y="2138468"/>
              </a:cubicBezTo>
              <a:cubicBezTo>
                <a:pt x="6917670" y="2157695"/>
                <a:pt x="6902086" y="2173286"/>
                <a:pt x="6882858" y="2173286"/>
              </a:cubicBezTo>
              <a:close/>
              <a:moveTo>
                <a:pt x="7052644" y="2173286"/>
              </a:moveTo>
              <a:cubicBezTo>
                <a:pt x="7033416" y="2173286"/>
                <a:pt x="7017818" y="2157695"/>
                <a:pt x="7017818" y="2138468"/>
              </a:cubicBezTo>
              <a:cubicBezTo>
                <a:pt x="7017818" y="2119240"/>
                <a:pt x="7033416" y="2103649"/>
                <a:pt x="7052644" y="2103649"/>
              </a:cubicBezTo>
              <a:cubicBezTo>
                <a:pt x="7071871" y="2103649"/>
                <a:pt x="7087456" y="2119240"/>
                <a:pt x="7087456" y="2138468"/>
              </a:cubicBezTo>
              <a:cubicBezTo>
                <a:pt x="7087456" y="2157695"/>
                <a:pt x="7071871" y="2173286"/>
                <a:pt x="7052644" y="2173286"/>
              </a:cubicBezTo>
              <a:close/>
              <a:moveTo>
                <a:pt x="10023880" y="2173286"/>
              </a:moveTo>
              <a:cubicBezTo>
                <a:pt x="10004653" y="2173286"/>
                <a:pt x="9989055" y="2157695"/>
                <a:pt x="9989055" y="2138468"/>
              </a:cubicBezTo>
              <a:cubicBezTo>
                <a:pt x="9989055" y="2119240"/>
                <a:pt x="10004653" y="2103649"/>
                <a:pt x="10023880" y="2103649"/>
              </a:cubicBezTo>
              <a:cubicBezTo>
                <a:pt x="10043108" y="2103649"/>
                <a:pt x="10058693" y="2119240"/>
                <a:pt x="10058693" y="2138468"/>
              </a:cubicBezTo>
              <a:cubicBezTo>
                <a:pt x="10058693" y="2157695"/>
                <a:pt x="10043108" y="2173286"/>
                <a:pt x="10023880" y="2173286"/>
              </a:cubicBezTo>
              <a:close/>
              <a:moveTo>
                <a:pt x="10108773" y="2173286"/>
              </a:moveTo>
              <a:cubicBezTo>
                <a:pt x="10089545" y="2173286"/>
                <a:pt x="10073947" y="2157695"/>
                <a:pt x="10073947" y="2138468"/>
              </a:cubicBezTo>
              <a:cubicBezTo>
                <a:pt x="10073947" y="2119240"/>
                <a:pt x="10089545" y="2103649"/>
                <a:pt x="10108773" y="2103649"/>
              </a:cubicBezTo>
              <a:cubicBezTo>
                <a:pt x="10128000" y="2103649"/>
                <a:pt x="10143585" y="2119240"/>
                <a:pt x="10143585" y="2138468"/>
              </a:cubicBezTo>
              <a:cubicBezTo>
                <a:pt x="10143585" y="2157695"/>
                <a:pt x="10128000" y="2173286"/>
                <a:pt x="10108773" y="2173286"/>
              </a:cubicBezTo>
              <a:close/>
              <a:moveTo>
                <a:pt x="10363450" y="2173286"/>
              </a:moveTo>
              <a:cubicBezTo>
                <a:pt x="10344223" y="2173286"/>
                <a:pt x="10328625" y="2157695"/>
                <a:pt x="10328625" y="2138468"/>
              </a:cubicBezTo>
              <a:cubicBezTo>
                <a:pt x="10328625" y="2119240"/>
                <a:pt x="10344223" y="2103649"/>
                <a:pt x="10363450" y="2103649"/>
              </a:cubicBezTo>
              <a:cubicBezTo>
                <a:pt x="10382678" y="2103649"/>
                <a:pt x="10398263" y="2119240"/>
                <a:pt x="10398263" y="2138468"/>
              </a:cubicBezTo>
              <a:cubicBezTo>
                <a:pt x="10398263" y="2157695"/>
                <a:pt x="10382678" y="2173286"/>
                <a:pt x="10363450" y="2173286"/>
              </a:cubicBezTo>
              <a:close/>
              <a:moveTo>
                <a:pt x="3572048" y="2088426"/>
              </a:moveTo>
              <a:cubicBezTo>
                <a:pt x="3552820" y="2088426"/>
                <a:pt x="3537229" y="2072835"/>
                <a:pt x="3537229" y="2053607"/>
              </a:cubicBezTo>
              <a:cubicBezTo>
                <a:pt x="3537229" y="2034379"/>
                <a:pt x="3552820" y="2018788"/>
                <a:pt x="3572048" y="2018788"/>
              </a:cubicBezTo>
              <a:cubicBezTo>
                <a:pt x="3591276" y="2018788"/>
                <a:pt x="3606867" y="2034379"/>
                <a:pt x="3606867" y="2053607"/>
              </a:cubicBezTo>
              <a:cubicBezTo>
                <a:pt x="3606867" y="2072835"/>
                <a:pt x="3591276" y="2088426"/>
                <a:pt x="3572048" y="2088426"/>
              </a:cubicBezTo>
              <a:close/>
              <a:moveTo>
                <a:pt x="3656941" y="2088426"/>
              </a:moveTo>
              <a:cubicBezTo>
                <a:pt x="3637713" y="2088426"/>
                <a:pt x="3622122" y="2072835"/>
                <a:pt x="3622122" y="2053607"/>
              </a:cubicBezTo>
              <a:cubicBezTo>
                <a:pt x="3622122" y="2034379"/>
                <a:pt x="3637713" y="2018788"/>
                <a:pt x="3656941" y="2018788"/>
              </a:cubicBezTo>
              <a:cubicBezTo>
                <a:pt x="3676169" y="2018788"/>
                <a:pt x="3691760" y="2034379"/>
                <a:pt x="3691760" y="2053607"/>
              </a:cubicBezTo>
              <a:cubicBezTo>
                <a:pt x="3691760" y="2072835"/>
                <a:pt x="3676169" y="2088426"/>
                <a:pt x="3656941" y="2088426"/>
              </a:cubicBezTo>
              <a:close/>
              <a:moveTo>
                <a:pt x="3741833" y="2088426"/>
              </a:moveTo>
              <a:cubicBezTo>
                <a:pt x="3722606" y="2088426"/>
                <a:pt x="3707014" y="2072835"/>
                <a:pt x="3707014" y="2053607"/>
              </a:cubicBezTo>
              <a:cubicBezTo>
                <a:pt x="3707014" y="2034379"/>
                <a:pt x="3722606" y="2018788"/>
                <a:pt x="3741833" y="2018788"/>
              </a:cubicBezTo>
              <a:cubicBezTo>
                <a:pt x="3761061" y="2018788"/>
                <a:pt x="3776652" y="2034379"/>
                <a:pt x="3776652" y="2053607"/>
              </a:cubicBezTo>
              <a:cubicBezTo>
                <a:pt x="3776652" y="2072835"/>
                <a:pt x="3761061" y="2088426"/>
                <a:pt x="3741833" y="2088426"/>
              </a:cubicBezTo>
              <a:close/>
              <a:moveTo>
                <a:pt x="3826726" y="2088426"/>
              </a:moveTo>
              <a:cubicBezTo>
                <a:pt x="3807498" y="2088426"/>
                <a:pt x="3791907" y="2072835"/>
                <a:pt x="3791907" y="2053607"/>
              </a:cubicBezTo>
              <a:cubicBezTo>
                <a:pt x="3791907" y="2034379"/>
                <a:pt x="3807498" y="2018788"/>
                <a:pt x="3826726" y="2018788"/>
              </a:cubicBezTo>
              <a:cubicBezTo>
                <a:pt x="3845953" y="2018788"/>
                <a:pt x="3861544" y="2034379"/>
                <a:pt x="3861544" y="2053607"/>
              </a:cubicBezTo>
              <a:cubicBezTo>
                <a:pt x="3861544" y="2072835"/>
                <a:pt x="3845953" y="2088426"/>
                <a:pt x="3826726" y="2088426"/>
              </a:cubicBezTo>
              <a:close/>
              <a:moveTo>
                <a:pt x="3911618" y="2088426"/>
              </a:moveTo>
              <a:cubicBezTo>
                <a:pt x="3892390" y="2088426"/>
                <a:pt x="3876799" y="2072835"/>
                <a:pt x="3876799" y="2053607"/>
              </a:cubicBezTo>
              <a:cubicBezTo>
                <a:pt x="3876799" y="2034379"/>
                <a:pt x="3892390" y="2018788"/>
                <a:pt x="3911618" y="2018788"/>
              </a:cubicBezTo>
              <a:cubicBezTo>
                <a:pt x="3930846" y="2018788"/>
                <a:pt x="3946437" y="2034379"/>
                <a:pt x="3946437" y="2053607"/>
              </a:cubicBezTo>
              <a:cubicBezTo>
                <a:pt x="3946437" y="2072835"/>
                <a:pt x="3930846" y="2088426"/>
                <a:pt x="3911618" y="2088426"/>
              </a:cubicBezTo>
              <a:close/>
              <a:moveTo>
                <a:pt x="3996511" y="2088426"/>
              </a:moveTo>
              <a:cubicBezTo>
                <a:pt x="3977283" y="2088426"/>
                <a:pt x="3961692" y="2072835"/>
                <a:pt x="3961692" y="2053607"/>
              </a:cubicBezTo>
              <a:cubicBezTo>
                <a:pt x="3961692" y="2034379"/>
                <a:pt x="3977283" y="2018788"/>
                <a:pt x="3996511" y="2018788"/>
              </a:cubicBezTo>
              <a:cubicBezTo>
                <a:pt x="4015739" y="2018788"/>
                <a:pt x="4031330" y="2034379"/>
                <a:pt x="4031330" y="2053607"/>
              </a:cubicBezTo>
              <a:cubicBezTo>
                <a:pt x="4031330" y="2072835"/>
                <a:pt x="4015739" y="2088426"/>
                <a:pt x="3996511" y="2088426"/>
              </a:cubicBezTo>
              <a:close/>
              <a:moveTo>
                <a:pt x="4081403" y="2088426"/>
              </a:moveTo>
              <a:cubicBezTo>
                <a:pt x="4062176" y="2088426"/>
                <a:pt x="4046584" y="2072835"/>
                <a:pt x="4046584" y="2053607"/>
              </a:cubicBezTo>
              <a:cubicBezTo>
                <a:pt x="4046584" y="2034379"/>
                <a:pt x="4062176" y="2018788"/>
                <a:pt x="4081403" y="2018788"/>
              </a:cubicBezTo>
              <a:cubicBezTo>
                <a:pt x="4100631" y="2018788"/>
                <a:pt x="4116222" y="2034379"/>
                <a:pt x="4116222" y="2053607"/>
              </a:cubicBezTo>
              <a:cubicBezTo>
                <a:pt x="4116222" y="2072835"/>
                <a:pt x="4100631" y="2088426"/>
                <a:pt x="4081403" y="2088426"/>
              </a:cubicBezTo>
              <a:close/>
              <a:moveTo>
                <a:pt x="4166296" y="2088426"/>
              </a:moveTo>
              <a:cubicBezTo>
                <a:pt x="4147068" y="2088426"/>
                <a:pt x="4131477" y="2072835"/>
                <a:pt x="4131477" y="2053607"/>
              </a:cubicBezTo>
              <a:cubicBezTo>
                <a:pt x="4131477" y="2034379"/>
                <a:pt x="4147068" y="2018788"/>
                <a:pt x="4166296" y="2018788"/>
              </a:cubicBezTo>
              <a:cubicBezTo>
                <a:pt x="4185523" y="2018788"/>
                <a:pt x="4201114" y="2034379"/>
                <a:pt x="4201114" y="2053607"/>
              </a:cubicBezTo>
              <a:cubicBezTo>
                <a:pt x="4201114" y="2072835"/>
                <a:pt x="4185523" y="2088426"/>
                <a:pt x="4166296" y="2088426"/>
              </a:cubicBezTo>
              <a:close/>
              <a:moveTo>
                <a:pt x="4251188" y="2088426"/>
              </a:moveTo>
              <a:cubicBezTo>
                <a:pt x="4231960" y="2088426"/>
                <a:pt x="4216369" y="2072835"/>
                <a:pt x="4216369" y="2053607"/>
              </a:cubicBezTo>
              <a:cubicBezTo>
                <a:pt x="4216369" y="2034379"/>
                <a:pt x="4231960" y="2018788"/>
                <a:pt x="4251188" y="2018788"/>
              </a:cubicBezTo>
              <a:cubicBezTo>
                <a:pt x="4270416" y="2018788"/>
                <a:pt x="4286007" y="2034379"/>
                <a:pt x="4286007" y="2053607"/>
              </a:cubicBezTo>
              <a:cubicBezTo>
                <a:pt x="4286007" y="2072835"/>
                <a:pt x="4270416" y="2088426"/>
                <a:pt x="4251188" y="2088426"/>
              </a:cubicBezTo>
              <a:close/>
              <a:moveTo>
                <a:pt x="4336080" y="2088426"/>
              </a:moveTo>
              <a:cubicBezTo>
                <a:pt x="4316852" y="2088426"/>
                <a:pt x="4301261" y="2072835"/>
                <a:pt x="4301261" y="2053607"/>
              </a:cubicBezTo>
              <a:cubicBezTo>
                <a:pt x="4301261" y="2034379"/>
                <a:pt x="4316852" y="2018788"/>
                <a:pt x="4336080" y="2018788"/>
              </a:cubicBezTo>
              <a:cubicBezTo>
                <a:pt x="4355308" y="2018788"/>
                <a:pt x="4370899" y="2034379"/>
                <a:pt x="4370899" y="2053607"/>
              </a:cubicBezTo>
              <a:cubicBezTo>
                <a:pt x="4370899" y="2072835"/>
                <a:pt x="4355308" y="2088426"/>
                <a:pt x="4336080" y="2088426"/>
              </a:cubicBezTo>
              <a:close/>
              <a:moveTo>
                <a:pt x="4420973" y="2088426"/>
              </a:moveTo>
              <a:cubicBezTo>
                <a:pt x="4401746" y="2088426"/>
                <a:pt x="4386154" y="2072835"/>
                <a:pt x="4386154" y="2053607"/>
              </a:cubicBezTo>
              <a:cubicBezTo>
                <a:pt x="4386154" y="2034379"/>
                <a:pt x="4401746" y="2018788"/>
                <a:pt x="4420973" y="2018788"/>
              </a:cubicBezTo>
              <a:cubicBezTo>
                <a:pt x="4440201" y="2018788"/>
                <a:pt x="4455792" y="2034379"/>
                <a:pt x="4455792" y="2053607"/>
              </a:cubicBezTo>
              <a:cubicBezTo>
                <a:pt x="4455792" y="2072835"/>
                <a:pt x="4440201" y="2088426"/>
                <a:pt x="4420973" y="2088426"/>
              </a:cubicBezTo>
              <a:close/>
              <a:moveTo>
                <a:pt x="4505866" y="2088426"/>
              </a:moveTo>
              <a:cubicBezTo>
                <a:pt x="4486638" y="2088426"/>
                <a:pt x="4471047" y="2072835"/>
                <a:pt x="4471047" y="2053607"/>
              </a:cubicBezTo>
              <a:cubicBezTo>
                <a:pt x="4471047" y="2034379"/>
                <a:pt x="4486638" y="2018788"/>
                <a:pt x="4505866" y="2018788"/>
              </a:cubicBezTo>
              <a:cubicBezTo>
                <a:pt x="4525093" y="2018788"/>
                <a:pt x="4540684" y="2034379"/>
                <a:pt x="4540684" y="2053607"/>
              </a:cubicBezTo>
              <a:cubicBezTo>
                <a:pt x="4540684" y="2072835"/>
                <a:pt x="4525093" y="2088426"/>
                <a:pt x="4505866" y="2088426"/>
              </a:cubicBezTo>
              <a:close/>
              <a:moveTo>
                <a:pt x="4590758" y="2088426"/>
              </a:moveTo>
              <a:cubicBezTo>
                <a:pt x="4571530" y="2088426"/>
                <a:pt x="4555939" y="2072835"/>
                <a:pt x="4555939" y="2053607"/>
              </a:cubicBezTo>
              <a:cubicBezTo>
                <a:pt x="4555939" y="2034379"/>
                <a:pt x="4571530" y="2018788"/>
                <a:pt x="4590758" y="2018788"/>
              </a:cubicBezTo>
              <a:cubicBezTo>
                <a:pt x="4609986" y="2018788"/>
                <a:pt x="4625577" y="2034379"/>
                <a:pt x="4625577" y="2053607"/>
              </a:cubicBezTo>
              <a:cubicBezTo>
                <a:pt x="4625577" y="2072835"/>
                <a:pt x="4609986" y="2088426"/>
                <a:pt x="4590758" y="2088426"/>
              </a:cubicBezTo>
              <a:close/>
              <a:moveTo>
                <a:pt x="6288611" y="2088426"/>
              </a:moveTo>
              <a:cubicBezTo>
                <a:pt x="6269384" y="2088426"/>
                <a:pt x="6253786" y="2072835"/>
                <a:pt x="6253786" y="2053607"/>
              </a:cubicBezTo>
              <a:cubicBezTo>
                <a:pt x="6253786" y="2034379"/>
                <a:pt x="6269384" y="2018788"/>
                <a:pt x="6288611" y="2018788"/>
              </a:cubicBezTo>
              <a:cubicBezTo>
                <a:pt x="6307839" y="2018788"/>
                <a:pt x="6323424" y="2034379"/>
                <a:pt x="6323424" y="2053607"/>
              </a:cubicBezTo>
              <a:cubicBezTo>
                <a:pt x="6323424" y="2072835"/>
                <a:pt x="6307839" y="2088426"/>
                <a:pt x="6288611" y="2088426"/>
              </a:cubicBezTo>
              <a:close/>
              <a:moveTo>
                <a:pt x="6373504" y="2088426"/>
              </a:moveTo>
              <a:cubicBezTo>
                <a:pt x="6354276" y="2088426"/>
                <a:pt x="6338678" y="2072835"/>
                <a:pt x="6338678" y="2053607"/>
              </a:cubicBezTo>
              <a:cubicBezTo>
                <a:pt x="6338678" y="2034379"/>
                <a:pt x="6354276" y="2018788"/>
                <a:pt x="6373504" y="2018788"/>
              </a:cubicBezTo>
              <a:cubicBezTo>
                <a:pt x="6392731" y="2018788"/>
                <a:pt x="6408316" y="2034379"/>
                <a:pt x="6408316" y="2053607"/>
              </a:cubicBezTo>
              <a:cubicBezTo>
                <a:pt x="6408316" y="2072835"/>
                <a:pt x="6392731" y="2088426"/>
                <a:pt x="6373504" y="2088426"/>
              </a:cubicBezTo>
              <a:close/>
              <a:moveTo>
                <a:pt x="6458396" y="2088426"/>
              </a:moveTo>
              <a:cubicBezTo>
                <a:pt x="6439168" y="2088426"/>
                <a:pt x="6423570" y="2072835"/>
                <a:pt x="6423570" y="2053607"/>
              </a:cubicBezTo>
              <a:cubicBezTo>
                <a:pt x="6423570" y="2034379"/>
                <a:pt x="6439168" y="2018788"/>
                <a:pt x="6458396" y="2018788"/>
              </a:cubicBezTo>
              <a:cubicBezTo>
                <a:pt x="6477624" y="2018788"/>
                <a:pt x="6493208" y="2034379"/>
                <a:pt x="6493208" y="2053607"/>
              </a:cubicBezTo>
              <a:cubicBezTo>
                <a:pt x="6493208" y="2072835"/>
                <a:pt x="6477624" y="2088426"/>
                <a:pt x="6458396" y="2088426"/>
              </a:cubicBezTo>
              <a:close/>
              <a:moveTo>
                <a:pt x="6543288" y="2088426"/>
              </a:moveTo>
              <a:cubicBezTo>
                <a:pt x="6524060" y="2088426"/>
                <a:pt x="6508463" y="2072835"/>
                <a:pt x="6508463" y="2053607"/>
              </a:cubicBezTo>
              <a:cubicBezTo>
                <a:pt x="6508463" y="2034379"/>
                <a:pt x="6524060" y="2018788"/>
                <a:pt x="6543288" y="2018788"/>
              </a:cubicBezTo>
              <a:cubicBezTo>
                <a:pt x="6562516" y="2018788"/>
                <a:pt x="6578100" y="2034379"/>
                <a:pt x="6578100" y="2053607"/>
              </a:cubicBezTo>
              <a:cubicBezTo>
                <a:pt x="6578100" y="2072835"/>
                <a:pt x="6562516" y="2088426"/>
                <a:pt x="6543288" y="2088426"/>
              </a:cubicBezTo>
              <a:close/>
              <a:moveTo>
                <a:pt x="6628181" y="2088426"/>
              </a:moveTo>
              <a:cubicBezTo>
                <a:pt x="6608954" y="2088426"/>
                <a:pt x="6593356" y="2072835"/>
                <a:pt x="6593356" y="2053607"/>
              </a:cubicBezTo>
              <a:cubicBezTo>
                <a:pt x="6593356" y="2034379"/>
                <a:pt x="6608954" y="2018788"/>
                <a:pt x="6628181" y="2018788"/>
              </a:cubicBezTo>
              <a:cubicBezTo>
                <a:pt x="6647409" y="2018788"/>
                <a:pt x="6662994" y="2034379"/>
                <a:pt x="6662994" y="2053607"/>
              </a:cubicBezTo>
              <a:cubicBezTo>
                <a:pt x="6662994" y="2072835"/>
                <a:pt x="6647409" y="2088426"/>
                <a:pt x="6628181" y="2088426"/>
              </a:cubicBezTo>
              <a:close/>
              <a:moveTo>
                <a:pt x="6713074" y="2088426"/>
              </a:moveTo>
              <a:cubicBezTo>
                <a:pt x="6693846" y="2088426"/>
                <a:pt x="6678248" y="2072835"/>
                <a:pt x="6678248" y="2053607"/>
              </a:cubicBezTo>
              <a:cubicBezTo>
                <a:pt x="6678248" y="2034379"/>
                <a:pt x="6693846" y="2018788"/>
                <a:pt x="6713074" y="2018788"/>
              </a:cubicBezTo>
              <a:cubicBezTo>
                <a:pt x="6732301" y="2018788"/>
                <a:pt x="6747886" y="2034379"/>
                <a:pt x="6747886" y="2053607"/>
              </a:cubicBezTo>
              <a:cubicBezTo>
                <a:pt x="6747886" y="2072835"/>
                <a:pt x="6732301" y="2088426"/>
                <a:pt x="6713074" y="2088426"/>
              </a:cubicBezTo>
              <a:close/>
              <a:moveTo>
                <a:pt x="6797966" y="2088426"/>
              </a:moveTo>
              <a:cubicBezTo>
                <a:pt x="6778738" y="2088426"/>
                <a:pt x="6763140" y="2072835"/>
                <a:pt x="6763140" y="2053607"/>
              </a:cubicBezTo>
              <a:cubicBezTo>
                <a:pt x="6763140" y="2034379"/>
                <a:pt x="6778738" y="2018788"/>
                <a:pt x="6797966" y="2018788"/>
              </a:cubicBezTo>
              <a:cubicBezTo>
                <a:pt x="6817194" y="2018788"/>
                <a:pt x="6832778" y="2034379"/>
                <a:pt x="6832778" y="2053607"/>
              </a:cubicBezTo>
              <a:cubicBezTo>
                <a:pt x="6832778" y="2072835"/>
                <a:pt x="6817194" y="2088426"/>
                <a:pt x="6797966" y="2088426"/>
              </a:cubicBezTo>
              <a:close/>
              <a:moveTo>
                <a:pt x="6882858" y="2088426"/>
              </a:moveTo>
              <a:cubicBezTo>
                <a:pt x="6863630" y="2088426"/>
                <a:pt x="6848033" y="2072835"/>
                <a:pt x="6848033" y="2053607"/>
              </a:cubicBezTo>
              <a:cubicBezTo>
                <a:pt x="6848033" y="2034379"/>
                <a:pt x="6863630" y="2018788"/>
                <a:pt x="6882858" y="2018788"/>
              </a:cubicBezTo>
              <a:cubicBezTo>
                <a:pt x="6902086" y="2018788"/>
                <a:pt x="6917670" y="2034379"/>
                <a:pt x="6917670" y="2053607"/>
              </a:cubicBezTo>
              <a:cubicBezTo>
                <a:pt x="6917670" y="2072835"/>
                <a:pt x="6902086" y="2088426"/>
                <a:pt x="6882858" y="2088426"/>
              </a:cubicBezTo>
              <a:close/>
              <a:moveTo>
                <a:pt x="6967750" y="2088426"/>
              </a:moveTo>
              <a:cubicBezTo>
                <a:pt x="6948523" y="2088426"/>
                <a:pt x="6932925" y="2072835"/>
                <a:pt x="6932925" y="2053607"/>
              </a:cubicBezTo>
              <a:cubicBezTo>
                <a:pt x="6932925" y="2034379"/>
                <a:pt x="6948523" y="2018788"/>
                <a:pt x="6967750" y="2018788"/>
              </a:cubicBezTo>
              <a:cubicBezTo>
                <a:pt x="6986978" y="2018788"/>
                <a:pt x="7002563" y="2034379"/>
                <a:pt x="7002563" y="2053607"/>
              </a:cubicBezTo>
              <a:cubicBezTo>
                <a:pt x="7002563" y="2072835"/>
                <a:pt x="6986978" y="2088426"/>
                <a:pt x="6967750" y="2088426"/>
              </a:cubicBezTo>
              <a:close/>
              <a:moveTo>
                <a:pt x="7052644" y="2088426"/>
              </a:moveTo>
              <a:cubicBezTo>
                <a:pt x="7033416" y="2088426"/>
                <a:pt x="7017818" y="2072835"/>
                <a:pt x="7017818" y="2053607"/>
              </a:cubicBezTo>
              <a:cubicBezTo>
                <a:pt x="7017818" y="2034379"/>
                <a:pt x="7033416" y="2018788"/>
                <a:pt x="7052644" y="2018788"/>
              </a:cubicBezTo>
              <a:cubicBezTo>
                <a:pt x="7071871" y="2018788"/>
                <a:pt x="7087456" y="2034379"/>
                <a:pt x="7087456" y="2053607"/>
              </a:cubicBezTo>
              <a:cubicBezTo>
                <a:pt x="7087456" y="2072835"/>
                <a:pt x="7071871" y="2088426"/>
                <a:pt x="7052644" y="2088426"/>
              </a:cubicBezTo>
              <a:close/>
              <a:moveTo>
                <a:pt x="7392214" y="2088426"/>
              </a:moveTo>
              <a:cubicBezTo>
                <a:pt x="7372986" y="2088426"/>
                <a:pt x="7357388" y="2072835"/>
                <a:pt x="7357388" y="2053607"/>
              </a:cubicBezTo>
              <a:cubicBezTo>
                <a:pt x="7357388" y="2034379"/>
                <a:pt x="7372986" y="2018788"/>
                <a:pt x="7392214" y="2018788"/>
              </a:cubicBezTo>
              <a:cubicBezTo>
                <a:pt x="7411441" y="2018788"/>
                <a:pt x="7427026" y="2034379"/>
                <a:pt x="7427026" y="2053607"/>
              </a:cubicBezTo>
              <a:cubicBezTo>
                <a:pt x="7427026" y="2072835"/>
                <a:pt x="7411441" y="2088426"/>
                <a:pt x="7392214" y="2088426"/>
              </a:cubicBezTo>
              <a:close/>
              <a:moveTo>
                <a:pt x="9854095" y="2088426"/>
              </a:moveTo>
              <a:cubicBezTo>
                <a:pt x="9834867" y="2088426"/>
                <a:pt x="9819269" y="2072835"/>
                <a:pt x="9819269" y="2053607"/>
              </a:cubicBezTo>
              <a:cubicBezTo>
                <a:pt x="9819269" y="2034379"/>
                <a:pt x="9834867" y="2018788"/>
                <a:pt x="9854095" y="2018788"/>
              </a:cubicBezTo>
              <a:cubicBezTo>
                <a:pt x="9873323" y="2018788"/>
                <a:pt x="9888907" y="2034379"/>
                <a:pt x="9888907" y="2053607"/>
              </a:cubicBezTo>
              <a:cubicBezTo>
                <a:pt x="9888907" y="2072835"/>
                <a:pt x="9873323" y="2088426"/>
                <a:pt x="9854095" y="2088426"/>
              </a:cubicBezTo>
              <a:close/>
              <a:moveTo>
                <a:pt x="10023880" y="2088426"/>
              </a:moveTo>
              <a:cubicBezTo>
                <a:pt x="10004653" y="2088426"/>
                <a:pt x="9989055" y="2072835"/>
                <a:pt x="9989055" y="2053607"/>
              </a:cubicBezTo>
              <a:cubicBezTo>
                <a:pt x="9989055" y="2034379"/>
                <a:pt x="10004653" y="2018788"/>
                <a:pt x="10023880" y="2018788"/>
              </a:cubicBezTo>
              <a:cubicBezTo>
                <a:pt x="10043108" y="2018788"/>
                <a:pt x="10058693" y="2034379"/>
                <a:pt x="10058693" y="2053607"/>
              </a:cubicBezTo>
              <a:cubicBezTo>
                <a:pt x="10058693" y="2072835"/>
                <a:pt x="10043108" y="2088426"/>
                <a:pt x="10023880" y="2088426"/>
              </a:cubicBezTo>
              <a:close/>
              <a:moveTo>
                <a:pt x="10108773" y="2088426"/>
              </a:moveTo>
              <a:cubicBezTo>
                <a:pt x="10089545" y="2088426"/>
                <a:pt x="10073947" y="2072835"/>
                <a:pt x="10073947" y="2053607"/>
              </a:cubicBezTo>
              <a:cubicBezTo>
                <a:pt x="10073947" y="2034379"/>
                <a:pt x="10089545" y="2018788"/>
                <a:pt x="10108773" y="2018788"/>
              </a:cubicBezTo>
              <a:cubicBezTo>
                <a:pt x="10128000" y="2018788"/>
                <a:pt x="10143585" y="2034379"/>
                <a:pt x="10143585" y="2053607"/>
              </a:cubicBezTo>
              <a:cubicBezTo>
                <a:pt x="10143585" y="2072835"/>
                <a:pt x="10128000" y="2088426"/>
                <a:pt x="10108773" y="2088426"/>
              </a:cubicBezTo>
              <a:close/>
              <a:moveTo>
                <a:pt x="10363450" y="2088426"/>
              </a:moveTo>
              <a:cubicBezTo>
                <a:pt x="10344223" y="2088426"/>
                <a:pt x="10328625" y="2072835"/>
                <a:pt x="10328625" y="2053607"/>
              </a:cubicBezTo>
              <a:cubicBezTo>
                <a:pt x="10328625" y="2034379"/>
                <a:pt x="10344223" y="2018788"/>
                <a:pt x="10363450" y="2018788"/>
              </a:cubicBezTo>
              <a:cubicBezTo>
                <a:pt x="10382678" y="2018788"/>
                <a:pt x="10398263" y="2034379"/>
                <a:pt x="10398263" y="2053607"/>
              </a:cubicBezTo>
              <a:cubicBezTo>
                <a:pt x="10398263" y="2072835"/>
                <a:pt x="10382678" y="2088426"/>
                <a:pt x="10363450" y="2088426"/>
              </a:cubicBezTo>
              <a:close/>
              <a:moveTo>
                <a:pt x="3656941" y="2003566"/>
              </a:moveTo>
              <a:cubicBezTo>
                <a:pt x="3637713" y="2003566"/>
                <a:pt x="3622122" y="1987975"/>
                <a:pt x="3622122" y="1968747"/>
              </a:cubicBezTo>
              <a:cubicBezTo>
                <a:pt x="3622122" y="1949519"/>
                <a:pt x="3637713" y="1933928"/>
                <a:pt x="3656941" y="1933928"/>
              </a:cubicBezTo>
              <a:cubicBezTo>
                <a:pt x="3676169" y="1933928"/>
                <a:pt x="3691760" y="1949519"/>
                <a:pt x="3691760" y="1968747"/>
              </a:cubicBezTo>
              <a:cubicBezTo>
                <a:pt x="3691760" y="1987975"/>
                <a:pt x="3676169" y="2003566"/>
                <a:pt x="3656941" y="2003566"/>
              </a:cubicBezTo>
              <a:close/>
              <a:moveTo>
                <a:pt x="3741833" y="2003566"/>
              </a:moveTo>
              <a:cubicBezTo>
                <a:pt x="3722606" y="2003566"/>
                <a:pt x="3707014" y="1987975"/>
                <a:pt x="3707014" y="1968747"/>
              </a:cubicBezTo>
              <a:cubicBezTo>
                <a:pt x="3707014" y="1949519"/>
                <a:pt x="3722606" y="1933928"/>
                <a:pt x="3741833" y="1933928"/>
              </a:cubicBezTo>
              <a:cubicBezTo>
                <a:pt x="3761061" y="1933928"/>
                <a:pt x="3776652" y="1949519"/>
                <a:pt x="3776652" y="1968747"/>
              </a:cubicBezTo>
              <a:cubicBezTo>
                <a:pt x="3776652" y="1987975"/>
                <a:pt x="3761061" y="2003566"/>
                <a:pt x="3741833" y="2003566"/>
              </a:cubicBezTo>
              <a:close/>
              <a:moveTo>
                <a:pt x="3826726" y="2003566"/>
              </a:moveTo>
              <a:cubicBezTo>
                <a:pt x="3807498" y="2003566"/>
                <a:pt x="3791907" y="1987975"/>
                <a:pt x="3791907" y="1968747"/>
              </a:cubicBezTo>
              <a:cubicBezTo>
                <a:pt x="3791907" y="1949519"/>
                <a:pt x="3807498" y="1933928"/>
                <a:pt x="3826726" y="1933928"/>
              </a:cubicBezTo>
              <a:cubicBezTo>
                <a:pt x="3845953" y="1933928"/>
                <a:pt x="3861544" y="1949519"/>
                <a:pt x="3861544" y="1968747"/>
              </a:cubicBezTo>
              <a:cubicBezTo>
                <a:pt x="3861544" y="1987975"/>
                <a:pt x="3845953" y="2003566"/>
                <a:pt x="3826726" y="2003566"/>
              </a:cubicBezTo>
              <a:close/>
              <a:moveTo>
                <a:pt x="3911618" y="2003566"/>
              </a:moveTo>
              <a:cubicBezTo>
                <a:pt x="3892390" y="2003566"/>
                <a:pt x="3876799" y="1987975"/>
                <a:pt x="3876799" y="1968747"/>
              </a:cubicBezTo>
              <a:cubicBezTo>
                <a:pt x="3876799" y="1949519"/>
                <a:pt x="3892390" y="1933928"/>
                <a:pt x="3911618" y="1933928"/>
              </a:cubicBezTo>
              <a:cubicBezTo>
                <a:pt x="3930846" y="1933928"/>
                <a:pt x="3946437" y="1949519"/>
                <a:pt x="3946437" y="1968747"/>
              </a:cubicBezTo>
              <a:cubicBezTo>
                <a:pt x="3946437" y="1987975"/>
                <a:pt x="3930846" y="2003566"/>
                <a:pt x="3911618" y="2003566"/>
              </a:cubicBezTo>
              <a:close/>
              <a:moveTo>
                <a:pt x="3996511" y="2003566"/>
              </a:moveTo>
              <a:cubicBezTo>
                <a:pt x="3977283" y="2003566"/>
                <a:pt x="3961692" y="1987975"/>
                <a:pt x="3961692" y="1968747"/>
              </a:cubicBezTo>
              <a:cubicBezTo>
                <a:pt x="3961692" y="1949519"/>
                <a:pt x="3977283" y="1933928"/>
                <a:pt x="3996511" y="1933928"/>
              </a:cubicBezTo>
              <a:cubicBezTo>
                <a:pt x="4015739" y="1933928"/>
                <a:pt x="4031330" y="1949519"/>
                <a:pt x="4031330" y="1968747"/>
              </a:cubicBezTo>
              <a:cubicBezTo>
                <a:pt x="4031330" y="1987975"/>
                <a:pt x="4015739" y="2003566"/>
                <a:pt x="3996511" y="2003566"/>
              </a:cubicBezTo>
              <a:close/>
              <a:moveTo>
                <a:pt x="4081403" y="2003566"/>
              </a:moveTo>
              <a:cubicBezTo>
                <a:pt x="4062176" y="2003566"/>
                <a:pt x="4046584" y="1987975"/>
                <a:pt x="4046584" y="1968747"/>
              </a:cubicBezTo>
              <a:cubicBezTo>
                <a:pt x="4046584" y="1949519"/>
                <a:pt x="4062176" y="1933928"/>
                <a:pt x="4081403" y="1933928"/>
              </a:cubicBezTo>
              <a:cubicBezTo>
                <a:pt x="4100631" y="1933928"/>
                <a:pt x="4116222" y="1949519"/>
                <a:pt x="4116222" y="1968747"/>
              </a:cubicBezTo>
              <a:cubicBezTo>
                <a:pt x="4116222" y="1987975"/>
                <a:pt x="4100631" y="2003566"/>
                <a:pt x="4081403" y="2003566"/>
              </a:cubicBezTo>
              <a:close/>
              <a:moveTo>
                <a:pt x="4166296" y="2003566"/>
              </a:moveTo>
              <a:cubicBezTo>
                <a:pt x="4147068" y="2003566"/>
                <a:pt x="4131477" y="1987975"/>
                <a:pt x="4131477" y="1968747"/>
              </a:cubicBezTo>
              <a:cubicBezTo>
                <a:pt x="4131477" y="1949519"/>
                <a:pt x="4147068" y="1933928"/>
                <a:pt x="4166296" y="1933928"/>
              </a:cubicBezTo>
              <a:cubicBezTo>
                <a:pt x="4185523" y="1933928"/>
                <a:pt x="4201114" y="1949519"/>
                <a:pt x="4201114" y="1968747"/>
              </a:cubicBezTo>
              <a:cubicBezTo>
                <a:pt x="4201114" y="1987975"/>
                <a:pt x="4185523" y="2003566"/>
                <a:pt x="4166296" y="2003566"/>
              </a:cubicBezTo>
              <a:close/>
              <a:moveTo>
                <a:pt x="4251188" y="2003566"/>
              </a:moveTo>
              <a:cubicBezTo>
                <a:pt x="4231960" y="2003566"/>
                <a:pt x="4216369" y="1987975"/>
                <a:pt x="4216369" y="1968747"/>
              </a:cubicBezTo>
              <a:cubicBezTo>
                <a:pt x="4216369" y="1949519"/>
                <a:pt x="4231960" y="1933928"/>
                <a:pt x="4251188" y="1933928"/>
              </a:cubicBezTo>
              <a:cubicBezTo>
                <a:pt x="4270416" y="1933928"/>
                <a:pt x="4286007" y="1949519"/>
                <a:pt x="4286007" y="1968747"/>
              </a:cubicBezTo>
              <a:cubicBezTo>
                <a:pt x="4286007" y="1987975"/>
                <a:pt x="4270416" y="2003566"/>
                <a:pt x="4251188" y="2003566"/>
              </a:cubicBezTo>
              <a:close/>
              <a:moveTo>
                <a:pt x="4336080" y="2003566"/>
              </a:moveTo>
              <a:cubicBezTo>
                <a:pt x="4316852" y="2003566"/>
                <a:pt x="4301261" y="1987975"/>
                <a:pt x="4301261" y="1968747"/>
              </a:cubicBezTo>
              <a:cubicBezTo>
                <a:pt x="4301261" y="1949519"/>
                <a:pt x="4316852" y="1933928"/>
                <a:pt x="4336080" y="1933928"/>
              </a:cubicBezTo>
              <a:cubicBezTo>
                <a:pt x="4355308" y="1933928"/>
                <a:pt x="4370899" y="1949519"/>
                <a:pt x="4370899" y="1968747"/>
              </a:cubicBezTo>
              <a:cubicBezTo>
                <a:pt x="4370899" y="1987975"/>
                <a:pt x="4355308" y="2003566"/>
                <a:pt x="4336080" y="2003566"/>
              </a:cubicBezTo>
              <a:close/>
              <a:moveTo>
                <a:pt x="4420973" y="2003566"/>
              </a:moveTo>
              <a:cubicBezTo>
                <a:pt x="4401746" y="2003566"/>
                <a:pt x="4386154" y="1987975"/>
                <a:pt x="4386154" y="1968747"/>
              </a:cubicBezTo>
              <a:cubicBezTo>
                <a:pt x="4386154" y="1949519"/>
                <a:pt x="4401746" y="1933928"/>
                <a:pt x="4420973" y="1933928"/>
              </a:cubicBezTo>
              <a:cubicBezTo>
                <a:pt x="4440201" y="1933928"/>
                <a:pt x="4455792" y="1949519"/>
                <a:pt x="4455792" y="1968747"/>
              </a:cubicBezTo>
              <a:cubicBezTo>
                <a:pt x="4455792" y="1987975"/>
                <a:pt x="4440201" y="2003566"/>
                <a:pt x="4420973" y="2003566"/>
              </a:cubicBezTo>
              <a:close/>
              <a:moveTo>
                <a:pt x="4505866" y="2003566"/>
              </a:moveTo>
              <a:cubicBezTo>
                <a:pt x="4486638" y="2003566"/>
                <a:pt x="4471047" y="1987975"/>
                <a:pt x="4471047" y="1968747"/>
              </a:cubicBezTo>
              <a:cubicBezTo>
                <a:pt x="4471047" y="1949519"/>
                <a:pt x="4486638" y="1933928"/>
                <a:pt x="4505866" y="1933928"/>
              </a:cubicBezTo>
              <a:cubicBezTo>
                <a:pt x="4525093" y="1933928"/>
                <a:pt x="4540684" y="1949519"/>
                <a:pt x="4540684" y="1968747"/>
              </a:cubicBezTo>
              <a:cubicBezTo>
                <a:pt x="4540684" y="1987975"/>
                <a:pt x="4525093" y="2003566"/>
                <a:pt x="4505866" y="2003566"/>
              </a:cubicBezTo>
              <a:close/>
              <a:moveTo>
                <a:pt x="4590758" y="2003566"/>
              </a:moveTo>
              <a:cubicBezTo>
                <a:pt x="4571530" y="2003566"/>
                <a:pt x="4555939" y="1987975"/>
                <a:pt x="4555939" y="1968747"/>
              </a:cubicBezTo>
              <a:cubicBezTo>
                <a:pt x="4555939" y="1949519"/>
                <a:pt x="4571530" y="1933928"/>
                <a:pt x="4590758" y="1933928"/>
              </a:cubicBezTo>
              <a:cubicBezTo>
                <a:pt x="4609986" y="1933928"/>
                <a:pt x="4625577" y="1949519"/>
                <a:pt x="4625577" y="1968747"/>
              </a:cubicBezTo>
              <a:cubicBezTo>
                <a:pt x="4625577" y="1987975"/>
                <a:pt x="4609986" y="2003566"/>
                <a:pt x="4590758" y="2003566"/>
              </a:cubicBezTo>
              <a:close/>
              <a:moveTo>
                <a:pt x="6288611" y="2003566"/>
              </a:moveTo>
              <a:cubicBezTo>
                <a:pt x="6269384" y="2003566"/>
                <a:pt x="6253786" y="1987975"/>
                <a:pt x="6253786" y="1968747"/>
              </a:cubicBezTo>
              <a:cubicBezTo>
                <a:pt x="6253786" y="1949519"/>
                <a:pt x="6269384" y="1933928"/>
                <a:pt x="6288611" y="1933928"/>
              </a:cubicBezTo>
              <a:cubicBezTo>
                <a:pt x="6307839" y="1933928"/>
                <a:pt x="6323424" y="1949519"/>
                <a:pt x="6323424" y="1968747"/>
              </a:cubicBezTo>
              <a:cubicBezTo>
                <a:pt x="6323424" y="1987975"/>
                <a:pt x="6307839" y="2003566"/>
                <a:pt x="6288611" y="2003566"/>
              </a:cubicBezTo>
              <a:close/>
              <a:moveTo>
                <a:pt x="6373504" y="2003566"/>
              </a:moveTo>
              <a:cubicBezTo>
                <a:pt x="6354276" y="2003566"/>
                <a:pt x="6338678" y="1987975"/>
                <a:pt x="6338678" y="1968747"/>
              </a:cubicBezTo>
              <a:cubicBezTo>
                <a:pt x="6338678" y="1949519"/>
                <a:pt x="6354276" y="1933928"/>
                <a:pt x="6373504" y="1933928"/>
              </a:cubicBezTo>
              <a:cubicBezTo>
                <a:pt x="6392731" y="1933928"/>
                <a:pt x="6408316" y="1949519"/>
                <a:pt x="6408316" y="1968747"/>
              </a:cubicBezTo>
              <a:cubicBezTo>
                <a:pt x="6408316" y="1987975"/>
                <a:pt x="6392731" y="2003566"/>
                <a:pt x="6373504" y="2003566"/>
              </a:cubicBezTo>
              <a:close/>
              <a:moveTo>
                <a:pt x="6458396" y="2003566"/>
              </a:moveTo>
              <a:cubicBezTo>
                <a:pt x="6439168" y="2003566"/>
                <a:pt x="6423570" y="1987975"/>
                <a:pt x="6423570" y="1968747"/>
              </a:cubicBezTo>
              <a:cubicBezTo>
                <a:pt x="6423570" y="1949519"/>
                <a:pt x="6439168" y="1933928"/>
                <a:pt x="6458396" y="1933928"/>
              </a:cubicBezTo>
              <a:cubicBezTo>
                <a:pt x="6477624" y="1933928"/>
                <a:pt x="6493208" y="1949519"/>
                <a:pt x="6493208" y="1968747"/>
              </a:cubicBezTo>
              <a:cubicBezTo>
                <a:pt x="6493208" y="1987975"/>
                <a:pt x="6477624" y="2003566"/>
                <a:pt x="6458396" y="2003566"/>
              </a:cubicBezTo>
              <a:close/>
              <a:moveTo>
                <a:pt x="6543288" y="2003566"/>
              </a:moveTo>
              <a:cubicBezTo>
                <a:pt x="6524060" y="2003566"/>
                <a:pt x="6508463" y="1987975"/>
                <a:pt x="6508463" y="1968747"/>
              </a:cubicBezTo>
              <a:cubicBezTo>
                <a:pt x="6508463" y="1949519"/>
                <a:pt x="6524060" y="1933928"/>
                <a:pt x="6543288" y="1933928"/>
              </a:cubicBezTo>
              <a:cubicBezTo>
                <a:pt x="6562516" y="1933928"/>
                <a:pt x="6578100" y="1949519"/>
                <a:pt x="6578100" y="1968747"/>
              </a:cubicBezTo>
              <a:cubicBezTo>
                <a:pt x="6578100" y="1987975"/>
                <a:pt x="6562516" y="2003566"/>
                <a:pt x="6543288" y="2003566"/>
              </a:cubicBezTo>
              <a:close/>
              <a:moveTo>
                <a:pt x="6628181" y="2003566"/>
              </a:moveTo>
              <a:cubicBezTo>
                <a:pt x="6608954" y="2003566"/>
                <a:pt x="6593356" y="1987975"/>
                <a:pt x="6593356" y="1968747"/>
              </a:cubicBezTo>
              <a:cubicBezTo>
                <a:pt x="6593356" y="1949519"/>
                <a:pt x="6608954" y="1933928"/>
                <a:pt x="6628181" y="1933928"/>
              </a:cubicBezTo>
              <a:cubicBezTo>
                <a:pt x="6647409" y="1933928"/>
                <a:pt x="6662994" y="1949519"/>
                <a:pt x="6662994" y="1968747"/>
              </a:cubicBezTo>
              <a:cubicBezTo>
                <a:pt x="6662994" y="1987975"/>
                <a:pt x="6647409" y="2003566"/>
                <a:pt x="6628181" y="2003566"/>
              </a:cubicBezTo>
              <a:close/>
              <a:moveTo>
                <a:pt x="6713074" y="2003566"/>
              </a:moveTo>
              <a:cubicBezTo>
                <a:pt x="6693846" y="2003566"/>
                <a:pt x="6678248" y="1987975"/>
                <a:pt x="6678248" y="1968747"/>
              </a:cubicBezTo>
              <a:cubicBezTo>
                <a:pt x="6678248" y="1949519"/>
                <a:pt x="6693846" y="1933928"/>
                <a:pt x="6713074" y="1933928"/>
              </a:cubicBezTo>
              <a:cubicBezTo>
                <a:pt x="6732301" y="1933928"/>
                <a:pt x="6747886" y="1949519"/>
                <a:pt x="6747886" y="1968747"/>
              </a:cubicBezTo>
              <a:cubicBezTo>
                <a:pt x="6747886" y="1987975"/>
                <a:pt x="6732301" y="2003566"/>
                <a:pt x="6713074" y="2003566"/>
              </a:cubicBezTo>
              <a:close/>
              <a:moveTo>
                <a:pt x="6797966" y="2003566"/>
              </a:moveTo>
              <a:cubicBezTo>
                <a:pt x="6778738" y="2003566"/>
                <a:pt x="6763140" y="1987975"/>
                <a:pt x="6763140" y="1968747"/>
              </a:cubicBezTo>
              <a:cubicBezTo>
                <a:pt x="6763140" y="1949519"/>
                <a:pt x="6778738" y="1933928"/>
                <a:pt x="6797966" y="1933928"/>
              </a:cubicBezTo>
              <a:cubicBezTo>
                <a:pt x="6817194" y="1933928"/>
                <a:pt x="6832778" y="1949519"/>
                <a:pt x="6832778" y="1968747"/>
              </a:cubicBezTo>
              <a:cubicBezTo>
                <a:pt x="6832778" y="1987975"/>
                <a:pt x="6817194" y="2003566"/>
                <a:pt x="6797966" y="2003566"/>
              </a:cubicBezTo>
              <a:close/>
              <a:moveTo>
                <a:pt x="6882858" y="2003566"/>
              </a:moveTo>
              <a:cubicBezTo>
                <a:pt x="6863630" y="2003566"/>
                <a:pt x="6848033" y="1987975"/>
                <a:pt x="6848033" y="1968747"/>
              </a:cubicBezTo>
              <a:cubicBezTo>
                <a:pt x="6848033" y="1949519"/>
                <a:pt x="6863630" y="1933928"/>
                <a:pt x="6882858" y="1933928"/>
              </a:cubicBezTo>
              <a:cubicBezTo>
                <a:pt x="6902086" y="1933928"/>
                <a:pt x="6917670" y="1949519"/>
                <a:pt x="6917670" y="1968747"/>
              </a:cubicBezTo>
              <a:cubicBezTo>
                <a:pt x="6917670" y="1987975"/>
                <a:pt x="6902086" y="2003566"/>
                <a:pt x="6882858" y="2003566"/>
              </a:cubicBezTo>
              <a:close/>
              <a:moveTo>
                <a:pt x="6967750" y="2003566"/>
              </a:moveTo>
              <a:cubicBezTo>
                <a:pt x="6948523" y="2003566"/>
                <a:pt x="6932925" y="1987975"/>
                <a:pt x="6932925" y="1968747"/>
              </a:cubicBezTo>
              <a:cubicBezTo>
                <a:pt x="6932925" y="1949519"/>
                <a:pt x="6948523" y="1933928"/>
                <a:pt x="6967750" y="1933928"/>
              </a:cubicBezTo>
              <a:cubicBezTo>
                <a:pt x="6986978" y="1933928"/>
                <a:pt x="7002563" y="1949519"/>
                <a:pt x="7002563" y="1968747"/>
              </a:cubicBezTo>
              <a:cubicBezTo>
                <a:pt x="7002563" y="1987975"/>
                <a:pt x="6986978" y="2003566"/>
                <a:pt x="6967750" y="2003566"/>
              </a:cubicBezTo>
              <a:close/>
              <a:moveTo>
                <a:pt x="7307320" y="2003566"/>
              </a:moveTo>
              <a:cubicBezTo>
                <a:pt x="7288093" y="2003566"/>
                <a:pt x="7272495" y="1987975"/>
                <a:pt x="7272495" y="1968747"/>
              </a:cubicBezTo>
              <a:cubicBezTo>
                <a:pt x="7272495" y="1949519"/>
                <a:pt x="7288093" y="1933928"/>
                <a:pt x="7307320" y="1933928"/>
              </a:cubicBezTo>
              <a:cubicBezTo>
                <a:pt x="7326548" y="1933928"/>
                <a:pt x="7342133" y="1949519"/>
                <a:pt x="7342133" y="1968747"/>
              </a:cubicBezTo>
              <a:cubicBezTo>
                <a:pt x="7342133" y="1987975"/>
                <a:pt x="7326548" y="2003566"/>
                <a:pt x="7307320" y="2003566"/>
              </a:cubicBezTo>
              <a:close/>
              <a:moveTo>
                <a:pt x="7392214" y="2003566"/>
              </a:moveTo>
              <a:cubicBezTo>
                <a:pt x="7372986" y="2003566"/>
                <a:pt x="7357388" y="1987975"/>
                <a:pt x="7357388" y="1968747"/>
              </a:cubicBezTo>
              <a:cubicBezTo>
                <a:pt x="7357388" y="1949519"/>
                <a:pt x="7372986" y="1933928"/>
                <a:pt x="7392214" y="1933928"/>
              </a:cubicBezTo>
              <a:cubicBezTo>
                <a:pt x="7411441" y="1933928"/>
                <a:pt x="7427026" y="1949519"/>
                <a:pt x="7427026" y="1968747"/>
              </a:cubicBezTo>
              <a:cubicBezTo>
                <a:pt x="7427026" y="1987975"/>
                <a:pt x="7411441" y="2003566"/>
                <a:pt x="7392214" y="2003566"/>
              </a:cubicBezTo>
              <a:close/>
              <a:moveTo>
                <a:pt x="9769203" y="2003566"/>
              </a:moveTo>
              <a:cubicBezTo>
                <a:pt x="9749975" y="2003566"/>
                <a:pt x="9734377" y="1987975"/>
                <a:pt x="9734377" y="1968747"/>
              </a:cubicBezTo>
              <a:cubicBezTo>
                <a:pt x="9734377" y="1949519"/>
                <a:pt x="9749975" y="1933928"/>
                <a:pt x="9769203" y="1933928"/>
              </a:cubicBezTo>
              <a:cubicBezTo>
                <a:pt x="9788430" y="1933928"/>
                <a:pt x="9804015" y="1949519"/>
                <a:pt x="9804015" y="1968747"/>
              </a:cubicBezTo>
              <a:cubicBezTo>
                <a:pt x="9804015" y="1987975"/>
                <a:pt x="9788430" y="2003566"/>
                <a:pt x="9769203" y="2003566"/>
              </a:cubicBezTo>
              <a:close/>
              <a:moveTo>
                <a:pt x="9854095" y="2003566"/>
              </a:moveTo>
              <a:cubicBezTo>
                <a:pt x="9834867" y="2003566"/>
                <a:pt x="9819269" y="1987975"/>
                <a:pt x="9819269" y="1968747"/>
              </a:cubicBezTo>
              <a:cubicBezTo>
                <a:pt x="9819269" y="1949519"/>
                <a:pt x="9834867" y="1933928"/>
                <a:pt x="9854095" y="1933928"/>
              </a:cubicBezTo>
              <a:cubicBezTo>
                <a:pt x="9873323" y="1933928"/>
                <a:pt x="9888907" y="1949519"/>
                <a:pt x="9888907" y="1968747"/>
              </a:cubicBezTo>
              <a:cubicBezTo>
                <a:pt x="9888907" y="1987975"/>
                <a:pt x="9873323" y="2003566"/>
                <a:pt x="9854095" y="2003566"/>
              </a:cubicBezTo>
              <a:close/>
              <a:moveTo>
                <a:pt x="9938988" y="2003566"/>
              </a:moveTo>
              <a:cubicBezTo>
                <a:pt x="9919760" y="2003566"/>
                <a:pt x="9904163" y="1987975"/>
                <a:pt x="9904163" y="1968747"/>
              </a:cubicBezTo>
              <a:cubicBezTo>
                <a:pt x="9904163" y="1949519"/>
                <a:pt x="9919760" y="1933928"/>
                <a:pt x="9938988" y="1933928"/>
              </a:cubicBezTo>
              <a:cubicBezTo>
                <a:pt x="9958216" y="1933928"/>
                <a:pt x="9973800" y="1949519"/>
                <a:pt x="9973800" y="1968747"/>
              </a:cubicBezTo>
              <a:cubicBezTo>
                <a:pt x="9973800" y="1987975"/>
                <a:pt x="9958216" y="2003566"/>
                <a:pt x="9938988" y="2003566"/>
              </a:cubicBezTo>
              <a:close/>
              <a:moveTo>
                <a:pt x="10023880" y="2003566"/>
              </a:moveTo>
              <a:cubicBezTo>
                <a:pt x="10004653" y="2003566"/>
                <a:pt x="9989055" y="1987975"/>
                <a:pt x="9989055" y="1968747"/>
              </a:cubicBezTo>
              <a:cubicBezTo>
                <a:pt x="9989055" y="1949519"/>
                <a:pt x="10004653" y="1933928"/>
                <a:pt x="10023880" y="1933928"/>
              </a:cubicBezTo>
              <a:cubicBezTo>
                <a:pt x="10043108" y="1933928"/>
                <a:pt x="10058693" y="1949519"/>
                <a:pt x="10058693" y="1968747"/>
              </a:cubicBezTo>
              <a:cubicBezTo>
                <a:pt x="10058693" y="1987975"/>
                <a:pt x="10043108" y="2003566"/>
                <a:pt x="10023880" y="2003566"/>
              </a:cubicBezTo>
              <a:close/>
              <a:moveTo>
                <a:pt x="10108773" y="2003566"/>
              </a:moveTo>
              <a:cubicBezTo>
                <a:pt x="10089545" y="2003566"/>
                <a:pt x="10073947" y="1987975"/>
                <a:pt x="10073947" y="1968747"/>
              </a:cubicBezTo>
              <a:cubicBezTo>
                <a:pt x="10073947" y="1949519"/>
                <a:pt x="10089545" y="1933928"/>
                <a:pt x="10108773" y="1933928"/>
              </a:cubicBezTo>
              <a:cubicBezTo>
                <a:pt x="10128000" y="1933928"/>
                <a:pt x="10143585" y="1949519"/>
                <a:pt x="10143585" y="1968747"/>
              </a:cubicBezTo>
              <a:cubicBezTo>
                <a:pt x="10143585" y="1987975"/>
                <a:pt x="10128000" y="2003566"/>
                <a:pt x="10108773" y="2003566"/>
              </a:cubicBezTo>
              <a:close/>
              <a:moveTo>
                <a:pt x="10193665" y="2003566"/>
              </a:moveTo>
              <a:cubicBezTo>
                <a:pt x="10174437" y="2003566"/>
                <a:pt x="10158839" y="1987975"/>
                <a:pt x="10158839" y="1968747"/>
              </a:cubicBezTo>
              <a:cubicBezTo>
                <a:pt x="10158839" y="1949519"/>
                <a:pt x="10174437" y="1933928"/>
                <a:pt x="10193665" y="1933928"/>
              </a:cubicBezTo>
              <a:cubicBezTo>
                <a:pt x="10212893" y="1933928"/>
                <a:pt x="10228477" y="1949519"/>
                <a:pt x="10228477" y="1968747"/>
              </a:cubicBezTo>
              <a:cubicBezTo>
                <a:pt x="10228477" y="1987975"/>
                <a:pt x="10212893" y="2003566"/>
                <a:pt x="10193665" y="2003566"/>
              </a:cubicBezTo>
              <a:close/>
              <a:moveTo>
                <a:pt x="10363450" y="2003566"/>
              </a:moveTo>
              <a:cubicBezTo>
                <a:pt x="10344223" y="2003566"/>
                <a:pt x="10328625" y="1987975"/>
                <a:pt x="10328625" y="1968747"/>
              </a:cubicBezTo>
              <a:cubicBezTo>
                <a:pt x="10328625" y="1949519"/>
                <a:pt x="10344223" y="1933928"/>
                <a:pt x="10363450" y="1933928"/>
              </a:cubicBezTo>
              <a:cubicBezTo>
                <a:pt x="10382678" y="1933928"/>
                <a:pt x="10398263" y="1949519"/>
                <a:pt x="10398263" y="1968747"/>
              </a:cubicBezTo>
              <a:cubicBezTo>
                <a:pt x="10398263" y="1987975"/>
                <a:pt x="10382678" y="2003566"/>
                <a:pt x="10363450" y="2003566"/>
              </a:cubicBezTo>
              <a:close/>
              <a:moveTo>
                <a:pt x="11127483" y="2003566"/>
              </a:moveTo>
              <a:cubicBezTo>
                <a:pt x="11108255" y="2003566"/>
                <a:pt x="11092657" y="1987975"/>
                <a:pt x="11092657" y="1968747"/>
              </a:cubicBezTo>
              <a:cubicBezTo>
                <a:pt x="11092657" y="1949519"/>
                <a:pt x="11108255" y="1933928"/>
                <a:pt x="11127483" y="1933928"/>
              </a:cubicBezTo>
              <a:cubicBezTo>
                <a:pt x="11146710" y="1933928"/>
                <a:pt x="11162295" y="1949519"/>
                <a:pt x="11162295" y="1968747"/>
              </a:cubicBezTo>
              <a:cubicBezTo>
                <a:pt x="11162295" y="1987975"/>
                <a:pt x="11146710" y="2003566"/>
                <a:pt x="11127483" y="2003566"/>
              </a:cubicBezTo>
              <a:close/>
              <a:moveTo>
                <a:pt x="11467053" y="2003566"/>
              </a:moveTo>
              <a:cubicBezTo>
                <a:pt x="11447825" y="2003566"/>
                <a:pt x="11432227" y="1987975"/>
                <a:pt x="11432227" y="1968747"/>
              </a:cubicBezTo>
              <a:cubicBezTo>
                <a:pt x="11432227" y="1949519"/>
                <a:pt x="11447825" y="1933928"/>
                <a:pt x="11467053" y="1933928"/>
              </a:cubicBezTo>
              <a:cubicBezTo>
                <a:pt x="11486280" y="1933928"/>
                <a:pt x="11501865" y="1949519"/>
                <a:pt x="11501865" y="1968747"/>
              </a:cubicBezTo>
              <a:cubicBezTo>
                <a:pt x="11501865" y="1987975"/>
                <a:pt x="11486280" y="2003566"/>
                <a:pt x="11467053" y="2003566"/>
              </a:cubicBezTo>
              <a:close/>
              <a:moveTo>
                <a:pt x="3741833" y="1918706"/>
              </a:moveTo>
              <a:cubicBezTo>
                <a:pt x="3722606" y="1918706"/>
                <a:pt x="3707014" y="1903115"/>
                <a:pt x="3707014" y="1883887"/>
              </a:cubicBezTo>
              <a:cubicBezTo>
                <a:pt x="3707014" y="1864660"/>
                <a:pt x="3722606" y="1849069"/>
                <a:pt x="3741833" y="1849069"/>
              </a:cubicBezTo>
              <a:cubicBezTo>
                <a:pt x="3761061" y="1849069"/>
                <a:pt x="3776652" y="1864660"/>
                <a:pt x="3776652" y="1883887"/>
              </a:cubicBezTo>
              <a:cubicBezTo>
                <a:pt x="3776652" y="1903115"/>
                <a:pt x="3761061" y="1918706"/>
                <a:pt x="3741833" y="1918706"/>
              </a:cubicBezTo>
              <a:close/>
              <a:moveTo>
                <a:pt x="3826726" y="1918706"/>
              </a:moveTo>
              <a:cubicBezTo>
                <a:pt x="3807498" y="1918706"/>
                <a:pt x="3791907" y="1903115"/>
                <a:pt x="3791907" y="1883887"/>
              </a:cubicBezTo>
              <a:cubicBezTo>
                <a:pt x="3791907" y="1864660"/>
                <a:pt x="3807498" y="1849069"/>
                <a:pt x="3826726" y="1849069"/>
              </a:cubicBezTo>
              <a:cubicBezTo>
                <a:pt x="3845953" y="1849069"/>
                <a:pt x="3861544" y="1864660"/>
                <a:pt x="3861544" y="1883887"/>
              </a:cubicBezTo>
              <a:cubicBezTo>
                <a:pt x="3861544" y="1903115"/>
                <a:pt x="3845953" y="1918706"/>
                <a:pt x="3826726" y="1918706"/>
              </a:cubicBezTo>
              <a:close/>
              <a:moveTo>
                <a:pt x="3911618" y="1918706"/>
              </a:moveTo>
              <a:cubicBezTo>
                <a:pt x="3892390" y="1918706"/>
                <a:pt x="3876799" y="1903115"/>
                <a:pt x="3876799" y="1883887"/>
              </a:cubicBezTo>
              <a:cubicBezTo>
                <a:pt x="3876799" y="1864660"/>
                <a:pt x="3892390" y="1849069"/>
                <a:pt x="3911618" y="1849069"/>
              </a:cubicBezTo>
              <a:cubicBezTo>
                <a:pt x="3930846" y="1849069"/>
                <a:pt x="3946437" y="1864660"/>
                <a:pt x="3946437" y="1883887"/>
              </a:cubicBezTo>
              <a:cubicBezTo>
                <a:pt x="3946437" y="1903115"/>
                <a:pt x="3930846" y="1918706"/>
                <a:pt x="3911618" y="1918706"/>
              </a:cubicBezTo>
              <a:close/>
              <a:moveTo>
                <a:pt x="3996511" y="1918706"/>
              </a:moveTo>
              <a:cubicBezTo>
                <a:pt x="3977283" y="1918706"/>
                <a:pt x="3961692" y="1903115"/>
                <a:pt x="3961692" y="1883887"/>
              </a:cubicBezTo>
              <a:cubicBezTo>
                <a:pt x="3961692" y="1864660"/>
                <a:pt x="3977283" y="1849069"/>
                <a:pt x="3996511" y="1849069"/>
              </a:cubicBezTo>
              <a:cubicBezTo>
                <a:pt x="4015739" y="1849069"/>
                <a:pt x="4031330" y="1864660"/>
                <a:pt x="4031330" y="1883887"/>
              </a:cubicBezTo>
              <a:cubicBezTo>
                <a:pt x="4031330" y="1903115"/>
                <a:pt x="4015739" y="1918706"/>
                <a:pt x="3996511" y="1918706"/>
              </a:cubicBezTo>
              <a:close/>
              <a:moveTo>
                <a:pt x="4081403" y="1918706"/>
              </a:moveTo>
              <a:cubicBezTo>
                <a:pt x="4062176" y="1918706"/>
                <a:pt x="4046584" y="1903115"/>
                <a:pt x="4046584" y="1883887"/>
              </a:cubicBezTo>
              <a:cubicBezTo>
                <a:pt x="4046584" y="1864660"/>
                <a:pt x="4062176" y="1849069"/>
                <a:pt x="4081403" y="1849069"/>
              </a:cubicBezTo>
              <a:cubicBezTo>
                <a:pt x="4100631" y="1849069"/>
                <a:pt x="4116222" y="1864660"/>
                <a:pt x="4116222" y="1883887"/>
              </a:cubicBezTo>
              <a:cubicBezTo>
                <a:pt x="4116222" y="1903115"/>
                <a:pt x="4100631" y="1918706"/>
                <a:pt x="4081403" y="1918706"/>
              </a:cubicBezTo>
              <a:close/>
              <a:moveTo>
                <a:pt x="4166296" y="1918706"/>
              </a:moveTo>
              <a:cubicBezTo>
                <a:pt x="4147068" y="1918706"/>
                <a:pt x="4131477" y="1903115"/>
                <a:pt x="4131477" y="1883887"/>
              </a:cubicBezTo>
              <a:cubicBezTo>
                <a:pt x="4131477" y="1864660"/>
                <a:pt x="4147068" y="1849069"/>
                <a:pt x="4166296" y="1849069"/>
              </a:cubicBezTo>
              <a:cubicBezTo>
                <a:pt x="4185523" y="1849069"/>
                <a:pt x="4201114" y="1864660"/>
                <a:pt x="4201114" y="1883887"/>
              </a:cubicBezTo>
              <a:cubicBezTo>
                <a:pt x="4201114" y="1903115"/>
                <a:pt x="4185523" y="1918706"/>
                <a:pt x="4166296" y="1918706"/>
              </a:cubicBezTo>
              <a:close/>
              <a:moveTo>
                <a:pt x="4251188" y="1918706"/>
              </a:moveTo>
              <a:cubicBezTo>
                <a:pt x="4231960" y="1918706"/>
                <a:pt x="4216369" y="1903115"/>
                <a:pt x="4216369" y="1883887"/>
              </a:cubicBezTo>
              <a:cubicBezTo>
                <a:pt x="4216369" y="1864660"/>
                <a:pt x="4231960" y="1849069"/>
                <a:pt x="4251188" y="1849069"/>
              </a:cubicBezTo>
              <a:cubicBezTo>
                <a:pt x="4270416" y="1849069"/>
                <a:pt x="4286007" y="1864660"/>
                <a:pt x="4286007" y="1883887"/>
              </a:cubicBezTo>
              <a:cubicBezTo>
                <a:pt x="4286007" y="1903115"/>
                <a:pt x="4270416" y="1918706"/>
                <a:pt x="4251188" y="1918706"/>
              </a:cubicBezTo>
              <a:close/>
              <a:moveTo>
                <a:pt x="4336080" y="1918706"/>
              </a:moveTo>
              <a:cubicBezTo>
                <a:pt x="4316852" y="1918706"/>
                <a:pt x="4301261" y="1903115"/>
                <a:pt x="4301261" y="1883887"/>
              </a:cubicBezTo>
              <a:cubicBezTo>
                <a:pt x="4301261" y="1864660"/>
                <a:pt x="4316852" y="1849069"/>
                <a:pt x="4336080" y="1849069"/>
              </a:cubicBezTo>
              <a:cubicBezTo>
                <a:pt x="4355308" y="1849069"/>
                <a:pt x="4370899" y="1864660"/>
                <a:pt x="4370899" y="1883887"/>
              </a:cubicBezTo>
              <a:cubicBezTo>
                <a:pt x="4370899" y="1903115"/>
                <a:pt x="4355308" y="1918706"/>
                <a:pt x="4336080" y="1918706"/>
              </a:cubicBezTo>
              <a:close/>
              <a:moveTo>
                <a:pt x="4420973" y="1918706"/>
              </a:moveTo>
              <a:cubicBezTo>
                <a:pt x="4401746" y="1918706"/>
                <a:pt x="4386154" y="1903115"/>
                <a:pt x="4386154" y="1883887"/>
              </a:cubicBezTo>
              <a:cubicBezTo>
                <a:pt x="4386154" y="1864660"/>
                <a:pt x="4401746" y="1849069"/>
                <a:pt x="4420973" y="1849069"/>
              </a:cubicBezTo>
              <a:cubicBezTo>
                <a:pt x="4440201" y="1849069"/>
                <a:pt x="4455792" y="1864660"/>
                <a:pt x="4455792" y="1883887"/>
              </a:cubicBezTo>
              <a:cubicBezTo>
                <a:pt x="4455792" y="1903115"/>
                <a:pt x="4440201" y="1918706"/>
                <a:pt x="4420973" y="1918706"/>
              </a:cubicBezTo>
              <a:close/>
              <a:moveTo>
                <a:pt x="4505866" y="1918706"/>
              </a:moveTo>
              <a:cubicBezTo>
                <a:pt x="4486638" y="1918706"/>
                <a:pt x="4471047" y="1903115"/>
                <a:pt x="4471047" y="1883887"/>
              </a:cubicBezTo>
              <a:cubicBezTo>
                <a:pt x="4471047" y="1864660"/>
                <a:pt x="4486638" y="1849069"/>
                <a:pt x="4505866" y="1849069"/>
              </a:cubicBezTo>
              <a:cubicBezTo>
                <a:pt x="4525093" y="1849069"/>
                <a:pt x="4540684" y="1864660"/>
                <a:pt x="4540684" y="1883887"/>
              </a:cubicBezTo>
              <a:cubicBezTo>
                <a:pt x="4540684" y="1903115"/>
                <a:pt x="4525093" y="1918706"/>
                <a:pt x="4505866" y="1918706"/>
              </a:cubicBezTo>
              <a:close/>
              <a:moveTo>
                <a:pt x="4590758" y="1918706"/>
              </a:moveTo>
              <a:cubicBezTo>
                <a:pt x="4571530" y="1918706"/>
                <a:pt x="4555939" y="1903115"/>
                <a:pt x="4555939" y="1883887"/>
              </a:cubicBezTo>
              <a:cubicBezTo>
                <a:pt x="4555939" y="1864660"/>
                <a:pt x="4571530" y="1849069"/>
                <a:pt x="4590758" y="1849069"/>
              </a:cubicBezTo>
              <a:cubicBezTo>
                <a:pt x="4609986" y="1849069"/>
                <a:pt x="4625577" y="1864660"/>
                <a:pt x="4625577" y="1883887"/>
              </a:cubicBezTo>
              <a:cubicBezTo>
                <a:pt x="4625577" y="1903115"/>
                <a:pt x="4609986" y="1918706"/>
                <a:pt x="4590758" y="1918706"/>
              </a:cubicBezTo>
              <a:close/>
              <a:moveTo>
                <a:pt x="6288611" y="1918706"/>
              </a:moveTo>
              <a:cubicBezTo>
                <a:pt x="6269384" y="1918706"/>
                <a:pt x="6253786" y="1903115"/>
                <a:pt x="6253786" y="1883887"/>
              </a:cubicBezTo>
              <a:cubicBezTo>
                <a:pt x="6253786" y="1864660"/>
                <a:pt x="6269384" y="1849069"/>
                <a:pt x="6288611" y="1849069"/>
              </a:cubicBezTo>
              <a:cubicBezTo>
                <a:pt x="6307839" y="1849069"/>
                <a:pt x="6323424" y="1864660"/>
                <a:pt x="6323424" y="1883887"/>
              </a:cubicBezTo>
              <a:cubicBezTo>
                <a:pt x="6323424" y="1903115"/>
                <a:pt x="6307839" y="1918706"/>
                <a:pt x="6288611" y="1918706"/>
              </a:cubicBezTo>
              <a:close/>
              <a:moveTo>
                <a:pt x="6373504" y="1918706"/>
              </a:moveTo>
              <a:cubicBezTo>
                <a:pt x="6354276" y="1918706"/>
                <a:pt x="6338678" y="1903115"/>
                <a:pt x="6338678" y="1883887"/>
              </a:cubicBezTo>
              <a:cubicBezTo>
                <a:pt x="6338678" y="1864660"/>
                <a:pt x="6354276" y="1849069"/>
                <a:pt x="6373504" y="1849069"/>
              </a:cubicBezTo>
              <a:cubicBezTo>
                <a:pt x="6392731" y="1849069"/>
                <a:pt x="6408316" y="1864660"/>
                <a:pt x="6408316" y="1883887"/>
              </a:cubicBezTo>
              <a:cubicBezTo>
                <a:pt x="6408316" y="1903115"/>
                <a:pt x="6392731" y="1918706"/>
                <a:pt x="6373504" y="1918706"/>
              </a:cubicBezTo>
              <a:close/>
              <a:moveTo>
                <a:pt x="6458396" y="1918706"/>
              </a:moveTo>
              <a:cubicBezTo>
                <a:pt x="6439168" y="1918706"/>
                <a:pt x="6423570" y="1903115"/>
                <a:pt x="6423570" y="1883887"/>
              </a:cubicBezTo>
              <a:cubicBezTo>
                <a:pt x="6423570" y="1864660"/>
                <a:pt x="6439168" y="1849069"/>
                <a:pt x="6458396" y="1849069"/>
              </a:cubicBezTo>
              <a:cubicBezTo>
                <a:pt x="6477624" y="1849069"/>
                <a:pt x="6493208" y="1864660"/>
                <a:pt x="6493208" y="1883887"/>
              </a:cubicBezTo>
              <a:cubicBezTo>
                <a:pt x="6493208" y="1903115"/>
                <a:pt x="6477624" y="1918706"/>
                <a:pt x="6458396" y="1918706"/>
              </a:cubicBezTo>
              <a:close/>
              <a:moveTo>
                <a:pt x="6543288" y="1918706"/>
              </a:moveTo>
              <a:cubicBezTo>
                <a:pt x="6524060" y="1918706"/>
                <a:pt x="6508463" y="1903115"/>
                <a:pt x="6508463" y="1883887"/>
              </a:cubicBezTo>
              <a:cubicBezTo>
                <a:pt x="6508463" y="1864660"/>
                <a:pt x="6524060" y="1849069"/>
                <a:pt x="6543288" y="1849069"/>
              </a:cubicBezTo>
              <a:cubicBezTo>
                <a:pt x="6562516" y="1849069"/>
                <a:pt x="6578100" y="1864660"/>
                <a:pt x="6578100" y="1883887"/>
              </a:cubicBezTo>
              <a:cubicBezTo>
                <a:pt x="6578100" y="1903115"/>
                <a:pt x="6562516" y="1918706"/>
                <a:pt x="6543288" y="1918706"/>
              </a:cubicBezTo>
              <a:close/>
              <a:moveTo>
                <a:pt x="6628181" y="1918706"/>
              </a:moveTo>
              <a:cubicBezTo>
                <a:pt x="6608954" y="1918706"/>
                <a:pt x="6593356" y="1903115"/>
                <a:pt x="6593356" y="1883887"/>
              </a:cubicBezTo>
              <a:cubicBezTo>
                <a:pt x="6593356" y="1864660"/>
                <a:pt x="6608954" y="1849069"/>
                <a:pt x="6628181" y="1849069"/>
              </a:cubicBezTo>
              <a:cubicBezTo>
                <a:pt x="6647409" y="1849069"/>
                <a:pt x="6662994" y="1864660"/>
                <a:pt x="6662994" y="1883887"/>
              </a:cubicBezTo>
              <a:cubicBezTo>
                <a:pt x="6662994" y="1903115"/>
                <a:pt x="6647409" y="1918706"/>
                <a:pt x="6628181" y="1918706"/>
              </a:cubicBezTo>
              <a:close/>
              <a:moveTo>
                <a:pt x="6713074" y="1918706"/>
              </a:moveTo>
              <a:cubicBezTo>
                <a:pt x="6693846" y="1918706"/>
                <a:pt x="6678248" y="1903115"/>
                <a:pt x="6678248" y="1883887"/>
              </a:cubicBezTo>
              <a:cubicBezTo>
                <a:pt x="6678248" y="1864660"/>
                <a:pt x="6693846" y="1849069"/>
                <a:pt x="6713074" y="1849069"/>
              </a:cubicBezTo>
              <a:cubicBezTo>
                <a:pt x="6732301" y="1849069"/>
                <a:pt x="6747886" y="1864660"/>
                <a:pt x="6747886" y="1883887"/>
              </a:cubicBezTo>
              <a:cubicBezTo>
                <a:pt x="6747886" y="1903115"/>
                <a:pt x="6732301" y="1918706"/>
                <a:pt x="6713074" y="1918706"/>
              </a:cubicBezTo>
              <a:close/>
              <a:moveTo>
                <a:pt x="6797966" y="1918706"/>
              </a:moveTo>
              <a:cubicBezTo>
                <a:pt x="6778738" y="1918706"/>
                <a:pt x="6763140" y="1903115"/>
                <a:pt x="6763140" y="1883887"/>
              </a:cubicBezTo>
              <a:cubicBezTo>
                <a:pt x="6763140" y="1864660"/>
                <a:pt x="6778738" y="1849069"/>
                <a:pt x="6797966" y="1849069"/>
              </a:cubicBezTo>
              <a:cubicBezTo>
                <a:pt x="6817194" y="1849069"/>
                <a:pt x="6832778" y="1864660"/>
                <a:pt x="6832778" y="1883887"/>
              </a:cubicBezTo>
              <a:cubicBezTo>
                <a:pt x="6832778" y="1903115"/>
                <a:pt x="6817194" y="1918706"/>
                <a:pt x="6797966" y="1918706"/>
              </a:cubicBezTo>
              <a:close/>
              <a:moveTo>
                <a:pt x="6882858" y="1918706"/>
              </a:moveTo>
              <a:cubicBezTo>
                <a:pt x="6863630" y="1918706"/>
                <a:pt x="6848033" y="1903115"/>
                <a:pt x="6848033" y="1883887"/>
              </a:cubicBezTo>
              <a:cubicBezTo>
                <a:pt x="6848033" y="1864660"/>
                <a:pt x="6863630" y="1849069"/>
                <a:pt x="6882858" y="1849069"/>
              </a:cubicBezTo>
              <a:cubicBezTo>
                <a:pt x="6902086" y="1849069"/>
                <a:pt x="6917670" y="1864660"/>
                <a:pt x="6917670" y="1883887"/>
              </a:cubicBezTo>
              <a:cubicBezTo>
                <a:pt x="6917670" y="1903115"/>
                <a:pt x="6902086" y="1918706"/>
                <a:pt x="6882858" y="1918706"/>
              </a:cubicBezTo>
              <a:close/>
              <a:moveTo>
                <a:pt x="7307320" y="1918706"/>
              </a:moveTo>
              <a:cubicBezTo>
                <a:pt x="7288093" y="1918706"/>
                <a:pt x="7272495" y="1903115"/>
                <a:pt x="7272495" y="1883887"/>
              </a:cubicBezTo>
              <a:cubicBezTo>
                <a:pt x="7272495" y="1864660"/>
                <a:pt x="7288093" y="1849069"/>
                <a:pt x="7307320" y="1849069"/>
              </a:cubicBezTo>
              <a:cubicBezTo>
                <a:pt x="7326548" y="1849069"/>
                <a:pt x="7342133" y="1864660"/>
                <a:pt x="7342133" y="1883887"/>
              </a:cubicBezTo>
              <a:cubicBezTo>
                <a:pt x="7342133" y="1903115"/>
                <a:pt x="7326548" y="1918706"/>
                <a:pt x="7307320" y="1918706"/>
              </a:cubicBezTo>
              <a:close/>
              <a:moveTo>
                <a:pt x="9684310" y="1918706"/>
              </a:moveTo>
              <a:cubicBezTo>
                <a:pt x="9665083" y="1918706"/>
                <a:pt x="9649485" y="1903115"/>
                <a:pt x="9649485" y="1883887"/>
              </a:cubicBezTo>
              <a:cubicBezTo>
                <a:pt x="9649485" y="1864660"/>
                <a:pt x="9665083" y="1849069"/>
                <a:pt x="9684310" y="1849069"/>
              </a:cubicBezTo>
              <a:cubicBezTo>
                <a:pt x="9703538" y="1849069"/>
                <a:pt x="9719123" y="1864660"/>
                <a:pt x="9719123" y="1883887"/>
              </a:cubicBezTo>
              <a:cubicBezTo>
                <a:pt x="9719123" y="1903115"/>
                <a:pt x="9703538" y="1918706"/>
                <a:pt x="9684310" y="1918706"/>
              </a:cubicBezTo>
              <a:close/>
              <a:moveTo>
                <a:pt x="9769203" y="1918706"/>
              </a:moveTo>
              <a:cubicBezTo>
                <a:pt x="9749975" y="1918706"/>
                <a:pt x="9734377" y="1903115"/>
                <a:pt x="9734377" y="1883887"/>
              </a:cubicBezTo>
              <a:cubicBezTo>
                <a:pt x="9734377" y="1864660"/>
                <a:pt x="9749975" y="1849069"/>
                <a:pt x="9769203" y="1849069"/>
              </a:cubicBezTo>
              <a:cubicBezTo>
                <a:pt x="9788430" y="1849069"/>
                <a:pt x="9804015" y="1864660"/>
                <a:pt x="9804015" y="1883887"/>
              </a:cubicBezTo>
              <a:cubicBezTo>
                <a:pt x="9804015" y="1903115"/>
                <a:pt x="9788430" y="1918706"/>
                <a:pt x="9769203" y="1918706"/>
              </a:cubicBezTo>
              <a:close/>
              <a:moveTo>
                <a:pt x="9854095" y="1918706"/>
              </a:moveTo>
              <a:cubicBezTo>
                <a:pt x="9834867" y="1918706"/>
                <a:pt x="9819269" y="1903115"/>
                <a:pt x="9819269" y="1883887"/>
              </a:cubicBezTo>
              <a:cubicBezTo>
                <a:pt x="9819269" y="1864660"/>
                <a:pt x="9834867" y="1849069"/>
                <a:pt x="9854095" y="1849069"/>
              </a:cubicBezTo>
              <a:cubicBezTo>
                <a:pt x="9873323" y="1849069"/>
                <a:pt x="9888907" y="1864660"/>
                <a:pt x="9888907" y="1883887"/>
              </a:cubicBezTo>
              <a:cubicBezTo>
                <a:pt x="9888907" y="1903115"/>
                <a:pt x="9873323" y="1918706"/>
                <a:pt x="9854095" y="1918706"/>
              </a:cubicBezTo>
              <a:close/>
              <a:moveTo>
                <a:pt x="9938988" y="1918706"/>
              </a:moveTo>
              <a:cubicBezTo>
                <a:pt x="9919760" y="1918706"/>
                <a:pt x="9904163" y="1903115"/>
                <a:pt x="9904163" y="1883887"/>
              </a:cubicBezTo>
              <a:cubicBezTo>
                <a:pt x="9904163" y="1864660"/>
                <a:pt x="9919760" y="1849069"/>
                <a:pt x="9938988" y="1849069"/>
              </a:cubicBezTo>
              <a:cubicBezTo>
                <a:pt x="9958216" y="1849069"/>
                <a:pt x="9973800" y="1864660"/>
                <a:pt x="9973800" y="1883887"/>
              </a:cubicBezTo>
              <a:cubicBezTo>
                <a:pt x="9973800" y="1903115"/>
                <a:pt x="9958216" y="1918706"/>
                <a:pt x="9938988" y="1918706"/>
              </a:cubicBezTo>
              <a:close/>
              <a:moveTo>
                <a:pt x="10023880" y="1918706"/>
              </a:moveTo>
              <a:cubicBezTo>
                <a:pt x="10004653" y="1918706"/>
                <a:pt x="9989055" y="1903115"/>
                <a:pt x="9989055" y="1883887"/>
              </a:cubicBezTo>
              <a:cubicBezTo>
                <a:pt x="9989055" y="1864660"/>
                <a:pt x="10004653" y="1849069"/>
                <a:pt x="10023880" y="1849069"/>
              </a:cubicBezTo>
              <a:cubicBezTo>
                <a:pt x="10043108" y="1849069"/>
                <a:pt x="10058693" y="1864660"/>
                <a:pt x="10058693" y="1883887"/>
              </a:cubicBezTo>
              <a:cubicBezTo>
                <a:pt x="10058693" y="1903115"/>
                <a:pt x="10043108" y="1918706"/>
                <a:pt x="10023880" y="1918706"/>
              </a:cubicBezTo>
              <a:close/>
              <a:moveTo>
                <a:pt x="10108773" y="1918706"/>
              </a:moveTo>
              <a:cubicBezTo>
                <a:pt x="10089545" y="1918706"/>
                <a:pt x="10073947" y="1903115"/>
                <a:pt x="10073947" y="1883887"/>
              </a:cubicBezTo>
              <a:cubicBezTo>
                <a:pt x="10073947" y="1864660"/>
                <a:pt x="10089545" y="1849069"/>
                <a:pt x="10108773" y="1849069"/>
              </a:cubicBezTo>
              <a:cubicBezTo>
                <a:pt x="10128000" y="1849069"/>
                <a:pt x="10143585" y="1864660"/>
                <a:pt x="10143585" y="1883887"/>
              </a:cubicBezTo>
              <a:cubicBezTo>
                <a:pt x="10143585" y="1903115"/>
                <a:pt x="10128000" y="1918706"/>
                <a:pt x="10108773" y="1918706"/>
              </a:cubicBezTo>
              <a:close/>
              <a:moveTo>
                <a:pt x="10193665" y="1918706"/>
              </a:moveTo>
              <a:cubicBezTo>
                <a:pt x="10174437" y="1918706"/>
                <a:pt x="10158839" y="1903115"/>
                <a:pt x="10158839" y="1883887"/>
              </a:cubicBezTo>
              <a:cubicBezTo>
                <a:pt x="10158839" y="1864660"/>
                <a:pt x="10174437" y="1849069"/>
                <a:pt x="10193665" y="1849069"/>
              </a:cubicBezTo>
              <a:cubicBezTo>
                <a:pt x="10212893" y="1849069"/>
                <a:pt x="10228477" y="1864660"/>
                <a:pt x="10228477" y="1883887"/>
              </a:cubicBezTo>
              <a:cubicBezTo>
                <a:pt x="10228477" y="1903115"/>
                <a:pt x="10212893" y="1918706"/>
                <a:pt x="10193665" y="1918706"/>
              </a:cubicBezTo>
              <a:close/>
              <a:moveTo>
                <a:pt x="10278558" y="1918706"/>
              </a:moveTo>
              <a:cubicBezTo>
                <a:pt x="10259330" y="1918706"/>
                <a:pt x="10243733" y="1903115"/>
                <a:pt x="10243733" y="1883887"/>
              </a:cubicBezTo>
              <a:cubicBezTo>
                <a:pt x="10243733" y="1864660"/>
                <a:pt x="10259330" y="1849069"/>
                <a:pt x="10278558" y="1849069"/>
              </a:cubicBezTo>
              <a:cubicBezTo>
                <a:pt x="10297786" y="1849069"/>
                <a:pt x="10313370" y="1864660"/>
                <a:pt x="10313370" y="1883887"/>
              </a:cubicBezTo>
              <a:cubicBezTo>
                <a:pt x="10313370" y="1903115"/>
                <a:pt x="10297786" y="1918706"/>
                <a:pt x="10278558" y="1918706"/>
              </a:cubicBezTo>
              <a:close/>
              <a:moveTo>
                <a:pt x="10363450" y="1918706"/>
              </a:moveTo>
              <a:cubicBezTo>
                <a:pt x="10344223" y="1918706"/>
                <a:pt x="10328625" y="1903115"/>
                <a:pt x="10328625" y="1883887"/>
              </a:cubicBezTo>
              <a:cubicBezTo>
                <a:pt x="10328625" y="1864660"/>
                <a:pt x="10344223" y="1849069"/>
                <a:pt x="10363450" y="1849069"/>
              </a:cubicBezTo>
              <a:cubicBezTo>
                <a:pt x="10382678" y="1849069"/>
                <a:pt x="10398263" y="1864660"/>
                <a:pt x="10398263" y="1883887"/>
              </a:cubicBezTo>
              <a:cubicBezTo>
                <a:pt x="10398263" y="1903115"/>
                <a:pt x="10382678" y="1918706"/>
                <a:pt x="10363450" y="1918706"/>
              </a:cubicBezTo>
              <a:close/>
              <a:moveTo>
                <a:pt x="10448343" y="1918706"/>
              </a:moveTo>
              <a:cubicBezTo>
                <a:pt x="10429115" y="1918706"/>
                <a:pt x="10413517" y="1903115"/>
                <a:pt x="10413517" y="1883887"/>
              </a:cubicBezTo>
              <a:cubicBezTo>
                <a:pt x="10413517" y="1864660"/>
                <a:pt x="10429115" y="1849069"/>
                <a:pt x="10448343" y="1849069"/>
              </a:cubicBezTo>
              <a:cubicBezTo>
                <a:pt x="10467570" y="1849069"/>
                <a:pt x="10483155" y="1864660"/>
                <a:pt x="10483155" y="1883887"/>
              </a:cubicBezTo>
              <a:cubicBezTo>
                <a:pt x="10483155" y="1903115"/>
                <a:pt x="10467570" y="1918706"/>
                <a:pt x="10448343" y="1918706"/>
              </a:cubicBezTo>
              <a:close/>
              <a:moveTo>
                <a:pt x="3741833" y="1833846"/>
              </a:moveTo>
              <a:cubicBezTo>
                <a:pt x="3722606" y="1833846"/>
                <a:pt x="3707014" y="1818255"/>
                <a:pt x="3707014" y="1799028"/>
              </a:cubicBezTo>
              <a:cubicBezTo>
                <a:pt x="3707014" y="1779800"/>
                <a:pt x="3722606" y="1764209"/>
                <a:pt x="3741833" y="1764209"/>
              </a:cubicBezTo>
              <a:cubicBezTo>
                <a:pt x="3761061" y="1764209"/>
                <a:pt x="3776652" y="1779800"/>
                <a:pt x="3776652" y="1799028"/>
              </a:cubicBezTo>
              <a:cubicBezTo>
                <a:pt x="3776652" y="1818255"/>
                <a:pt x="3761061" y="1833846"/>
                <a:pt x="3741833" y="1833846"/>
              </a:cubicBezTo>
              <a:close/>
              <a:moveTo>
                <a:pt x="3826726" y="1833846"/>
              </a:moveTo>
              <a:cubicBezTo>
                <a:pt x="3807498" y="1833846"/>
                <a:pt x="3791907" y="1818255"/>
                <a:pt x="3791907" y="1799028"/>
              </a:cubicBezTo>
              <a:cubicBezTo>
                <a:pt x="3791907" y="1779800"/>
                <a:pt x="3807498" y="1764209"/>
                <a:pt x="3826726" y="1764209"/>
              </a:cubicBezTo>
              <a:cubicBezTo>
                <a:pt x="3845953" y="1764209"/>
                <a:pt x="3861544" y="1779800"/>
                <a:pt x="3861544" y="1799028"/>
              </a:cubicBezTo>
              <a:cubicBezTo>
                <a:pt x="3861544" y="1818255"/>
                <a:pt x="3845953" y="1833846"/>
                <a:pt x="3826726" y="1833846"/>
              </a:cubicBezTo>
              <a:close/>
              <a:moveTo>
                <a:pt x="3911618" y="1833846"/>
              </a:moveTo>
              <a:cubicBezTo>
                <a:pt x="3892390" y="1833846"/>
                <a:pt x="3876799" y="1818255"/>
                <a:pt x="3876799" y="1799028"/>
              </a:cubicBezTo>
              <a:cubicBezTo>
                <a:pt x="3876799" y="1779800"/>
                <a:pt x="3892390" y="1764209"/>
                <a:pt x="3911618" y="1764209"/>
              </a:cubicBezTo>
              <a:cubicBezTo>
                <a:pt x="3930846" y="1764209"/>
                <a:pt x="3946437" y="1779800"/>
                <a:pt x="3946437" y="1799028"/>
              </a:cubicBezTo>
              <a:cubicBezTo>
                <a:pt x="3946437" y="1818255"/>
                <a:pt x="3930846" y="1833846"/>
                <a:pt x="3911618" y="1833846"/>
              </a:cubicBezTo>
              <a:close/>
              <a:moveTo>
                <a:pt x="3996511" y="1833846"/>
              </a:moveTo>
              <a:cubicBezTo>
                <a:pt x="3977283" y="1833846"/>
                <a:pt x="3961692" y="1818255"/>
                <a:pt x="3961692" y="1799028"/>
              </a:cubicBezTo>
              <a:cubicBezTo>
                <a:pt x="3961692" y="1779800"/>
                <a:pt x="3977283" y="1764209"/>
                <a:pt x="3996511" y="1764209"/>
              </a:cubicBezTo>
              <a:cubicBezTo>
                <a:pt x="4015739" y="1764209"/>
                <a:pt x="4031330" y="1779800"/>
                <a:pt x="4031330" y="1799028"/>
              </a:cubicBezTo>
              <a:cubicBezTo>
                <a:pt x="4031330" y="1818255"/>
                <a:pt x="4015739" y="1833846"/>
                <a:pt x="3996511" y="1833846"/>
              </a:cubicBezTo>
              <a:close/>
              <a:moveTo>
                <a:pt x="4081403" y="1833846"/>
              </a:moveTo>
              <a:cubicBezTo>
                <a:pt x="4062176" y="1833846"/>
                <a:pt x="4046584" y="1818255"/>
                <a:pt x="4046584" y="1799028"/>
              </a:cubicBezTo>
              <a:cubicBezTo>
                <a:pt x="4046584" y="1779800"/>
                <a:pt x="4062176" y="1764209"/>
                <a:pt x="4081403" y="1764209"/>
              </a:cubicBezTo>
              <a:cubicBezTo>
                <a:pt x="4100631" y="1764209"/>
                <a:pt x="4116222" y="1779800"/>
                <a:pt x="4116222" y="1799028"/>
              </a:cubicBezTo>
              <a:cubicBezTo>
                <a:pt x="4116222" y="1818255"/>
                <a:pt x="4100631" y="1833846"/>
                <a:pt x="4081403" y="1833846"/>
              </a:cubicBezTo>
              <a:close/>
              <a:moveTo>
                <a:pt x="4166296" y="1833846"/>
              </a:moveTo>
              <a:cubicBezTo>
                <a:pt x="4147068" y="1833846"/>
                <a:pt x="4131477" y="1818255"/>
                <a:pt x="4131477" y="1799028"/>
              </a:cubicBezTo>
              <a:cubicBezTo>
                <a:pt x="4131477" y="1779800"/>
                <a:pt x="4147068" y="1764209"/>
                <a:pt x="4166296" y="1764209"/>
              </a:cubicBezTo>
              <a:cubicBezTo>
                <a:pt x="4185523" y="1764209"/>
                <a:pt x="4201114" y="1779800"/>
                <a:pt x="4201114" y="1799028"/>
              </a:cubicBezTo>
              <a:cubicBezTo>
                <a:pt x="4201114" y="1818255"/>
                <a:pt x="4185523" y="1833846"/>
                <a:pt x="4166296" y="1833846"/>
              </a:cubicBezTo>
              <a:close/>
              <a:moveTo>
                <a:pt x="4251188" y="1833846"/>
              </a:moveTo>
              <a:cubicBezTo>
                <a:pt x="4231960" y="1833846"/>
                <a:pt x="4216369" y="1818255"/>
                <a:pt x="4216369" y="1799028"/>
              </a:cubicBezTo>
              <a:cubicBezTo>
                <a:pt x="4216369" y="1779800"/>
                <a:pt x="4231960" y="1764209"/>
                <a:pt x="4251188" y="1764209"/>
              </a:cubicBezTo>
              <a:cubicBezTo>
                <a:pt x="4270416" y="1764209"/>
                <a:pt x="4286007" y="1779800"/>
                <a:pt x="4286007" y="1799028"/>
              </a:cubicBezTo>
              <a:cubicBezTo>
                <a:pt x="4286007" y="1818255"/>
                <a:pt x="4270416" y="1833846"/>
                <a:pt x="4251188" y="1833846"/>
              </a:cubicBezTo>
              <a:close/>
              <a:moveTo>
                <a:pt x="4336080" y="1833846"/>
              </a:moveTo>
              <a:cubicBezTo>
                <a:pt x="4316852" y="1833846"/>
                <a:pt x="4301261" y="1818255"/>
                <a:pt x="4301261" y="1799028"/>
              </a:cubicBezTo>
              <a:cubicBezTo>
                <a:pt x="4301261" y="1779800"/>
                <a:pt x="4316852" y="1764209"/>
                <a:pt x="4336080" y="1764209"/>
              </a:cubicBezTo>
              <a:cubicBezTo>
                <a:pt x="4355308" y="1764209"/>
                <a:pt x="4370899" y="1779800"/>
                <a:pt x="4370899" y="1799028"/>
              </a:cubicBezTo>
              <a:cubicBezTo>
                <a:pt x="4370899" y="1818255"/>
                <a:pt x="4355308" y="1833846"/>
                <a:pt x="4336080" y="1833846"/>
              </a:cubicBezTo>
              <a:close/>
              <a:moveTo>
                <a:pt x="4420973" y="1833846"/>
              </a:moveTo>
              <a:cubicBezTo>
                <a:pt x="4401746" y="1833846"/>
                <a:pt x="4386154" y="1818255"/>
                <a:pt x="4386154" y="1799028"/>
              </a:cubicBezTo>
              <a:cubicBezTo>
                <a:pt x="4386154" y="1779800"/>
                <a:pt x="4401746" y="1764209"/>
                <a:pt x="4420973" y="1764209"/>
              </a:cubicBezTo>
              <a:cubicBezTo>
                <a:pt x="4440201" y="1764209"/>
                <a:pt x="4455792" y="1779800"/>
                <a:pt x="4455792" y="1799028"/>
              </a:cubicBezTo>
              <a:cubicBezTo>
                <a:pt x="4455792" y="1818255"/>
                <a:pt x="4440201" y="1833846"/>
                <a:pt x="4420973" y="1833846"/>
              </a:cubicBezTo>
              <a:close/>
              <a:moveTo>
                <a:pt x="6373504" y="1833846"/>
              </a:moveTo>
              <a:cubicBezTo>
                <a:pt x="6354276" y="1833846"/>
                <a:pt x="6338678" y="1818255"/>
                <a:pt x="6338678" y="1799028"/>
              </a:cubicBezTo>
              <a:cubicBezTo>
                <a:pt x="6338678" y="1779800"/>
                <a:pt x="6354276" y="1764209"/>
                <a:pt x="6373504" y="1764209"/>
              </a:cubicBezTo>
              <a:cubicBezTo>
                <a:pt x="6392731" y="1764209"/>
                <a:pt x="6408316" y="1779800"/>
                <a:pt x="6408316" y="1799028"/>
              </a:cubicBezTo>
              <a:cubicBezTo>
                <a:pt x="6408316" y="1818255"/>
                <a:pt x="6392731" y="1833846"/>
                <a:pt x="6373504" y="1833846"/>
              </a:cubicBezTo>
              <a:close/>
              <a:moveTo>
                <a:pt x="6458396" y="1833846"/>
              </a:moveTo>
              <a:cubicBezTo>
                <a:pt x="6439168" y="1833846"/>
                <a:pt x="6423570" y="1818255"/>
                <a:pt x="6423570" y="1799028"/>
              </a:cubicBezTo>
              <a:cubicBezTo>
                <a:pt x="6423570" y="1779800"/>
                <a:pt x="6439168" y="1764209"/>
                <a:pt x="6458396" y="1764209"/>
              </a:cubicBezTo>
              <a:cubicBezTo>
                <a:pt x="6477624" y="1764209"/>
                <a:pt x="6493208" y="1779800"/>
                <a:pt x="6493208" y="1799028"/>
              </a:cubicBezTo>
              <a:cubicBezTo>
                <a:pt x="6493208" y="1818255"/>
                <a:pt x="6477624" y="1833846"/>
                <a:pt x="6458396" y="1833846"/>
              </a:cubicBezTo>
              <a:close/>
              <a:moveTo>
                <a:pt x="6543288" y="1833846"/>
              </a:moveTo>
              <a:cubicBezTo>
                <a:pt x="6524060" y="1833846"/>
                <a:pt x="6508463" y="1818255"/>
                <a:pt x="6508463" y="1799028"/>
              </a:cubicBezTo>
              <a:cubicBezTo>
                <a:pt x="6508463" y="1779800"/>
                <a:pt x="6524060" y="1764209"/>
                <a:pt x="6543288" y="1764209"/>
              </a:cubicBezTo>
              <a:cubicBezTo>
                <a:pt x="6562516" y="1764209"/>
                <a:pt x="6578100" y="1779800"/>
                <a:pt x="6578100" y="1799028"/>
              </a:cubicBezTo>
              <a:cubicBezTo>
                <a:pt x="6578100" y="1818255"/>
                <a:pt x="6562516" y="1833846"/>
                <a:pt x="6543288" y="1833846"/>
              </a:cubicBezTo>
              <a:close/>
              <a:moveTo>
                <a:pt x="6628181" y="1833846"/>
              </a:moveTo>
              <a:cubicBezTo>
                <a:pt x="6608954" y="1833846"/>
                <a:pt x="6593356" y="1818255"/>
                <a:pt x="6593356" y="1799028"/>
              </a:cubicBezTo>
              <a:cubicBezTo>
                <a:pt x="6593356" y="1779800"/>
                <a:pt x="6608954" y="1764209"/>
                <a:pt x="6628181" y="1764209"/>
              </a:cubicBezTo>
              <a:cubicBezTo>
                <a:pt x="6647409" y="1764209"/>
                <a:pt x="6662994" y="1779800"/>
                <a:pt x="6662994" y="1799028"/>
              </a:cubicBezTo>
              <a:cubicBezTo>
                <a:pt x="6662994" y="1818255"/>
                <a:pt x="6647409" y="1833846"/>
                <a:pt x="6628181" y="1833846"/>
              </a:cubicBezTo>
              <a:close/>
              <a:moveTo>
                <a:pt x="6713074" y="1833846"/>
              </a:moveTo>
              <a:cubicBezTo>
                <a:pt x="6693846" y="1833846"/>
                <a:pt x="6678248" y="1818255"/>
                <a:pt x="6678248" y="1799028"/>
              </a:cubicBezTo>
              <a:cubicBezTo>
                <a:pt x="6678248" y="1779800"/>
                <a:pt x="6693846" y="1764209"/>
                <a:pt x="6713074" y="1764209"/>
              </a:cubicBezTo>
              <a:cubicBezTo>
                <a:pt x="6732301" y="1764209"/>
                <a:pt x="6747886" y="1779800"/>
                <a:pt x="6747886" y="1799028"/>
              </a:cubicBezTo>
              <a:cubicBezTo>
                <a:pt x="6747886" y="1818255"/>
                <a:pt x="6732301" y="1833846"/>
                <a:pt x="6713074" y="1833846"/>
              </a:cubicBezTo>
              <a:close/>
              <a:moveTo>
                <a:pt x="6797966" y="1833846"/>
              </a:moveTo>
              <a:cubicBezTo>
                <a:pt x="6778738" y="1833846"/>
                <a:pt x="6763140" y="1818255"/>
                <a:pt x="6763140" y="1799028"/>
              </a:cubicBezTo>
              <a:cubicBezTo>
                <a:pt x="6763140" y="1779800"/>
                <a:pt x="6778738" y="1764209"/>
                <a:pt x="6797966" y="1764209"/>
              </a:cubicBezTo>
              <a:cubicBezTo>
                <a:pt x="6817194" y="1764209"/>
                <a:pt x="6832778" y="1779800"/>
                <a:pt x="6832778" y="1799028"/>
              </a:cubicBezTo>
              <a:cubicBezTo>
                <a:pt x="6832778" y="1818255"/>
                <a:pt x="6817194" y="1833846"/>
                <a:pt x="6797966" y="1833846"/>
              </a:cubicBezTo>
              <a:close/>
              <a:moveTo>
                <a:pt x="6882858" y="1833846"/>
              </a:moveTo>
              <a:cubicBezTo>
                <a:pt x="6863630" y="1833846"/>
                <a:pt x="6848033" y="1818255"/>
                <a:pt x="6848033" y="1799028"/>
              </a:cubicBezTo>
              <a:cubicBezTo>
                <a:pt x="6848033" y="1779800"/>
                <a:pt x="6863630" y="1764209"/>
                <a:pt x="6882858" y="1764209"/>
              </a:cubicBezTo>
              <a:cubicBezTo>
                <a:pt x="6902086" y="1764209"/>
                <a:pt x="6917670" y="1779800"/>
                <a:pt x="6917670" y="1799028"/>
              </a:cubicBezTo>
              <a:cubicBezTo>
                <a:pt x="6917670" y="1818255"/>
                <a:pt x="6902086" y="1833846"/>
                <a:pt x="6882858" y="1833846"/>
              </a:cubicBezTo>
              <a:close/>
              <a:moveTo>
                <a:pt x="7222428" y="1833846"/>
              </a:moveTo>
              <a:cubicBezTo>
                <a:pt x="7203200" y="1833846"/>
                <a:pt x="7187603" y="1818255"/>
                <a:pt x="7187603" y="1799028"/>
              </a:cubicBezTo>
              <a:cubicBezTo>
                <a:pt x="7187603" y="1779800"/>
                <a:pt x="7203200" y="1764209"/>
                <a:pt x="7222428" y="1764209"/>
              </a:cubicBezTo>
              <a:cubicBezTo>
                <a:pt x="7241656" y="1764209"/>
                <a:pt x="7257240" y="1779800"/>
                <a:pt x="7257240" y="1799028"/>
              </a:cubicBezTo>
              <a:cubicBezTo>
                <a:pt x="7257240" y="1818255"/>
                <a:pt x="7241656" y="1833846"/>
                <a:pt x="7222428" y="1833846"/>
              </a:cubicBezTo>
              <a:close/>
              <a:moveTo>
                <a:pt x="7307320" y="1833846"/>
              </a:moveTo>
              <a:cubicBezTo>
                <a:pt x="7288093" y="1833846"/>
                <a:pt x="7272495" y="1818255"/>
                <a:pt x="7272495" y="1799028"/>
              </a:cubicBezTo>
              <a:cubicBezTo>
                <a:pt x="7272495" y="1779800"/>
                <a:pt x="7288093" y="1764209"/>
                <a:pt x="7307320" y="1764209"/>
              </a:cubicBezTo>
              <a:cubicBezTo>
                <a:pt x="7326548" y="1764209"/>
                <a:pt x="7342133" y="1779800"/>
                <a:pt x="7342133" y="1799028"/>
              </a:cubicBezTo>
              <a:cubicBezTo>
                <a:pt x="7342133" y="1818255"/>
                <a:pt x="7326548" y="1833846"/>
                <a:pt x="7307320" y="1833846"/>
              </a:cubicBezTo>
              <a:close/>
              <a:moveTo>
                <a:pt x="9514525" y="1833846"/>
              </a:moveTo>
              <a:cubicBezTo>
                <a:pt x="9495297" y="1833846"/>
                <a:pt x="9479699" y="1818255"/>
                <a:pt x="9479699" y="1799028"/>
              </a:cubicBezTo>
              <a:cubicBezTo>
                <a:pt x="9479699" y="1779800"/>
                <a:pt x="9495297" y="1764209"/>
                <a:pt x="9514525" y="1764209"/>
              </a:cubicBezTo>
              <a:cubicBezTo>
                <a:pt x="9533753" y="1764209"/>
                <a:pt x="9549337" y="1779800"/>
                <a:pt x="9549337" y="1799028"/>
              </a:cubicBezTo>
              <a:cubicBezTo>
                <a:pt x="9549337" y="1818255"/>
                <a:pt x="9533753" y="1833846"/>
                <a:pt x="9514525" y="1833846"/>
              </a:cubicBezTo>
              <a:close/>
              <a:moveTo>
                <a:pt x="9599418" y="1833846"/>
              </a:moveTo>
              <a:cubicBezTo>
                <a:pt x="9580190" y="1833846"/>
                <a:pt x="9564593" y="1818255"/>
                <a:pt x="9564593" y="1799028"/>
              </a:cubicBezTo>
              <a:cubicBezTo>
                <a:pt x="9564593" y="1779800"/>
                <a:pt x="9580190" y="1764209"/>
                <a:pt x="9599418" y="1764209"/>
              </a:cubicBezTo>
              <a:cubicBezTo>
                <a:pt x="9618646" y="1764209"/>
                <a:pt x="9634230" y="1779800"/>
                <a:pt x="9634230" y="1799028"/>
              </a:cubicBezTo>
              <a:cubicBezTo>
                <a:pt x="9634230" y="1818255"/>
                <a:pt x="9618646" y="1833846"/>
                <a:pt x="9599418" y="1833846"/>
              </a:cubicBezTo>
              <a:close/>
              <a:moveTo>
                <a:pt x="9684310" y="1833846"/>
              </a:moveTo>
              <a:cubicBezTo>
                <a:pt x="9665083" y="1833846"/>
                <a:pt x="9649485" y="1818255"/>
                <a:pt x="9649485" y="1799028"/>
              </a:cubicBezTo>
              <a:cubicBezTo>
                <a:pt x="9649485" y="1779800"/>
                <a:pt x="9665083" y="1764209"/>
                <a:pt x="9684310" y="1764209"/>
              </a:cubicBezTo>
              <a:cubicBezTo>
                <a:pt x="9703538" y="1764209"/>
                <a:pt x="9719123" y="1779800"/>
                <a:pt x="9719123" y="1799028"/>
              </a:cubicBezTo>
              <a:cubicBezTo>
                <a:pt x="9719123" y="1818255"/>
                <a:pt x="9703538" y="1833846"/>
                <a:pt x="9684310" y="1833846"/>
              </a:cubicBezTo>
              <a:close/>
              <a:moveTo>
                <a:pt x="9769203" y="1833846"/>
              </a:moveTo>
              <a:cubicBezTo>
                <a:pt x="9749975" y="1833846"/>
                <a:pt x="9734377" y="1818255"/>
                <a:pt x="9734377" y="1799028"/>
              </a:cubicBezTo>
              <a:cubicBezTo>
                <a:pt x="9734377" y="1779800"/>
                <a:pt x="9749975" y="1764209"/>
                <a:pt x="9769203" y="1764209"/>
              </a:cubicBezTo>
              <a:cubicBezTo>
                <a:pt x="9788430" y="1764209"/>
                <a:pt x="9804015" y="1779800"/>
                <a:pt x="9804015" y="1799028"/>
              </a:cubicBezTo>
              <a:cubicBezTo>
                <a:pt x="9804015" y="1818255"/>
                <a:pt x="9788430" y="1833846"/>
                <a:pt x="9769203" y="1833846"/>
              </a:cubicBezTo>
              <a:close/>
              <a:moveTo>
                <a:pt x="9854095" y="1833846"/>
              </a:moveTo>
              <a:cubicBezTo>
                <a:pt x="9834867" y="1833846"/>
                <a:pt x="9819269" y="1818255"/>
                <a:pt x="9819269" y="1799028"/>
              </a:cubicBezTo>
              <a:cubicBezTo>
                <a:pt x="9819269" y="1779800"/>
                <a:pt x="9834867" y="1764209"/>
                <a:pt x="9854095" y="1764209"/>
              </a:cubicBezTo>
              <a:cubicBezTo>
                <a:pt x="9873323" y="1764209"/>
                <a:pt x="9888907" y="1779800"/>
                <a:pt x="9888907" y="1799028"/>
              </a:cubicBezTo>
              <a:cubicBezTo>
                <a:pt x="9888907" y="1818255"/>
                <a:pt x="9873323" y="1833846"/>
                <a:pt x="9854095" y="1833846"/>
              </a:cubicBezTo>
              <a:close/>
              <a:moveTo>
                <a:pt x="9938988" y="1833846"/>
              </a:moveTo>
              <a:cubicBezTo>
                <a:pt x="9919760" y="1833846"/>
                <a:pt x="9904163" y="1818255"/>
                <a:pt x="9904163" y="1799028"/>
              </a:cubicBezTo>
              <a:cubicBezTo>
                <a:pt x="9904163" y="1779800"/>
                <a:pt x="9919760" y="1764209"/>
                <a:pt x="9938988" y="1764209"/>
              </a:cubicBezTo>
              <a:cubicBezTo>
                <a:pt x="9958216" y="1764209"/>
                <a:pt x="9973800" y="1779800"/>
                <a:pt x="9973800" y="1799028"/>
              </a:cubicBezTo>
              <a:cubicBezTo>
                <a:pt x="9973800" y="1818255"/>
                <a:pt x="9958216" y="1833846"/>
                <a:pt x="9938988" y="1833846"/>
              </a:cubicBezTo>
              <a:close/>
              <a:moveTo>
                <a:pt x="10023880" y="1833846"/>
              </a:moveTo>
              <a:cubicBezTo>
                <a:pt x="10004653" y="1833846"/>
                <a:pt x="9989055" y="1818255"/>
                <a:pt x="9989055" y="1799028"/>
              </a:cubicBezTo>
              <a:cubicBezTo>
                <a:pt x="9989055" y="1779800"/>
                <a:pt x="10004653" y="1764209"/>
                <a:pt x="10023880" y="1764209"/>
              </a:cubicBezTo>
              <a:cubicBezTo>
                <a:pt x="10043108" y="1764209"/>
                <a:pt x="10058693" y="1779800"/>
                <a:pt x="10058693" y="1799028"/>
              </a:cubicBezTo>
              <a:cubicBezTo>
                <a:pt x="10058693" y="1818255"/>
                <a:pt x="10043108" y="1833846"/>
                <a:pt x="10023880" y="1833846"/>
              </a:cubicBezTo>
              <a:close/>
              <a:moveTo>
                <a:pt x="10108773" y="1833846"/>
              </a:moveTo>
              <a:cubicBezTo>
                <a:pt x="10089545" y="1833846"/>
                <a:pt x="10073947" y="1818255"/>
                <a:pt x="10073947" y="1799028"/>
              </a:cubicBezTo>
              <a:cubicBezTo>
                <a:pt x="10073947" y="1779800"/>
                <a:pt x="10089545" y="1764209"/>
                <a:pt x="10108773" y="1764209"/>
              </a:cubicBezTo>
              <a:cubicBezTo>
                <a:pt x="10128000" y="1764209"/>
                <a:pt x="10143585" y="1779800"/>
                <a:pt x="10143585" y="1799028"/>
              </a:cubicBezTo>
              <a:cubicBezTo>
                <a:pt x="10143585" y="1818255"/>
                <a:pt x="10128000" y="1833846"/>
                <a:pt x="10108773" y="1833846"/>
              </a:cubicBezTo>
              <a:close/>
              <a:moveTo>
                <a:pt x="10193665" y="1833846"/>
              </a:moveTo>
              <a:cubicBezTo>
                <a:pt x="10174437" y="1833846"/>
                <a:pt x="10158839" y="1818255"/>
                <a:pt x="10158839" y="1799028"/>
              </a:cubicBezTo>
              <a:cubicBezTo>
                <a:pt x="10158839" y="1779800"/>
                <a:pt x="10174437" y="1764209"/>
                <a:pt x="10193665" y="1764209"/>
              </a:cubicBezTo>
              <a:cubicBezTo>
                <a:pt x="10212893" y="1764209"/>
                <a:pt x="10228477" y="1779800"/>
                <a:pt x="10228477" y="1799028"/>
              </a:cubicBezTo>
              <a:cubicBezTo>
                <a:pt x="10228477" y="1818255"/>
                <a:pt x="10212893" y="1833846"/>
                <a:pt x="10193665" y="1833846"/>
              </a:cubicBezTo>
              <a:close/>
              <a:moveTo>
                <a:pt x="10278558" y="1833846"/>
              </a:moveTo>
              <a:cubicBezTo>
                <a:pt x="10259330" y="1833846"/>
                <a:pt x="10243733" y="1818255"/>
                <a:pt x="10243733" y="1799028"/>
              </a:cubicBezTo>
              <a:cubicBezTo>
                <a:pt x="10243733" y="1779800"/>
                <a:pt x="10259330" y="1764209"/>
                <a:pt x="10278558" y="1764209"/>
              </a:cubicBezTo>
              <a:cubicBezTo>
                <a:pt x="10297786" y="1764209"/>
                <a:pt x="10313370" y="1779800"/>
                <a:pt x="10313370" y="1799028"/>
              </a:cubicBezTo>
              <a:cubicBezTo>
                <a:pt x="10313370" y="1818255"/>
                <a:pt x="10297786" y="1833846"/>
                <a:pt x="10278558" y="1833846"/>
              </a:cubicBezTo>
              <a:close/>
              <a:moveTo>
                <a:pt x="10363450" y="1833846"/>
              </a:moveTo>
              <a:cubicBezTo>
                <a:pt x="10344223" y="1833846"/>
                <a:pt x="10328625" y="1818255"/>
                <a:pt x="10328625" y="1799028"/>
              </a:cubicBezTo>
              <a:cubicBezTo>
                <a:pt x="10328625" y="1779800"/>
                <a:pt x="10344223" y="1764209"/>
                <a:pt x="10363450" y="1764209"/>
              </a:cubicBezTo>
              <a:cubicBezTo>
                <a:pt x="10382678" y="1764209"/>
                <a:pt x="10398263" y="1779800"/>
                <a:pt x="10398263" y="1799028"/>
              </a:cubicBezTo>
              <a:cubicBezTo>
                <a:pt x="10398263" y="1818255"/>
                <a:pt x="10382678" y="1833846"/>
                <a:pt x="10363450" y="1833846"/>
              </a:cubicBezTo>
              <a:close/>
              <a:moveTo>
                <a:pt x="10448343" y="1833846"/>
              </a:moveTo>
              <a:cubicBezTo>
                <a:pt x="10429115" y="1833846"/>
                <a:pt x="10413517" y="1818255"/>
                <a:pt x="10413517" y="1799028"/>
              </a:cubicBezTo>
              <a:cubicBezTo>
                <a:pt x="10413517" y="1779800"/>
                <a:pt x="10429115" y="1764209"/>
                <a:pt x="10448343" y="1764209"/>
              </a:cubicBezTo>
              <a:cubicBezTo>
                <a:pt x="10467570" y="1764209"/>
                <a:pt x="10483155" y="1779800"/>
                <a:pt x="10483155" y="1799028"/>
              </a:cubicBezTo>
              <a:cubicBezTo>
                <a:pt x="10483155" y="1818255"/>
                <a:pt x="10467570" y="1833846"/>
                <a:pt x="10448343" y="1833846"/>
              </a:cubicBezTo>
              <a:close/>
              <a:moveTo>
                <a:pt x="11042590" y="1833846"/>
              </a:moveTo>
              <a:cubicBezTo>
                <a:pt x="11023363" y="1833846"/>
                <a:pt x="11007765" y="1818255"/>
                <a:pt x="11007765" y="1799028"/>
              </a:cubicBezTo>
              <a:cubicBezTo>
                <a:pt x="11007765" y="1779800"/>
                <a:pt x="11023363" y="1764209"/>
                <a:pt x="11042590" y="1764209"/>
              </a:cubicBezTo>
              <a:cubicBezTo>
                <a:pt x="11061818" y="1764209"/>
                <a:pt x="11077403" y="1779800"/>
                <a:pt x="11077403" y="1799028"/>
              </a:cubicBezTo>
              <a:cubicBezTo>
                <a:pt x="11077403" y="1818255"/>
                <a:pt x="11061818" y="1833846"/>
                <a:pt x="11042590" y="1833846"/>
              </a:cubicBezTo>
              <a:close/>
              <a:moveTo>
                <a:pt x="3741833" y="1748986"/>
              </a:moveTo>
              <a:cubicBezTo>
                <a:pt x="3722606" y="1748986"/>
                <a:pt x="3707014" y="1733395"/>
                <a:pt x="3707014" y="1714167"/>
              </a:cubicBezTo>
              <a:cubicBezTo>
                <a:pt x="3707014" y="1694939"/>
                <a:pt x="3722606" y="1679348"/>
                <a:pt x="3741833" y="1679348"/>
              </a:cubicBezTo>
              <a:cubicBezTo>
                <a:pt x="3761061" y="1679348"/>
                <a:pt x="3776652" y="1694939"/>
                <a:pt x="3776652" y="1714167"/>
              </a:cubicBezTo>
              <a:cubicBezTo>
                <a:pt x="3776652" y="1733395"/>
                <a:pt x="3761061" y="1748986"/>
                <a:pt x="3741833" y="1748986"/>
              </a:cubicBezTo>
              <a:close/>
              <a:moveTo>
                <a:pt x="3826726" y="1748986"/>
              </a:moveTo>
              <a:cubicBezTo>
                <a:pt x="3807498" y="1748986"/>
                <a:pt x="3791907" y="1733395"/>
                <a:pt x="3791907" y="1714167"/>
              </a:cubicBezTo>
              <a:cubicBezTo>
                <a:pt x="3791907" y="1694939"/>
                <a:pt x="3807498" y="1679348"/>
                <a:pt x="3826726" y="1679348"/>
              </a:cubicBezTo>
              <a:cubicBezTo>
                <a:pt x="3845953" y="1679348"/>
                <a:pt x="3861544" y="1694939"/>
                <a:pt x="3861544" y="1714167"/>
              </a:cubicBezTo>
              <a:cubicBezTo>
                <a:pt x="3861544" y="1733395"/>
                <a:pt x="3845953" y="1748986"/>
                <a:pt x="3826726" y="1748986"/>
              </a:cubicBezTo>
              <a:close/>
              <a:moveTo>
                <a:pt x="3911618" y="1748986"/>
              </a:moveTo>
              <a:cubicBezTo>
                <a:pt x="3892390" y="1748986"/>
                <a:pt x="3876799" y="1733395"/>
                <a:pt x="3876799" y="1714167"/>
              </a:cubicBezTo>
              <a:cubicBezTo>
                <a:pt x="3876799" y="1694939"/>
                <a:pt x="3892390" y="1679348"/>
                <a:pt x="3911618" y="1679348"/>
              </a:cubicBezTo>
              <a:cubicBezTo>
                <a:pt x="3930846" y="1679348"/>
                <a:pt x="3946437" y="1694939"/>
                <a:pt x="3946437" y="1714167"/>
              </a:cubicBezTo>
              <a:cubicBezTo>
                <a:pt x="3946437" y="1733395"/>
                <a:pt x="3930846" y="1748986"/>
                <a:pt x="3911618" y="1748986"/>
              </a:cubicBezTo>
              <a:close/>
              <a:moveTo>
                <a:pt x="3996511" y="1748986"/>
              </a:moveTo>
              <a:cubicBezTo>
                <a:pt x="3977283" y="1748986"/>
                <a:pt x="3961692" y="1733395"/>
                <a:pt x="3961692" y="1714167"/>
              </a:cubicBezTo>
              <a:cubicBezTo>
                <a:pt x="3961692" y="1694939"/>
                <a:pt x="3977283" y="1679348"/>
                <a:pt x="3996511" y="1679348"/>
              </a:cubicBezTo>
              <a:cubicBezTo>
                <a:pt x="4015739" y="1679348"/>
                <a:pt x="4031330" y="1694939"/>
                <a:pt x="4031330" y="1714167"/>
              </a:cubicBezTo>
              <a:cubicBezTo>
                <a:pt x="4031330" y="1733395"/>
                <a:pt x="4015739" y="1748986"/>
                <a:pt x="3996511" y="1748986"/>
              </a:cubicBezTo>
              <a:close/>
              <a:moveTo>
                <a:pt x="4081403" y="1748986"/>
              </a:moveTo>
              <a:cubicBezTo>
                <a:pt x="4062176" y="1748986"/>
                <a:pt x="4046584" y="1733395"/>
                <a:pt x="4046584" y="1714167"/>
              </a:cubicBezTo>
              <a:cubicBezTo>
                <a:pt x="4046584" y="1694939"/>
                <a:pt x="4062176" y="1679348"/>
                <a:pt x="4081403" y="1679348"/>
              </a:cubicBezTo>
              <a:cubicBezTo>
                <a:pt x="4100631" y="1679348"/>
                <a:pt x="4116222" y="1694939"/>
                <a:pt x="4116222" y="1714167"/>
              </a:cubicBezTo>
              <a:cubicBezTo>
                <a:pt x="4116222" y="1733395"/>
                <a:pt x="4100631" y="1748986"/>
                <a:pt x="4081403" y="1748986"/>
              </a:cubicBezTo>
              <a:close/>
              <a:moveTo>
                <a:pt x="4166296" y="1748986"/>
              </a:moveTo>
              <a:cubicBezTo>
                <a:pt x="4147068" y="1748986"/>
                <a:pt x="4131477" y="1733395"/>
                <a:pt x="4131477" y="1714167"/>
              </a:cubicBezTo>
              <a:cubicBezTo>
                <a:pt x="4131477" y="1694939"/>
                <a:pt x="4147068" y="1679348"/>
                <a:pt x="4166296" y="1679348"/>
              </a:cubicBezTo>
              <a:cubicBezTo>
                <a:pt x="4185523" y="1679348"/>
                <a:pt x="4201114" y="1694939"/>
                <a:pt x="4201114" y="1714167"/>
              </a:cubicBezTo>
              <a:cubicBezTo>
                <a:pt x="4201114" y="1733395"/>
                <a:pt x="4185523" y="1748986"/>
                <a:pt x="4166296" y="1748986"/>
              </a:cubicBezTo>
              <a:close/>
              <a:moveTo>
                <a:pt x="4251188" y="1748986"/>
              </a:moveTo>
              <a:cubicBezTo>
                <a:pt x="4231960" y="1748986"/>
                <a:pt x="4216369" y="1733395"/>
                <a:pt x="4216369" y="1714167"/>
              </a:cubicBezTo>
              <a:cubicBezTo>
                <a:pt x="4216369" y="1694939"/>
                <a:pt x="4231960" y="1679348"/>
                <a:pt x="4251188" y="1679348"/>
              </a:cubicBezTo>
              <a:cubicBezTo>
                <a:pt x="4270416" y="1679348"/>
                <a:pt x="4286007" y="1694939"/>
                <a:pt x="4286007" y="1714167"/>
              </a:cubicBezTo>
              <a:cubicBezTo>
                <a:pt x="4286007" y="1733395"/>
                <a:pt x="4270416" y="1748986"/>
                <a:pt x="4251188" y="1748986"/>
              </a:cubicBezTo>
              <a:close/>
              <a:moveTo>
                <a:pt x="4336080" y="1748986"/>
              </a:moveTo>
              <a:cubicBezTo>
                <a:pt x="4316852" y="1748986"/>
                <a:pt x="4301261" y="1733395"/>
                <a:pt x="4301261" y="1714167"/>
              </a:cubicBezTo>
              <a:cubicBezTo>
                <a:pt x="4301261" y="1694939"/>
                <a:pt x="4316852" y="1679348"/>
                <a:pt x="4336080" y="1679348"/>
              </a:cubicBezTo>
              <a:cubicBezTo>
                <a:pt x="4355308" y="1679348"/>
                <a:pt x="4370899" y="1694939"/>
                <a:pt x="4370899" y="1714167"/>
              </a:cubicBezTo>
              <a:cubicBezTo>
                <a:pt x="4370899" y="1733395"/>
                <a:pt x="4355308" y="1748986"/>
                <a:pt x="4336080" y="1748986"/>
              </a:cubicBezTo>
              <a:close/>
              <a:moveTo>
                <a:pt x="6373504" y="1748986"/>
              </a:moveTo>
              <a:cubicBezTo>
                <a:pt x="6354276" y="1748986"/>
                <a:pt x="6338678" y="1733395"/>
                <a:pt x="6338678" y="1714167"/>
              </a:cubicBezTo>
              <a:cubicBezTo>
                <a:pt x="6338678" y="1694939"/>
                <a:pt x="6354276" y="1679348"/>
                <a:pt x="6373504" y="1679348"/>
              </a:cubicBezTo>
              <a:cubicBezTo>
                <a:pt x="6392731" y="1679348"/>
                <a:pt x="6408316" y="1694939"/>
                <a:pt x="6408316" y="1714167"/>
              </a:cubicBezTo>
              <a:cubicBezTo>
                <a:pt x="6408316" y="1733395"/>
                <a:pt x="6392731" y="1748986"/>
                <a:pt x="6373504" y="1748986"/>
              </a:cubicBezTo>
              <a:close/>
              <a:moveTo>
                <a:pt x="6458396" y="1748986"/>
              </a:moveTo>
              <a:cubicBezTo>
                <a:pt x="6439168" y="1748986"/>
                <a:pt x="6423570" y="1733395"/>
                <a:pt x="6423570" y="1714167"/>
              </a:cubicBezTo>
              <a:cubicBezTo>
                <a:pt x="6423570" y="1694939"/>
                <a:pt x="6439168" y="1679348"/>
                <a:pt x="6458396" y="1679348"/>
              </a:cubicBezTo>
              <a:cubicBezTo>
                <a:pt x="6477624" y="1679348"/>
                <a:pt x="6493208" y="1694939"/>
                <a:pt x="6493208" y="1714167"/>
              </a:cubicBezTo>
              <a:cubicBezTo>
                <a:pt x="6493208" y="1733395"/>
                <a:pt x="6477624" y="1748986"/>
                <a:pt x="6458396" y="1748986"/>
              </a:cubicBezTo>
              <a:close/>
              <a:moveTo>
                <a:pt x="6543288" y="1748986"/>
              </a:moveTo>
              <a:cubicBezTo>
                <a:pt x="6524060" y="1748986"/>
                <a:pt x="6508463" y="1733395"/>
                <a:pt x="6508463" y="1714167"/>
              </a:cubicBezTo>
              <a:cubicBezTo>
                <a:pt x="6508463" y="1694939"/>
                <a:pt x="6524060" y="1679348"/>
                <a:pt x="6543288" y="1679348"/>
              </a:cubicBezTo>
              <a:cubicBezTo>
                <a:pt x="6562516" y="1679348"/>
                <a:pt x="6578100" y="1694939"/>
                <a:pt x="6578100" y="1714167"/>
              </a:cubicBezTo>
              <a:cubicBezTo>
                <a:pt x="6578100" y="1733395"/>
                <a:pt x="6562516" y="1748986"/>
                <a:pt x="6543288" y="1748986"/>
              </a:cubicBezTo>
              <a:close/>
              <a:moveTo>
                <a:pt x="6628181" y="1748986"/>
              </a:moveTo>
              <a:cubicBezTo>
                <a:pt x="6608954" y="1748986"/>
                <a:pt x="6593356" y="1733395"/>
                <a:pt x="6593356" y="1714167"/>
              </a:cubicBezTo>
              <a:cubicBezTo>
                <a:pt x="6593356" y="1694939"/>
                <a:pt x="6608954" y="1679348"/>
                <a:pt x="6628181" y="1679348"/>
              </a:cubicBezTo>
              <a:cubicBezTo>
                <a:pt x="6647409" y="1679348"/>
                <a:pt x="6662994" y="1694939"/>
                <a:pt x="6662994" y="1714167"/>
              </a:cubicBezTo>
              <a:cubicBezTo>
                <a:pt x="6662994" y="1733395"/>
                <a:pt x="6647409" y="1748986"/>
                <a:pt x="6628181" y="1748986"/>
              </a:cubicBezTo>
              <a:close/>
              <a:moveTo>
                <a:pt x="6713074" y="1748986"/>
              </a:moveTo>
              <a:cubicBezTo>
                <a:pt x="6693846" y="1748986"/>
                <a:pt x="6678248" y="1733395"/>
                <a:pt x="6678248" y="1714167"/>
              </a:cubicBezTo>
              <a:cubicBezTo>
                <a:pt x="6678248" y="1694939"/>
                <a:pt x="6693846" y="1679348"/>
                <a:pt x="6713074" y="1679348"/>
              </a:cubicBezTo>
              <a:cubicBezTo>
                <a:pt x="6732301" y="1679348"/>
                <a:pt x="6747886" y="1694939"/>
                <a:pt x="6747886" y="1714167"/>
              </a:cubicBezTo>
              <a:cubicBezTo>
                <a:pt x="6747886" y="1733395"/>
                <a:pt x="6732301" y="1748986"/>
                <a:pt x="6713074" y="1748986"/>
              </a:cubicBezTo>
              <a:close/>
              <a:moveTo>
                <a:pt x="6797966" y="1748986"/>
              </a:moveTo>
              <a:cubicBezTo>
                <a:pt x="6778738" y="1748986"/>
                <a:pt x="6763140" y="1733395"/>
                <a:pt x="6763140" y="1714167"/>
              </a:cubicBezTo>
              <a:cubicBezTo>
                <a:pt x="6763140" y="1694939"/>
                <a:pt x="6778738" y="1679348"/>
                <a:pt x="6797966" y="1679348"/>
              </a:cubicBezTo>
              <a:cubicBezTo>
                <a:pt x="6817194" y="1679348"/>
                <a:pt x="6832778" y="1694939"/>
                <a:pt x="6832778" y="1714167"/>
              </a:cubicBezTo>
              <a:cubicBezTo>
                <a:pt x="6832778" y="1733395"/>
                <a:pt x="6817194" y="1748986"/>
                <a:pt x="6797966" y="1748986"/>
              </a:cubicBezTo>
              <a:close/>
              <a:moveTo>
                <a:pt x="9429633" y="1748986"/>
              </a:moveTo>
              <a:cubicBezTo>
                <a:pt x="9410405" y="1748986"/>
                <a:pt x="9394807" y="1733395"/>
                <a:pt x="9394807" y="1714167"/>
              </a:cubicBezTo>
              <a:cubicBezTo>
                <a:pt x="9394807" y="1694939"/>
                <a:pt x="9410405" y="1679348"/>
                <a:pt x="9429633" y="1679348"/>
              </a:cubicBezTo>
              <a:cubicBezTo>
                <a:pt x="9448860" y="1679348"/>
                <a:pt x="9464445" y="1694939"/>
                <a:pt x="9464445" y="1714167"/>
              </a:cubicBezTo>
              <a:cubicBezTo>
                <a:pt x="9464445" y="1733395"/>
                <a:pt x="9448860" y="1748986"/>
                <a:pt x="9429633" y="1748986"/>
              </a:cubicBezTo>
              <a:close/>
              <a:moveTo>
                <a:pt x="9514525" y="1748986"/>
              </a:moveTo>
              <a:cubicBezTo>
                <a:pt x="9495297" y="1748986"/>
                <a:pt x="9479699" y="1733395"/>
                <a:pt x="9479699" y="1714167"/>
              </a:cubicBezTo>
              <a:cubicBezTo>
                <a:pt x="9479699" y="1694939"/>
                <a:pt x="9495297" y="1679348"/>
                <a:pt x="9514525" y="1679348"/>
              </a:cubicBezTo>
              <a:cubicBezTo>
                <a:pt x="9533753" y="1679348"/>
                <a:pt x="9549337" y="1694939"/>
                <a:pt x="9549337" y="1714167"/>
              </a:cubicBezTo>
              <a:cubicBezTo>
                <a:pt x="9549337" y="1733395"/>
                <a:pt x="9533753" y="1748986"/>
                <a:pt x="9514525" y="1748986"/>
              </a:cubicBezTo>
              <a:close/>
              <a:moveTo>
                <a:pt x="9599418" y="1748986"/>
              </a:moveTo>
              <a:cubicBezTo>
                <a:pt x="9580190" y="1748986"/>
                <a:pt x="9564593" y="1733395"/>
                <a:pt x="9564593" y="1714167"/>
              </a:cubicBezTo>
              <a:cubicBezTo>
                <a:pt x="9564593" y="1694939"/>
                <a:pt x="9580190" y="1679348"/>
                <a:pt x="9599418" y="1679348"/>
              </a:cubicBezTo>
              <a:cubicBezTo>
                <a:pt x="9618646" y="1679348"/>
                <a:pt x="9634230" y="1694939"/>
                <a:pt x="9634230" y="1714167"/>
              </a:cubicBezTo>
              <a:cubicBezTo>
                <a:pt x="9634230" y="1733395"/>
                <a:pt x="9618646" y="1748986"/>
                <a:pt x="9599418" y="1748986"/>
              </a:cubicBezTo>
              <a:close/>
              <a:moveTo>
                <a:pt x="9684310" y="1748986"/>
              </a:moveTo>
              <a:cubicBezTo>
                <a:pt x="9665083" y="1748986"/>
                <a:pt x="9649485" y="1733395"/>
                <a:pt x="9649485" y="1714167"/>
              </a:cubicBezTo>
              <a:cubicBezTo>
                <a:pt x="9649485" y="1694939"/>
                <a:pt x="9665083" y="1679348"/>
                <a:pt x="9684310" y="1679348"/>
              </a:cubicBezTo>
              <a:cubicBezTo>
                <a:pt x="9703538" y="1679348"/>
                <a:pt x="9719123" y="1694939"/>
                <a:pt x="9719123" y="1714167"/>
              </a:cubicBezTo>
              <a:cubicBezTo>
                <a:pt x="9719123" y="1733395"/>
                <a:pt x="9703538" y="1748986"/>
                <a:pt x="9684310" y="1748986"/>
              </a:cubicBezTo>
              <a:close/>
              <a:moveTo>
                <a:pt x="9769203" y="1748986"/>
              </a:moveTo>
              <a:cubicBezTo>
                <a:pt x="9749975" y="1748986"/>
                <a:pt x="9734377" y="1733395"/>
                <a:pt x="9734377" y="1714167"/>
              </a:cubicBezTo>
              <a:cubicBezTo>
                <a:pt x="9734377" y="1694939"/>
                <a:pt x="9749975" y="1679348"/>
                <a:pt x="9769203" y="1679348"/>
              </a:cubicBezTo>
              <a:cubicBezTo>
                <a:pt x="9788430" y="1679348"/>
                <a:pt x="9804015" y="1694939"/>
                <a:pt x="9804015" y="1714167"/>
              </a:cubicBezTo>
              <a:cubicBezTo>
                <a:pt x="9804015" y="1733395"/>
                <a:pt x="9788430" y="1748986"/>
                <a:pt x="9769203" y="1748986"/>
              </a:cubicBezTo>
              <a:close/>
              <a:moveTo>
                <a:pt x="9854095" y="1748986"/>
              </a:moveTo>
              <a:cubicBezTo>
                <a:pt x="9834867" y="1748986"/>
                <a:pt x="9819269" y="1733395"/>
                <a:pt x="9819269" y="1714167"/>
              </a:cubicBezTo>
              <a:cubicBezTo>
                <a:pt x="9819269" y="1694939"/>
                <a:pt x="9834867" y="1679348"/>
                <a:pt x="9854095" y="1679348"/>
              </a:cubicBezTo>
              <a:cubicBezTo>
                <a:pt x="9873323" y="1679348"/>
                <a:pt x="9888907" y="1694939"/>
                <a:pt x="9888907" y="1714167"/>
              </a:cubicBezTo>
              <a:cubicBezTo>
                <a:pt x="9888907" y="1733395"/>
                <a:pt x="9873323" y="1748986"/>
                <a:pt x="9854095" y="1748986"/>
              </a:cubicBezTo>
              <a:close/>
              <a:moveTo>
                <a:pt x="9938988" y="1748986"/>
              </a:moveTo>
              <a:cubicBezTo>
                <a:pt x="9919760" y="1748986"/>
                <a:pt x="9904163" y="1733395"/>
                <a:pt x="9904163" y="1714167"/>
              </a:cubicBezTo>
              <a:cubicBezTo>
                <a:pt x="9904163" y="1694939"/>
                <a:pt x="9919760" y="1679348"/>
                <a:pt x="9938988" y="1679348"/>
              </a:cubicBezTo>
              <a:cubicBezTo>
                <a:pt x="9958216" y="1679348"/>
                <a:pt x="9973800" y="1694939"/>
                <a:pt x="9973800" y="1714167"/>
              </a:cubicBezTo>
              <a:cubicBezTo>
                <a:pt x="9973800" y="1733395"/>
                <a:pt x="9958216" y="1748986"/>
                <a:pt x="9938988" y="1748986"/>
              </a:cubicBezTo>
              <a:close/>
              <a:moveTo>
                <a:pt x="10023880" y="1748986"/>
              </a:moveTo>
              <a:cubicBezTo>
                <a:pt x="10004653" y="1748986"/>
                <a:pt x="9989055" y="1733395"/>
                <a:pt x="9989055" y="1714167"/>
              </a:cubicBezTo>
              <a:cubicBezTo>
                <a:pt x="9989055" y="1694939"/>
                <a:pt x="10004653" y="1679348"/>
                <a:pt x="10023880" y="1679348"/>
              </a:cubicBezTo>
              <a:cubicBezTo>
                <a:pt x="10043108" y="1679348"/>
                <a:pt x="10058693" y="1694939"/>
                <a:pt x="10058693" y="1714167"/>
              </a:cubicBezTo>
              <a:cubicBezTo>
                <a:pt x="10058693" y="1733395"/>
                <a:pt x="10043108" y="1748986"/>
                <a:pt x="10023880" y="1748986"/>
              </a:cubicBezTo>
              <a:close/>
              <a:moveTo>
                <a:pt x="10108773" y="1748986"/>
              </a:moveTo>
              <a:cubicBezTo>
                <a:pt x="10089545" y="1748986"/>
                <a:pt x="10073947" y="1733395"/>
                <a:pt x="10073947" y="1714167"/>
              </a:cubicBezTo>
              <a:cubicBezTo>
                <a:pt x="10073947" y="1694939"/>
                <a:pt x="10089545" y="1679348"/>
                <a:pt x="10108773" y="1679348"/>
              </a:cubicBezTo>
              <a:cubicBezTo>
                <a:pt x="10128000" y="1679348"/>
                <a:pt x="10143585" y="1694939"/>
                <a:pt x="10143585" y="1714167"/>
              </a:cubicBezTo>
              <a:cubicBezTo>
                <a:pt x="10143585" y="1733395"/>
                <a:pt x="10128000" y="1748986"/>
                <a:pt x="10108773" y="1748986"/>
              </a:cubicBezTo>
              <a:close/>
              <a:moveTo>
                <a:pt x="10193665" y="1748986"/>
              </a:moveTo>
              <a:cubicBezTo>
                <a:pt x="10174437" y="1748986"/>
                <a:pt x="10158839" y="1733395"/>
                <a:pt x="10158839" y="1714167"/>
              </a:cubicBezTo>
              <a:cubicBezTo>
                <a:pt x="10158839" y="1694939"/>
                <a:pt x="10174437" y="1679348"/>
                <a:pt x="10193665" y="1679348"/>
              </a:cubicBezTo>
              <a:cubicBezTo>
                <a:pt x="10212893" y="1679348"/>
                <a:pt x="10228477" y="1694939"/>
                <a:pt x="10228477" y="1714167"/>
              </a:cubicBezTo>
              <a:cubicBezTo>
                <a:pt x="10228477" y="1733395"/>
                <a:pt x="10212893" y="1748986"/>
                <a:pt x="10193665" y="1748986"/>
              </a:cubicBezTo>
              <a:close/>
              <a:moveTo>
                <a:pt x="10278558" y="1748986"/>
              </a:moveTo>
              <a:cubicBezTo>
                <a:pt x="10259330" y="1748986"/>
                <a:pt x="10243733" y="1733395"/>
                <a:pt x="10243733" y="1714167"/>
              </a:cubicBezTo>
              <a:cubicBezTo>
                <a:pt x="10243733" y="1694939"/>
                <a:pt x="10259330" y="1679348"/>
                <a:pt x="10278558" y="1679348"/>
              </a:cubicBezTo>
              <a:cubicBezTo>
                <a:pt x="10297786" y="1679348"/>
                <a:pt x="10313370" y="1694939"/>
                <a:pt x="10313370" y="1714167"/>
              </a:cubicBezTo>
              <a:cubicBezTo>
                <a:pt x="10313370" y="1733395"/>
                <a:pt x="10297786" y="1748986"/>
                <a:pt x="10278558" y="1748986"/>
              </a:cubicBezTo>
              <a:close/>
              <a:moveTo>
                <a:pt x="10363450" y="1748986"/>
              </a:moveTo>
              <a:cubicBezTo>
                <a:pt x="10344223" y="1748986"/>
                <a:pt x="10328625" y="1733395"/>
                <a:pt x="10328625" y="1714167"/>
              </a:cubicBezTo>
              <a:cubicBezTo>
                <a:pt x="10328625" y="1694939"/>
                <a:pt x="10344223" y="1679348"/>
                <a:pt x="10363450" y="1679348"/>
              </a:cubicBezTo>
              <a:cubicBezTo>
                <a:pt x="10382678" y="1679348"/>
                <a:pt x="10398263" y="1694939"/>
                <a:pt x="10398263" y="1714167"/>
              </a:cubicBezTo>
              <a:cubicBezTo>
                <a:pt x="10398263" y="1733395"/>
                <a:pt x="10382678" y="1748986"/>
                <a:pt x="10363450" y="1748986"/>
              </a:cubicBezTo>
              <a:close/>
              <a:moveTo>
                <a:pt x="10448343" y="1748986"/>
              </a:moveTo>
              <a:cubicBezTo>
                <a:pt x="10429115" y="1748986"/>
                <a:pt x="10413517" y="1733395"/>
                <a:pt x="10413517" y="1714167"/>
              </a:cubicBezTo>
              <a:cubicBezTo>
                <a:pt x="10413517" y="1694939"/>
                <a:pt x="10429115" y="1679348"/>
                <a:pt x="10448343" y="1679348"/>
              </a:cubicBezTo>
              <a:cubicBezTo>
                <a:pt x="10467570" y="1679348"/>
                <a:pt x="10483155" y="1694939"/>
                <a:pt x="10483155" y="1714167"/>
              </a:cubicBezTo>
              <a:cubicBezTo>
                <a:pt x="10483155" y="1733395"/>
                <a:pt x="10467570" y="1748986"/>
                <a:pt x="10448343" y="1748986"/>
              </a:cubicBezTo>
              <a:close/>
              <a:moveTo>
                <a:pt x="10533235" y="1748986"/>
              </a:moveTo>
              <a:cubicBezTo>
                <a:pt x="10514007" y="1748986"/>
                <a:pt x="10498409" y="1733395"/>
                <a:pt x="10498409" y="1714167"/>
              </a:cubicBezTo>
              <a:cubicBezTo>
                <a:pt x="10498409" y="1694939"/>
                <a:pt x="10514007" y="1679348"/>
                <a:pt x="10533235" y="1679348"/>
              </a:cubicBezTo>
              <a:cubicBezTo>
                <a:pt x="10552463" y="1679348"/>
                <a:pt x="10568047" y="1694939"/>
                <a:pt x="10568047" y="1714167"/>
              </a:cubicBezTo>
              <a:cubicBezTo>
                <a:pt x="10568047" y="1733395"/>
                <a:pt x="10552463" y="1748986"/>
                <a:pt x="10533235" y="1748986"/>
              </a:cubicBezTo>
              <a:close/>
              <a:moveTo>
                <a:pt x="3741833" y="1664126"/>
              </a:moveTo>
              <a:cubicBezTo>
                <a:pt x="3722606" y="1664126"/>
                <a:pt x="3707014" y="1648535"/>
                <a:pt x="3707014" y="1629307"/>
              </a:cubicBezTo>
              <a:cubicBezTo>
                <a:pt x="3707014" y="1610079"/>
                <a:pt x="3722606" y="1594488"/>
                <a:pt x="3741833" y="1594488"/>
              </a:cubicBezTo>
              <a:cubicBezTo>
                <a:pt x="3761061" y="1594488"/>
                <a:pt x="3776652" y="1610079"/>
                <a:pt x="3776652" y="1629307"/>
              </a:cubicBezTo>
              <a:cubicBezTo>
                <a:pt x="3776652" y="1648535"/>
                <a:pt x="3761061" y="1664126"/>
                <a:pt x="3741833" y="1664126"/>
              </a:cubicBezTo>
              <a:close/>
              <a:moveTo>
                <a:pt x="3826726" y="1664126"/>
              </a:moveTo>
              <a:cubicBezTo>
                <a:pt x="3807498" y="1664126"/>
                <a:pt x="3791907" y="1648535"/>
                <a:pt x="3791907" y="1629307"/>
              </a:cubicBezTo>
              <a:cubicBezTo>
                <a:pt x="3791907" y="1610079"/>
                <a:pt x="3807498" y="1594488"/>
                <a:pt x="3826726" y="1594488"/>
              </a:cubicBezTo>
              <a:cubicBezTo>
                <a:pt x="3845953" y="1594488"/>
                <a:pt x="3861544" y="1610079"/>
                <a:pt x="3861544" y="1629307"/>
              </a:cubicBezTo>
              <a:cubicBezTo>
                <a:pt x="3861544" y="1648535"/>
                <a:pt x="3845953" y="1664126"/>
                <a:pt x="3826726" y="1664126"/>
              </a:cubicBezTo>
              <a:close/>
              <a:moveTo>
                <a:pt x="3911618" y="1664126"/>
              </a:moveTo>
              <a:cubicBezTo>
                <a:pt x="3892390" y="1664126"/>
                <a:pt x="3876799" y="1648535"/>
                <a:pt x="3876799" y="1629307"/>
              </a:cubicBezTo>
              <a:cubicBezTo>
                <a:pt x="3876799" y="1610079"/>
                <a:pt x="3892390" y="1594488"/>
                <a:pt x="3911618" y="1594488"/>
              </a:cubicBezTo>
              <a:cubicBezTo>
                <a:pt x="3930846" y="1594488"/>
                <a:pt x="3946437" y="1610079"/>
                <a:pt x="3946437" y="1629307"/>
              </a:cubicBezTo>
              <a:cubicBezTo>
                <a:pt x="3946437" y="1648535"/>
                <a:pt x="3930846" y="1664126"/>
                <a:pt x="3911618" y="1664126"/>
              </a:cubicBezTo>
              <a:close/>
              <a:moveTo>
                <a:pt x="3996511" y="1664126"/>
              </a:moveTo>
              <a:cubicBezTo>
                <a:pt x="3977283" y="1664126"/>
                <a:pt x="3961692" y="1648535"/>
                <a:pt x="3961692" y="1629307"/>
              </a:cubicBezTo>
              <a:cubicBezTo>
                <a:pt x="3961692" y="1610079"/>
                <a:pt x="3977283" y="1594488"/>
                <a:pt x="3996511" y="1594488"/>
              </a:cubicBezTo>
              <a:cubicBezTo>
                <a:pt x="4015739" y="1594488"/>
                <a:pt x="4031330" y="1610079"/>
                <a:pt x="4031330" y="1629307"/>
              </a:cubicBezTo>
              <a:cubicBezTo>
                <a:pt x="4031330" y="1648535"/>
                <a:pt x="4015739" y="1664126"/>
                <a:pt x="3996511" y="1664126"/>
              </a:cubicBezTo>
              <a:close/>
              <a:moveTo>
                <a:pt x="4081403" y="1664126"/>
              </a:moveTo>
              <a:cubicBezTo>
                <a:pt x="4062176" y="1664126"/>
                <a:pt x="4046584" y="1648535"/>
                <a:pt x="4046584" y="1629307"/>
              </a:cubicBezTo>
              <a:cubicBezTo>
                <a:pt x="4046584" y="1610079"/>
                <a:pt x="4062176" y="1594488"/>
                <a:pt x="4081403" y="1594488"/>
              </a:cubicBezTo>
              <a:cubicBezTo>
                <a:pt x="4100631" y="1594488"/>
                <a:pt x="4116222" y="1610079"/>
                <a:pt x="4116222" y="1629307"/>
              </a:cubicBezTo>
              <a:cubicBezTo>
                <a:pt x="4116222" y="1648535"/>
                <a:pt x="4100631" y="1664126"/>
                <a:pt x="4081403" y="1664126"/>
              </a:cubicBezTo>
              <a:close/>
              <a:moveTo>
                <a:pt x="4166296" y="1664126"/>
              </a:moveTo>
              <a:cubicBezTo>
                <a:pt x="4147068" y="1664126"/>
                <a:pt x="4131477" y="1648535"/>
                <a:pt x="4131477" y="1629307"/>
              </a:cubicBezTo>
              <a:cubicBezTo>
                <a:pt x="4131477" y="1610079"/>
                <a:pt x="4147068" y="1594488"/>
                <a:pt x="4166296" y="1594488"/>
              </a:cubicBezTo>
              <a:cubicBezTo>
                <a:pt x="4185523" y="1594488"/>
                <a:pt x="4201114" y="1610079"/>
                <a:pt x="4201114" y="1629307"/>
              </a:cubicBezTo>
              <a:cubicBezTo>
                <a:pt x="4201114" y="1648535"/>
                <a:pt x="4185523" y="1664126"/>
                <a:pt x="4166296" y="1664126"/>
              </a:cubicBezTo>
              <a:close/>
              <a:moveTo>
                <a:pt x="4251188" y="1664126"/>
              </a:moveTo>
              <a:cubicBezTo>
                <a:pt x="4231960" y="1664126"/>
                <a:pt x="4216369" y="1648535"/>
                <a:pt x="4216369" y="1629307"/>
              </a:cubicBezTo>
              <a:cubicBezTo>
                <a:pt x="4216369" y="1610079"/>
                <a:pt x="4231960" y="1594488"/>
                <a:pt x="4251188" y="1594488"/>
              </a:cubicBezTo>
              <a:cubicBezTo>
                <a:pt x="4270416" y="1594488"/>
                <a:pt x="4286007" y="1610079"/>
                <a:pt x="4286007" y="1629307"/>
              </a:cubicBezTo>
              <a:cubicBezTo>
                <a:pt x="4286007" y="1648535"/>
                <a:pt x="4270416" y="1664126"/>
                <a:pt x="4251188" y="1664126"/>
              </a:cubicBezTo>
              <a:close/>
              <a:moveTo>
                <a:pt x="4336080" y="1664126"/>
              </a:moveTo>
              <a:cubicBezTo>
                <a:pt x="4316852" y="1664126"/>
                <a:pt x="4301261" y="1648535"/>
                <a:pt x="4301261" y="1629307"/>
              </a:cubicBezTo>
              <a:cubicBezTo>
                <a:pt x="4301261" y="1610079"/>
                <a:pt x="4316852" y="1594488"/>
                <a:pt x="4336080" y="1594488"/>
              </a:cubicBezTo>
              <a:cubicBezTo>
                <a:pt x="4355308" y="1594488"/>
                <a:pt x="4370899" y="1610079"/>
                <a:pt x="4370899" y="1629307"/>
              </a:cubicBezTo>
              <a:cubicBezTo>
                <a:pt x="4370899" y="1648535"/>
                <a:pt x="4355308" y="1664126"/>
                <a:pt x="4336080" y="1664126"/>
              </a:cubicBezTo>
              <a:close/>
              <a:moveTo>
                <a:pt x="6373504" y="1664126"/>
              </a:moveTo>
              <a:cubicBezTo>
                <a:pt x="6354276" y="1664126"/>
                <a:pt x="6338678" y="1648535"/>
                <a:pt x="6338678" y="1629307"/>
              </a:cubicBezTo>
              <a:cubicBezTo>
                <a:pt x="6338678" y="1610079"/>
                <a:pt x="6354276" y="1594488"/>
                <a:pt x="6373504" y="1594488"/>
              </a:cubicBezTo>
              <a:cubicBezTo>
                <a:pt x="6392731" y="1594488"/>
                <a:pt x="6408316" y="1610079"/>
                <a:pt x="6408316" y="1629307"/>
              </a:cubicBezTo>
              <a:cubicBezTo>
                <a:pt x="6408316" y="1648535"/>
                <a:pt x="6392731" y="1664126"/>
                <a:pt x="6373504" y="1664126"/>
              </a:cubicBezTo>
              <a:close/>
              <a:moveTo>
                <a:pt x="6458396" y="1664126"/>
              </a:moveTo>
              <a:cubicBezTo>
                <a:pt x="6439168" y="1664126"/>
                <a:pt x="6423570" y="1648535"/>
                <a:pt x="6423570" y="1629307"/>
              </a:cubicBezTo>
              <a:cubicBezTo>
                <a:pt x="6423570" y="1610079"/>
                <a:pt x="6439168" y="1594488"/>
                <a:pt x="6458396" y="1594488"/>
              </a:cubicBezTo>
              <a:cubicBezTo>
                <a:pt x="6477624" y="1594488"/>
                <a:pt x="6493208" y="1610079"/>
                <a:pt x="6493208" y="1629307"/>
              </a:cubicBezTo>
              <a:cubicBezTo>
                <a:pt x="6493208" y="1648535"/>
                <a:pt x="6477624" y="1664126"/>
                <a:pt x="6458396" y="1664126"/>
              </a:cubicBezTo>
              <a:close/>
              <a:moveTo>
                <a:pt x="6543288" y="1664126"/>
              </a:moveTo>
              <a:cubicBezTo>
                <a:pt x="6524060" y="1664126"/>
                <a:pt x="6508463" y="1648535"/>
                <a:pt x="6508463" y="1629307"/>
              </a:cubicBezTo>
              <a:cubicBezTo>
                <a:pt x="6508463" y="1610079"/>
                <a:pt x="6524060" y="1594488"/>
                <a:pt x="6543288" y="1594488"/>
              </a:cubicBezTo>
              <a:cubicBezTo>
                <a:pt x="6562516" y="1594488"/>
                <a:pt x="6578100" y="1610079"/>
                <a:pt x="6578100" y="1629307"/>
              </a:cubicBezTo>
              <a:cubicBezTo>
                <a:pt x="6578100" y="1648535"/>
                <a:pt x="6562516" y="1664126"/>
                <a:pt x="6543288" y="1664126"/>
              </a:cubicBezTo>
              <a:close/>
              <a:moveTo>
                <a:pt x="6628181" y="1664126"/>
              </a:moveTo>
              <a:cubicBezTo>
                <a:pt x="6608954" y="1664126"/>
                <a:pt x="6593356" y="1648535"/>
                <a:pt x="6593356" y="1629307"/>
              </a:cubicBezTo>
              <a:cubicBezTo>
                <a:pt x="6593356" y="1610079"/>
                <a:pt x="6608954" y="1594488"/>
                <a:pt x="6628181" y="1594488"/>
              </a:cubicBezTo>
              <a:cubicBezTo>
                <a:pt x="6647409" y="1594488"/>
                <a:pt x="6662994" y="1610079"/>
                <a:pt x="6662994" y="1629307"/>
              </a:cubicBezTo>
              <a:cubicBezTo>
                <a:pt x="6662994" y="1648535"/>
                <a:pt x="6647409" y="1664126"/>
                <a:pt x="6628181" y="1664126"/>
              </a:cubicBezTo>
              <a:close/>
              <a:moveTo>
                <a:pt x="6713074" y="1664126"/>
              </a:moveTo>
              <a:cubicBezTo>
                <a:pt x="6693846" y="1664126"/>
                <a:pt x="6678248" y="1648535"/>
                <a:pt x="6678248" y="1629307"/>
              </a:cubicBezTo>
              <a:cubicBezTo>
                <a:pt x="6678248" y="1610079"/>
                <a:pt x="6693846" y="1594488"/>
                <a:pt x="6713074" y="1594488"/>
              </a:cubicBezTo>
              <a:cubicBezTo>
                <a:pt x="6732301" y="1594488"/>
                <a:pt x="6747886" y="1610079"/>
                <a:pt x="6747886" y="1629307"/>
              </a:cubicBezTo>
              <a:cubicBezTo>
                <a:pt x="6747886" y="1648535"/>
                <a:pt x="6732301" y="1664126"/>
                <a:pt x="6713074" y="1664126"/>
              </a:cubicBezTo>
              <a:close/>
              <a:moveTo>
                <a:pt x="6797966" y="1664126"/>
              </a:moveTo>
              <a:cubicBezTo>
                <a:pt x="6778738" y="1664126"/>
                <a:pt x="6763140" y="1648535"/>
                <a:pt x="6763140" y="1629307"/>
              </a:cubicBezTo>
              <a:cubicBezTo>
                <a:pt x="6763140" y="1610079"/>
                <a:pt x="6778738" y="1594488"/>
                <a:pt x="6797966" y="1594488"/>
              </a:cubicBezTo>
              <a:cubicBezTo>
                <a:pt x="6817194" y="1594488"/>
                <a:pt x="6832778" y="1610079"/>
                <a:pt x="6832778" y="1629307"/>
              </a:cubicBezTo>
              <a:cubicBezTo>
                <a:pt x="6832778" y="1648535"/>
                <a:pt x="6817194" y="1664126"/>
                <a:pt x="6797966" y="1664126"/>
              </a:cubicBezTo>
              <a:close/>
              <a:moveTo>
                <a:pt x="9429633" y="1664126"/>
              </a:moveTo>
              <a:cubicBezTo>
                <a:pt x="9410405" y="1664126"/>
                <a:pt x="9394807" y="1648535"/>
                <a:pt x="9394807" y="1629307"/>
              </a:cubicBezTo>
              <a:cubicBezTo>
                <a:pt x="9394807" y="1610079"/>
                <a:pt x="9410405" y="1594488"/>
                <a:pt x="9429633" y="1594488"/>
              </a:cubicBezTo>
              <a:cubicBezTo>
                <a:pt x="9448860" y="1594488"/>
                <a:pt x="9464445" y="1610079"/>
                <a:pt x="9464445" y="1629307"/>
              </a:cubicBezTo>
              <a:cubicBezTo>
                <a:pt x="9464445" y="1648535"/>
                <a:pt x="9448860" y="1664126"/>
                <a:pt x="9429633" y="1664126"/>
              </a:cubicBezTo>
              <a:close/>
              <a:moveTo>
                <a:pt x="9514525" y="1664126"/>
              </a:moveTo>
              <a:cubicBezTo>
                <a:pt x="9495297" y="1664126"/>
                <a:pt x="9479699" y="1648535"/>
                <a:pt x="9479699" y="1629307"/>
              </a:cubicBezTo>
              <a:cubicBezTo>
                <a:pt x="9479699" y="1610079"/>
                <a:pt x="9495297" y="1594488"/>
                <a:pt x="9514525" y="1594488"/>
              </a:cubicBezTo>
              <a:cubicBezTo>
                <a:pt x="9533753" y="1594488"/>
                <a:pt x="9549337" y="1610079"/>
                <a:pt x="9549337" y="1629307"/>
              </a:cubicBezTo>
              <a:cubicBezTo>
                <a:pt x="9549337" y="1648535"/>
                <a:pt x="9533753" y="1664126"/>
                <a:pt x="9514525" y="1664126"/>
              </a:cubicBezTo>
              <a:close/>
              <a:moveTo>
                <a:pt x="9599418" y="1664126"/>
              </a:moveTo>
              <a:cubicBezTo>
                <a:pt x="9580190" y="1664126"/>
                <a:pt x="9564593" y="1648535"/>
                <a:pt x="9564593" y="1629307"/>
              </a:cubicBezTo>
              <a:cubicBezTo>
                <a:pt x="9564593" y="1610079"/>
                <a:pt x="9580190" y="1594488"/>
                <a:pt x="9599418" y="1594488"/>
              </a:cubicBezTo>
              <a:cubicBezTo>
                <a:pt x="9618646" y="1594488"/>
                <a:pt x="9634230" y="1610079"/>
                <a:pt x="9634230" y="1629307"/>
              </a:cubicBezTo>
              <a:cubicBezTo>
                <a:pt x="9634230" y="1648535"/>
                <a:pt x="9618646" y="1664126"/>
                <a:pt x="9599418" y="1664126"/>
              </a:cubicBezTo>
              <a:close/>
              <a:moveTo>
                <a:pt x="9684310" y="1664126"/>
              </a:moveTo>
              <a:cubicBezTo>
                <a:pt x="9665083" y="1664126"/>
                <a:pt x="9649485" y="1648535"/>
                <a:pt x="9649485" y="1629307"/>
              </a:cubicBezTo>
              <a:cubicBezTo>
                <a:pt x="9649485" y="1610079"/>
                <a:pt x="9665083" y="1594488"/>
                <a:pt x="9684310" y="1594488"/>
              </a:cubicBezTo>
              <a:cubicBezTo>
                <a:pt x="9703538" y="1594488"/>
                <a:pt x="9719123" y="1610079"/>
                <a:pt x="9719123" y="1629307"/>
              </a:cubicBezTo>
              <a:cubicBezTo>
                <a:pt x="9719123" y="1648535"/>
                <a:pt x="9703538" y="1664126"/>
                <a:pt x="9684310" y="1664126"/>
              </a:cubicBezTo>
              <a:close/>
              <a:moveTo>
                <a:pt x="9769203" y="1664126"/>
              </a:moveTo>
              <a:cubicBezTo>
                <a:pt x="9749975" y="1664126"/>
                <a:pt x="9734377" y="1648535"/>
                <a:pt x="9734377" y="1629307"/>
              </a:cubicBezTo>
              <a:cubicBezTo>
                <a:pt x="9734377" y="1610079"/>
                <a:pt x="9749975" y="1594488"/>
                <a:pt x="9769203" y="1594488"/>
              </a:cubicBezTo>
              <a:cubicBezTo>
                <a:pt x="9788430" y="1594488"/>
                <a:pt x="9804015" y="1610079"/>
                <a:pt x="9804015" y="1629307"/>
              </a:cubicBezTo>
              <a:cubicBezTo>
                <a:pt x="9804015" y="1648535"/>
                <a:pt x="9788430" y="1664126"/>
                <a:pt x="9769203" y="1664126"/>
              </a:cubicBezTo>
              <a:close/>
              <a:moveTo>
                <a:pt x="9854095" y="1664126"/>
              </a:moveTo>
              <a:cubicBezTo>
                <a:pt x="9834867" y="1664126"/>
                <a:pt x="9819269" y="1648535"/>
                <a:pt x="9819269" y="1629307"/>
              </a:cubicBezTo>
              <a:cubicBezTo>
                <a:pt x="9819269" y="1610079"/>
                <a:pt x="9834867" y="1594488"/>
                <a:pt x="9854095" y="1594488"/>
              </a:cubicBezTo>
              <a:cubicBezTo>
                <a:pt x="9873323" y="1594488"/>
                <a:pt x="9888907" y="1610079"/>
                <a:pt x="9888907" y="1629307"/>
              </a:cubicBezTo>
              <a:cubicBezTo>
                <a:pt x="9888907" y="1648535"/>
                <a:pt x="9873323" y="1664126"/>
                <a:pt x="9854095" y="1664126"/>
              </a:cubicBezTo>
              <a:close/>
              <a:moveTo>
                <a:pt x="9938988" y="1664126"/>
              </a:moveTo>
              <a:cubicBezTo>
                <a:pt x="9919760" y="1664126"/>
                <a:pt x="9904163" y="1648535"/>
                <a:pt x="9904163" y="1629307"/>
              </a:cubicBezTo>
              <a:cubicBezTo>
                <a:pt x="9904163" y="1610079"/>
                <a:pt x="9919760" y="1594488"/>
                <a:pt x="9938988" y="1594488"/>
              </a:cubicBezTo>
              <a:cubicBezTo>
                <a:pt x="9958216" y="1594488"/>
                <a:pt x="9973800" y="1610079"/>
                <a:pt x="9973800" y="1629307"/>
              </a:cubicBezTo>
              <a:cubicBezTo>
                <a:pt x="9973800" y="1648535"/>
                <a:pt x="9958216" y="1664126"/>
                <a:pt x="9938988" y="1664126"/>
              </a:cubicBezTo>
              <a:close/>
              <a:moveTo>
                <a:pt x="10023880" y="1664126"/>
              </a:moveTo>
              <a:cubicBezTo>
                <a:pt x="10004653" y="1664126"/>
                <a:pt x="9989055" y="1648535"/>
                <a:pt x="9989055" y="1629307"/>
              </a:cubicBezTo>
              <a:cubicBezTo>
                <a:pt x="9989055" y="1610079"/>
                <a:pt x="10004653" y="1594488"/>
                <a:pt x="10023880" y="1594488"/>
              </a:cubicBezTo>
              <a:cubicBezTo>
                <a:pt x="10043108" y="1594488"/>
                <a:pt x="10058693" y="1610079"/>
                <a:pt x="10058693" y="1629307"/>
              </a:cubicBezTo>
              <a:cubicBezTo>
                <a:pt x="10058693" y="1648535"/>
                <a:pt x="10043108" y="1664126"/>
                <a:pt x="10023880" y="1664126"/>
              </a:cubicBezTo>
              <a:close/>
              <a:moveTo>
                <a:pt x="10108773" y="1664126"/>
              </a:moveTo>
              <a:cubicBezTo>
                <a:pt x="10089545" y="1664126"/>
                <a:pt x="10073947" y="1648535"/>
                <a:pt x="10073947" y="1629307"/>
              </a:cubicBezTo>
              <a:cubicBezTo>
                <a:pt x="10073947" y="1610079"/>
                <a:pt x="10089545" y="1594488"/>
                <a:pt x="10108773" y="1594488"/>
              </a:cubicBezTo>
              <a:cubicBezTo>
                <a:pt x="10128000" y="1594488"/>
                <a:pt x="10143585" y="1610079"/>
                <a:pt x="10143585" y="1629307"/>
              </a:cubicBezTo>
              <a:cubicBezTo>
                <a:pt x="10143585" y="1648535"/>
                <a:pt x="10128000" y="1664126"/>
                <a:pt x="10108773" y="1664126"/>
              </a:cubicBezTo>
              <a:close/>
              <a:moveTo>
                <a:pt x="10193665" y="1664126"/>
              </a:moveTo>
              <a:cubicBezTo>
                <a:pt x="10174437" y="1664126"/>
                <a:pt x="10158839" y="1648535"/>
                <a:pt x="10158839" y="1629307"/>
              </a:cubicBezTo>
              <a:cubicBezTo>
                <a:pt x="10158839" y="1610079"/>
                <a:pt x="10174437" y="1594488"/>
                <a:pt x="10193665" y="1594488"/>
              </a:cubicBezTo>
              <a:cubicBezTo>
                <a:pt x="10212893" y="1594488"/>
                <a:pt x="10228477" y="1610079"/>
                <a:pt x="10228477" y="1629307"/>
              </a:cubicBezTo>
              <a:cubicBezTo>
                <a:pt x="10228477" y="1648535"/>
                <a:pt x="10212893" y="1664126"/>
                <a:pt x="10193665" y="1664126"/>
              </a:cubicBezTo>
              <a:close/>
              <a:moveTo>
                <a:pt x="10278558" y="1664126"/>
              </a:moveTo>
              <a:cubicBezTo>
                <a:pt x="10259330" y="1664126"/>
                <a:pt x="10243733" y="1648535"/>
                <a:pt x="10243733" y="1629307"/>
              </a:cubicBezTo>
              <a:cubicBezTo>
                <a:pt x="10243733" y="1610079"/>
                <a:pt x="10259330" y="1594488"/>
                <a:pt x="10278558" y="1594488"/>
              </a:cubicBezTo>
              <a:cubicBezTo>
                <a:pt x="10297786" y="1594488"/>
                <a:pt x="10313370" y="1610079"/>
                <a:pt x="10313370" y="1629307"/>
              </a:cubicBezTo>
              <a:cubicBezTo>
                <a:pt x="10313370" y="1648535"/>
                <a:pt x="10297786" y="1664126"/>
                <a:pt x="10278558" y="1664126"/>
              </a:cubicBezTo>
              <a:close/>
              <a:moveTo>
                <a:pt x="10363450" y="1664126"/>
              </a:moveTo>
              <a:cubicBezTo>
                <a:pt x="10344223" y="1664126"/>
                <a:pt x="10328625" y="1648535"/>
                <a:pt x="10328625" y="1629307"/>
              </a:cubicBezTo>
              <a:cubicBezTo>
                <a:pt x="10328625" y="1610079"/>
                <a:pt x="10344223" y="1594488"/>
                <a:pt x="10363450" y="1594488"/>
              </a:cubicBezTo>
              <a:cubicBezTo>
                <a:pt x="10382678" y="1594488"/>
                <a:pt x="10398263" y="1610079"/>
                <a:pt x="10398263" y="1629307"/>
              </a:cubicBezTo>
              <a:cubicBezTo>
                <a:pt x="10398263" y="1648535"/>
                <a:pt x="10382678" y="1664126"/>
                <a:pt x="10363450" y="1664126"/>
              </a:cubicBezTo>
              <a:close/>
              <a:moveTo>
                <a:pt x="10448343" y="1664126"/>
              </a:moveTo>
              <a:cubicBezTo>
                <a:pt x="10429115" y="1664126"/>
                <a:pt x="10413517" y="1648535"/>
                <a:pt x="10413517" y="1629307"/>
              </a:cubicBezTo>
              <a:cubicBezTo>
                <a:pt x="10413517" y="1610079"/>
                <a:pt x="10429115" y="1594488"/>
                <a:pt x="10448343" y="1594488"/>
              </a:cubicBezTo>
              <a:cubicBezTo>
                <a:pt x="10467570" y="1594488"/>
                <a:pt x="10483155" y="1610079"/>
                <a:pt x="10483155" y="1629307"/>
              </a:cubicBezTo>
              <a:cubicBezTo>
                <a:pt x="10483155" y="1648535"/>
                <a:pt x="10467570" y="1664126"/>
                <a:pt x="10448343" y="1664126"/>
              </a:cubicBezTo>
              <a:close/>
              <a:moveTo>
                <a:pt x="10533235" y="1664126"/>
              </a:moveTo>
              <a:cubicBezTo>
                <a:pt x="10514007" y="1664126"/>
                <a:pt x="10498409" y="1648535"/>
                <a:pt x="10498409" y="1629307"/>
              </a:cubicBezTo>
              <a:cubicBezTo>
                <a:pt x="10498409" y="1610079"/>
                <a:pt x="10514007" y="1594488"/>
                <a:pt x="10533235" y="1594488"/>
              </a:cubicBezTo>
              <a:cubicBezTo>
                <a:pt x="10552463" y="1594488"/>
                <a:pt x="10568047" y="1610079"/>
                <a:pt x="10568047" y="1629307"/>
              </a:cubicBezTo>
              <a:cubicBezTo>
                <a:pt x="10568047" y="1648535"/>
                <a:pt x="10552463" y="1664126"/>
                <a:pt x="10533235" y="1664126"/>
              </a:cubicBezTo>
              <a:close/>
              <a:moveTo>
                <a:pt x="10618128" y="1664126"/>
              </a:moveTo>
              <a:cubicBezTo>
                <a:pt x="10598900" y="1664126"/>
                <a:pt x="10583303" y="1648535"/>
                <a:pt x="10583303" y="1629307"/>
              </a:cubicBezTo>
              <a:cubicBezTo>
                <a:pt x="10583303" y="1610079"/>
                <a:pt x="10598900" y="1594488"/>
                <a:pt x="10618128" y="1594488"/>
              </a:cubicBezTo>
              <a:cubicBezTo>
                <a:pt x="10637356" y="1594488"/>
                <a:pt x="10652940" y="1610079"/>
                <a:pt x="10652940" y="1629307"/>
              </a:cubicBezTo>
              <a:cubicBezTo>
                <a:pt x="10652940" y="1648535"/>
                <a:pt x="10637356" y="1664126"/>
                <a:pt x="10618128" y="1664126"/>
              </a:cubicBezTo>
              <a:close/>
              <a:moveTo>
                <a:pt x="3741833" y="1579266"/>
              </a:moveTo>
              <a:cubicBezTo>
                <a:pt x="3722606" y="1579266"/>
                <a:pt x="3707014" y="1563675"/>
                <a:pt x="3707014" y="1544447"/>
              </a:cubicBezTo>
              <a:cubicBezTo>
                <a:pt x="3707014" y="1525220"/>
                <a:pt x="3722606" y="1509629"/>
                <a:pt x="3741833" y="1509629"/>
              </a:cubicBezTo>
              <a:cubicBezTo>
                <a:pt x="3761061" y="1509629"/>
                <a:pt x="3776652" y="1525220"/>
                <a:pt x="3776652" y="1544447"/>
              </a:cubicBezTo>
              <a:cubicBezTo>
                <a:pt x="3776652" y="1563675"/>
                <a:pt x="3761061" y="1579266"/>
                <a:pt x="3741833" y="1579266"/>
              </a:cubicBezTo>
              <a:close/>
              <a:moveTo>
                <a:pt x="3826726" y="1579266"/>
              </a:moveTo>
              <a:cubicBezTo>
                <a:pt x="3807498" y="1579266"/>
                <a:pt x="3791907" y="1563675"/>
                <a:pt x="3791907" y="1544447"/>
              </a:cubicBezTo>
              <a:cubicBezTo>
                <a:pt x="3791907" y="1525220"/>
                <a:pt x="3807498" y="1509629"/>
                <a:pt x="3826726" y="1509629"/>
              </a:cubicBezTo>
              <a:cubicBezTo>
                <a:pt x="3845953" y="1509629"/>
                <a:pt x="3861544" y="1525220"/>
                <a:pt x="3861544" y="1544447"/>
              </a:cubicBezTo>
              <a:cubicBezTo>
                <a:pt x="3861544" y="1563675"/>
                <a:pt x="3845953" y="1579266"/>
                <a:pt x="3826726" y="1579266"/>
              </a:cubicBezTo>
              <a:close/>
              <a:moveTo>
                <a:pt x="3911618" y="1579266"/>
              </a:moveTo>
              <a:cubicBezTo>
                <a:pt x="3892390" y="1579266"/>
                <a:pt x="3876799" y="1563675"/>
                <a:pt x="3876799" y="1544447"/>
              </a:cubicBezTo>
              <a:cubicBezTo>
                <a:pt x="3876799" y="1525220"/>
                <a:pt x="3892390" y="1509629"/>
                <a:pt x="3911618" y="1509629"/>
              </a:cubicBezTo>
              <a:cubicBezTo>
                <a:pt x="3930846" y="1509629"/>
                <a:pt x="3946437" y="1525220"/>
                <a:pt x="3946437" y="1544447"/>
              </a:cubicBezTo>
              <a:cubicBezTo>
                <a:pt x="3946437" y="1563675"/>
                <a:pt x="3930846" y="1579266"/>
                <a:pt x="3911618" y="1579266"/>
              </a:cubicBezTo>
              <a:close/>
              <a:moveTo>
                <a:pt x="3996511" y="1579266"/>
              </a:moveTo>
              <a:cubicBezTo>
                <a:pt x="3977283" y="1579266"/>
                <a:pt x="3961692" y="1563675"/>
                <a:pt x="3961692" y="1544447"/>
              </a:cubicBezTo>
              <a:cubicBezTo>
                <a:pt x="3961692" y="1525220"/>
                <a:pt x="3977283" y="1509629"/>
                <a:pt x="3996511" y="1509629"/>
              </a:cubicBezTo>
              <a:cubicBezTo>
                <a:pt x="4015739" y="1509629"/>
                <a:pt x="4031330" y="1525220"/>
                <a:pt x="4031330" y="1544447"/>
              </a:cubicBezTo>
              <a:cubicBezTo>
                <a:pt x="4031330" y="1563675"/>
                <a:pt x="4015739" y="1579266"/>
                <a:pt x="3996511" y="1579266"/>
              </a:cubicBezTo>
              <a:close/>
              <a:moveTo>
                <a:pt x="4081403" y="1579266"/>
              </a:moveTo>
              <a:cubicBezTo>
                <a:pt x="4062176" y="1579266"/>
                <a:pt x="4046584" y="1563675"/>
                <a:pt x="4046584" y="1544447"/>
              </a:cubicBezTo>
              <a:cubicBezTo>
                <a:pt x="4046584" y="1525220"/>
                <a:pt x="4062176" y="1509629"/>
                <a:pt x="4081403" y="1509629"/>
              </a:cubicBezTo>
              <a:cubicBezTo>
                <a:pt x="4100631" y="1509629"/>
                <a:pt x="4116222" y="1525220"/>
                <a:pt x="4116222" y="1544447"/>
              </a:cubicBezTo>
              <a:cubicBezTo>
                <a:pt x="4116222" y="1563675"/>
                <a:pt x="4100631" y="1579266"/>
                <a:pt x="4081403" y="1579266"/>
              </a:cubicBezTo>
              <a:close/>
              <a:moveTo>
                <a:pt x="4166296" y="1579266"/>
              </a:moveTo>
              <a:cubicBezTo>
                <a:pt x="4147068" y="1579266"/>
                <a:pt x="4131477" y="1563675"/>
                <a:pt x="4131477" y="1544447"/>
              </a:cubicBezTo>
              <a:cubicBezTo>
                <a:pt x="4131477" y="1525220"/>
                <a:pt x="4147068" y="1509629"/>
                <a:pt x="4166296" y="1509629"/>
              </a:cubicBezTo>
              <a:cubicBezTo>
                <a:pt x="4185523" y="1509629"/>
                <a:pt x="4201114" y="1525220"/>
                <a:pt x="4201114" y="1544447"/>
              </a:cubicBezTo>
              <a:cubicBezTo>
                <a:pt x="4201114" y="1563675"/>
                <a:pt x="4185523" y="1579266"/>
                <a:pt x="4166296" y="1579266"/>
              </a:cubicBezTo>
              <a:close/>
              <a:moveTo>
                <a:pt x="4251188" y="1579266"/>
              </a:moveTo>
              <a:cubicBezTo>
                <a:pt x="4231960" y="1579266"/>
                <a:pt x="4216369" y="1563675"/>
                <a:pt x="4216369" y="1544447"/>
              </a:cubicBezTo>
              <a:cubicBezTo>
                <a:pt x="4216369" y="1525220"/>
                <a:pt x="4231960" y="1509629"/>
                <a:pt x="4251188" y="1509629"/>
              </a:cubicBezTo>
              <a:cubicBezTo>
                <a:pt x="4270416" y="1509629"/>
                <a:pt x="4286007" y="1525220"/>
                <a:pt x="4286007" y="1544447"/>
              </a:cubicBezTo>
              <a:cubicBezTo>
                <a:pt x="4286007" y="1563675"/>
                <a:pt x="4270416" y="1579266"/>
                <a:pt x="4251188" y="1579266"/>
              </a:cubicBezTo>
              <a:close/>
              <a:moveTo>
                <a:pt x="6458396" y="1579266"/>
              </a:moveTo>
              <a:cubicBezTo>
                <a:pt x="6439168" y="1579266"/>
                <a:pt x="6423570" y="1563675"/>
                <a:pt x="6423570" y="1544447"/>
              </a:cubicBezTo>
              <a:cubicBezTo>
                <a:pt x="6423570" y="1525220"/>
                <a:pt x="6439168" y="1509629"/>
                <a:pt x="6458396" y="1509629"/>
              </a:cubicBezTo>
              <a:cubicBezTo>
                <a:pt x="6477624" y="1509629"/>
                <a:pt x="6493208" y="1525220"/>
                <a:pt x="6493208" y="1544447"/>
              </a:cubicBezTo>
              <a:cubicBezTo>
                <a:pt x="6493208" y="1563675"/>
                <a:pt x="6477624" y="1579266"/>
                <a:pt x="6458396" y="1579266"/>
              </a:cubicBezTo>
              <a:close/>
              <a:moveTo>
                <a:pt x="6543288" y="1579266"/>
              </a:moveTo>
              <a:cubicBezTo>
                <a:pt x="6524060" y="1579266"/>
                <a:pt x="6508463" y="1563675"/>
                <a:pt x="6508463" y="1544447"/>
              </a:cubicBezTo>
              <a:cubicBezTo>
                <a:pt x="6508463" y="1525220"/>
                <a:pt x="6524060" y="1509629"/>
                <a:pt x="6543288" y="1509629"/>
              </a:cubicBezTo>
              <a:cubicBezTo>
                <a:pt x="6562516" y="1509629"/>
                <a:pt x="6578100" y="1525220"/>
                <a:pt x="6578100" y="1544447"/>
              </a:cubicBezTo>
              <a:cubicBezTo>
                <a:pt x="6578100" y="1563675"/>
                <a:pt x="6562516" y="1579266"/>
                <a:pt x="6543288" y="1579266"/>
              </a:cubicBezTo>
              <a:close/>
              <a:moveTo>
                <a:pt x="6628181" y="1579266"/>
              </a:moveTo>
              <a:cubicBezTo>
                <a:pt x="6608954" y="1579266"/>
                <a:pt x="6593356" y="1563675"/>
                <a:pt x="6593356" y="1544447"/>
              </a:cubicBezTo>
              <a:cubicBezTo>
                <a:pt x="6593356" y="1525220"/>
                <a:pt x="6608954" y="1509629"/>
                <a:pt x="6628181" y="1509629"/>
              </a:cubicBezTo>
              <a:cubicBezTo>
                <a:pt x="6647409" y="1509629"/>
                <a:pt x="6662994" y="1525220"/>
                <a:pt x="6662994" y="1544447"/>
              </a:cubicBezTo>
              <a:cubicBezTo>
                <a:pt x="6662994" y="1563675"/>
                <a:pt x="6647409" y="1579266"/>
                <a:pt x="6628181" y="1579266"/>
              </a:cubicBezTo>
              <a:close/>
              <a:moveTo>
                <a:pt x="6713074" y="1579266"/>
              </a:moveTo>
              <a:cubicBezTo>
                <a:pt x="6693846" y="1579266"/>
                <a:pt x="6678248" y="1563675"/>
                <a:pt x="6678248" y="1544447"/>
              </a:cubicBezTo>
              <a:cubicBezTo>
                <a:pt x="6678248" y="1525220"/>
                <a:pt x="6693846" y="1509629"/>
                <a:pt x="6713074" y="1509629"/>
              </a:cubicBezTo>
              <a:cubicBezTo>
                <a:pt x="6732301" y="1509629"/>
                <a:pt x="6747886" y="1525220"/>
                <a:pt x="6747886" y="1544447"/>
              </a:cubicBezTo>
              <a:cubicBezTo>
                <a:pt x="6747886" y="1563675"/>
                <a:pt x="6732301" y="1579266"/>
                <a:pt x="6713074" y="1579266"/>
              </a:cubicBezTo>
              <a:close/>
              <a:moveTo>
                <a:pt x="9429633" y="1579266"/>
              </a:moveTo>
              <a:cubicBezTo>
                <a:pt x="9410405" y="1579266"/>
                <a:pt x="9394807" y="1563675"/>
                <a:pt x="9394807" y="1544447"/>
              </a:cubicBezTo>
              <a:cubicBezTo>
                <a:pt x="9394807" y="1525220"/>
                <a:pt x="9410405" y="1509629"/>
                <a:pt x="9429633" y="1509629"/>
              </a:cubicBezTo>
              <a:cubicBezTo>
                <a:pt x="9448860" y="1509629"/>
                <a:pt x="9464445" y="1525220"/>
                <a:pt x="9464445" y="1544447"/>
              </a:cubicBezTo>
              <a:cubicBezTo>
                <a:pt x="9464445" y="1563675"/>
                <a:pt x="9448860" y="1579266"/>
                <a:pt x="9429633" y="1579266"/>
              </a:cubicBezTo>
              <a:close/>
              <a:moveTo>
                <a:pt x="9514525" y="1579266"/>
              </a:moveTo>
              <a:cubicBezTo>
                <a:pt x="9495297" y="1579266"/>
                <a:pt x="9479699" y="1563675"/>
                <a:pt x="9479699" y="1544447"/>
              </a:cubicBezTo>
              <a:cubicBezTo>
                <a:pt x="9479699" y="1525220"/>
                <a:pt x="9495297" y="1509629"/>
                <a:pt x="9514525" y="1509629"/>
              </a:cubicBezTo>
              <a:cubicBezTo>
                <a:pt x="9533753" y="1509629"/>
                <a:pt x="9549337" y="1525220"/>
                <a:pt x="9549337" y="1544447"/>
              </a:cubicBezTo>
              <a:cubicBezTo>
                <a:pt x="9549337" y="1563675"/>
                <a:pt x="9533753" y="1579266"/>
                <a:pt x="9514525" y="1579266"/>
              </a:cubicBezTo>
              <a:close/>
              <a:moveTo>
                <a:pt x="9599418" y="1579266"/>
              </a:moveTo>
              <a:cubicBezTo>
                <a:pt x="9580190" y="1579266"/>
                <a:pt x="9564593" y="1563675"/>
                <a:pt x="9564593" y="1544447"/>
              </a:cubicBezTo>
              <a:cubicBezTo>
                <a:pt x="9564593" y="1525220"/>
                <a:pt x="9580190" y="1509629"/>
                <a:pt x="9599418" y="1509629"/>
              </a:cubicBezTo>
              <a:cubicBezTo>
                <a:pt x="9618646" y="1509629"/>
                <a:pt x="9634230" y="1525220"/>
                <a:pt x="9634230" y="1544447"/>
              </a:cubicBezTo>
              <a:cubicBezTo>
                <a:pt x="9634230" y="1563675"/>
                <a:pt x="9618646" y="1579266"/>
                <a:pt x="9599418" y="1579266"/>
              </a:cubicBezTo>
              <a:close/>
              <a:moveTo>
                <a:pt x="9684310" y="1579266"/>
              </a:moveTo>
              <a:cubicBezTo>
                <a:pt x="9665083" y="1579266"/>
                <a:pt x="9649485" y="1563675"/>
                <a:pt x="9649485" y="1544447"/>
              </a:cubicBezTo>
              <a:cubicBezTo>
                <a:pt x="9649485" y="1525220"/>
                <a:pt x="9665083" y="1509629"/>
                <a:pt x="9684310" y="1509629"/>
              </a:cubicBezTo>
              <a:cubicBezTo>
                <a:pt x="9703538" y="1509629"/>
                <a:pt x="9719123" y="1525220"/>
                <a:pt x="9719123" y="1544447"/>
              </a:cubicBezTo>
              <a:cubicBezTo>
                <a:pt x="9719123" y="1563675"/>
                <a:pt x="9703538" y="1579266"/>
                <a:pt x="9684310" y="1579266"/>
              </a:cubicBezTo>
              <a:close/>
              <a:moveTo>
                <a:pt x="9769203" y="1579266"/>
              </a:moveTo>
              <a:cubicBezTo>
                <a:pt x="9749975" y="1579266"/>
                <a:pt x="9734377" y="1563675"/>
                <a:pt x="9734377" y="1544447"/>
              </a:cubicBezTo>
              <a:cubicBezTo>
                <a:pt x="9734377" y="1525220"/>
                <a:pt x="9749975" y="1509629"/>
                <a:pt x="9769203" y="1509629"/>
              </a:cubicBezTo>
              <a:cubicBezTo>
                <a:pt x="9788430" y="1509629"/>
                <a:pt x="9804015" y="1525220"/>
                <a:pt x="9804015" y="1544447"/>
              </a:cubicBezTo>
              <a:cubicBezTo>
                <a:pt x="9804015" y="1563675"/>
                <a:pt x="9788430" y="1579266"/>
                <a:pt x="9769203" y="1579266"/>
              </a:cubicBezTo>
              <a:close/>
              <a:moveTo>
                <a:pt x="9854095" y="1579266"/>
              </a:moveTo>
              <a:cubicBezTo>
                <a:pt x="9834867" y="1579266"/>
                <a:pt x="9819269" y="1563675"/>
                <a:pt x="9819269" y="1544447"/>
              </a:cubicBezTo>
              <a:cubicBezTo>
                <a:pt x="9819269" y="1525220"/>
                <a:pt x="9834867" y="1509629"/>
                <a:pt x="9854095" y="1509629"/>
              </a:cubicBezTo>
              <a:cubicBezTo>
                <a:pt x="9873323" y="1509629"/>
                <a:pt x="9888907" y="1525220"/>
                <a:pt x="9888907" y="1544447"/>
              </a:cubicBezTo>
              <a:cubicBezTo>
                <a:pt x="9888907" y="1563675"/>
                <a:pt x="9873323" y="1579266"/>
                <a:pt x="9854095" y="1579266"/>
              </a:cubicBezTo>
              <a:close/>
              <a:moveTo>
                <a:pt x="9938988" y="1579266"/>
              </a:moveTo>
              <a:cubicBezTo>
                <a:pt x="9919760" y="1579266"/>
                <a:pt x="9904163" y="1563675"/>
                <a:pt x="9904163" y="1544447"/>
              </a:cubicBezTo>
              <a:cubicBezTo>
                <a:pt x="9904163" y="1525220"/>
                <a:pt x="9919760" y="1509629"/>
                <a:pt x="9938988" y="1509629"/>
              </a:cubicBezTo>
              <a:cubicBezTo>
                <a:pt x="9958216" y="1509629"/>
                <a:pt x="9973800" y="1525220"/>
                <a:pt x="9973800" y="1544447"/>
              </a:cubicBezTo>
              <a:cubicBezTo>
                <a:pt x="9973800" y="1563675"/>
                <a:pt x="9958216" y="1579266"/>
                <a:pt x="9938988" y="1579266"/>
              </a:cubicBezTo>
              <a:close/>
              <a:moveTo>
                <a:pt x="10023880" y="1579266"/>
              </a:moveTo>
              <a:cubicBezTo>
                <a:pt x="10004653" y="1579266"/>
                <a:pt x="9989055" y="1563675"/>
                <a:pt x="9989055" y="1544447"/>
              </a:cubicBezTo>
              <a:cubicBezTo>
                <a:pt x="9989055" y="1525220"/>
                <a:pt x="10004653" y="1509629"/>
                <a:pt x="10023880" y="1509629"/>
              </a:cubicBezTo>
              <a:cubicBezTo>
                <a:pt x="10043108" y="1509629"/>
                <a:pt x="10058693" y="1525220"/>
                <a:pt x="10058693" y="1544447"/>
              </a:cubicBezTo>
              <a:cubicBezTo>
                <a:pt x="10058693" y="1563675"/>
                <a:pt x="10043108" y="1579266"/>
                <a:pt x="10023880" y="1579266"/>
              </a:cubicBezTo>
              <a:close/>
              <a:moveTo>
                <a:pt x="10108773" y="1579266"/>
              </a:moveTo>
              <a:cubicBezTo>
                <a:pt x="10089545" y="1579266"/>
                <a:pt x="10073947" y="1563675"/>
                <a:pt x="10073947" y="1544447"/>
              </a:cubicBezTo>
              <a:cubicBezTo>
                <a:pt x="10073947" y="1525220"/>
                <a:pt x="10089545" y="1509629"/>
                <a:pt x="10108773" y="1509629"/>
              </a:cubicBezTo>
              <a:cubicBezTo>
                <a:pt x="10128000" y="1509629"/>
                <a:pt x="10143585" y="1525220"/>
                <a:pt x="10143585" y="1544447"/>
              </a:cubicBezTo>
              <a:cubicBezTo>
                <a:pt x="10143585" y="1563675"/>
                <a:pt x="10128000" y="1579266"/>
                <a:pt x="10108773" y="1579266"/>
              </a:cubicBezTo>
              <a:close/>
              <a:moveTo>
                <a:pt x="10193665" y="1579266"/>
              </a:moveTo>
              <a:cubicBezTo>
                <a:pt x="10174437" y="1579266"/>
                <a:pt x="10158839" y="1563675"/>
                <a:pt x="10158839" y="1544447"/>
              </a:cubicBezTo>
              <a:cubicBezTo>
                <a:pt x="10158839" y="1525220"/>
                <a:pt x="10174437" y="1509629"/>
                <a:pt x="10193665" y="1509629"/>
              </a:cubicBezTo>
              <a:cubicBezTo>
                <a:pt x="10212893" y="1509629"/>
                <a:pt x="10228477" y="1525220"/>
                <a:pt x="10228477" y="1544447"/>
              </a:cubicBezTo>
              <a:cubicBezTo>
                <a:pt x="10228477" y="1563675"/>
                <a:pt x="10212893" y="1579266"/>
                <a:pt x="10193665" y="1579266"/>
              </a:cubicBezTo>
              <a:close/>
              <a:moveTo>
                <a:pt x="10278558" y="1579266"/>
              </a:moveTo>
              <a:cubicBezTo>
                <a:pt x="10259330" y="1579266"/>
                <a:pt x="10243733" y="1563675"/>
                <a:pt x="10243733" y="1544447"/>
              </a:cubicBezTo>
              <a:cubicBezTo>
                <a:pt x="10243733" y="1525220"/>
                <a:pt x="10259330" y="1509629"/>
                <a:pt x="10278558" y="1509629"/>
              </a:cubicBezTo>
              <a:cubicBezTo>
                <a:pt x="10297786" y="1509629"/>
                <a:pt x="10313370" y="1525220"/>
                <a:pt x="10313370" y="1544447"/>
              </a:cubicBezTo>
              <a:cubicBezTo>
                <a:pt x="10313370" y="1563675"/>
                <a:pt x="10297786" y="1579266"/>
                <a:pt x="10278558" y="1579266"/>
              </a:cubicBezTo>
              <a:close/>
              <a:moveTo>
                <a:pt x="10363450" y="1579266"/>
              </a:moveTo>
              <a:cubicBezTo>
                <a:pt x="10344223" y="1579266"/>
                <a:pt x="10328625" y="1563675"/>
                <a:pt x="10328625" y="1544447"/>
              </a:cubicBezTo>
              <a:cubicBezTo>
                <a:pt x="10328625" y="1525220"/>
                <a:pt x="10344223" y="1509629"/>
                <a:pt x="10363450" y="1509629"/>
              </a:cubicBezTo>
              <a:cubicBezTo>
                <a:pt x="10382678" y="1509629"/>
                <a:pt x="10398263" y="1525220"/>
                <a:pt x="10398263" y="1544447"/>
              </a:cubicBezTo>
              <a:cubicBezTo>
                <a:pt x="10398263" y="1563675"/>
                <a:pt x="10382678" y="1579266"/>
                <a:pt x="10363450" y="1579266"/>
              </a:cubicBezTo>
              <a:close/>
              <a:moveTo>
                <a:pt x="10448343" y="1579266"/>
              </a:moveTo>
              <a:cubicBezTo>
                <a:pt x="10429115" y="1579266"/>
                <a:pt x="10413517" y="1563675"/>
                <a:pt x="10413517" y="1544447"/>
              </a:cubicBezTo>
              <a:cubicBezTo>
                <a:pt x="10413517" y="1525220"/>
                <a:pt x="10429115" y="1509629"/>
                <a:pt x="10448343" y="1509629"/>
              </a:cubicBezTo>
              <a:cubicBezTo>
                <a:pt x="10467570" y="1509629"/>
                <a:pt x="10483155" y="1525220"/>
                <a:pt x="10483155" y="1544447"/>
              </a:cubicBezTo>
              <a:cubicBezTo>
                <a:pt x="10483155" y="1563675"/>
                <a:pt x="10467570" y="1579266"/>
                <a:pt x="10448343" y="1579266"/>
              </a:cubicBezTo>
              <a:close/>
              <a:moveTo>
                <a:pt x="10533235" y="1579266"/>
              </a:moveTo>
              <a:cubicBezTo>
                <a:pt x="10514007" y="1579266"/>
                <a:pt x="10498409" y="1563675"/>
                <a:pt x="10498409" y="1544447"/>
              </a:cubicBezTo>
              <a:cubicBezTo>
                <a:pt x="10498409" y="1525220"/>
                <a:pt x="10514007" y="1509629"/>
                <a:pt x="10533235" y="1509629"/>
              </a:cubicBezTo>
              <a:cubicBezTo>
                <a:pt x="10552463" y="1509629"/>
                <a:pt x="10568047" y="1525220"/>
                <a:pt x="10568047" y="1544447"/>
              </a:cubicBezTo>
              <a:cubicBezTo>
                <a:pt x="10568047" y="1563675"/>
                <a:pt x="10552463" y="1579266"/>
                <a:pt x="10533235" y="1579266"/>
              </a:cubicBezTo>
              <a:close/>
              <a:moveTo>
                <a:pt x="10618128" y="1579266"/>
              </a:moveTo>
              <a:cubicBezTo>
                <a:pt x="10598900" y="1579266"/>
                <a:pt x="10583303" y="1563675"/>
                <a:pt x="10583303" y="1544447"/>
              </a:cubicBezTo>
              <a:cubicBezTo>
                <a:pt x="10583303" y="1525220"/>
                <a:pt x="10598900" y="1509629"/>
                <a:pt x="10618128" y="1509629"/>
              </a:cubicBezTo>
              <a:cubicBezTo>
                <a:pt x="10637356" y="1509629"/>
                <a:pt x="10652940" y="1525220"/>
                <a:pt x="10652940" y="1544447"/>
              </a:cubicBezTo>
              <a:cubicBezTo>
                <a:pt x="10652940" y="1563675"/>
                <a:pt x="10637356" y="1579266"/>
                <a:pt x="10618128" y="1579266"/>
              </a:cubicBezTo>
              <a:close/>
              <a:moveTo>
                <a:pt x="3741833" y="1494406"/>
              </a:moveTo>
              <a:cubicBezTo>
                <a:pt x="3722606" y="1494406"/>
                <a:pt x="3707014" y="1478815"/>
                <a:pt x="3707014" y="1459588"/>
              </a:cubicBezTo>
              <a:cubicBezTo>
                <a:pt x="3707014" y="1440360"/>
                <a:pt x="3722606" y="1424769"/>
                <a:pt x="3741833" y="1424769"/>
              </a:cubicBezTo>
              <a:cubicBezTo>
                <a:pt x="3761061" y="1424769"/>
                <a:pt x="3776652" y="1440360"/>
                <a:pt x="3776652" y="1459588"/>
              </a:cubicBezTo>
              <a:cubicBezTo>
                <a:pt x="3776652" y="1478815"/>
                <a:pt x="3761061" y="1494406"/>
                <a:pt x="3741833" y="1494406"/>
              </a:cubicBezTo>
              <a:close/>
              <a:moveTo>
                <a:pt x="3826726" y="1494406"/>
              </a:moveTo>
              <a:cubicBezTo>
                <a:pt x="3807498" y="1494406"/>
                <a:pt x="3791907" y="1478815"/>
                <a:pt x="3791907" y="1459588"/>
              </a:cubicBezTo>
              <a:cubicBezTo>
                <a:pt x="3791907" y="1440360"/>
                <a:pt x="3807498" y="1424769"/>
                <a:pt x="3826726" y="1424769"/>
              </a:cubicBezTo>
              <a:cubicBezTo>
                <a:pt x="3845953" y="1424769"/>
                <a:pt x="3861544" y="1440360"/>
                <a:pt x="3861544" y="1459588"/>
              </a:cubicBezTo>
              <a:cubicBezTo>
                <a:pt x="3861544" y="1478815"/>
                <a:pt x="3845953" y="1494406"/>
                <a:pt x="3826726" y="1494406"/>
              </a:cubicBezTo>
              <a:close/>
              <a:moveTo>
                <a:pt x="3911618" y="1494406"/>
              </a:moveTo>
              <a:cubicBezTo>
                <a:pt x="3892390" y="1494406"/>
                <a:pt x="3876799" y="1478815"/>
                <a:pt x="3876799" y="1459588"/>
              </a:cubicBezTo>
              <a:cubicBezTo>
                <a:pt x="3876799" y="1440360"/>
                <a:pt x="3892390" y="1424769"/>
                <a:pt x="3911618" y="1424769"/>
              </a:cubicBezTo>
              <a:cubicBezTo>
                <a:pt x="3930846" y="1424769"/>
                <a:pt x="3946437" y="1440360"/>
                <a:pt x="3946437" y="1459588"/>
              </a:cubicBezTo>
              <a:cubicBezTo>
                <a:pt x="3946437" y="1478815"/>
                <a:pt x="3930846" y="1494406"/>
                <a:pt x="3911618" y="1494406"/>
              </a:cubicBezTo>
              <a:close/>
              <a:moveTo>
                <a:pt x="3996511" y="1494406"/>
              </a:moveTo>
              <a:cubicBezTo>
                <a:pt x="3977283" y="1494406"/>
                <a:pt x="3961692" y="1478815"/>
                <a:pt x="3961692" y="1459588"/>
              </a:cubicBezTo>
              <a:cubicBezTo>
                <a:pt x="3961692" y="1440360"/>
                <a:pt x="3977283" y="1424769"/>
                <a:pt x="3996511" y="1424769"/>
              </a:cubicBezTo>
              <a:cubicBezTo>
                <a:pt x="4015739" y="1424769"/>
                <a:pt x="4031330" y="1440360"/>
                <a:pt x="4031330" y="1459588"/>
              </a:cubicBezTo>
              <a:cubicBezTo>
                <a:pt x="4031330" y="1478815"/>
                <a:pt x="4015739" y="1494406"/>
                <a:pt x="3996511" y="1494406"/>
              </a:cubicBezTo>
              <a:close/>
              <a:moveTo>
                <a:pt x="4081403" y="1494406"/>
              </a:moveTo>
              <a:cubicBezTo>
                <a:pt x="4062176" y="1494406"/>
                <a:pt x="4046584" y="1478815"/>
                <a:pt x="4046584" y="1459588"/>
              </a:cubicBezTo>
              <a:cubicBezTo>
                <a:pt x="4046584" y="1440360"/>
                <a:pt x="4062176" y="1424769"/>
                <a:pt x="4081403" y="1424769"/>
              </a:cubicBezTo>
              <a:cubicBezTo>
                <a:pt x="4100631" y="1424769"/>
                <a:pt x="4116222" y="1440360"/>
                <a:pt x="4116222" y="1459588"/>
              </a:cubicBezTo>
              <a:cubicBezTo>
                <a:pt x="4116222" y="1478815"/>
                <a:pt x="4100631" y="1494406"/>
                <a:pt x="4081403" y="1494406"/>
              </a:cubicBezTo>
              <a:close/>
              <a:moveTo>
                <a:pt x="4166296" y="1494406"/>
              </a:moveTo>
              <a:cubicBezTo>
                <a:pt x="4147068" y="1494406"/>
                <a:pt x="4131477" y="1478815"/>
                <a:pt x="4131477" y="1459588"/>
              </a:cubicBezTo>
              <a:cubicBezTo>
                <a:pt x="4131477" y="1440360"/>
                <a:pt x="4147068" y="1424769"/>
                <a:pt x="4166296" y="1424769"/>
              </a:cubicBezTo>
              <a:cubicBezTo>
                <a:pt x="4185523" y="1424769"/>
                <a:pt x="4201114" y="1440360"/>
                <a:pt x="4201114" y="1459588"/>
              </a:cubicBezTo>
              <a:cubicBezTo>
                <a:pt x="4201114" y="1478815"/>
                <a:pt x="4185523" y="1494406"/>
                <a:pt x="4166296" y="1494406"/>
              </a:cubicBezTo>
              <a:close/>
              <a:moveTo>
                <a:pt x="4251188" y="1494406"/>
              </a:moveTo>
              <a:cubicBezTo>
                <a:pt x="4231960" y="1494406"/>
                <a:pt x="4216369" y="1478815"/>
                <a:pt x="4216369" y="1459588"/>
              </a:cubicBezTo>
              <a:cubicBezTo>
                <a:pt x="4216369" y="1440360"/>
                <a:pt x="4231960" y="1424769"/>
                <a:pt x="4251188" y="1424769"/>
              </a:cubicBezTo>
              <a:cubicBezTo>
                <a:pt x="4270416" y="1424769"/>
                <a:pt x="4286007" y="1440360"/>
                <a:pt x="4286007" y="1459588"/>
              </a:cubicBezTo>
              <a:cubicBezTo>
                <a:pt x="4286007" y="1478815"/>
                <a:pt x="4270416" y="1494406"/>
                <a:pt x="4251188" y="1494406"/>
              </a:cubicBezTo>
              <a:close/>
              <a:moveTo>
                <a:pt x="6458396" y="1494406"/>
              </a:moveTo>
              <a:cubicBezTo>
                <a:pt x="6439168" y="1494406"/>
                <a:pt x="6423570" y="1478815"/>
                <a:pt x="6423570" y="1459588"/>
              </a:cubicBezTo>
              <a:cubicBezTo>
                <a:pt x="6423570" y="1440360"/>
                <a:pt x="6439168" y="1424769"/>
                <a:pt x="6458396" y="1424769"/>
              </a:cubicBezTo>
              <a:cubicBezTo>
                <a:pt x="6477624" y="1424769"/>
                <a:pt x="6493208" y="1440360"/>
                <a:pt x="6493208" y="1459588"/>
              </a:cubicBezTo>
              <a:cubicBezTo>
                <a:pt x="6493208" y="1478815"/>
                <a:pt x="6477624" y="1494406"/>
                <a:pt x="6458396" y="1494406"/>
              </a:cubicBezTo>
              <a:close/>
              <a:moveTo>
                <a:pt x="6543288" y="1494406"/>
              </a:moveTo>
              <a:cubicBezTo>
                <a:pt x="6524060" y="1494406"/>
                <a:pt x="6508463" y="1478815"/>
                <a:pt x="6508463" y="1459588"/>
              </a:cubicBezTo>
              <a:cubicBezTo>
                <a:pt x="6508463" y="1440360"/>
                <a:pt x="6524060" y="1424769"/>
                <a:pt x="6543288" y="1424769"/>
              </a:cubicBezTo>
              <a:cubicBezTo>
                <a:pt x="6562516" y="1424769"/>
                <a:pt x="6578100" y="1440360"/>
                <a:pt x="6578100" y="1459588"/>
              </a:cubicBezTo>
              <a:cubicBezTo>
                <a:pt x="6578100" y="1478815"/>
                <a:pt x="6562516" y="1494406"/>
                <a:pt x="6543288" y="1494406"/>
              </a:cubicBezTo>
              <a:close/>
              <a:moveTo>
                <a:pt x="6628181" y="1494406"/>
              </a:moveTo>
              <a:cubicBezTo>
                <a:pt x="6608954" y="1494406"/>
                <a:pt x="6593356" y="1478815"/>
                <a:pt x="6593356" y="1459588"/>
              </a:cubicBezTo>
              <a:cubicBezTo>
                <a:pt x="6593356" y="1440360"/>
                <a:pt x="6608954" y="1424769"/>
                <a:pt x="6628181" y="1424769"/>
              </a:cubicBezTo>
              <a:cubicBezTo>
                <a:pt x="6647409" y="1424769"/>
                <a:pt x="6662994" y="1440360"/>
                <a:pt x="6662994" y="1459588"/>
              </a:cubicBezTo>
              <a:cubicBezTo>
                <a:pt x="6662994" y="1478815"/>
                <a:pt x="6647409" y="1494406"/>
                <a:pt x="6628181" y="1494406"/>
              </a:cubicBezTo>
              <a:close/>
              <a:moveTo>
                <a:pt x="9429633" y="1494406"/>
              </a:moveTo>
              <a:cubicBezTo>
                <a:pt x="9410405" y="1494406"/>
                <a:pt x="9394807" y="1478815"/>
                <a:pt x="9394807" y="1459588"/>
              </a:cubicBezTo>
              <a:cubicBezTo>
                <a:pt x="9394807" y="1440360"/>
                <a:pt x="9410405" y="1424769"/>
                <a:pt x="9429633" y="1424769"/>
              </a:cubicBezTo>
              <a:cubicBezTo>
                <a:pt x="9448860" y="1424769"/>
                <a:pt x="9464445" y="1440360"/>
                <a:pt x="9464445" y="1459588"/>
              </a:cubicBezTo>
              <a:cubicBezTo>
                <a:pt x="9464445" y="1478815"/>
                <a:pt x="9448860" y="1494406"/>
                <a:pt x="9429633" y="1494406"/>
              </a:cubicBezTo>
              <a:close/>
              <a:moveTo>
                <a:pt x="9514525" y="1494406"/>
              </a:moveTo>
              <a:cubicBezTo>
                <a:pt x="9495297" y="1494406"/>
                <a:pt x="9479699" y="1478815"/>
                <a:pt x="9479699" y="1459588"/>
              </a:cubicBezTo>
              <a:cubicBezTo>
                <a:pt x="9479699" y="1440360"/>
                <a:pt x="9495297" y="1424769"/>
                <a:pt x="9514525" y="1424769"/>
              </a:cubicBezTo>
              <a:cubicBezTo>
                <a:pt x="9533753" y="1424769"/>
                <a:pt x="9549337" y="1440360"/>
                <a:pt x="9549337" y="1459588"/>
              </a:cubicBezTo>
              <a:cubicBezTo>
                <a:pt x="9549337" y="1478815"/>
                <a:pt x="9533753" y="1494406"/>
                <a:pt x="9514525" y="1494406"/>
              </a:cubicBezTo>
              <a:close/>
              <a:moveTo>
                <a:pt x="9599418" y="1494406"/>
              </a:moveTo>
              <a:cubicBezTo>
                <a:pt x="9580190" y="1494406"/>
                <a:pt x="9564593" y="1478815"/>
                <a:pt x="9564593" y="1459588"/>
              </a:cubicBezTo>
              <a:cubicBezTo>
                <a:pt x="9564593" y="1440360"/>
                <a:pt x="9580190" y="1424769"/>
                <a:pt x="9599418" y="1424769"/>
              </a:cubicBezTo>
              <a:cubicBezTo>
                <a:pt x="9618646" y="1424769"/>
                <a:pt x="9634230" y="1440360"/>
                <a:pt x="9634230" y="1459588"/>
              </a:cubicBezTo>
              <a:cubicBezTo>
                <a:pt x="9634230" y="1478815"/>
                <a:pt x="9618646" y="1494406"/>
                <a:pt x="9599418" y="1494406"/>
              </a:cubicBezTo>
              <a:close/>
              <a:moveTo>
                <a:pt x="9684310" y="1494406"/>
              </a:moveTo>
              <a:cubicBezTo>
                <a:pt x="9665083" y="1494406"/>
                <a:pt x="9649485" y="1478815"/>
                <a:pt x="9649485" y="1459588"/>
              </a:cubicBezTo>
              <a:cubicBezTo>
                <a:pt x="9649485" y="1440360"/>
                <a:pt x="9665083" y="1424769"/>
                <a:pt x="9684310" y="1424769"/>
              </a:cubicBezTo>
              <a:cubicBezTo>
                <a:pt x="9703538" y="1424769"/>
                <a:pt x="9719123" y="1440360"/>
                <a:pt x="9719123" y="1459588"/>
              </a:cubicBezTo>
              <a:cubicBezTo>
                <a:pt x="9719123" y="1478815"/>
                <a:pt x="9703538" y="1494406"/>
                <a:pt x="9684310" y="1494406"/>
              </a:cubicBezTo>
              <a:close/>
              <a:moveTo>
                <a:pt x="9769203" y="1494406"/>
              </a:moveTo>
              <a:cubicBezTo>
                <a:pt x="9749975" y="1494406"/>
                <a:pt x="9734377" y="1478815"/>
                <a:pt x="9734377" y="1459588"/>
              </a:cubicBezTo>
              <a:cubicBezTo>
                <a:pt x="9734377" y="1440360"/>
                <a:pt x="9749975" y="1424769"/>
                <a:pt x="9769203" y="1424769"/>
              </a:cubicBezTo>
              <a:cubicBezTo>
                <a:pt x="9788430" y="1424769"/>
                <a:pt x="9804015" y="1440360"/>
                <a:pt x="9804015" y="1459588"/>
              </a:cubicBezTo>
              <a:cubicBezTo>
                <a:pt x="9804015" y="1478815"/>
                <a:pt x="9788430" y="1494406"/>
                <a:pt x="9769203" y="1494406"/>
              </a:cubicBezTo>
              <a:close/>
              <a:moveTo>
                <a:pt x="9854095" y="1494406"/>
              </a:moveTo>
              <a:cubicBezTo>
                <a:pt x="9834867" y="1494406"/>
                <a:pt x="9819269" y="1478815"/>
                <a:pt x="9819269" y="1459588"/>
              </a:cubicBezTo>
              <a:cubicBezTo>
                <a:pt x="9819269" y="1440360"/>
                <a:pt x="9834867" y="1424769"/>
                <a:pt x="9854095" y="1424769"/>
              </a:cubicBezTo>
              <a:cubicBezTo>
                <a:pt x="9873323" y="1424769"/>
                <a:pt x="9888907" y="1440360"/>
                <a:pt x="9888907" y="1459588"/>
              </a:cubicBezTo>
              <a:cubicBezTo>
                <a:pt x="9888907" y="1478815"/>
                <a:pt x="9873323" y="1494406"/>
                <a:pt x="9854095" y="1494406"/>
              </a:cubicBezTo>
              <a:close/>
              <a:moveTo>
                <a:pt x="9938988" y="1494406"/>
              </a:moveTo>
              <a:cubicBezTo>
                <a:pt x="9919760" y="1494406"/>
                <a:pt x="9904163" y="1478815"/>
                <a:pt x="9904163" y="1459588"/>
              </a:cubicBezTo>
              <a:cubicBezTo>
                <a:pt x="9904163" y="1440360"/>
                <a:pt x="9919760" y="1424769"/>
                <a:pt x="9938988" y="1424769"/>
              </a:cubicBezTo>
              <a:cubicBezTo>
                <a:pt x="9958216" y="1424769"/>
                <a:pt x="9973800" y="1440360"/>
                <a:pt x="9973800" y="1459588"/>
              </a:cubicBezTo>
              <a:cubicBezTo>
                <a:pt x="9973800" y="1478815"/>
                <a:pt x="9958216" y="1494406"/>
                <a:pt x="9938988" y="1494406"/>
              </a:cubicBezTo>
              <a:close/>
              <a:moveTo>
                <a:pt x="10023880" y="1494406"/>
              </a:moveTo>
              <a:cubicBezTo>
                <a:pt x="10004653" y="1494406"/>
                <a:pt x="9989055" y="1478815"/>
                <a:pt x="9989055" y="1459588"/>
              </a:cubicBezTo>
              <a:cubicBezTo>
                <a:pt x="9989055" y="1440360"/>
                <a:pt x="10004653" y="1424769"/>
                <a:pt x="10023880" y="1424769"/>
              </a:cubicBezTo>
              <a:cubicBezTo>
                <a:pt x="10043108" y="1424769"/>
                <a:pt x="10058693" y="1440360"/>
                <a:pt x="10058693" y="1459588"/>
              </a:cubicBezTo>
              <a:cubicBezTo>
                <a:pt x="10058693" y="1478815"/>
                <a:pt x="10043108" y="1494406"/>
                <a:pt x="10023880" y="1494406"/>
              </a:cubicBezTo>
              <a:close/>
              <a:moveTo>
                <a:pt x="10108773" y="1494406"/>
              </a:moveTo>
              <a:cubicBezTo>
                <a:pt x="10089545" y="1494406"/>
                <a:pt x="10073947" y="1478815"/>
                <a:pt x="10073947" y="1459588"/>
              </a:cubicBezTo>
              <a:cubicBezTo>
                <a:pt x="10073947" y="1440360"/>
                <a:pt x="10089545" y="1424769"/>
                <a:pt x="10108773" y="1424769"/>
              </a:cubicBezTo>
              <a:cubicBezTo>
                <a:pt x="10128000" y="1424769"/>
                <a:pt x="10143585" y="1440360"/>
                <a:pt x="10143585" y="1459588"/>
              </a:cubicBezTo>
              <a:cubicBezTo>
                <a:pt x="10143585" y="1478815"/>
                <a:pt x="10128000" y="1494406"/>
                <a:pt x="10108773" y="1494406"/>
              </a:cubicBezTo>
              <a:close/>
              <a:moveTo>
                <a:pt x="10193665" y="1494406"/>
              </a:moveTo>
              <a:cubicBezTo>
                <a:pt x="10174437" y="1494406"/>
                <a:pt x="10158839" y="1478815"/>
                <a:pt x="10158839" y="1459588"/>
              </a:cubicBezTo>
              <a:cubicBezTo>
                <a:pt x="10158839" y="1440360"/>
                <a:pt x="10174437" y="1424769"/>
                <a:pt x="10193665" y="1424769"/>
              </a:cubicBezTo>
              <a:cubicBezTo>
                <a:pt x="10212893" y="1424769"/>
                <a:pt x="10228477" y="1440360"/>
                <a:pt x="10228477" y="1459588"/>
              </a:cubicBezTo>
              <a:cubicBezTo>
                <a:pt x="10228477" y="1478815"/>
                <a:pt x="10212893" y="1494406"/>
                <a:pt x="10193665" y="1494406"/>
              </a:cubicBezTo>
              <a:close/>
              <a:moveTo>
                <a:pt x="10278558" y="1494406"/>
              </a:moveTo>
              <a:cubicBezTo>
                <a:pt x="10259330" y="1494406"/>
                <a:pt x="10243733" y="1478815"/>
                <a:pt x="10243733" y="1459588"/>
              </a:cubicBezTo>
              <a:cubicBezTo>
                <a:pt x="10243733" y="1440360"/>
                <a:pt x="10259330" y="1424769"/>
                <a:pt x="10278558" y="1424769"/>
              </a:cubicBezTo>
              <a:cubicBezTo>
                <a:pt x="10297786" y="1424769"/>
                <a:pt x="10313370" y="1440360"/>
                <a:pt x="10313370" y="1459588"/>
              </a:cubicBezTo>
              <a:cubicBezTo>
                <a:pt x="10313370" y="1478815"/>
                <a:pt x="10297786" y="1494406"/>
                <a:pt x="10278558" y="1494406"/>
              </a:cubicBezTo>
              <a:close/>
              <a:moveTo>
                <a:pt x="10363450" y="1494406"/>
              </a:moveTo>
              <a:cubicBezTo>
                <a:pt x="10344223" y="1494406"/>
                <a:pt x="10328625" y="1478815"/>
                <a:pt x="10328625" y="1459588"/>
              </a:cubicBezTo>
              <a:cubicBezTo>
                <a:pt x="10328625" y="1440360"/>
                <a:pt x="10344223" y="1424769"/>
                <a:pt x="10363450" y="1424769"/>
              </a:cubicBezTo>
              <a:cubicBezTo>
                <a:pt x="10382678" y="1424769"/>
                <a:pt x="10398263" y="1440360"/>
                <a:pt x="10398263" y="1459588"/>
              </a:cubicBezTo>
              <a:cubicBezTo>
                <a:pt x="10398263" y="1478815"/>
                <a:pt x="10382678" y="1494406"/>
                <a:pt x="10363450" y="1494406"/>
              </a:cubicBezTo>
              <a:close/>
              <a:moveTo>
                <a:pt x="10448343" y="1494406"/>
              </a:moveTo>
              <a:cubicBezTo>
                <a:pt x="10429115" y="1494406"/>
                <a:pt x="10413517" y="1478815"/>
                <a:pt x="10413517" y="1459588"/>
              </a:cubicBezTo>
              <a:cubicBezTo>
                <a:pt x="10413517" y="1440360"/>
                <a:pt x="10429115" y="1424769"/>
                <a:pt x="10448343" y="1424769"/>
              </a:cubicBezTo>
              <a:cubicBezTo>
                <a:pt x="10467570" y="1424769"/>
                <a:pt x="10483155" y="1440360"/>
                <a:pt x="10483155" y="1459588"/>
              </a:cubicBezTo>
              <a:cubicBezTo>
                <a:pt x="10483155" y="1478815"/>
                <a:pt x="10467570" y="1494406"/>
                <a:pt x="10448343" y="1494406"/>
              </a:cubicBezTo>
              <a:close/>
              <a:moveTo>
                <a:pt x="10533235" y="1494406"/>
              </a:moveTo>
              <a:cubicBezTo>
                <a:pt x="10514007" y="1494406"/>
                <a:pt x="10498409" y="1478815"/>
                <a:pt x="10498409" y="1459588"/>
              </a:cubicBezTo>
              <a:cubicBezTo>
                <a:pt x="10498409" y="1440360"/>
                <a:pt x="10514007" y="1424769"/>
                <a:pt x="10533235" y="1424769"/>
              </a:cubicBezTo>
              <a:cubicBezTo>
                <a:pt x="10552463" y="1424769"/>
                <a:pt x="10568047" y="1440360"/>
                <a:pt x="10568047" y="1459588"/>
              </a:cubicBezTo>
              <a:cubicBezTo>
                <a:pt x="10568047" y="1478815"/>
                <a:pt x="10552463" y="1494406"/>
                <a:pt x="10533235" y="1494406"/>
              </a:cubicBezTo>
              <a:close/>
              <a:moveTo>
                <a:pt x="3741833" y="1409547"/>
              </a:moveTo>
              <a:cubicBezTo>
                <a:pt x="3722606" y="1409547"/>
                <a:pt x="3707014" y="1393956"/>
                <a:pt x="3707014" y="1374728"/>
              </a:cubicBezTo>
              <a:cubicBezTo>
                <a:pt x="3707014" y="1355500"/>
                <a:pt x="3722606" y="1339909"/>
                <a:pt x="3741833" y="1339909"/>
              </a:cubicBezTo>
              <a:cubicBezTo>
                <a:pt x="3761061" y="1339909"/>
                <a:pt x="3776652" y="1355500"/>
                <a:pt x="3776652" y="1374728"/>
              </a:cubicBezTo>
              <a:cubicBezTo>
                <a:pt x="3776652" y="1393956"/>
                <a:pt x="3761061" y="1409547"/>
                <a:pt x="3741833" y="1409547"/>
              </a:cubicBezTo>
              <a:close/>
              <a:moveTo>
                <a:pt x="3826726" y="1409547"/>
              </a:moveTo>
              <a:cubicBezTo>
                <a:pt x="3807498" y="1409547"/>
                <a:pt x="3791907" y="1393956"/>
                <a:pt x="3791907" y="1374728"/>
              </a:cubicBezTo>
              <a:cubicBezTo>
                <a:pt x="3791907" y="1355500"/>
                <a:pt x="3807498" y="1339909"/>
                <a:pt x="3826726" y="1339909"/>
              </a:cubicBezTo>
              <a:cubicBezTo>
                <a:pt x="3845953" y="1339909"/>
                <a:pt x="3861544" y="1355500"/>
                <a:pt x="3861544" y="1374728"/>
              </a:cubicBezTo>
              <a:cubicBezTo>
                <a:pt x="3861544" y="1393956"/>
                <a:pt x="3845953" y="1409547"/>
                <a:pt x="3826726" y="1409547"/>
              </a:cubicBezTo>
              <a:close/>
              <a:moveTo>
                <a:pt x="3911618" y="1409547"/>
              </a:moveTo>
              <a:cubicBezTo>
                <a:pt x="3892390" y="1409547"/>
                <a:pt x="3876799" y="1393956"/>
                <a:pt x="3876799" y="1374728"/>
              </a:cubicBezTo>
              <a:cubicBezTo>
                <a:pt x="3876799" y="1355500"/>
                <a:pt x="3892390" y="1339909"/>
                <a:pt x="3911618" y="1339909"/>
              </a:cubicBezTo>
              <a:cubicBezTo>
                <a:pt x="3930846" y="1339909"/>
                <a:pt x="3946437" y="1355500"/>
                <a:pt x="3946437" y="1374728"/>
              </a:cubicBezTo>
              <a:cubicBezTo>
                <a:pt x="3946437" y="1393956"/>
                <a:pt x="3930846" y="1409547"/>
                <a:pt x="3911618" y="1409547"/>
              </a:cubicBezTo>
              <a:close/>
              <a:moveTo>
                <a:pt x="3996511" y="1409547"/>
              </a:moveTo>
              <a:cubicBezTo>
                <a:pt x="3977283" y="1409547"/>
                <a:pt x="3961692" y="1393956"/>
                <a:pt x="3961692" y="1374728"/>
              </a:cubicBezTo>
              <a:cubicBezTo>
                <a:pt x="3961692" y="1355500"/>
                <a:pt x="3977283" y="1339909"/>
                <a:pt x="3996511" y="1339909"/>
              </a:cubicBezTo>
              <a:cubicBezTo>
                <a:pt x="4015739" y="1339909"/>
                <a:pt x="4031330" y="1355500"/>
                <a:pt x="4031330" y="1374728"/>
              </a:cubicBezTo>
              <a:cubicBezTo>
                <a:pt x="4031330" y="1393956"/>
                <a:pt x="4015739" y="1409547"/>
                <a:pt x="3996511" y="1409547"/>
              </a:cubicBezTo>
              <a:close/>
              <a:moveTo>
                <a:pt x="4081403" y="1409547"/>
              </a:moveTo>
              <a:cubicBezTo>
                <a:pt x="4062176" y="1409547"/>
                <a:pt x="4046584" y="1393956"/>
                <a:pt x="4046584" y="1374728"/>
              </a:cubicBezTo>
              <a:cubicBezTo>
                <a:pt x="4046584" y="1355500"/>
                <a:pt x="4062176" y="1339909"/>
                <a:pt x="4081403" y="1339909"/>
              </a:cubicBezTo>
              <a:cubicBezTo>
                <a:pt x="4100631" y="1339909"/>
                <a:pt x="4116222" y="1355500"/>
                <a:pt x="4116222" y="1374728"/>
              </a:cubicBezTo>
              <a:cubicBezTo>
                <a:pt x="4116222" y="1393956"/>
                <a:pt x="4100631" y="1409547"/>
                <a:pt x="4081403" y="1409547"/>
              </a:cubicBezTo>
              <a:close/>
              <a:moveTo>
                <a:pt x="9429633" y="1409547"/>
              </a:moveTo>
              <a:cubicBezTo>
                <a:pt x="9410405" y="1409547"/>
                <a:pt x="9394807" y="1393956"/>
                <a:pt x="9394807" y="1374728"/>
              </a:cubicBezTo>
              <a:cubicBezTo>
                <a:pt x="9394807" y="1355500"/>
                <a:pt x="9410405" y="1339909"/>
                <a:pt x="9429633" y="1339909"/>
              </a:cubicBezTo>
              <a:cubicBezTo>
                <a:pt x="9448860" y="1339909"/>
                <a:pt x="9464445" y="1355500"/>
                <a:pt x="9464445" y="1374728"/>
              </a:cubicBezTo>
              <a:cubicBezTo>
                <a:pt x="9464445" y="1393956"/>
                <a:pt x="9448860" y="1409547"/>
                <a:pt x="9429633" y="1409547"/>
              </a:cubicBezTo>
              <a:close/>
              <a:moveTo>
                <a:pt x="9514525" y="1409547"/>
              </a:moveTo>
              <a:cubicBezTo>
                <a:pt x="9495297" y="1409547"/>
                <a:pt x="9479699" y="1393956"/>
                <a:pt x="9479699" y="1374728"/>
              </a:cubicBezTo>
              <a:cubicBezTo>
                <a:pt x="9479699" y="1355500"/>
                <a:pt x="9495297" y="1339909"/>
                <a:pt x="9514525" y="1339909"/>
              </a:cubicBezTo>
              <a:cubicBezTo>
                <a:pt x="9533753" y="1339909"/>
                <a:pt x="9549337" y="1355500"/>
                <a:pt x="9549337" y="1374728"/>
              </a:cubicBezTo>
              <a:cubicBezTo>
                <a:pt x="9549337" y="1393956"/>
                <a:pt x="9533753" y="1409547"/>
                <a:pt x="9514525" y="1409547"/>
              </a:cubicBezTo>
              <a:close/>
              <a:moveTo>
                <a:pt x="9599418" y="1409547"/>
              </a:moveTo>
              <a:cubicBezTo>
                <a:pt x="9580190" y="1409547"/>
                <a:pt x="9564593" y="1393956"/>
                <a:pt x="9564593" y="1374728"/>
              </a:cubicBezTo>
              <a:cubicBezTo>
                <a:pt x="9564593" y="1355500"/>
                <a:pt x="9580190" y="1339909"/>
                <a:pt x="9599418" y="1339909"/>
              </a:cubicBezTo>
              <a:cubicBezTo>
                <a:pt x="9618646" y="1339909"/>
                <a:pt x="9634230" y="1355500"/>
                <a:pt x="9634230" y="1374728"/>
              </a:cubicBezTo>
              <a:cubicBezTo>
                <a:pt x="9634230" y="1393956"/>
                <a:pt x="9618646" y="1409547"/>
                <a:pt x="9599418" y="1409547"/>
              </a:cubicBezTo>
              <a:close/>
              <a:moveTo>
                <a:pt x="10023880" y="1409547"/>
              </a:moveTo>
              <a:cubicBezTo>
                <a:pt x="10004653" y="1409547"/>
                <a:pt x="9989055" y="1393956"/>
                <a:pt x="9989055" y="1374728"/>
              </a:cubicBezTo>
              <a:cubicBezTo>
                <a:pt x="9989055" y="1355500"/>
                <a:pt x="10004653" y="1339909"/>
                <a:pt x="10023880" y="1339909"/>
              </a:cubicBezTo>
              <a:cubicBezTo>
                <a:pt x="10043108" y="1339909"/>
                <a:pt x="10058693" y="1355500"/>
                <a:pt x="10058693" y="1374728"/>
              </a:cubicBezTo>
              <a:cubicBezTo>
                <a:pt x="10058693" y="1393956"/>
                <a:pt x="10043108" y="1409547"/>
                <a:pt x="10023880" y="1409547"/>
              </a:cubicBezTo>
              <a:close/>
              <a:moveTo>
                <a:pt x="10108773" y="1409547"/>
              </a:moveTo>
              <a:cubicBezTo>
                <a:pt x="10089545" y="1409547"/>
                <a:pt x="10073947" y="1393956"/>
                <a:pt x="10073947" y="1374728"/>
              </a:cubicBezTo>
              <a:cubicBezTo>
                <a:pt x="10073947" y="1355500"/>
                <a:pt x="10089545" y="1339909"/>
                <a:pt x="10108773" y="1339909"/>
              </a:cubicBezTo>
              <a:cubicBezTo>
                <a:pt x="10128000" y="1339909"/>
                <a:pt x="10143585" y="1355500"/>
                <a:pt x="10143585" y="1374728"/>
              </a:cubicBezTo>
              <a:cubicBezTo>
                <a:pt x="10143585" y="1393956"/>
                <a:pt x="10128000" y="1409547"/>
                <a:pt x="10108773" y="1409547"/>
              </a:cubicBezTo>
              <a:close/>
              <a:moveTo>
                <a:pt x="10193665" y="1409547"/>
              </a:moveTo>
              <a:cubicBezTo>
                <a:pt x="10174437" y="1409547"/>
                <a:pt x="10158839" y="1393956"/>
                <a:pt x="10158839" y="1374728"/>
              </a:cubicBezTo>
              <a:cubicBezTo>
                <a:pt x="10158839" y="1355500"/>
                <a:pt x="10174437" y="1339909"/>
                <a:pt x="10193665" y="1339909"/>
              </a:cubicBezTo>
              <a:cubicBezTo>
                <a:pt x="10212893" y="1339909"/>
                <a:pt x="10228477" y="1355500"/>
                <a:pt x="10228477" y="1374728"/>
              </a:cubicBezTo>
              <a:cubicBezTo>
                <a:pt x="10228477" y="1393956"/>
                <a:pt x="10212893" y="1409547"/>
                <a:pt x="10193665" y="1409547"/>
              </a:cubicBezTo>
              <a:close/>
              <a:moveTo>
                <a:pt x="10278558" y="1409547"/>
              </a:moveTo>
              <a:cubicBezTo>
                <a:pt x="10259330" y="1409547"/>
                <a:pt x="10243733" y="1393956"/>
                <a:pt x="10243733" y="1374728"/>
              </a:cubicBezTo>
              <a:cubicBezTo>
                <a:pt x="10243733" y="1355500"/>
                <a:pt x="10259330" y="1339909"/>
                <a:pt x="10278558" y="1339909"/>
              </a:cubicBezTo>
              <a:cubicBezTo>
                <a:pt x="10297786" y="1339909"/>
                <a:pt x="10313370" y="1355500"/>
                <a:pt x="10313370" y="1374728"/>
              </a:cubicBezTo>
              <a:cubicBezTo>
                <a:pt x="10313370" y="1393956"/>
                <a:pt x="10297786" y="1409547"/>
                <a:pt x="10278558" y="1409547"/>
              </a:cubicBezTo>
              <a:close/>
              <a:moveTo>
                <a:pt x="10363450" y="1409547"/>
              </a:moveTo>
              <a:cubicBezTo>
                <a:pt x="10344223" y="1409547"/>
                <a:pt x="10328625" y="1393956"/>
                <a:pt x="10328625" y="1374728"/>
              </a:cubicBezTo>
              <a:cubicBezTo>
                <a:pt x="10328625" y="1355500"/>
                <a:pt x="10344223" y="1339909"/>
                <a:pt x="10363450" y="1339909"/>
              </a:cubicBezTo>
              <a:cubicBezTo>
                <a:pt x="10382678" y="1339909"/>
                <a:pt x="10398263" y="1355500"/>
                <a:pt x="10398263" y="1374728"/>
              </a:cubicBezTo>
              <a:cubicBezTo>
                <a:pt x="10398263" y="1393956"/>
                <a:pt x="10382678" y="1409547"/>
                <a:pt x="10363450" y="1409547"/>
              </a:cubicBezTo>
              <a:close/>
              <a:moveTo>
                <a:pt x="10448343" y="1409547"/>
              </a:moveTo>
              <a:cubicBezTo>
                <a:pt x="10429115" y="1409547"/>
                <a:pt x="10413517" y="1393956"/>
                <a:pt x="10413517" y="1374728"/>
              </a:cubicBezTo>
              <a:cubicBezTo>
                <a:pt x="10413517" y="1355500"/>
                <a:pt x="10429115" y="1339909"/>
                <a:pt x="10448343" y="1339909"/>
              </a:cubicBezTo>
              <a:cubicBezTo>
                <a:pt x="10467570" y="1339909"/>
                <a:pt x="10483155" y="1355500"/>
                <a:pt x="10483155" y="1374728"/>
              </a:cubicBezTo>
              <a:cubicBezTo>
                <a:pt x="10483155" y="1393956"/>
                <a:pt x="10467570" y="1409547"/>
                <a:pt x="10448343" y="1409547"/>
              </a:cubicBezTo>
              <a:close/>
              <a:moveTo>
                <a:pt x="10533235" y="1409547"/>
              </a:moveTo>
              <a:cubicBezTo>
                <a:pt x="10514007" y="1409547"/>
                <a:pt x="10498409" y="1393956"/>
                <a:pt x="10498409" y="1374728"/>
              </a:cubicBezTo>
              <a:cubicBezTo>
                <a:pt x="10498409" y="1355500"/>
                <a:pt x="10514007" y="1339909"/>
                <a:pt x="10533235" y="1339909"/>
              </a:cubicBezTo>
              <a:cubicBezTo>
                <a:pt x="10552463" y="1339909"/>
                <a:pt x="10568047" y="1355500"/>
                <a:pt x="10568047" y="1374728"/>
              </a:cubicBezTo>
              <a:cubicBezTo>
                <a:pt x="10568047" y="1393956"/>
                <a:pt x="10552463" y="1409547"/>
                <a:pt x="10533235" y="1409547"/>
              </a:cubicBezTo>
              <a:close/>
              <a:moveTo>
                <a:pt x="3656941" y="1324686"/>
              </a:moveTo>
              <a:cubicBezTo>
                <a:pt x="3637713" y="1324686"/>
                <a:pt x="3622122" y="1309095"/>
                <a:pt x="3622122" y="1289867"/>
              </a:cubicBezTo>
              <a:cubicBezTo>
                <a:pt x="3622122" y="1270639"/>
                <a:pt x="3637713" y="1255048"/>
                <a:pt x="3656941" y="1255048"/>
              </a:cubicBezTo>
              <a:cubicBezTo>
                <a:pt x="3676169" y="1255048"/>
                <a:pt x="3691760" y="1270639"/>
                <a:pt x="3691760" y="1289867"/>
              </a:cubicBezTo>
              <a:cubicBezTo>
                <a:pt x="3691760" y="1309095"/>
                <a:pt x="3676169" y="1324686"/>
                <a:pt x="3656941" y="1324686"/>
              </a:cubicBezTo>
              <a:close/>
              <a:moveTo>
                <a:pt x="3741833" y="1324686"/>
              </a:moveTo>
              <a:cubicBezTo>
                <a:pt x="3722606" y="1324686"/>
                <a:pt x="3707014" y="1309095"/>
                <a:pt x="3707014" y="1289867"/>
              </a:cubicBezTo>
              <a:cubicBezTo>
                <a:pt x="3707014" y="1270639"/>
                <a:pt x="3722606" y="1255048"/>
                <a:pt x="3741833" y="1255048"/>
              </a:cubicBezTo>
              <a:cubicBezTo>
                <a:pt x="3761061" y="1255048"/>
                <a:pt x="3776652" y="1270639"/>
                <a:pt x="3776652" y="1289867"/>
              </a:cubicBezTo>
              <a:cubicBezTo>
                <a:pt x="3776652" y="1309095"/>
                <a:pt x="3761061" y="1324686"/>
                <a:pt x="3741833" y="1324686"/>
              </a:cubicBezTo>
              <a:close/>
              <a:moveTo>
                <a:pt x="3826726" y="1324686"/>
              </a:moveTo>
              <a:cubicBezTo>
                <a:pt x="3807498" y="1324686"/>
                <a:pt x="3791907" y="1309095"/>
                <a:pt x="3791907" y="1289867"/>
              </a:cubicBezTo>
              <a:cubicBezTo>
                <a:pt x="3791907" y="1270639"/>
                <a:pt x="3807498" y="1255048"/>
                <a:pt x="3826726" y="1255048"/>
              </a:cubicBezTo>
              <a:cubicBezTo>
                <a:pt x="3845953" y="1255048"/>
                <a:pt x="3861544" y="1270639"/>
                <a:pt x="3861544" y="1289867"/>
              </a:cubicBezTo>
              <a:cubicBezTo>
                <a:pt x="3861544" y="1309095"/>
                <a:pt x="3845953" y="1324686"/>
                <a:pt x="3826726" y="1324686"/>
              </a:cubicBezTo>
              <a:close/>
              <a:moveTo>
                <a:pt x="3911618" y="1324686"/>
              </a:moveTo>
              <a:cubicBezTo>
                <a:pt x="3892390" y="1324686"/>
                <a:pt x="3876799" y="1309095"/>
                <a:pt x="3876799" y="1289867"/>
              </a:cubicBezTo>
              <a:cubicBezTo>
                <a:pt x="3876799" y="1270639"/>
                <a:pt x="3892390" y="1255048"/>
                <a:pt x="3911618" y="1255048"/>
              </a:cubicBezTo>
              <a:cubicBezTo>
                <a:pt x="3930846" y="1255048"/>
                <a:pt x="3946437" y="1270639"/>
                <a:pt x="3946437" y="1289867"/>
              </a:cubicBezTo>
              <a:cubicBezTo>
                <a:pt x="3946437" y="1309095"/>
                <a:pt x="3930846" y="1324686"/>
                <a:pt x="3911618" y="1324686"/>
              </a:cubicBezTo>
              <a:close/>
              <a:moveTo>
                <a:pt x="3996511" y="1324686"/>
              </a:moveTo>
              <a:cubicBezTo>
                <a:pt x="3977283" y="1324686"/>
                <a:pt x="3961692" y="1309095"/>
                <a:pt x="3961692" y="1289867"/>
              </a:cubicBezTo>
              <a:cubicBezTo>
                <a:pt x="3961692" y="1270639"/>
                <a:pt x="3977283" y="1255048"/>
                <a:pt x="3996511" y="1255048"/>
              </a:cubicBezTo>
              <a:cubicBezTo>
                <a:pt x="4015739" y="1255048"/>
                <a:pt x="4031330" y="1270639"/>
                <a:pt x="4031330" y="1289867"/>
              </a:cubicBezTo>
              <a:cubicBezTo>
                <a:pt x="4031330" y="1309095"/>
                <a:pt x="4015739" y="1324686"/>
                <a:pt x="3996511" y="1324686"/>
              </a:cubicBezTo>
              <a:close/>
              <a:moveTo>
                <a:pt x="4081403" y="1324686"/>
              </a:moveTo>
              <a:cubicBezTo>
                <a:pt x="4062176" y="1324686"/>
                <a:pt x="4046584" y="1309095"/>
                <a:pt x="4046584" y="1289867"/>
              </a:cubicBezTo>
              <a:cubicBezTo>
                <a:pt x="4046584" y="1270639"/>
                <a:pt x="4062176" y="1255048"/>
                <a:pt x="4081403" y="1255048"/>
              </a:cubicBezTo>
              <a:cubicBezTo>
                <a:pt x="4100631" y="1255048"/>
                <a:pt x="4116222" y="1270639"/>
                <a:pt x="4116222" y="1289867"/>
              </a:cubicBezTo>
              <a:cubicBezTo>
                <a:pt x="4116222" y="1309095"/>
                <a:pt x="4100631" y="1324686"/>
                <a:pt x="4081403" y="1324686"/>
              </a:cubicBezTo>
              <a:close/>
              <a:moveTo>
                <a:pt x="10108773" y="1324686"/>
              </a:moveTo>
              <a:cubicBezTo>
                <a:pt x="10089545" y="1324686"/>
                <a:pt x="10073947" y="1309095"/>
                <a:pt x="10073947" y="1289867"/>
              </a:cubicBezTo>
              <a:cubicBezTo>
                <a:pt x="10073947" y="1270639"/>
                <a:pt x="10089545" y="1255048"/>
                <a:pt x="10108773" y="1255048"/>
              </a:cubicBezTo>
              <a:cubicBezTo>
                <a:pt x="10128000" y="1255048"/>
                <a:pt x="10143585" y="1270639"/>
                <a:pt x="10143585" y="1289867"/>
              </a:cubicBezTo>
              <a:cubicBezTo>
                <a:pt x="10143585" y="1309095"/>
                <a:pt x="10128000" y="1324686"/>
                <a:pt x="10108773" y="1324686"/>
              </a:cubicBezTo>
              <a:close/>
              <a:moveTo>
                <a:pt x="10193665" y="1324686"/>
              </a:moveTo>
              <a:cubicBezTo>
                <a:pt x="10174437" y="1324686"/>
                <a:pt x="10158839" y="1309095"/>
                <a:pt x="10158839" y="1289867"/>
              </a:cubicBezTo>
              <a:cubicBezTo>
                <a:pt x="10158839" y="1270639"/>
                <a:pt x="10174437" y="1255048"/>
                <a:pt x="10193665" y="1255048"/>
              </a:cubicBezTo>
              <a:cubicBezTo>
                <a:pt x="10212893" y="1255048"/>
                <a:pt x="10228477" y="1270639"/>
                <a:pt x="10228477" y="1289867"/>
              </a:cubicBezTo>
              <a:cubicBezTo>
                <a:pt x="10228477" y="1309095"/>
                <a:pt x="10212893" y="1324686"/>
                <a:pt x="10193665" y="1324686"/>
              </a:cubicBezTo>
              <a:close/>
              <a:moveTo>
                <a:pt x="10278558" y="1324686"/>
              </a:moveTo>
              <a:cubicBezTo>
                <a:pt x="10259330" y="1324686"/>
                <a:pt x="10243733" y="1309095"/>
                <a:pt x="10243733" y="1289867"/>
              </a:cubicBezTo>
              <a:cubicBezTo>
                <a:pt x="10243733" y="1270639"/>
                <a:pt x="10259330" y="1255048"/>
                <a:pt x="10278558" y="1255048"/>
              </a:cubicBezTo>
              <a:cubicBezTo>
                <a:pt x="10297786" y="1255048"/>
                <a:pt x="10313370" y="1270639"/>
                <a:pt x="10313370" y="1289867"/>
              </a:cubicBezTo>
              <a:cubicBezTo>
                <a:pt x="10313370" y="1309095"/>
                <a:pt x="10297786" y="1324686"/>
                <a:pt x="10278558" y="1324686"/>
              </a:cubicBezTo>
              <a:close/>
              <a:moveTo>
                <a:pt x="10363450" y="1324686"/>
              </a:moveTo>
              <a:cubicBezTo>
                <a:pt x="10344223" y="1324686"/>
                <a:pt x="10328625" y="1309095"/>
                <a:pt x="10328625" y="1289867"/>
              </a:cubicBezTo>
              <a:cubicBezTo>
                <a:pt x="10328625" y="1270639"/>
                <a:pt x="10344223" y="1255048"/>
                <a:pt x="10363450" y="1255048"/>
              </a:cubicBezTo>
              <a:cubicBezTo>
                <a:pt x="10382678" y="1255048"/>
                <a:pt x="10398263" y="1270639"/>
                <a:pt x="10398263" y="1289867"/>
              </a:cubicBezTo>
              <a:cubicBezTo>
                <a:pt x="10398263" y="1309095"/>
                <a:pt x="10382678" y="1324686"/>
                <a:pt x="10363450" y="1324686"/>
              </a:cubicBezTo>
              <a:close/>
              <a:moveTo>
                <a:pt x="10448343" y="1324686"/>
              </a:moveTo>
              <a:cubicBezTo>
                <a:pt x="10429115" y="1324686"/>
                <a:pt x="10413517" y="1309095"/>
                <a:pt x="10413517" y="1289867"/>
              </a:cubicBezTo>
              <a:cubicBezTo>
                <a:pt x="10413517" y="1270639"/>
                <a:pt x="10429115" y="1255048"/>
                <a:pt x="10448343" y="1255048"/>
              </a:cubicBezTo>
              <a:cubicBezTo>
                <a:pt x="10467570" y="1255048"/>
                <a:pt x="10483155" y="1270639"/>
                <a:pt x="10483155" y="1289867"/>
              </a:cubicBezTo>
              <a:cubicBezTo>
                <a:pt x="10483155" y="1309095"/>
                <a:pt x="10467570" y="1324686"/>
                <a:pt x="10448343" y="1324686"/>
              </a:cubicBezTo>
              <a:close/>
              <a:moveTo>
                <a:pt x="3741833" y="1239826"/>
              </a:moveTo>
              <a:cubicBezTo>
                <a:pt x="3722606" y="1239826"/>
                <a:pt x="3707014" y="1224235"/>
                <a:pt x="3707014" y="1205007"/>
              </a:cubicBezTo>
              <a:cubicBezTo>
                <a:pt x="3707014" y="1185780"/>
                <a:pt x="3722606" y="1170189"/>
                <a:pt x="3741833" y="1170189"/>
              </a:cubicBezTo>
              <a:cubicBezTo>
                <a:pt x="3761061" y="1170189"/>
                <a:pt x="3776652" y="1185780"/>
                <a:pt x="3776652" y="1205007"/>
              </a:cubicBezTo>
              <a:cubicBezTo>
                <a:pt x="3776652" y="1224235"/>
                <a:pt x="3761061" y="1239826"/>
                <a:pt x="3741833" y="1239826"/>
              </a:cubicBezTo>
              <a:close/>
              <a:moveTo>
                <a:pt x="3826726" y="1239826"/>
              </a:moveTo>
              <a:cubicBezTo>
                <a:pt x="3807498" y="1239826"/>
                <a:pt x="3791907" y="1224235"/>
                <a:pt x="3791907" y="1205007"/>
              </a:cubicBezTo>
              <a:cubicBezTo>
                <a:pt x="3791907" y="1185780"/>
                <a:pt x="3807498" y="1170189"/>
                <a:pt x="3826726" y="1170189"/>
              </a:cubicBezTo>
              <a:cubicBezTo>
                <a:pt x="3845953" y="1170189"/>
                <a:pt x="3861544" y="1185780"/>
                <a:pt x="3861544" y="1205007"/>
              </a:cubicBezTo>
              <a:cubicBezTo>
                <a:pt x="3861544" y="1224235"/>
                <a:pt x="3845953" y="1239826"/>
                <a:pt x="3826726" y="1239826"/>
              </a:cubicBezTo>
              <a:close/>
              <a:moveTo>
                <a:pt x="3911618" y="1239826"/>
              </a:moveTo>
              <a:cubicBezTo>
                <a:pt x="3892390" y="1239826"/>
                <a:pt x="3876799" y="1224235"/>
                <a:pt x="3876799" y="1205007"/>
              </a:cubicBezTo>
              <a:cubicBezTo>
                <a:pt x="3876799" y="1185780"/>
                <a:pt x="3892390" y="1170189"/>
                <a:pt x="3911618" y="1170189"/>
              </a:cubicBezTo>
              <a:cubicBezTo>
                <a:pt x="3930846" y="1170189"/>
                <a:pt x="3946437" y="1185780"/>
                <a:pt x="3946437" y="1205007"/>
              </a:cubicBezTo>
              <a:cubicBezTo>
                <a:pt x="3946437" y="1224235"/>
                <a:pt x="3930846" y="1239826"/>
                <a:pt x="3911618" y="1239826"/>
              </a:cubicBezTo>
              <a:close/>
              <a:moveTo>
                <a:pt x="3996511" y="1239826"/>
              </a:moveTo>
              <a:cubicBezTo>
                <a:pt x="3977283" y="1239826"/>
                <a:pt x="3961692" y="1224235"/>
                <a:pt x="3961692" y="1205007"/>
              </a:cubicBezTo>
              <a:cubicBezTo>
                <a:pt x="3961692" y="1185780"/>
                <a:pt x="3977283" y="1170189"/>
                <a:pt x="3996511" y="1170189"/>
              </a:cubicBezTo>
              <a:cubicBezTo>
                <a:pt x="4015739" y="1170189"/>
                <a:pt x="4031330" y="1185780"/>
                <a:pt x="4031330" y="1205007"/>
              </a:cubicBezTo>
              <a:cubicBezTo>
                <a:pt x="4031330" y="1224235"/>
                <a:pt x="4015739" y="1239826"/>
                <a:pt x="3996511" y="1239826"/>
              </a:cubicBezTo>
              <a:close/>
              <a:moveTo>
                <a:pt x="10193665" y="1239826"/>
              </a:moveTo>
              <a:cubicBezTo>
                <a:pt x="10174437" y="1239826"/>
                <a:pt x="10158839" y="1224235"/>
                <a:pt x="10158839" y="1205007"/>
              </a:cubicBezTo>
              <a:cubicBezTo>
                <a:pt x="10158839" y="1185780"/>
                <a:pt x="10174437" y="1170189"/>
                <a:pt x="10193665" y="1170189"/>
              </a:cubicBezTo>
              <a:cubicBezTo>
                <a:pt x="10212893" y="1170189"/>
                <a:pt x="10228477" y="1185780"/>
                <a:pt x="10228477" y="1205007"/>
              </a:cubicBezTo>
              <a:cubicBezTo>
                <a:pt x="10228477" y="1224235"/>
                <a:pt x="10212893" y="1239826"/>
                <a:pt x="10193665" y="1239826"/>
              </a:cubicBezTo>
              <a:close/>
              <a:moveTo>
                <a:pt x="10278558" y="1239826"/>
              </a:moveTo>
              <a:cubicBezTo>
                <a:pt x="10259330" y="1239826"/>
                <a:pt x="10243733" y="1224235"/>
                <a:pt x="10243733" y="1205007"/>
              </a:cubicBezTo>
              <a:cubicBezTo>
                <a:pt x="10243733" y="1185780"/>
                <a:pt x="10259330" y="1170189"/>
                <a:pt x="10278558" y="1170189"/>
              </a:cubicBezTo>
              <a:cubicBezTo>
                <a:pt x="10297786" y="1170189"/>
                <a:pt x="10313370" y="1185780"/>
                <a:pt x="10313370" y="1205007"/>
              </a:cubicBezTo>
              <a:cubicBezTo>
                <a:pt x="10313370" y="1224235"/>
                <a:pt x="10297786" y="1239826"/>
                <a:pt x="10278558" y="1239826"/>
              </a:cubicBezTo>
              <a:close/>
              <a:moveTo>
                <a:pt x="10363450" y="1239826"/>
              </a:moveTo>
              <a:cubicBezTo>
                <a:pt x="10344223" y="1239826"/>
                <a:pt x="10328625" y="1224235"/>
                <a:pt x="10328625" y="1205007"/>
              </a:cubicBezTo>
              <a:cubicBezTo>
                <a:pt x="10328625" y="1185780"/>
                <a:pt x="10344223" y="1170189"/>
                <a:pt x="10363450" y="1170189"/>
              </a:cubicBezTo>
              <a:cubicBezTo>
                <a:pt x="10382678" y="1170189"/>
                <a:pt x="10398263" y="1185780"/>
                <a:pt x="10398263" y="1205007"/>
              </a:cubicBezTo>
              <a:cubicBezTo>
                <a:pt x="10398263" y="1224235"/>
                <a:pt x="10382678" y="1239826"/>
                <a:pt x="10363450" y="1239826"/>
              </a:cubicBezTo>
              <a:close/>
              <a:moveTo>
                <a:pt x="10448343" y="1239826"/>
              </a:moveTo>
              <a:cubicBezTo>
                <a:pt x="10429115" y="1239826"/>
                <a:pt x="10413517" y="1224235"/>
                <a:pt x="10413517" y="1205007"/>
              </a:cubicBezTo>
              <a:cubicBezTo>
                <a:pt x="10413517" y="1185780"/>
                <a:pt x="10429115" y="1170189"/>
                <a:pt x="10448343" y="1170189"/>
              </a:cubicBezTo>
              <a:cubicBezTo>
                <a:pt x="10467570" y="1170189"/>
                <a:pt x="10483155" y="1185780"/>
                <a:pt x="10483155" y="1205007"/>
              </a:cubicBezTo>
              <a:cubicBezTo>
                <a:pt x="10483155" y="1224235"/>
                <a:pt x="10467570" y="1239826"/>
                <a:pt x="10448343" y="1239826"/>
              </a:cubicBezTo>
              <a:close/>
              <a:moveTo>
                <a:pt x="3741833" y="1154966"/>
              </a:moveTo>
              <a:cubicBezTo>
                <a:pt x="3722606" y="1154966"/>
                <a:pt x="3707014" y="1139375"/>
                <a:pt x="3707014" y="1120148"/>
              </a:cubicBezTo>
              <a:cubicBezTo>
                <a:pt x="3707014" y="1100920"/>
                <a:pt x="3722606" y="1085329"/>
                <a:pt x="3741833" y="1085329"/>
              </a:cubicBezTo>
              <a:cubicBezTo>
                <a:pt x="3761061" y="1085329"/>
                <a:pt x="3776652" y="1100920"/>
                <a:pt x="3776652" y="1120148"/>
              </a:cubicBezTo>
              <a:cubicBezTo>
                <a:pt x="3776652" y="1139375"/>
                <a:pt x="3761061" y="1154966"/>
                <a:pt x="3741833" y="1154966"/>
              </a:cubicBezTo>
              <a:close/>
              <a:moveTo>
                <a:pt x="3826726" y="1154966"/>
              </a:moveTo>
              <a:cubicBezTo>
                <a:pt x="3807498" y="1154966"/>
                <a:pt x="3791907" y="1139375"/>
                <a:pt x="3791907" y="1120148"/>
              </a:cubicBezTo>
              <a:cubicBezTo>
                <a:pt x="3791907" y="1100920"/>
                <a:pt x="3807498" y="1085329"/>
                <a:pt x="3826726" y="1085329"/>
              </a:cubicBezTo>
              <a:cubicBezTo>
                <a:pt x="3845953" y="1085329"/>
                <a:pt x="3861544" y="1100920"/>
                <a:pt x="3861544" y="1120148"/>
              </a:cubicBezTo>
              <a:cubicBezTo>
                <a:pt x="3861544" y="1139375"/>
                <a:pt x="3845953" y="1154966"/>
                <a:pt x="3826726" y="1154966"/>
              </a:cubicBezTo>
              <a:close/>
              <a:moveTo>
                <a:pt x="3911618" y="1154966"/>
              </a:moveTo>
              <a:cubicBezTo>
                <a:pt x="3892390" y="1154966"/>
                <a:pt x="3876799" y="1139375"/>
                <a:pt x="3876799" y="1120148"/>
              </a:cubicBezTo>
              <a:cubicBezTo>
                <a:pt x="3876799" y="1100920"/>
                <a:pt x="3892390" y="1085329"/>
                <a:pt x="3911618" y="1085329"/>
              </a:cubicBezTo>
              <a:cubicBezTo>
                <a:pt x="3930846" y="1085329"/>
                <a:pt x="3946437" y="1100920"/>
                <a:pt x="3946437" y="1120148"/>
              </a:cubicBezTo>
              <a:cubicBezTo>
                <a:pt x="3946437" y="1139375"/>
                <a:pt x="3930846" y="1154966"/>
                <a:pt x="3911618" y="1154966"/>
              </a:cubicBezTo>
              <a:close/>
              <a:moveTo>
                <a:pt x="10193665" y="1154966"/>
              </a:moveTo>
              <a:cubicBezTo>
                <a:pt x="10174437" y="1154966"/>
                <a:pt x="10158839" y="1139375"/>
                <a:pt x="10158839" y="1120148"/>
              </a:cubicBezTo>
              <a:cubicBezTo>
                <a:pt x="10158839" y="1100920"/>
                <a:pt x="10174437" y="1085329"/>
                <a:pt x="10193665" y="1085329"/>
              </a:cubicBezTo>
              <a:cubicBezTo>
                <a:pt x="10212893" y="1085329"/>
                <a:pt x="10228477" y="1100920"/>
                <a:pt x="10228477" y="1120148"/>
              </a:cubicBezTo>
              <a:cubicBezTo>
                <a:pt x="10228477" y="1139375"/>
                <a:pt x="10212893" y="1154966"/>
                <a:pt x="10193665" y="1154966"/>
              </a:cubicBezTo>
              <a:close/>
              <a:moveTo>
                <a:pt x="10278558" y="1154966"/>
              </a:moveTo>
              <a:cubicBezTo>
                <a:pt x="10259330" y="1154966"/>
                <a:pt x="10243733" y="1139375"/>
                <a:pt x="10243733" y="1120148"/>
              </a:cubicBezTo>
              <a:cubicBezTo>
                <a:pt x="10243733" y="1100920"/>
                <a:pt x="10259330" y="1085329"/>
                <a:pt x="10278558" y="1085329"/>
              </a:cubicBezTo>
              <a:cubicBezTo>
                <a:pt x="10297786" y="1085329"/>
                <a:pt x="10313370" y="1100920"/>
                <a:pt x="10313370" y="1120148"/>
              </a:cubicBezTo>
              <a:cubicBezTo>
                <a:pt x="10313370" y="1139375"/>
                <a:pt x="10297786" y="1154966"/>
                <a:pt x="10278558" y="1154966"/>
              </a:cubicBezTo>
              <a:close/>
              <a:moveTo>
                <a:pt x="10363450" y="1154966"/>
              </a:moveTo>
              <a:cubicBezTo>
                <a:pt x="10344223" y="1154966"/>
                <a:pt x="10328625" y="1139375"/>
                <a:pt x="10328625" y="1120148"/>
              </a:cubicBezTo>
              <a:cubicBezTo>
                <a:pt x="10328625" y="1100920"/>
                <a:pt x="10344223" y="1085329"/>
                <a:pt x="10363450" y="1085329"/>
              </a:cubicBezTo>
              <a:cubicBezTo>
                <a:pt x="10382678" y="1085329"/>
                <a:pt x="10398263" y="1100920"/>
                <a:pt x="10398263" y="1120148"/>
              </a:cubicBezTo>
              <a:cubicBezTo>
                <a:pt x="10398263" y="1139375"/>
                <a:pt x="10382678" y="1154966"/>
                <a:pt x="10363450" y="1154966"/>
              </a:cubicBezTo>
              <a:close/>
              <a:moveTo>
                <a:pt x="11212375" y="1154966"/>
              </a:moveTo>
              <a:cubicBezTo>
                <a:pt x="11193147" y="1154966"/>
                <a:pt x="11177549" y="1139375"/>
                <a:pt x="11177549" y="1120148"/>
              </a:cubicBezTo>
              <a:cubicBezTo>
                <a:pt x="11177549" y="1100920"/>
                <a:pt x="11193147" y="1085329"/>
                <a:pt x="11212375" y="1085329"/>
              </a:cubicBezTo>
              <a:cubicBezTo>
                <a:pt x="11231603" y="1085329"/>
                <a:pt x="11247187" y="1100920"/>
                <a:pt x="11247187" y="1120148"/>
              </a:cubicBezTo>
              <a:cubicBezTo>
                <a:pt x="11247187" y="1139375"/>
                <a:pt x="11231603" y="1154966"/>
                <a:pt x="11212375" y="1154966"/>
              </a:cubicBezTo>
              <a:close/>
              <a:moveTo>
                <a:pt x="3741833" y="1070107"/>
              </a:moveTo>
              <a:cubicBezTo>
                <a:pt x="3722606" y="1070107"/>
                <a:pt x="3707014" y="1054516"/>
                <a:pt x="3707014" y="1035288"/>
              </a:cubicBezTo>
              <a:cubicBezTo>
                <a:pt x="3707014" y="1016060"/>
                <a:pt x="3722606" y="1000469"/>
                <a:pt x="3741833" y="1000469"/>
              </a:cubicBezTo>
              <a:cubicBezTo>
                <a:pt x="3761061" y="1000469"/>
                <a:pt x="3776652" y="1016060"/>
                <a:pt x="3776652" y="1035288"/>
              </a:cubicBezTo>
              <a:cubicBezTo>
                <a:pt x="3776652" y="1054516"/>
                <a:pt x="3761061" y="1070107"/>
                <a:pt x="3741833" y="1070107"/>
              </a:cubicBezTo>
              <a:close/>
              <a:moveTo>
                <a:pt x="3826726" y="1070107"/>
              </a:moveTo>
              <a:cubicBezTo>
                <a:pt x="3807498" y="1070107"/>
                <a:pt x="3791907" y="1054516"/>
                <a:pt x="3791907" y="1035288"/>
              </a:cubicBezTo>
              <a:cubicBezTo>
                <a:pt x="3791907" y="1016060"/>
                <a:pt x="3807498" y="1000469"/>
                <a:pt x="3826726" y="1000469"/>
              </a:cubicBezTo>
              <a:cubicBezTo>
                <a:pt x="3845953" y="1000469"/>
                <a:pt x="3861544" y="1016060"/>
                <a:pt x="3861544" y="1035288"/>
              </a:cubicBezTo>
              <a:cubicBezTo>
                <a:pt x="3861544" y="1054516"/>
                <a:pt x="3845953" y="1070107"/>
                <a:pt x="3826726" y="1070107"/>
              </a:cubicBezTo>
              <a:close/>
              <a:moveTo>
                <a:pt x="3911618" y="1070107"/>
              </a:moveTo>
              <a:cubicBezTo>
                <a:pt x="3892390" y="1070107"/>
                <a:pt x="3876799" y="1054516"/>
                <a:pt x="3876799" y="1035288"/>
              </a:cubicBezTo>
              <a:cubicBezTo>
                <a:pt x="3876799" y="1016060"/>
                <a:pt x="3892390" y="1000469"/>
                <a:pt x="3911618" y="1000469"/>
              </a:cubicBezTo>
              <a:cubicBezTo>
                <a:pt x="3930846" y="1000469"/>
                <a:pt x="3946437" y="1016060"/>
                <a:pt x="3946437" y="1035288"/>
              </a:cubicBezTo>
              <a:cubicBezTo>
                <a:pt x="3946437" y="1054516"/>
                <a:pt x="3930846" y="1070107"/>
                <a:pt x="3911618" y="1070107"/>
              </a:cubicBezTo>
              <a:close/>
              <a:moveTo>
                <a:pt x="11212375" y="1070107"/>
              </a:moveTo>
              <a:cubicBezTo>
                <a:pt x="11193147" y="1070107"/>
                <a:pt x="11177549" y="1054516"/>
                <a:pt x="11177549" y="1035288"/>
              </a:cubicBezTo>
              <a:cubicBezTo>
                <a:pt x="11177549" y="1016060"/>
                <a:pt x="11193147" y="1000469"/>
                <a:pt x="11212375" y="1000469"/>
              </a:cubicBezTo>
              <a:cubicBezTo>
                <a:pt x="11231603" y="1000469"/>
                <a:pt x="11247187" y="1016060"/>
                <a:pt x="11247187" y="1035288"/>
              </a:cubicBezTo>
              <a:cubicBezTo>
                <a:pt x="11247187" y="1054516"/>
                <a:pt x="11231603" y="1070107"/>
                <a:pt x="11212375" y="1070107"/>
              </a:cubicBezTo>
              <a:close/>
              <a:moveTo>
                <a:pt x="3741833" y="985246"/>
              </a:moveTo>
              <a:cubicBezTo>
                <a:pt x="3722606" y="985246"/>
                <a:pt x="3707014" y="969655"/>
                <a:pt x="3707014" y="950427"/>
              </a:cubicBezTo>
              <a:cubicBezTo>
                <a:pt x="3707014" y="931199"/>
                <a:pt x="3722606" y="915608"/>
                <a:pt x="3741833" y="915608"/>
              </a:cubicBezTo>
              <a:cubicBezTo>
                <a:pt x="3761061" y="915608"/>
                <a:pt x="3776652" y="931199"/>
                <a:pt x="3776652" y="950427"/>
              </a:cubicBezTo>
              <a:cubicBezTo>
                <a:pt x="3776652" y="969655"/>
                <a:pt x="3761061" y="985246"/>
                <a:pt x="3741833" y="985246"/>
              </a:cubicBezTo>
              <a:close/>
              <a:moveTo>
                <a:pt x="3826726" y="985246"/>
              </a:moveTo>
              <a:cubicBezTo>
                <a:pt x="3807498" y="985246"/>
                <a:pt x="3791907" y="969655"/>
                <a:pt x="3791907" y="950427"/>
              </a:cubicBezTo>
              <a:cubicBezTo>
                <a:pt x="3791907" y="931199"/>
                <a:pt x="3807498" y="915608"/>
                <a:pt x="3826726" y="915608"/>
              </a:cubicBezTo>
              <a:cubicBezTo>
                <a:pt x="3845953" y="915608"/>
                <a:pt x="3861544" y="931199"/>
                <a:pt x="3861544" y="950427"/>
              </a:cubicBezTo>
              <a:cubicBezTo>
                <a:pt x="3861544" y="969655"/>
                <a:pt x="3845953" y="985246"/>
                <a:pt x="3826726" y="985246"/>
              </a:cubicBezTo>
              <a:close/>
              <a:moveTo>
                <a:pt x="10278558" y="985246"/>
              </a:moveTo>
              <a:cubicBezTo>
                <a:pt x="10259330" y="985246"/>
                <a:pt x="10243733" y="969655"/>
                <a:pt x="10243733" y="950427"/>
              </a:cubicBezTo>
              <a:cubicBezTo>
                <a:pt x="10243733" y="931199"/>
                <a:pt x="10259330" y="915608"/>
                <a:pt x="10278558" y="915608"/>
              </a:cubicBezTo>
              <a:cubicBezTo>
                <a:pt x="10297786" y="915608"/>
                <a:pt x="10313370" y="931199"/>
                <a:pt x="10313370" y="950427"/>
              </a:cubicBezTo>
              <a:cubicBezTo>
                <a:pt x="10313370" y="969655"/>
                <a:pt x="10297786" y="985246"/>
                <a:pt x="10278558" y="985246"/>
              </a:cubicBezTo>
              <a:close/>
              <a:moveTo>
                <a:pt x="11212375" y="985246"/>
              </a:moveTo>
              <a:cubicBezTo>
                <a:pt x="11193147" y="985246"/>
                <a:pt x="11177549" y="969655"/>
                <a:pt x="11177549" y="950427"/>
              </a:cubicBezTo>
              <a:cubicBezTo>
                <a:pt x="11177549" y="931199"/>
                <a:pt x="11193147" y="915608"/>
                <a:pt x="11212375" y="915608"/>
              </a:cubicBezTo>
              <a:cubicBezTo>
                <a:pt x="11231603" y="915608"/>
                <a:pt x="11247187" y="931199"/>
                <a:pt x="11247187" y="950427"/>
              </a:cubicBezTo>
              <a:cubicBezTo>
                <a:pt x="11247187" y="969655"/>
                <a:pt x="11231603" y="985246"/>
                <a:pt x="11212375" y="985246"/>
              </a:cubicBezTo>
              <a:close/>
              <a:moveTo>
                <a:pt x="3741833" y="900386"/>
              </a:moveTo>
              <a:cubicBezTo>
                <a:pt x="3722606" y="900386"/>
                <a:pt x="3707014" y="884795"/>
                <a:pt x="3707014" y="865567"/>
              </a:cubicBezTo>
              <a:cubicBezTo>
                <a:pt x="3707014" y="846340"/>
                <a:pt x="3722606" y="830749"/>
                <a:pt x="3741833" y="830749"/>
              </a:cubicBezTo>
              <a:cubicBezTo>
                <a:pt x="3761061" y="830749"/>
                <a:pt x="3776652" y="846340"/>
                <a:pt x="3776652" y="865567"/>
              </a:cubicBezTo>
              <a:cubicBezTo>
                <a:pt x="3776652" y="884795"/>
                <a:pt x="3761061" y="900386"/>
                <a:pt x="3741833" y="900386"/>
              </a:cubicBezTo>
              <a:close/>
              <a:moveTo>
                <a:pt x="3826726" y="900386"/>
              </a:moveTo>
              <a:cubicBezTo>
                <a:pt x="3807498" y="900386"/>
                <a:pt x="3791907" y="884795"/>
                <a:pt x="3791907" y="865567"/>
              </a:cubicBezTo>
              <a:cubicBezTo>
                <a:pt x="3791907" y="846340"/>
                <a:pt x="3807498" y="830749"/>
                <a:pt x="3826726" y="830749"/>
              </a:cubicBezTo>
              <a:cubicBezTo>
                <a:pt x="3845953" y="830749"/>
                <a:pt x="3861544" y="846340"/>
                <a:pt x="3861544" y="865567"/>
              </a:cubicBezTo>
              <a:cubicBezTo>
                <a:pt x="3861544" y="884795"/>
                <a:pt x="3845953" y="900386"/>
                <a:pt x="3826726" y="900386"/>
              </a:cubicBezTo>
              <a:close/>
              <a:moveTo>
                <a:pt x="3911618" y="900386"/>
              </a:moveTo>
              <a:cubicBezTo>
                <a:pt x="3892390" y="900386"/>
                <a:pt x="3876799" y="884795"/>
                <a:pt x="3876799" y="865567"/>
              </a:cubicBezTo>
              <a:cubicBezTo>
                <a:pt x="3876799" y="846340"/>
                <a:pt x="3892390" y="830749"/>
                <a:pt x="3911618" y="830749"/>
              </a:cubicBezTo>
              <a:cubicBezTo>
                <a:pt x="3930846" y="830749"/>
                <a:pt x="3946437" y="846340"/>
                <a:pt x="3946437" y="865567"/>
              </a:cubicBezTo>
              <a:cubicBezTo>
                <a:pt x="3946437" y="884795"/>
                <a:pt x="3930846" y="900386"/>
                <a:pt x="3911618" y="900386"/>
              </a:cubicBezTo>
              <a:close/>
              <a:moveTo>
                <a:pt x="10278558" y="900386"/>
              </a:moveTo>
              <a:cubicBezTo>
                <a:pt x="10259330" y="900386"/>
                <a:pt x="10243733" y="884795"/>
                <a:pt x="10243733" y="865567"/>
              </a:cubicBezTo>
              <a:cubicBezTo>
                <a:pt x="10243733" y="846340"/>
                <a:pt x="10259330" y="830749"/>
                <a:pt x="10278558" y="830749"/>
              </a:cubicBezTo>
              <a:cubicBezTo>
                <a:pt x="10297786" y="830749"/>
                <a:pt x="10313370" y="846340"/>
                <a:pt x="10313370" y="865567"/>
              </a:cubicBezTo>
              <a:cubicBezTo>
                <a:pt x="10313370" y="884795"/>
                <a:pt x="10297786" y="900386"/>
                <a:pt x="10278558" y="900386"/>
              </a:cubicBezTo>
              <a:close/>
              <a:moveTo>
                <a:pt x="11127483" y="900386"/>
              </a:moveTo>
              <a:cubicBezTo>
                <a:pt x="11108255" y="900386"/>
                <a:pt x="11092657" y="884795"/>
                <a:pt x="11092657" y="865567"/>
              </a:cubicBezTo>
              <a:cubicBezTo>
                <a:pt x="11092657" y="846340"/>
                <a:pt x="11108255" y="830749"/>
                <a:pt x="11127483" y="830749"/>
              </a:cubicBezTo>
              <a:cubicBezTo>
                <a:pt x="11146710" y="830749"/>
                <a:pt x="11162295" y="846340"/>
                <a:pt x="11162295" y="865567"/>
              </a:cubicBezTo>
              <a:cubicBezTo>
                <a:pt x="11162295" y="884795"/>
                <a:pt x="11146710" y="900386"/>
                <a:pt x="11127483" y="900386"/>
              </a:cubicBezTo>
              <a:close/>
              <a:moveTo>
                <a:pt x="3741833" y="815526"/>
              </a:moveTo>
              <a:cubicBezTo>
                <a:pt x="3722606" y="815526"/>
                <a:pt x="3707014" y="799935"/>
                <a:pt x="3707014" y="780708"/>
              </a:cubicBezTo>
              <a:cubicBezTo>
                <a:pt x="3707014" y="761480"/>
                <a:pt x="3722606" y="745889"/>
                <a:pt x="3741833" y="745889"/>
              </a:cubicBezTo>
              <a:cubicBezTo>
                <a:pt x="3761061" y="745889"/>
                <a:pt x="3776652" y="761480"/>
                <a:pt x="3776652" y="780708"/>
              </a:cubicBezTo>
              <a:cubicBezTo>
                <a:pt x="3776652" y="799935"/>
                <a:pt x="3761061" y="815526"/>
                <a:pt x="3741833" y="815526"/>
              </a:cubicBezTo>
              <a:close/>
              <a:moveTo>
                <a:pt x="3826726" y="815526"/>
              </a:moveTo>
              <a:cubicBezTo>
                <a:pt x="3807498" y="815526"/>
                <a:pt x="3791907" y="799935"/>
                <a:pt x="3791907" y="780708"/>
              </a:cubicBezTo>
              <a:cubicBezTo>
                <a:pt x="3791907" y="761480"/>
                <a:pt x="3807498" y="745889"/>
                <a:pt x="3826726" y="745889"/>
              </a:cubicBezTo>
              <a:cubicBezTo>
                <a:pt x="3845953" y="745889"/>
                <a:pt x="3861544" y="761480"/>
                <a:pt x="3861544" y="780708"/>
              </a:cubicBezTo>
              <a:cubicBezTo>
                <a:pt x="3861544" y="799935"/>
                <a:pt x="3845953" y="815526"/>
                <a:pt x="3826726" y="815526"/>
              </a:cubicBezTo>
              <a:close/>
              <a:moveTo>
                <a:pt x="11042590" y="815526"/>
              </a:moveTo>
              <a:cubicBezTo>
                <a:pt x="11023363" y="815526"/>
                <a:pt x="11007765" y="799935"/>
                <a:pt x="11007765" y="780708"/>
              </a:cubicBezTo>
              <a:cubicBezTo>
                <a:pt x="11007765" y="761480"/>
                <a:pt x="11023363" y="745889"/>
                <a:pt x="11042590" y="745889"/>
              </a:cubicBezTo>
              <a:cubicBezTo>
                <a:pt x="11061818" y="745889"/>
                <a:pt x="11077403" y="761480"/>
                <a:pt x="11077403" y="780708"/>
              </a:cubicBezTo>
              <a:cubicBezTo>
                <a:pt x="11077403" y="799935"/>
                <a:pt x="11061818" y="815526"/>
                <a:pt x="11042590" y="815526"/>
              </a:cubicBezTo>
              <a:close/>
              <a:moveTo>
                <a:pt x="3741833" y="730667"/>
              </a:moveTo>
              <a:cubicBezTo>
                <a:pt x="3722606" y="730667"/>
                <a:pt x="3707014" y="715076"/>
                <a:pt x="3707014" y="695848"/>
              </a:cubicBezTo>
              <a:cubicBezTo>
                <a:pt x="3707014" y="676620"/>
                <a:pt x="3722606" y="661029"/>
                <a:pt x="3741833" y="661029"/>
              </a:cubicBezTo>
              <a:cubicBezTo>
                <a:pt x="3761061" y="661029"/>
                <a:pt x="3776652" y="676620"/>
                <a:pt x="3776652" y="695848"/>
              </a:cubicBezTo>
              <a:cubicBezTo>
                <a:pt x="3776652" y="715076"/>
                <a:pt x="3761061" y="730667"/>
                <a:pt x="3741833" y="730667"/>
              </a:cubicBezTo>
              <a:close/>
              <a:moveTo>
                <a:pt x="3826726" y="730667"/>
              </a:moveTo>
              <a:cubicBezTo>
                <a:pt x="3807498" y="730667"/>
                <a:pt x="3791907" y="715076"/>
                <a:pt x="3791907" y="695848"/>
              </a:cubicBezTo>
              <a:cubicBezTo>
                <a:pt x="3791907" y="676620"/>
                <a:pt x="3807498" y="661029"/>
                <a:pt x="3826726" y="661029"/>
              </a:cubicBezTo>
              <a:cubicBezTo>
                <a:pt x="3845953" y="661029"/>
                <a:pt x="3861544" y="676620"/>
                <a:pt x="3861544" y="695848"/>
              </a:cubicBezTo>
              <a:cubicBezTo>
                <a:pt x="3861544" y="715076"/>
                <a:pt x="3845953" y="730667"/>
                <a:pt x="3826726" y="730667"/>
              </a:cubicBezTo>
              <a:close/>
              <a:moveTo>
                <a:pt x="4166296" y="730667"/>
              </a:moveTo>
              <a:cubicBezTo>
                <a:pt x="4147068" y="730667"/>
                <a:pt x="4131477" y="715076"/>
                <a:pt x="4131477" y="695848"/>
              </a:cubicBezTo>
              <a:cubicBezTo>
                <a:pt x="4131477" y="676620"/>
                <a:pt x="4147068" y="661029"/>
                <a:pt x="4166296" y="661029"/>
              </a:cubicBezTo>
              <a:cubicBezTo>
                <a:pt x="4185523" y="661029"/>
                <a:pt x="4201114" y="676620"/>
                <a:pt x="4201114" y="695848"/>
              </a:cubicBezTo>
              <a:cubicBezTo>
                <a:pt x="4201114" y="715076"/>
                <a:pt x="4185523" y="730667"/>
                <a:pt x="4166296" y="730667"/>
              </a:cubicBezTo>
              <a:close/>
              <a:moveTo>
                <a:pt x="10872805" y="730667"/>
              </a:moveTo>
              <a:cubicBezTo>
                <a:pt x="10853577" y="730667"/>
                <a:pt x="10837979" y="715076"/>
                <a:pt x="10837979" y="695848"/>
              </a:cubicBezTo>
              <a:cubicBezTo>
                <a:pt x="10837979" y="676620"/>
                <a:pt x="10853577" y="661029"/>
                <a:pt x="10872805" y="661029"/>
              </a:cubicBezTo>
              <a:cubicBezTo>
                <a:pt x="10892033" y="661029"/>
                <a:pt x="10907617" y="676620"/>
                <a:pt x="10907617" y="695848"/>
              </a:cubicBezTo>
              <a:cubicBezTo>
                <a:pt x="10907617" y="715076"/>
                <a:pt x="10892033" y="730667"/>
                <a:pt x="10872805" y="730667"/>
              </a:cubicBezTo>
              <a:close/>
              <a:moveTo>
                <a:pt x="10957697" y="730667"/>
              </a:moveTo>
              <a:cubicBezTo>
                <a:pt x="10938469" y="730667"/>
                <a:pt x="10922872" y="715076"/>
                <a:pt x="10922872" y="695848"/>
              </a:cubicBezTo>
              <a:cubicBezTo>
                <a:pt x="10922872" y="676620"/>
                <a:pt x="10938469" y="661029"/>
                <a:pt x="10957697" y="661029"/>
              </a:cubicBezTo>
              <a:cubicBezTo>
                <a:pt x="10976925" y="661029"/>
                <a:pt x="10992509" y="676620"/>
                <a:pt x="10992509" y="695848"/>
              </a:cubicBezTo>
              <a:cubicBezTo>
                <a:pt x="10992509" y="715076"/>
                <a:pt x="10976925" y="730667"/>
                <a:pt x="10957697" y="730667"/>
              </a:cubicBezTo>
              <a:close/>
              <a:moveTo>
                <a:pt x="3826726" y="645806"/>
              </a:moveTo>
              <a:cubicBezTo>
                <a:pt x="3807498" y="645806"/>
                <a:pt x="3791907" y="630215"/>
                <a:pt x="3791907" y="610987"/>
              </a:cubicBezTo>
              <a:cubicBezTo>
                <a:pt x="3791907" y="591759"/>
                <a:pt x="3807498" y="576168"/>
                <a:pt x="3826726" y="576168"/>
              </a:cubicBezTo>
              <a:cubicBezTo>
                <a:pt x="3845953" y="576168"/>
                <a:pt x="3861544" y="591759"/>
                <a:pt x="3861544" y="610987"/>
              </a:cubicBezTo>
              <a:cubicBezTo>
                <a:pt x="3861544" y="630215"/>
                <a:pt x="3845953" y="645806"/>
                <a:pt x="3826726" y="645806"/>
              </a:cubicBezTo>
              <a:close/>
              <a:moveTo>
                <a:pt x="3911618" y="645806"/>
              </a:moveTo>
              <a:cubicBezTo>
                <a:pt x="3892390" y="645806"/>
                <a:pt x="3876799" y="630215"/>
                <a:pt x="3876799" y="610987"/>
              </a:cubicBezTo>
              <a:cubicBezTo>
                <a:pt x="3876799" y="591759"/>
                <a:pt x="3892390" y="576168"/>
                <a:pt x="3911618" y="576168"/>
              </a:cubicBezTo>
              <a:cubicBezTo>
                <a:pt x="3930846" y="576168"/>
                <a:pt x="3946437" y="591759"/>
                <a:pt x="3946437" y="610987"/>
              </a:cubicBezTo>
              <a:cubicBezTo>
                <a:pt x="3946437" y="630215"/>
                <a:pt x="3930846" y="645806"/>
                <a:pt x="3911618" y="645806"/>
              </a:cubicBezTo>
              <a:close/>
              <a:moveTo>
                <a:pt x="10872805" y="645806"/>
              </a:moveTo>
              <a:cubicBezTo>
                <a:pt x="10853577" y="645806"/>
                <a:pt x="10837979" y="630215"/>
                <a:pt x="10837979" y="610987"/>
              </a:cubicBezTo>
              <a:cubicBezTo>
                <a:pt x="10837979" y="591759"/>
                <a:pt x="10853577" y="576168"/>
                <a:pt x="10872805" y="576168"/>
              </a:cubicBezTo>
              <a:cubicBezTo>
                <a:pt x="10892033" y="576168"/>
                <a:pt x="10907617" y="591759"/>
                <a:pt x="10907617" y="610987"/>
              </a:cubicBezTo>
              <a:cubicBezTo>
                <a:pt x="10907617" y="630215"/>
                <a:pt x="10892033" y="645806"/>
                <a:pt x="10872805" y="645806"/>
              </a:cubicBezTo>
              <a:close/>
              <a:moveTo>
                <a:pt x="3911618" y="560946"/>
              </a:moveTo>
              <a:cubicBezTo>
                <a:pt x="3892390" y="560946"/>
                <a:pt x="3876799" y="545355"/>
                <a:pt x="3876799" y="526127"/>
              </a:cubicBezTo>
              <a:cubicBezTo>
                <a:pt x="3876799" y="506900"/>
                <a:pt x="3892390" y="491309"/>
                <a:pt x="3911618" y="491309"/>
              </a:cubicBezTo>
              <a:cubicBezTo>
                <a:pt x="3930846" y="491309"/>
                <a:pt x="3946437" y="506900"/>
                <a:pt x="3946437" y="526127"/>
              </a:cubicBezTo>
              <a:cubicBezTo>
                <a:pt x="3946437" y="545355"/>
                <a:pt x="3930846" y="560946"/>
                <a:pt x="3911618" y="560946"/>
              </a:cubicBezTo>
              <a:close/>
              <a:moveTo>
                <a:pt x="3996511" y="560946"/>
              </a:moveTo>
              <a:cubicBezTo>
                <a:pt x="3977283" y="560946"/>
                <a:pt x="3961692" y="545355"/>
                <a:pt x="3961692" y="526127"/>
              </a:cubicBezTo>
              <a:cubicBezTo>
                <a:pt x="3961692" y="506900"/>
                <a:pt x="3977283" y="491309"/>
                <a:pt x="3996511" y="491309"/>
              </a:cubicBezTo>
              <a:cubicBezTo>
                <a:pt x="4015739" y="491309"/>
                <a:pt x="4031330" y="506900"/>
                <a:pt x="4031330" y="526127"/>
              </a:cubicBezTo>
              <a:cubicBezTo>
                <a:pt x="4031330" y="545355"/>
                <a:pt x="4015739" y="560946"/>
                <a:pt x="3996511" y="560946"/>
              </a:cubicBezTo>
              <a:close/>
            </a:path>
          </a:pathLst>
        </a:custGeom>
        <a:solidFill>
          <a:schemeClr val="tx1"/>
        </a:solidFill>
        <a:ln w="6526" cap="flat">
          <a:noFill/>
          <a:prstDash val="solid"/>
          <a:miter/>
        </a:ln>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clientData/>
  </xdr:twoCellAnchor>
  <xdr:twoCellAnchor>
    <xdr:from>
      <xdr:col>12</xdr:col>
      <xdr:colOff>274188</xdr:colOff>
      <xdr:row>7</xdr:row>
      <xdr:rowOff>124476</xdr:rowOff>
    </xdr:from>
    <xdr:to>
      <xdr:col>15</xdr:col>
      <xdr:colOff>193194</xdr:colOff>
      <xdr:row>11</xdr:row>
      <xdr:rowOff>11215</xdr:rowOff>
    </xdr:to>
    <xdr:sp macro="[0]!Group60_Click" textlink="">
      <xdr:nvSpPr>
        <xdr:cNvPr id="51" name="Rectangle: Rounded Corners 50">
          <a:extLst>
            <a:ext uri="{FF2B5EF4-FFF2-40B4-BE49-F238E27FC236}">
              <a16:creationId xmlns:a16="http://schemas.microsoft.com/office/drawing/2014/main" id="{B599669E-6236-4145-BB0B-0855F86B7B24}"/>
            </a:ext>
          </a:extLst>
        </xdr:cNvPr>
        <xdr:cNvSpPr/>
      </xdr:nvSpPr>
      <xdr:spPr>
        <a:xfrm>
          <a:off x="7547824" y="1457976"/>
          <a:ext cx="1737415" cy="648739"/>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484140</xdr:colOff>
      <xdr:row>7</xdr:row>
      <xdr:rowOff>181760</xdr:rowOff>
    </xdr:from>
    <xdr:to>
      <xdr:col>13</xdr:col>
      <xdr:colOff>346392</xdr:colOff>
      <xdr:row>10</xdr:row>
      <xdr:rowOff>33283</xdr:rowOff>
    </xdr:to>
    <xdr:sp macro="[0]!Group60_Click" textlink="">
      <xdr:nvSpPr>
        <xdr:cNvPr id="52" name="Rectangle: Rounded Corners 51">
          <a:extLst>
            <a:ext uri="{FF2B5EF4-FFF2-40B4-BE49-F238E27FC236}">
              <a16:creationId xmlns:a16="http://schemas.microsoft.com/office/drawing/2014/main" id="{564FB419-4397-48FA-9822-697B57D860BE}"/>
            </a:ext>
          </a:extLst>
        </xdr:cNvPr>
        <xdr:cNvSpPr/>
      </xdr:nvSpPr>
      <xdr:spPr>
        <a:xfrm>
          <a:off x="7757776" y="1515260"/>
          <a:ext cx="468389" cy="423023"/>
        </a:xfrm>
        <a:prstGeom prst="roundRect">
          <a:avLst/>
        </a:prstGeom>
        <a:solidFill>
          <a:srgbClr val="0C35A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476046</xdr:colOff>
      <xdr:row>7</xdr:row>
      <xdr:rowOff>155878</xdr:rowOff>
    </xdr:from>
    <xdr:to>
      <xdr:col>13</xdr:col>
      <xdr:colOff>337146</xdr:colOff>
      <xdr:row>10</xdr:row>
      <xdr:rowOff>60050</xdr:rowOff>
    </xdr:to>
    <xdr:pic macro="[0]!Group60_Click">
      <xdr:nvPicPr>
        <xdr:cNvPr id="54" name="Graphic 53" descr="City with solid fill">
          <a:extLst>
            <a:ext uri="{FF2B5EF4-FFF2-40B4-BE49-F238E27FC236}">
              <a16:creationId xmlns:a16="http://schemas.microsoft.com/office/drawing/2014/main" id="{DE798F6F-C18A-42E4-97DD-F334B66CA8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49682" y="1489378"/>
          <a:ext cx="467237" cy="475672"/>
        </a:xfrm>
        <a:prstGeom prst="rect">
          <a:avLst/>
        </a:prstGeom>
      </xdr:spPr>
    </xdr:pic>
    <xdr:clientData/>
  </xdr:twoCellAnchor>
  <xdr:twoCellAnchor>
    <xdr:from>
      <xdr:col>13</xdr:col>
      <xdr:colOff>220779</xdr:colOff>
      <xdr:row>7</xdr:row>
      <xdr:rowOff>159481</xdr:rowOff>
    </xdr:from>
    <xdr:to>
      <xdr:col>15</xdr:col>
      <xdr:colOff>97479</xdr:colOff>
      <xdr:row>10</xdr:row>
      <xdr:rowOff>92949</xdr:rowOff>
    </xdr:to>
    <xdr:grpSp>
      <xdr:nvGrpSpPr>
        <xdr:cNvPr id="94" name="Group 93">
          <a:extLst>
            <a:ext uri="{FF2B5EF4-FFF2-40B4-BE49-F238E27FC236}">
              <a16:creationId xmlns:a16="http://schemas.microsoft.com/office/drawing/2014/main" id="{39855F7A-F45C-4249-A2EC-CD3712D87D05}"/>
            </a:ext>
          </a:extLst>
        </xdr:cNvPr>
        <xdr:cNvGrpSpPr/>
      </xdr:nvGrpSpPr>
      <xdr:grpSpPr>
        <a:xfrm>
          <a:off x="8145579" y="1492981"/>
          <a:ext cx="1095900" cy="504968"/>
          <a:chOff x="8142055" y="2109108"/>
          <a:chExt cx="1088033" cy="495517"/>
        </a:xfrm>
      </xdr:grpSpPr>
      <xdr:sp macro="[0]!Group60_Click" textlink="'pivot tables'!BQ6">
        <xdr:nvSpPr>
          <xdr:cNvPr id="58" name="TextBox 57">
            <a:extLst>
              <a:ext uri="{FF2B5EF4-FFF2-40B4-BE49-F238E27FC236}">
                <a16:creationId xmlns:a16="http://schemas.microsoft.com/office/drawing/2014/main" id="{E3A8BC02-347C-415C-9AAA-E6964BC7B92E}"/>
              </a:ext>
            </a:extLst>
          </xdr:cNvPr>
          <xdr:cNvSpPr txBox="1"/>
        </xdr:nvSpPr>
        <xdr:spPr>
          <a:xfrm>
            <a:off x="8367362" y="2109108"/>
            <a:ext cx="724684" cy="255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13CCB4A-4971-493D-9AB7-EBB7C4EC00EB}" type="TxLink">
              <a:rPr lang="en-US" sz="1100" b="0" i="0" u="none" strike="noStrike">
                <a:solidFill>
                  <a:schemeClr val="bg1"/>
                </a:solidFill>
                <a:latin typeface="Arial"/>
                <a:cs typeface="Arial"/>
              </a:rPr>
              <a:pPr algn="ctr"/>
              <a:t>Canada</a:t>
            </a:fld>
            <a:endParaRPr lang="en-IN" sz="2400">
              <a:solidFill>
                <a:schemeClr val="bg1"/>
              </a:solidFill>
              <a:latin typeface="Berlin Sans FB" panose="020E0602020502020306" pitchFamily="34" charset="0"/>
            </a:endParaRPr>
          </a:p>
        </xdr:txBody>
      </xdr:sp>
      <xdr:sp macro="[0]!Group60_Click" textlink="'pivot tables'!BS6">
        <xdr:nvSpPr>
          <xdr:cNvPr id="59" name="TextBox 58">
            <a:extLst>
              <a:ext uri="{FF2B5EF4-FFF2-40B4-BE49-F238E27FC236}">
                <a16:creationId xmlns:a16="http://schemas.microsoft.com/office/drawing/2014/main" id="{4ADB89ED-81B5-40A9-8B1A-71BE53862019}"/>
              </a:ext>
            </a:extLst>
          </xdr:cNvPr>
          <xdr:cNvSpPr txBox="1"/>
        </xdr:nvSpPr>
        <xdr:spPr>
          <a:xfrm>
            <a:off x="8142055" y="2389404"/>
            <a:ext cx="1088033" cy="2152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33B061F-A965-4167-BC10-E15D4189AB98}" type="TxLink">
              <a:rPr lang="en-US" sz="1400" b="0" i="0" u="none" strike="noStrike">
                <a:solidFill>
                  <a:schemeClr val="bg1"/>
                </a:solidFill>
                <a:latin typeface="Arial"/>
                <a:cs typeface="Arial"/>
              </a:rPr>
              <a:pPr algn="ctr"/>
              <a:t> 73,912 </a:t>
            </a:fld>
            <a:endParaRPr lang="en-IN" sz="3200" b="0" i="0" u="none" strike="noStrike">
              <a:solidFill>
                <a:schemeClr val="bg1"/>
              </a:solidFill>
              <a:latin typeface="Berlin Sans FB" panose="020E0602020502020306" pitchFamily="34" charset="0"/>
              <a:cs typeface="Arial"/>
            </a:endParaRPr>
          </a:p>
        </xdr:txBody>
      </xdr:sp>
    </xdr:grpSp>
    <xdr:clientData/>
  </xdr:twoCellAnchor>
  <xdr:twoCellAnchor>
    <xdr:from>
      <xdr:col>19</xdr:col>
      <xdr:colOff>231522</xdr:colOff>
      <xdr:row>17</xdr:row>
      <xdr:rowOff>114654</xdr:rowOff>
    </xdr:from>
    <xdr:to>
      <xdr:col>22</xdr:col>
      <xdr:colOff>110335</xdr:colOff>
      <xdr:row>20</xdr:row>
      <xdr:rowOff>154023</xdr:rowOff>
    </xdr:to>
    <xdr:grpSp>
      <xdr:nvGrpSpPr>
        <xdr:cNvPr id="76" name="Group 75">
          <a:extLst>
            <a:ext uri="{FF2B5EF4-FFF2-40B4-BE49-F238E27FC236}">
              <a16:creationId xmlns:a16="http://schemas.microsoft.com/office/drawing/2014/main" id="{8F23499F-2FCB-48B8-88E3-52677C3C6ECB}"/>
            </a:ext>
          </a:extLst>
        </xdr:cNvPr>
        <xdr:cNvGrpSpPr/>
      </xdr:nvGrpSpPr>
      <xdr:grpSpPr>
        <a:xfrm>
          <a:off x="11813922" y="3353154"/>
          <a:ext cx="1707613" cy="610869"/>
          <a:chOff x="4189997" y="2417830"/>
          <a:chExt cx="1753542" cy="648739"/>
        </a:xfrm>
      </xdr:grpSpPr>
      <xdr:sp macro="[0]!Group60_Click" textlink="">
        <xdr:nvSpPr>
          <xdr:cNvPr id="62" name="Rectangle: Rounded Corners 61">
            <a:extLst>
              <a:ext uri="{FF2B5EF4-FFF2-40B4-BE49-F238E27FC236}">
                <a16:creationId xmlns:a16="http://schemas.microsoft.com/office/drawing/2014/main" id="{CFDEF84E-ADDC-4AC2-9E27-92A15F976536}"/>
              </a:ext>
            </a:extLst>
          </xdr:cNvPr>
          <xdr:cNvSpPr/>
        </xdr:nvSpPr>
        <xdr:spPr>
          <a:xfrm>
            <a:off x="4189997" y="2417830"/>
            <a:ext cx="1753542" cy="648739"/>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Group60_Click" textlink="">
        <xdr:nvSpPr>
          <xdr:cNvPr id="70" name="Rectangle: Rounded Corners 69">
            <a:extLst>
              <a:ext uri="{FF2B5EF4-FFF2-40B4-BE49-F238E27FC236}">
                <a16:creationId xmlns:a16="http://schemas.microsoft.com/office/drawing/2014/main" id="{BB113FB5-A4A7-469D-959E-1B1D2D8E70F9}"/>
              </a:ext>
            </a:extLst>
          </xdr:cNvPr>
          <xdr:cNvSpPr/>
        </xdr:nvSpPr>
        <xdr:spPr>
          <a:xfrm>
            <a:off x="4224088" y="2502052"/>
            <a:ext cx="492291" cy="472202"/>
          </a:xfrm>
          <a:prstGeom prst="roundRect">
            <a:avLst/>
          </a:prstGeom>
          <a:solidFill>
            <a:srgbClr val="0C35A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Group60_Click">
        <xdr:nvPicPr>
          <xdr:cNvPr id="74" name="Graphic 73" descr="City with solid fill">
            <a:extLst>
              <a:ext uri="{FF2B5EF4-FFF2-40B4-BE49-F238E27FC236}">
                <a16:creationId xmlns:a16="http://schemas.microsoft.com/office/drawing/2014/main" id="{4DEDA78E-4B46-4FC2-B618-A5E7A1061B1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228098" y="2516093"/>
            <a:ext cx="471574" cy="475672"/>
          </a:xfrm>
          <a:prstGeom prst="rect">
            <a:avLst/>
          </a:prstGeom>
        </xdr:spPr>
      </xdr:pic>
    </xdr:grpSp>
    <xdr:clientData/>
  </xdr:twoCellAnchor>
  <xdr:twoCellAnchor>
    <xdr:from>
      <xdr:col>20</xdr:col>
      <xdr:colOff>231347</xdr:colOff>
      <xdr:row>8</xdr:row>
      <xdr:rowOff>114656</xdr:rowOff>
    </xdr:from>
    <xdr:to>
      <xdr:col>22</xdr:col>
      <xdr:colOff>563175</xdr:colOff>
      <xdr:row>11</xdr:row>
      <xdr:rowOff>142944</xdr:rowOff>
    </xdr:to>
    <xdr:grpSp>
      <xdr:nvGrpSpPr>
        <xdr:cNvPr id="77" name="Group 76">
          <a:extLst>
            <a:ext uri="{FF2B5EF4-FFF2-40B4-BE49-F238E27FC236}">
              <a16:creationId xmlns:a16="http://schemas.microsoft.com/office/drawing/2014/main" id="{2D1A24D5-32FF-48CE-BCDE-A0E1CA98C7D9}"/>
            </a:ext>
          </a:extLst>
        </xdr:cNvPr>
        <xdr:cNvGrpSpPr/>
      </xdr:nvGrpSpPr>
      <xdr:grpSpPr>
        <a:xfrm>
          <a:off x="12423347" y="1638656"/>
          <a:ext cx="1551028" cy="599788"/>
          <a:chOff x="4189997" y="2417830"/>
          <a:chExt cx="1753542" cy="648739"/>
        </a:xfrm>
      </xdr:grpSpPr>
      <xdr:sp macro="[0]!Group60_Click" textlink="">
        <xdr:nvSpPr>
          <xdr:cNvPr id="78" name="Rectangle: Rounded Corners 77">
            <a:extLst>
              <a:ext uri="{FF2B5EF4-FFF2-40B4-BE49-F238E27FC236}">
                <a16:creationId xmlns:a16="http://schemas.microsoft.com/office/drawing/2014/main" id="{72C509FE-87CA-473B-9493-72C58F9D6CB4}"/>
              </a:ext>
            </a:extLst>
          </xdr:cNvPr>
          <xdr:cNvSpPr/>
        </xdr:nvSpPr>
        <xdr:spPr>
          <a:xfrm>
            <a:off x="4189997" y="2417830"/>
            <a:ext cx="1753542" cy="648739"/>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Group60_Click" textlink="">
        <xdr:nvSpPr>
          <xdr:cNvPr id="79" name="Rectangle: Rounded Corners 78">
            <a:extLst>
              <a:ext uri="{FF2B5EF4-FFF2-40B4-BE49-F238E27FC236}">
                <a16:creationId xmlns:a16="http://schemas.microsoft.com/office/drawing/2014/main" id="{D21ABBED-5115-4914-AE54-35D927FD4A27}"/>
              </a:ext>
            </a:extLst>
          </xdr:cNvPr>
          <xdr:cNvSpPr/>
        </xdr:nvSpPr>
        <xdr:spPr>
          <a:xfrm>
            <a:off x="4224088" y="2502052"/>
            <a:ext cx="492291" cy="472202"/>
          </a:xfrm>
          <a:prstGeom prst="roundRect">
            <a:avLst/>
          </a:prstGeom>
          <a:solidFill>
            <a:srgbClr val="0C35A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Group60_Click">
        <xdr:nvPicPr>
          <xdr:cNvPr id="80" name="Graphic 79" descr="City with solid fill">
            <a:extLst>
              <a:ext uri="{FF2B5EF4-FFF2-40B4-BE49-F238E27FC236}">
                <a16:creationId xmlns:a16="http://schemas.microsoft.com/office/drawing/2014/main" id="{C7D832EC-CE91-471D-8CA5-6BAADDCFF39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28098" y="2516093"/>
            <a:ext cx="471574" cy="475672"/>
          </a:xfrm>
          <a:prstGeom prst="rect">
            <a:avLst/>
          </a:prstGeom>
        </xdr:spPr>
      </xdr:pic>
    </xdr:grpSp>
    <xdr:clientData/>
  </xdr:twoCellAnchor>
  <xdr:twoCellAnchor>
    <xdr:from>
      <xdr:col>15</xdr:col>
      <xdr:colOff>146534</xdr:colOff>
      <xdr:row>23</xdr:row>
      <xdr:rowOff>128918</xdr:rowOff>
    </xdr:from>
    <xdr:to>
      <xdr:col>17</xdr:col>
      <xdr:colOff>517301</xdr:colOff>
      <xdr:row>26</xdr:row>
      <xdr:rowOff>150902</xdr:rowOff>
    </xdr:to>
    <xdr:grpSp>
      <xdr:nvGrpSpPr>
        <xdr:cNvPr id="81" name="Group 80">
          <a:extLst>
            <a:ext uri="{FF2B5EF4-FFF2-40B4-BE49-F238E27FC236}">
              <a16:creationId xmlns:a16="http://schemas.microsoft.com/office/drawing/2014/main" id="{05D4527A-B24D-4D68-8E60-DE7FDB271D9E}"/>
            </a:ext>
          </a:extLst>
        </xdr:cNvPr>
        <xdr:cNvGrpSpPr/>
      </xdr:nvGrpSpPr>
      <xdr:grpSpPr>
        <a:xfrm>
          <a:off x="9290534" y="4510418"/>
          <a:ext cx="1589967" cy="593484"/>
          <a:chOff x="4189997" y="2417830"/>
          <a:chExt cx="1753542" cy="648739"/>
        </a:xfrm>
      </xdr:grpSpPr>
      <xdr:sp macro="[0]!Group60_Click" textlink="">
        <xdr:nvSpPr>
          <xdr:cNvPr id="82" name="Rectangle: Rounded Corners 81">
            <a:extLst>
              <a:ext uri="{FF2B5EF4-FFF2-40B4-BE49-F238E27FC236}">
                <a16:creationId xmlns:a16="http://schemas.microsoft.com/office/drawing/2014/main" id="{3DCC5E2D-8173-4368-8C2B-884FD6DAAE15}"/>
              </a:ext>
            </a:extLst>
          </xdr:cNvPr>
          <xdr:cNvSpPr/>
        </xdr:nvSpPr>
        <xdr:spPr>
          <a:xfrm>
            <a:off x="4189997" y="2417830"/>
            <a:ext cx="1753542" cy="648739"/>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Group60_Click" textlink="">
        <xdr:nvSpPr>
          <xdr:cNvPr id="83" name="Rectangle: Rounded Corners 82">
            <a:extLst>
              <a:ext uri="{FF2B5EF4-FFF2-40B4-BE49-F238E27FC236}">
                <a16:creationId xmlns:a16="http://schemas.microsoft.com/office/drawing/2014/main" id="{63ADF4DF-675A-4D64-AE83-2F1E0009EF3C}"/>
              </a:ext>
            </a:extLst>
          </xdr:cNvPr>
          <xdr:cNvSpPr/>
        </xdr:nvSpPr>
        <xdr:spPr>
          <a:xfrm>
            <a:off x="4224088" y="2502052"/>
            <a:ext cx="492291" cy="472202"/>
          </a:xfrm>
          <a:prstGeom prst="roundRect">
            <a:avLst/>
          </a:prstGeom>
          <a:solidFill>
            <a:srgbClr val="0C35A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Group60_Click">
        <xdr:nvPicPr>
          <xdr:cNvPr id="84" name="Graphic 83" descr="City with solid fill">
            <a:extLst>
              <a:ext uri="{FF2B5EF4-FFF2-40B4-BE49-F238E27FC236}">
                <a16:creationId xmlns:a16="http://schemas.microsoft.com/office/drawing/2014/main" id="{47CE8ED4-FF65-462B-ABFA-91CEFD6F917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228098" y="2516093"/>
            <a:ext cx="471574" cy="475672"/>
          </a:xfrm>
          <a:prstGeom prst="rect">
            <a:avLst/>
          </a:prstGeom>
        </xdr:spPr>
      </xdr:pic>
    </xdr:grpSp>
    <xdr:clientData/>
  </xdr:twoCellAnchor>
  <xdr:twoCellAnchor>
    <xdr:from>
      <xdr:col>11</xdr:col>
      <xdr:colOff>218648</xdr:colOff>
      <xdr:row>13</xdr:row>
      <xdr:rowOff>171704</xdr:rowOff>
    </xdr:from>
    <xdr:to>
      <xdr:col>13</xdr:col>
      <xdr:colOff>542990</xdr:colOff>
      <xdr:row>17</xdr:row>
      <xdr:rowOff>47492</xdr:rowOff>
    </xdr:to>
    <xdr:grpSp>
      <xdr:nvGrpSpPr>
        <xdr:cNvPr id="85" name="Group 84">
          <a:extLst>
            <a:ext uri="{FF2B5EF4-FFF2-40B4-BE49-F238E27FC236}">
              <a16:creationId xmlns:a16="http://schemas.microsoft.com/office/drawing/2014/main" id="{2BFC8733-24D3-4A5C-9F85-CF23CDFA4680}"/>
            </a:ext>
          </a:extLst>
        </xdr:cNvPr>
        <xdr:cNvGrpSpPr/>
      </xdr:nvGrpSpPr>
      <xdr:grpSpPr>
        <a:xfrm>
          <a:off x="6924248" y="2648204"/>
          <a:ext cx="1543542" cy="637788"/>
          <a:chOff x="4189997" y="2417830"/>
          <a:chExt cx="1753542" cy="648739"/>
        </a:xfrm>
      </xdr:grpSpPr>
      <xdr:sp macro="[0]!Group60_Click" textlink="">
        <xdr:nvSpPr>
          <xdr:cNvPr id="86" name="Rectangle: Rounded Corners 85">
            <a:extLst>
              <a:ext uri="{FF2B5EF4-FFF2-40B4-BE49-F238E27FC236}">
                <a16:creationId xmlns:a16="http://schemas.microsoft.com/office/drawing/2014/main" id="{B7DAD5BC-6B3A-45EB-A555-7625AD8ACE8E}"/>
              </a:ext>
            </a:extLst>
          </xdr:cNvPr>
          <xdr:cNvSpPr/>
        </xdr:nvSpPr>
        <xdr:spPr>
          <a:xfrm>
            <a:off x="4189997" y="2417830"/>
            <a:ext cx="1753542" cy="648739"/>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Group60_Click" textlink="">
        <xdr:nvSpPr>
          <xdr:cNvPr id="87" name="Rectangle: Rounded Corners 86">
            <a:extLst>
              <a:ext uri="{FF2B5EF4-FFF2-40B4-BE49-F238E27FC236}">
                <a16:creationId xmlns:a16="http://schemas.microsoft.com/office/drawing/2014/main" id="{2CDADD53-AA0E-4439-8C94-CFF89428667D}"/>
              </a:ext>
            </a:extLst>
          </xdr:cNvPr>
          <xdr:cNvSpPr/>
        </xdr:nvSpPr>
        <xdr:spPr>
          <a:xfrm>
            <a:off x="4224088" y="2502052"/>
            <a:ext cx="492291" cy="472202"/>
          </a:xfrm>
          <a:prstGeom prst="roundRect">
            <a:avLst/>
          </a:prstGeom>
          <a:solidFill>
            <a:srgbClr val="0C35A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Group60_Click">
        <xdr:nvPicPr>
          <xdr:cNvPr id="88" name="Graphic 87" descr="City with solid fill">
            <a:extLst>
              <a:ext uri="{FF2B5EF4-FFF2-40B4-BE49-F238E27FC236}">
                <a16:creationId xmlns:a16="http://schemas.microsoft.com/office/drawing/2014/main" id="{6D8E0516-A9D7-400F-A7E6-7431C4ACD52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228098" y="2516093"/>
            <a:ext cx="471574" cy="475672"/>
          </a:xfrm>
          <a:prstGeom prst="rect">
            <a:avLst/>
          </a:prstGeom>
        </xdr:spPr>
      </xdr:pic>
    </xdr:grpSp>
    <xdr:clientData/>
  </xdr:twoCellAnchor>
  <xdr:twoCellAnchor>
    <xdr:from>
      <xdr:col>24</xdr:col>
      <xdr:colOff>444870</xdr:colOff>
      <xdr:row>5</xdr:row>
      <xdr:rowOff>143181</xdr:rowOff>
    </xdr:from>
    <xdr:to>
      <xdr:col>27</xdr:col>
      <xdr:colOff>219591</xdr:colOff>
      <xdr:row>8</xdr:row>
      <xdr:rowOff>177836</xdr:rowOff>
    </xdr:to>
    <xdr:grpSp>
      <xdr:nvGrpSpPr>
        <xdr:cNvPr id="89" name="Group 88">
          <a:extLst>
            <a:ext uri="{FF2B5EF4-FFF2-40B4-BE49-F238E27FC236}">
              <a16:creationId xmlns:a16="http://schemas.microsoft.com/office/drawing/2014/main" id="{6121EF39-901F-4A84-BCE3-50CD163A9E90}"/>
            </a:ext>
          </a:extLst>
        </xdr:cNvPr>
        <xdr:cNvGrpSpPr/>
      </xdr:nvGrpSpPr>
      <xdr:grpSpPr>
        <a:xfrm>
          <a:off x="15075270" y="1095681"/>
          <a:ext cx="1603521" cy="606155"/>
          <a:chOff x="4189997" y="2417830"/>
          <a:chExt cx="1753542" cy="648739"/>
        </a:xfrm>
      </xdr:grpSpPr>
      <xdr:sp macro="[0]!Group60_Click" textlink="">
        <xdr:nvSpPr>
          <xdr:cNvPr id="90" name="Rectangle: Rounded Corners 89">
            <a:extLst>
              <a:ext uri="{FF2B5EF4-FFF2-40B4-BE49-F238E27FC236}">
                <a16:creationId xmlns:a16="http://schemas.microsoft.com/office/drawing/2014/main" id="{5C3539B3-B212-4B3B-AF10-80EC8033CD82}"/>
              </a:ext>
            </a:extLst>
          </xdr:cNvPr>
          <xdr:cNvSpPr/>
        </xdr:nvSpPr>
        <xdr:spPr>
          <a:xfrm>
            <a:off x="4189997" y="2417830"/>
            <a:ext cx="1753542" cy="648739"/>
          </a:xfrm>
          <a:prstGeom prst="roundRect">
            <a:avLst/>
          </a:prstGeom>
          <a:solidFill>
            <a:srgbClr val="070E0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Group60_Click" textlink="">
        <xdr:nvSpPr>
          <xdr:cNvPr id="91" name="Rectangle: Rounded Corners 90">
            <a:extLst>
              <a:ext uri="{FF2B5EF4-FFF2-40B4-BE49-F238E27FC236}">
                <a16:creationId xmlns:a16="http://schemas.microsoft.com/office/drawing/2014/main" id="{61504F8A-26A8-44FD-8E3F-6EC06B4F7147}"/>
              </a:ext>
            </a:extLst>
          </xdr:cNvPr>
          <xdr:cNvSpPr/>
        </xdr:nvSpPr>
        <xdr:spPr>
          <a:xfrm>
            <a:off x="4224088" y="2502052"/>
            <a:ext cx="492291" cy="472202"/>
          </a:xfrm>
          <a:prstGeom prst="roundRect">
            <a:avLst/>
          </a:prstGeom>
          <a:solidFill>
            <a:srgbClr val="0C35A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Group60_Click">
        <xdr:nvPicPr>
          <xdr:cNvPr id="92" name="Graphic 91" descr="City with solid fill">
            <a:extLst>
              <a:ext uri="{FF2B5EF4-FFF2-40B4-BE49-F238E27FC236}">
                <a16:creationId xmlns:a16="http://schemas.microsoft.com/office/drawing/2014/main" id="{453BEA9C-D07D-4D88-BCC9-951A764F6A76}"/>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228098" y="2516093"/>
            <a:ext cx="471574" cy="475672"/>
          </a:xfrm>
          <a:prstGeom prst="rect">
            <a:avLst/>
          </a:prstGeom>
        </xdr:spPr>
      </xdr:pic>
    </xdr:grpSp>
    <xdr:clientData/>
  </xdr:twoCellAnchor>
  <xdr:twoCellAnchor>
    <xdr:from>
      <xdr:col>25</xdr:col>
      <xdr:colOff>269512</xdr:colOff>
      <xdr:row>5</xdr:row>
      <xdr:rowOff>167467</xdr:rowOff>
    </xdr:from>
    <xdr:to>
      <xdr:col>27</xdr:col>
      <xdr:colOff>146211</xdr:colOff>
      <xdr:row>8</xdr:row>
      <xdr:rowOff>100935</xdr:rowOff>
    </xdr:to>
    <xdr:grpSp>
      <xdr:nvGrpSpPr>
        <xdr:cNvPr id="95" name="Group 94">
          <a:extLst>
            <a:ext uri="{FF2B5EF4-FFF2-40B4-BE49-F238E27FC236}">
              <a16:creationId xmlns:a16="http://schemas.microsoft.com/office/drawing/2014/main" id="{E259C3FC-B116-4F9B-8E38-9C438533CBFE}"/>
            </a:ext>
          </a:extLst>
        </xdr:cNvPr>
        <xdr:cNvGrpSpPr/>
      </xdr:nvGrpSpPr>
      <xdr:grpSpPr>
        <a:xfrm>
          <a:off x="15509512" y="1119967"/>
          <a:ext cx="1095899" cy="504968"/>
          <a:chOff x="8142055" y="2109108"/>
          <a:chExt cx="1088033" cy="495517"/>
        </a:xfrm>
      </xdr:grpSpPr>
      <xdr:sp macro="[0]!Group60_Click" textlink="'pivot tables'!BQ8">
        <xdr:nvSpPr>
          <xdr:cNvPr id="96" name="TextBox 95">
            <a:extLst>
              <a:ext uri="{FF2B5EF4-FFF2-40B4-BE49-F238E27FC236}">
                <a16:creationId xmlns:a16="http://schemas.microsoft.com/office/drawing/2014/main" id="{AC4CBBE1-3E56-4A7C-B3EF-02D187C68F29}"/>
              </a:ext>
            </a:extLst>
          </xdr:cNvPr>
          <xdr:cNvSpPr txBox="1"/>
        </xdr:nvSpPr>
        <xdr:spPr>
          <a:xfrm>
            <a:off x="8367362" y="2109108"/>
            <a:ext cx="724684" cy="255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DBC7D52-6E6B-4F68-AFAF-698B49B67010}" type="TxLink">
              <a:rPr lang="en-US" sz="1100" b="0" i="0" u="none" strike="noStrike">
                <a:solidFill>
                  <a:srgbClr val="FFFFFF"/>
                </a:solidFill>
                <a:latin typeface="Arial"/>
                <a:cs typeface="Arial"/>
              </a:rPr>
              <a:pPr algn="ctr"/>
              <a:t>Russia</a:t>
            </a:fld>
            <a:endParaRPr lang="en-IN" sz="2400">
              <a:solidFill>
                <a:schemeClr val="bg1"/>
              </a:solidFill>
              <a:latin typeface="Berlin Sans FB" panose="020E0602020502020306" pitchFamily="34" charset="0"/>
            </a:endParaRPr>
          </a:p>
        </xdr:txBody>
      </xdr:sp>
      <xdr:sp macro="[0]!Group60_Click" textlink="'pivot tables'!BS8">
        <xdr:nvSpPr>
          <xdr:cNvPr id="97" name="TextBox 96">
            <a:extLst>
              <a:ext uri="{FF2B5EF4-FFF2-40B4-BE49-F238E27FC236}">
                <a16:creationId xmlns:a16="http://schemas.microsoft.com/office/drawing/2014/main" id="{6E9C6D4A-ECA4-4E29-B2C7-CFA246A3FAC8}"/>
              </a:ext>
            </a:extLst>
          </xdr:cNvPr>
          <xdr:cNvSpPr txBox="1"/>
        </xdr:nvSpPr>
        <xdr:spPr>
          <a:xfrm>
            <a:off x="8142055" y="2389404"/>
            <a:ext cx="1088033" cy="2152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0FAFB7D-9378-40BB-9338-BAB766F78F07}" type="TxLink">
              <a:rPr lang="en-US" sz="1400" b="0" i="0" u="none" strike="noStrike">
                <a:solidFill>
                  <a:srgbClr val="FFFFFF"/>
                </a:solidFill>
                <a:latin typeface="Arial"/>
                <a:cs typeface="Arial"/>
              </a:rPr>
              <a:pPr algn="ctr"/>
              <a:t> 2,19,404 </a:t>
            </a:fld>
            <a:endParaRPr lang="en-IN" sz="3200" b="0" i="0" u="none" strike="noStrike">
              <a:solidFill>
                <a:schemeClr val="bg1"/>
              </a:solidFill>
              <a:latin typeface="Berlin Sans FB" panose="020E0602020502020306" pitchFamily="34" charset="0"/>
              <a:cs typeface="Arial"/>
            </a:endParaRPr>
          </a:p>
        </xdr:txBody>
      </xdr:sp>
    </xdr:grpSp>
    <xdr:clientData/>
  </xdr:twoCellAnchor>
  <xdr:twoCellAnchor>
    <xdr:from>
      <xdr:col>20</xdr:col>
      <xdr:colOff>145656</xdr:colOff>
      <xdr:row>17</xdr:row>
      <xdr:rowOff>143181</xdr:rowOff>
    </xdr:from>
    <xdr:to>
      <xdr:col>22</xdr:col>
      <xdr:colOff>22354</xdr:colOff>
      <xdr:row>20</xdr:row>
      <xdr:rowOff>76648</xdr:rowOff>
    </xdr:to>
    <xdr:grpSp>
      <xdr:nvGrpSpPr>
        <xdr:cNvPr id="98" name="Group 97">
          <a:extLst>
            <a:ext uri="{FF2B5EF4-FFF2-40B4-BE49-F238E27FC236}">
              <a16:creationId xmlns:a16="http://schemas.microsoft.com/office/drawing/2014/main" id="{91028ED3-2031-4A31-AD4B-61B5145326CF}"/>
            </a:ext>
          </a:extLst>
        </xdr:cNvPr>
        <xdr:cNvGrpSpPr/>
      </xdr:nvGrpSpPr>
      <xdr:grpSpPr>
        <a:xfrm>
          <a:off x="12337656" y="3381681"/>
          <a:ext cx="1095898" cy="504967"/>
          <a:chOff x="8142055" y="2109108"/>
          <a:chExt cx="1088033" cy="495517"/>
        </a:xfrm>
      </xdr:grpSpPr>
      <xdr:sp macro="[0]!Group60_Click" textlink="'pivot tables'!BQ7">
        <xdr:nvSpPr>
          <xdr:cNvPr id="99" name="TextBox 98">
            <a:extLst>
              <a:ext uri="{FF2B5EF4-FFF2-40B4-BE49-F238E27FC236}">
                <a16:creationId xmlns:a16="http://schemas.microsoft.com/office/drawing/2014/main" id="{B2513B38-7E17-4905-9EBA-9D62009AACE4}"/>
              </a:ext>
            </a:extLst>
          </xdr:cNvPr>
          <xdr:cNvSpPr txBox="1"/>
        </xdr:nvSpPr>
        <xdr:spPr>
          <a:xfrm>
            <a:off x="8367362" y="2109108"/>
            <a:ext cx="724684" cy="255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56531DB-1F53-4D96-8B72-0BBEF051ECBD}" type="TxLink">
              <a:rPr lang="en-US" sz="1100" b="0" i="0" u="none" strike="noStrike">
                <a:solidFill>
                  <a:srgbClr val="FFFFFF"/>
                </a:solidFill>
                <a:latin typeface="Arial"/>
                <a:cs typeface="Arial"/>
              </a:rPr>
              <a:pPr algn="ctr"/>
              <a:t>Egypt</a:t>
            </a:fld>
            <a:endParaRPr lang="en-IN" sz="2400">
              <a:solidFill>
                <a:schemeClr val="bg1"/>
              </a:solidFill>
              <a:latin typeface="Berlin Sans FB" panose="020E0602020502020306" pitchFamily="34" charset="0"/>
            </a:endParaRPr>
          </a:p>
        </xdr:txBody>
      </xdr:sp>
      <xdr:sp macro="[0]!Group60_Click" textlink="'pivot tables'!BS7">
        <xdr:nvSpPr>
          <xdr:cNvPr id="100" name="TextBox 99">
            <a:extLst>
              <a:ext uri="{FF2B5EF4-FFF2-40B4-BE49-F238E27FC236}">
                <a16:creationId xmlns:a16="http://schemas.microsoft.com/office/drawing/2014/main" id="{4BDFED31-4BF7-4486-83AB-5ADE2603C32C}"/>
              </a:ext>
            </a:extLst>
          </xdr:cNvPr>
          <xdr:cNvSpPr txBox="1"/>
        </xdr:nvSpPr>
        <xdr:spPr>
          <a:xfrm>
            <a:off x="8142055" y="2389404"/>
            <a:ext cx="1088033" cy="2152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04DD030-3501-401D-81D8-47081DE8D49E}" type="TxLink">
              <a:rPr lang="en-US" sz="1400" b="0" i="0" u="none" strike="noStrike">
                <a:solidFill>
                  <a:srgbClr val="FFFFFF"/>
                </a:solidFill>
                <a:latin typeface="Arial"/>
                <a:cs typeface="Arial"/>
              </a:rPr>
              <a:pPr algn="ctr"/>
              <a:t> 2,04,528 </a:t>
            </a:fld>
            <a:endParaRPr lang="en-IN" sz="3200" b="0" i="0" u="none" strike="noStrike">
              <a:solidFill>
                <a:schemeClr val="bg1"/>
              </a:solidFill>
              <a:latin typeface="Berlin Sans FB" panose="020E0602020502020306" pitchFamily="34" charset="0"/>
              <a:cs typeface="Arial"/>
            </a:endParaRPr>
          </a:p>
        </xdr:txBody>
      </xdr:sp>
    </xdr:grpSp>
    <xdr:clientData/>
  </xdr:twoCellAnchor>
  <xdr:twoCellAnchor>
    <xdr:from>
      <xdr:col>20</xdr:col>
      <xdr:colOff>588397</xdr:colOff>
      <xdr:row>8</xdr:row>
      <xdr:rowOff>128919</xdr:rowOff>
    </xdr:from>
    <xdr:to>
      <xdr:col>23</xdr:col>
      <xdr:colOff>61152</xdr:colOff>
      <xdr:row>11</xdr:row>
      <xdr:rowOff>51873</xdr:rowOff>
    </xdr:to>
    <xdr:grpSp>
      <xdr:nvGrpSpPr>
        <xdr:cNvPr id="101" name="Group 100">
          <a:extLst>
            <a:ext uri="{FF2B5EF4-FFF2-40B4-BE49-F238E27FC236}">
              <a16:creationId xmlns:a16="http://schemas.microsoft.com/office/drawing/2014/main" id="{DAAA4A73-1F94-4016-BEE1-04601E9B773B}"/>
            </a:ext>
          </a:extLst>
        </xdr:cNvPr>
        <xdr:cNvGrpSpPr/>
      </xdr:nvGrpSpPr>
      <xdr:grpSpPr>
        <a:xfrm>
          <a:off x="12780397" y="1652919"/>
          <a:ext cx="1301555" cy="494454"/>
          <a:chOff x="8123385" y="2119747"/>
          <a:chExt cx="1286163" cy="484878"/>
        </a:xfrm>
      </xdr:grpSpPr>
      <xdr:sp macro="[0]!Group60_Click" textlink="'pivot tables'!BQ9">
        <xdr:nvSpPr>
          <xdr:cNvPr id="102" name="TextBox 101">
            <a:extLst>
              <a:ext uri="{FF2B5EF4-FFF2-40B4-BE49-F238E27FC236}">
                <a16:creationId xmlns:a16="http://schemas.microsoft.com/office/drawing/2014/main" id="{14DB838A-53FB-4E82-8068-EB4572765C2D}"/>
              </a:ext>
            </a:extLst>
          </xdr:cNvPr>
          <xdr:cNvSpPr txBox="1"/>
        </xdr:nvSpPr>
        <xdr:spPr>
          <a:xfrm>
            <a:off x="8123385" y="2119747"/>
            <a:ext cx="1286163" cy="3027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209E2AF-754D-42A2-9B8F-A34B2E985D49}" type="TxLink">
              <a:rPr lang="en-US" sz="1100" b="0" i="0" u="none" strike="noStrike">
                <a:solidFill>
                  <a:srgbClr val="FFFFFF"/>
                </a:solidFill>
                <a:latin typeface="Arial"/>
                <a:cs typeface="Arial"/>
              </a:rPr>
              <a:pPr algn="ctr"/>
              <a:t>United Kingdom</a:t>
            </a:fld>
            <a:endParaRPr lang="en-IN" sz="2400">
              <a:solidFill>
                <a:schemeClr val="bg1"/>
              </a:solidFill>
              <a:latin typeface="Berlin Sans FB" panose="020E0602020502020306" pitchFamily="34" charset="0"/>
            </a:endParaRPr>
          </a:p>
        </xdr:txBody>
      </xdr:sp>
      <xdr:sp macro="[0]!Group60_Click" textlink="'pivot tables'!BS9">
        <xdr:nvSpPr>
          <xdr:cNvPr id="103" name="TextBox 102">
            <a:extLst>
              <a:ext uri="{FF2B5EF4-FFF2-40B4-BE49-F238E27FC236}">
                <a16:creationId xmlns:a16="http://schemas.microsoft.com/office/drawing/2014/main" id="{F0CEA20E-6F7F-4862-BB98-1BFEE3E54972}"/>
              </a:ext>
            </a:extLst>
          </xdr:cNvPr>
          <xdr:cNvSpPr txBox="1"/>
        </xdr:nvSpPr>
        <xdr:spPr>
          <a:xfrm>
            <a:off x="8142055" y="2389404"/>
            <a:ext cx="1088033" cy="2152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85DC6FA-1762-42B8-9E34-10138FF17FC4}" type="TxLink">
              <a:rPr lang="en-US" sz="1400" b="0" i="0" u="none" strike="noStrike">
                <a:solidFill>
                  <a:srgbClr val="FFFFFF"/>
                </a:solidFill>
                <a:latin typeface="Arial"/>
                <a:cs typeface="Arial"/>
              </a:rPr>
              <a:pPr algn="ctr"/>
              <a:t> 1,29,304 </a:t>
            </a:fld>
            <a:endParaRPr lang="en-IN" sz="3200" b="0" i="0" u="none" strike="noStrike">
              <a:solidFill>
                <a:schemeClr val="bg1"/>
              </a:solidFill>
              <a:latin typeface="Berlin Sans FB" panose="020E0602020502020306" pitchFamily="34" charset="0"/>
              <a:cs typeface="Arial"/>
            </a:endParaRPr>
          </a:p>
        </xdr:txBody>
      </xdr:sp>
    </xdr:grpSp>
    <xdr:clientData/>
  </xdr:twoCellAnchor>
  <xdr:twoCellAnchor>
    <xdr:from>
      <xdr:col>15</xdr:col>
      <xdr:colOff>540145</xdr:colOff>
      <xdr:row>23</xdr:row>
      <xdr:rowOff>165431</xdr:rowOff>
    </xdr:from>
    <xdr:to>
      <xdr:col>17</xdr:col>
      <xdr:colOff>416844</xdr:colOff>
      <xdr:row>26</xdr:row>
      <xdr:rowOff>98898</xdr:rowOff>
    </xdr:to>
    <xdr:grpSp>
      <xdr:nvGrpSpPr>
        <xdr:cNvPr id="104" name="Group 103">
          <a:extLst>
            <a:ext uri="{FF2B5EF4-FFF2-40B4-BE49-F238E27FC236}">
              <a16:creationId xmlns:a16="http://schemas.microsoft.com/office/drawing/2014/main" id="{8AEF5D93-7408-4304-811D-ACB8D0FB7DD3}"/>
            </a:ext>
          </a:extLst>
        </xdr:cNvPr>
        <xdr:cNvGrpSpPr/>
      </xdr:nvGrpSpPr>
      <xdr:grpSpPr>
        <a:xfrm>
          <a:off x="9684145" y="4546931"/>
          <a:ext cx="1095899" cy="504967"/>
          <a:chOff x="8142055" y="2109108"/>
          <a:chExt cx="1088033" cy="495517"/>
        </a:xfrm>
      </xdr:grpSpPr>
      <xdr:sp macro="[0]!Group60_Click" textlink="'pivot tables'!BQ5">
        <xdr:nvSpPr>
          <xdr:cNvPr id="105" name="TextBox 104">
            <a:extLst>
              <a:ext uri="{FF2B5EF4-FFF2-40B4-BE49-F238E27FC236}">
                <a16:creationId xmlns:a16="http://schemas.microsoft.com/office/drawing/2014/main" id="{F1DC85EB-9781-40A4-B117-2900B3918C1D}"/>
              </a:ext>
            </a:extLst>
          </xdr:cNvPr>
          <xdr:cNvSpPr txBox="1"/>
        </xdr:nvSpPr>
        <xdr:spPr>
          <a:xfrm>
            <a:off x="8367362" y="2109108"/>
            <a:ext cx="724684" cy="255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BBB0813-8A37-4407-B369-3E059E1A1831}" type="TxLink">
              <a:rPr lang="en-US" sz="1100" b="0" i="0" u="none" strike="noStrike">
                <a:solidFill>
                  <a:srgbClr val="FFFFFF"/>
                </a:solidFill>
                <a:latin typeface="Arial"/>
                <a:cs typeface="Arial"/>
              </a:rPr>
              <a:pPr algn="ctr"/>
              <a:t>Brazil</a:t>
            </a:fld>
            <a:endParaRPr lang="en-IN" sz="2400">
              <a:solidFill>
                <a:schemeClr val="bg1"/>
              </a:solidFill>
              <a:latin typeface="Berlin Sans FB" panose="020E0602020502020306" pitchFamily="34" charset="0"/>
            </a:endParaRPr>
          </a:p>
        </xdr:txBody>
      </xdr:sp>
      <xdr:sp macro="[0]!Group60_Click" textlink="'pivot tables'!BS5">
        <xdr:nvSpPr>
          <xdr:cNvPr id="106" name="TextBox 105">
            <a:extLst>
              <a:ext uri="{FF2B5EF4-FFF2-40B4-BE49-F238E27FC236}">
                <a16:creationId xmlns:a16="http://schemas.microsoft.com/office/drawing/2014/main" id="{4FF371FC-A32A-444B-B77C-9B48E1D91DA0}"/>
              </a:ext>
            </a:extLst>
          </xdr:cNvPr>
          <xdr:cNvSpPr txBox="1"/>
        </xdr:nvSpPr>
        <xdr:spPr>
          <a:xfrm>
            <a:off x="8142055" y="2389404"/>
            <a:ext cx="1088033" cy="2152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8989A0D-2F8B-43D3-A210-8D0C13721962}" type="TxLink">
              <a:rPr lang="en-US" sz="1400" b="0" i="0" u="none" strike="noStrike">
                <a:solidFill>
                  <a:srgbClr val="FFFFFF"/>
                </a:solidFill>
                <a:latin typeface="Arial"/>
                <a:cs typeface="Arial"/>
              </a:rPr>
              <a:pPr algn="ctr"/>
              <a:t> 71,992 </a:t>
            </a:fld>
            <a:endParaRPr lang="en-IN" sz="3200" b="0" i="0" u="none" strike="noStrike">
              <a:solidFill>
                <a:schemeClr val="bg1"/>
              </a:solidFill>
              <a:latin typeface="Berlin Sans FB" panose="020E0602020502020306" pitchFamily="34" charset="0"/>
              <a:cs typeface="Arial"/>
            </a:endParaRPr>
          </a:p>
        </xdr:txBody>
      </xdr:sp>
    </xdr:grpSp>
    <xdr:clientData/>
  </xdr:twoCellAnchor>
  <xdr:twoCellAnchor>
    <xdr:from>
      <xdr:col>12</xdr:col>
      <xdr:colOff>20241</xdr:colOff>
      <xdr:row>14</xdr:row>
      <xdr:rowOff>16534</xdr:rowOff>
    </xdr:from>
    <xdr:to>
      <xdr:col>13</xdr:col>
      <xdr:colOff>496955</xdr:colOff>
      <xdr:row>16</xdr:row>
      <xdr:rowOff>135409</xdr:rowOff>
    </xdr:to>
    <xdr:grpSp>
      <xdr:nvGrpSpPr>
        <xdr:cNvPr id="107" name="Group 106">
          <a:extLst>
            <a:ext uri="{FF2B5EF4-FFF2-40B4-BE49-F238E27FC236}">
              <a16:creationId xmlns:a16="http://schemas.microsoft.com/office/drawing/2014/main" id="{145209EE-D935-431A-B825-1FA6CE1A7D15}"/>
            </a:ext>
          </a:extLst>
        </xdr:cNvPr>
        <xdr:cNvGrpSpPr/>
      </xdr:nvGrpSpPr>
      <xdr:grpSpPr>
        <a:xfrm>
          <a:off x="7335441" y="2683534"/>
          <a:ext cx="1086314" cy="499875"/>
          <a:chOff x="8142055" y="2109108"/>
          <a:chExt cx="1088033" cy="495517"/>
        </a:xfrm>
      </xdr:grpSpPr>
      <xdr:sp macro="[0]!Group60_Click" textlink="'pivot tables'!BQ10">
        <xdr:nvSpPr>
          <xdr:cNvPr id="108" name="TextBox 107">
            <a:extLst>
              <a:ext uri="{FF2B5EF4-FFF2-40B4-BE49-F238E27FC236}">
                <a16:creationId xmlns:a16="http://schemas.microsoft.com/office/drawing/2014/main" id="{EC4EA131-8812-439F-8854-ADAD62CD4048}"/>
              </a:ext>
            </a:extLst>
          </xdr:cNvPr>
          <xdr:cNvSpPr txBox="1"/>
        </xdr:nvSpPr>
        <xdr:spPr>
          <a:xfrm>
            <a:off x="8367362" y="2109108"/>
            <a:ext cx="724684" cy="255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320DD6C-42E0-47F8-83D8-1ECD475D9C5E}" type="TxLink">
              <a:rPr lang="en-US" sz="1100" b="0" i="0" u="none" strike="noStrike">
                <a:solidFill>
                  <a:srgbClr val="FFFFFF"/>
                </a:solidFill>
                <a:latin typeface="Arial"/>
                <a:cs typeface="Arial"/>
              </a:rPr>
              <a:pPr algn="ctr"/>
              <a:t>USA</a:t>
            </a:fld>
            <a:endParaRPr lang="en-IN" sz="2400">
              <a:solidFill>
                <a:schemeClr val="bg1"/>
              </a:solidFill>
              <a:latin typeface="Berlin Sans FB" panose="020E0602020502020306" pitchFamily="34" charset="0"/>
            </a:endParaRPr>
          </a:p>
        </xdr:txBody>
      </xdr:sp>
      <xdr:sp macro="[0]!Group60_Click" textlink="'pivot tables'!BS10">
        <xdr:nvSpPr>
          <xdr:cNvPr id="109" name="TextBox 108">
            <a:extLst>
              <a:ext uri="{FF2B5EF4-FFF2-40B4-BE49-F238E27FC236}">
                <a16:creationId xmlns:a16="http://schemas.microsoft.com/office/drawing/2014/main" id="{31474FF5-8206-4644-9B87-69A541D17952}"/>
              </a:ext>
            </a:extLst>
          </xdr:cNvPr>
          <xdr:cNvSpPr txBox="1"/>
        </xdr:nvSpPr>
        <xdr:spPr>
          <a:xfrm>
            <a:off x="8142055" y="2389404"/>
            <a:ext cx="1088033" cy="2152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40F01DA-E897-40BB-A664-814D56427812}" type="TxLink">
              <a:rPr lang="en-US" sz="1400" b="0" i="0" u="none" strike="noStrike">
                <a:solidFill>
                  <a:srgbClr val="FFFFFF"/>
                </a:solidFill>
                <a:latin typeface="Arial"/>
                <a:cs typeface="Arial"/>
              </a:rPr>
              <a:pPr algn="ctr"/>
              <a:t> 1,27,904 </a:t>
            </a:fld>
            <a:endParaRPr lang="en-IN" sz="3200" b="0" i="0" u="none" strike="noStrike">
              <a:solidFill>
                <a:schemeClr val="bg1"/>
              </a:solidFill>
              <a:latin typeface="Berlin Sans FB" panose="020E0602020502020306" pitchFamily="34" charset="0"/>
              <a:cs typeface="Arial"/>
            </a:endParaRPr>
          </a:p>
        </xdr:txBody>
      </xdr:sp>
    </xdr:grpSp>
    <xdr:clientData/>
  </xdr:twoCellAnchor>
  <xdr:twoCellAnchor>
    <xdr:from>
      <xdr:col>0</xdr:col>
      <xdr:colOff>15364</xdr:colOff>
      <xdr:row>0</xdr:row>
      <xdr:rowOff>11076</xdr:rowOff>
    </xdr:from>
    <xdr:to>
      <xdr:col>34</xdr:col>
      <xdr:colOff>331382</xdr:colOff>
      <xdr:row>2</xdr:row>
      <xdr:rowOff>23268</xdr:rowOff>
    </xdr:to>
    <xdr:grpSp>
      <xdr:nvGrpSpPr>
        <xdr:cNvPr id="10" name="Group 9">
          <a:extLst>
            <a:ext uri="{FF2B5EF4-FFF2-40B4-BE49-F238E27FC236}">
              <a16:creationId xmlns:a16="http://schemas.microsoft.com/office/drawing/2014/main" id="{62679585-DE41-45EC-9C0D-495BD2956DF3}"/>
            </a:ext>
          </a:extLst>
        </xdr:cNvPr>
        <xdr:cNvGrpSpPr/>
      </xdr:nvGrpSpPr>
      <xdr:grpSpPr>
        <a:xfrm>
          <a:off x="15364" y="11076"/>
          <a:ext cx="21042418" cy="393192"/>
          <a:chOff x="15669" y="11202"/>
          <a:chExt cx="21042192" cy="393192"/>
        </a:xfrm>
      </xdr:grpSpPr>
      <xdr:sp macro="" textlink="">
        <xdr:nvSpPr>
          <xdr:cNvPr id="2" name="Rectangle 1">
            <a:extLst>
              <a:ext uri="{FF2B5EF4-FFF2-40B4-BE49-F238E27FC236}">
                <a16:creationId xmlns:a16="http://schemas.microsoft.com/office/drawing/2014/main" id="{5608F23F-773C-4658-BA5C-E7052C2EFBC1}"/>
              </a:ext>
            </a:extLst>
          </xdr:cNvPr>
          <xdr:cNvSpPr/>
        </xdr:nvSpPr>
        <xdr:spPr>
          <a:xfrm>
            <a:off x="15669" y="11202"/>
            <a:ext cx="21042192" cy="393192"/>
          </a:xfrm>
          <a:prstGeom prst="rect">
            <a:avLst/>
          </a:prstGeom>
          <a:solidFill>
            <a:srgbClr val="1D1D3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a:p>
        </xdr:txBody>
      </xdr:sp>
      <xdr:pic>
        <xdr:nvPicPr>
          <xdr:cNvPr id="3" name="Picture 2" descr="lpu sae india collegiate club Logo PNG Vector (AI) Free Download">
            <a:extLst>
              <a:ext uri="{FF2B5EF4-FFF2-40B4-BE49-F238E27FC236}">
                <a16:creationId xmlns:a16="http://schemas.microsoft.com/office/drawing/2014/main" id="{93429DFB-0D1F-48B4-B44C-28567763F974}"/>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49530" y="11430"/>
            <a:ext cx="377190" cy="37719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 name="TextBox 3">
            <a:extLst>
              <a:ext uri="{FF2B5EF4-FFF2-40B4-BE49-F238E27FC236}">
                <a16:creationId xmlns:a16="http://schemas.microsoft.com/office/drawing/2014/main" id="{F2BD8213-DF85-48F2-A831-EE2EDC8378CC}"/>
              </a:ext>
            </a:extLst>
          </xdr:cNvPr>
          <xdr:cNvSpPr txBox="1"/>
        </xdr:nvSpPr>
        <xdr:spPr>
          <a:xfrm>
            <a:off x="390525" y="61715"/>
            <a:ext cx="438774" cy="24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a:solidFill>
                  <a:schemeClr val="bg1">
                    <a:lumMod val="95000"/>
                  </a:schemeClr>
                </a:solidFill>
                <a:latin typeface="Berlin Sans FB" panose="020E0602020502020306" pitchFamily="34" charset="0"/>
              </a:rPr>
              <a:t>LPU</a:t>
            </a:r>
          </a:p>
        </xdr:txBody>
      </xdr:sp>
      <xdr:sp macro="" textlink="">
        <xdr:nvSpPr>
          <xdr:cNvPr id="5" name="TextBox 4">
            <a:hlinkClick xmlns:r="http://schemas.openxmlformats.org/officeDocument/2006/relationships" r:id="rId14" tooltip="Geographically"/>
            <a:extLst>
              <a:ext uri="{FF2B5EF4-FFF2-40B4-BE49-F238E27FC236}">
                <a16:creationId xmlns:a16="http://schemas.microsoft.com/office/drawing/2014/main" id="{181F032C-2333-4702-974D-EE293765D02F}"/>
              </a:ext>
            </a:extLst>
          </xdr:cNvPr>
          <xdr:cNvSpPr txBox="1"/>
        </xdr:nvSpPr>
        <xdr:spPr>
          <a:xfrm>
            <a:off x="15795736" y="46511"/>
            <a:ext cx="1066510" cy="24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IN" sz="1100">
                <a:solidFill>
                  <a:schemeClr val="bg1">
                    <a:lumMod val="95000"/>
                  </a:schemeClr>
                </a:solidFill>
                <a:effectLst/>
                <a:latin typeface="Berlin Sans FB" panose="020E0602020502020306" pitchFamily="34" charset="0"/>
                <a:ea typeface="+mn-ea"/>
                <a:cs typeface="+mn-cs"/>
              </a:rPr>
              <a:t>Geographically</a:t>
            </a:r>
            <a:endParaRPr lang="en-IN" sz="1100">
              <a:solidFill>
                <a:schemeClr val="bg1">
                  <a:lumMod val="95000"/>
                </a:schemeClr>
              </a:solidFill>
              <a:latin typeface="Berlin Sans FB" panose="020E0602020502020306" pitchFamily="34" charset="0"/>
            </a:endParaRPr>
          </a:p>
        </xdr:txBody>
      </xdr:sp>
      <xdr:sp macro="" textlink="">
        <xdr:nvSpPr>
          <xdr:cNvPr id="6" name="TextBox 5">
            <a:hlinkClick xmlns:r="http://schemas.openxmlformats.org/officeDocument/2006/relationships" r:id="rId15" tooltip="www.lpu.in"/>
            <a:extLst>
              <a:ext uri="{FF2B5EF4-FFF2-40B4-BE49-F238E27FC236}">
                <a16:creationId xmlns:a16="http://schemas.microsoft.com/office/drawing/2014/main" id="{CD554B41-071C-4CE7-AAF8-713941538D0D}"/>
              </a:ext>
            </a:extLst>
          </xdr:cNvPr>
          <xdr:cNvSpPr txBox="1"/>
        </xdr:nvSpPr>
        <xdr:spPr>
          <a:xfrm>
            <a:off x="3400602" y="68752"/>
            <a:ext cx="602922" cy="24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IN" sz="1100">
                <a:solidFill>
                  <a:schemeClr val="bg1">
                    <a:lumMod val="95000"/>
                  </a:schemeClr>
                </a:solidFill>
                <a:effectLst/>
                <a:latin typeface="Berlin Sans FB" panose="020E0602020502020306" pitchFamily="34" charset="0"/>
                <a:ea typeface="+mn-ea"/>
                <a:cs typeface="+mn-cs"/>
              </a:rPr>
              <a:t>Browse</a:t>
            </a:r>
            <a:endParaRPr lang="en-IN" sz="1100">
              <a:solidFill>
                <a:schemeClr val="bg1">
                  <a:lumMod val="95000"/>
                </a:schemeClr>
              </a:solidFill>
              <a:latin typeface="Berlin Sans FB" panose="020E0602020502020306" pitchFamily="34" charset="0"/>
            </a:endParaRPr>
          </a:p>
        </xdr:txBody>
      </xdr:sp>
      <xdr:sp macro="" textlink="">
        <xdr:nvSpPr>
          <xdr:cNvPr id="7" name="TextBox 6">
            <a:hlinkClick xmlns:r="http://schemas.openxmlformats.org/officeDocument/2006/relationships" r:id="rId16" tooltip="Income sources"/>
            <a:extLst>
              <a:ext uri="{FF2B5EF4-FFF2-40B4-BE49-F238E27FC236}">
                <a16:creationId xmlns:a16="http://schemas.microsoft.com/office/drawing/2014/main" id="{22A84201-0EA0-4E37-9786-A17039B90DE5}"/>
              </a:ext>
            </a:extLst>
          </xdr:cNvPr>
          <xdr:cNvSpPr txBox="1"/>
        </xdr:nvSpPr>
        <xdr:spPr>
          <a:xfrm>
            <a:off x="14621593" y="46511"/>
            <a:ext cx="1048107" cy="24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IN" sz="1100">
                <a:solidFill>
                  <a:schemeClr val="bg1">
                    <a:lumMod val="95000"/>
                  </a:schemeClr>
                </a:solidFill>
                <a:effectLst/>
                <a:latin typeface="Berlin Sans FB" panose="020E0602020502020306" pitchFamily="34" charset="0"/>
                <a:ea typeface="+mn-ea"/>
                <a:cs typeface="+mn-cs"/>
              </a:rPr>
              <a:t>Income</a:t>
            </a:r>
            <a:r>
              <a:rPr lang="en-IN" sz="1100" baseline="0">
                <a:solidFill>
                  <a:schemeClr val="bg1">
                    <a:lumMod val="95000"/>
                  </a:schemeClr>
                </a:solidFill>
                <a:effectLst/>
                <a:latin typeface="Berlin Sans FB" panose="020E0602020502020306" pitchFamily="34" charset="0"/>
                <a:ea typeface="+mn-ea"/>
                <a:cs typeface="+mn-cs"/>
              </a:rPr>
              <a:t> sources</a:t>
            </a:r>
            <a:endParaRPr lang="en-IN" sz="1100">
              <a:solidFill>
                <a:schemeClr val="bg1">
                  <a:lumMod val="95000"/>
                </a:schemeClr>
              </a:solidFill>
              <a:latin typeface="Berlin Sans FB" panose="020E0602020502020306" pitchFamily="34" charset="0"/>
            </a:endParaRPr>
          </a:p>
        </xdr:txBody>
      </xdr:sp>
      <xdr:pic>
        <xdr:nvPicPr>
          <xdr:cNvPr id="8" name="Graphic 7" descr="Chevron arrows with solid fill">
            <a:extLst>
              <a:ext uri="{FF2B5EF4-FFF2-40B4-BE49-F238E27FC236}">
                <a16:creationId xmlns:a16="http://schemas.microsoft.com/office/drawing/2014/main" id="{C425DB70-51DC-4668-A29C-DEC700A78A3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3162300" y="66675"/>
            <a:ext cx="247650" cy="247650"/>
          </a:xfrm>
          <a:prstGeom prst="rect">
            <a:avLst/>
          </a:prstGeom>
        </xdr:spPr>
      </xdr:pic>
      <xdr:sp macro="" textlink="">
        <xdr:nvSpPr>
          <xdr:cNvPr id="9" name="Rectangle: Rounded Corners 8">
            <a:extLst>
              <a:ext uri="{FF2B5EF4-FFF2-40B4-BE49-F238E27FC236}">
                <a16:creationId xmlns:a16="http://schemas.microsoft.com/office/drawing/2014/main" id="{4034871D-28DF-48CE-AE2F-BD40DEE1B280}"/>
              </a:ext>
            </a:extLst>
          </xdr:cNvPr>
          <xdr:cNvSpPr/>
        </xdr:nvSpPr>
        <xdr:spPr>
          <a:xfrm>
            <a:off x="15850297" y="285750"/>
            <a:ext cx="301751" cy="45720"/>
          </a:xfrm>
          <a:prstGeom prst="roundRect">
            <a:avLst>
              <a:gd name="adj" fmla="val 50000"/>
            </a:avLst>
          </a:prstGeom>
          <a:solidFill>
            <a:srgbClr val="194AF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xdr:col>
      <xdr:colOff>233264</xdr:colOff>
      <xdr:row>17</xdr:row>
      <xdr:rowOff>132286</xdr:rowOff>
    </xdr:from>
    <xdr:to>
      <xdr:col>2</xdr:col>
      <xdr:colOff>278983</xdr:colOff>
      <xdr:row>18</xdr:row>
      <xdr:rowOff>77442</xdr:rowOff>
    </xdr:to>
    <xdr:sp macro="" textlink="">
      <xdr:nvSpPr>
        <xdr:cNvPr id="41" name="TextBox 40">
          <a:extLst>
            <a:ext uri="{FF2B5EF4-FFF2-40B4-BE49-F238E27FC236}">
              <a16:creationId xmlns:a16="http://schemas.microsoft.com/office/drawing/2014/main" id="{962BA5D4-2A04-4E9B-A245-6B3BEF7917AA}"/>
            </a:ext>
          </a:extLst>
        </xdr:cNvPr>
        <xdr:cNvSpPr txBox="1"/>
      </xdr:nvSpPr>
      <xdr:spPr>
        <a:xfrm flipH="1">
          <a:off x="1456475" y="3370786"/>
          <a:ext cx="45719" cy="1356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clientData/>
  </xdr:twoCellAnchor>
  <xdr:twoCellAnchor>
    <xdr:from>
      <xdr:col>2</xdr:col>
      <xdr:colOff>238277</xdr:colOff>
      <xdr:row>18</xdr:row>
      <xdr:rowOff>168279</xdr:rowOff>
    </xdr:from>
    <xdr:to>
      <xdr:col>2</xdr:col>
      <xdr:colOff>283996</xdr:colOff>
      <xdr:row>19</xdr:row>
      <xdr:rowOff>113436</xdr:rowOff>
    </xdr:to>
    <xdr:sp macro="" textlink="">
      <xdr:nvSpPr>
        <xdr:cNvPr id="42" name="TextBox 41">
          <a:extLst>
            <a:ext uri="{FF2B5EF4-FFF2-40B4-BE49-F238E27FC236}">
              <a16:creationId xmlns:a16="http://schemas.microsoft.com/office/drawing/2014/main" id="{84A1F29A-EC31-427A-8576-48A0F441942E}"/>
            </a:ext>
          </a:extLst>
        </xdr:cNvPr>
        <xdr:cNvSpPr txBox="1"/>
      </xdr:nvSpPr>
      <xdr:spPr>
        <a:xfrm flipH="1">
          <a:off x="1461488" y="3597279"/>
          <a:ext cx="45719" cy="1356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clientData/>
  </xdr:twoCellAnchor>
  <xdr:twoCellAnchor>
    <xdr:from>
      <xdr:col>2</xdr:col>
      <xdr:colOff>238277</xdr:colOff>
      <xdr:row>20</xdr:row>
      <xdr:rowOff>9318</xdr:rowOff>
    </xdr:from>
    <xdr:to>
      <xdr:col>2</xdr:col>
      <xdr:colOff>283996</xdr:colOff>
      <xdr:row>20</xdr:row>
      <xdr:rowOff>153022</xdr:rowOff>
    </xdr:to>
    <xdr:sp macro="" textlink="">
      <xdr:nvSpPr>
        <xdr:cNvPr id="43" name="TextBox 42">
          <a:extLst>
            <a:ext uri="{FF2B5EF4-FFF2-40B4-BE49-F238E27FC236}">
              <a16:creationId xmlns:a16="http://schemas.microsoft.com/office/drawing/2014/main" id="{6FBE9767-509D-45C6-A406-F68B7954486F}"/>
            </a:ext>
          </a:extLst>
        </xdr:cNvPr>
        <xdr:cNvSpPr txBox="1"/>
      </xdr:nvSpPr>
      <xdr:spPr>
        <a:xfrm flipH="1">
          <a:off x="1461488" y="3819318"/>
          <a:ext cx="45719" cy="1437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clientData/>
  </xdr:twoCellAnchor>
  <xdr:twoCellAnchor>
    <xdr:from>
      <xdr:col>2</xdr:col>
      <xdr:colOff>238277</xdr:colOff>
      <xdr:row>21</xdr:row>
      <xdr:rowOff>58931</xdr:rowOff>
    </xdr:from>
    <xdr:to>
      <xdr:col>2</xdr:col>
      <xdr:colOff>283996</xdr:colOff>
      <xdr:row>22</xdr:row>
      <xdr:rowOff>4087</xdr:rowOff>
    </xdr:to>
    <xdr:sp macro="" textlink="">
      <xdr:nvSpPr>
        <xdr:cNvPr id="44" name="TextBox 43">
          <a:extLst>
            <a:ext uri="{FF2B5EF4-FFF2-40B4-BE49-F238E27FC236}">
              <a16:creationId xmlns:a16="http://schemas.microsoft.com/office/drawing/2014/main" id="{12431C6E-B3B2-455E-AAED-4AD77ECE18A4}"/>
            </a:ext>
          </a:extLst>
        </xdr:cNvPr>
        <xdr:cNvSpPr txBox="1"/>
      </xdr:nvSpPr>
      <xdr:spPr>
        <a:xfrm flipH="1">
          <a:off x="1461488" y="4059431"/>
          <a:ext cx="45719" cy="1356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clientData/>
  </xdr:twoCellAnchor>
  <xdr:twoCellAnchor>
    <xdr:from>
      <xdr:col>2</xdr:col>
      <xdr:colOff>238277</xdr:colOff>
      <xdr:row>22</xdr:row>
      <xdr:rowOff>110108</xdr:rowOff>
    </xdr:from>
    <xdr:to>
      <xdr:col>2</xdr:col>
      <xdr:colOff>283996</xdr:colOff>
      <xdr:row>23</xdr:row>
      <xdr:rowOff>55266</xdr:rowOff>
    </xdr:to>
    <xdr:sp macro="" textlink="">
      <xdr:nvSpPr>
        <xdr:cNvPr id="45" name="TextBox 44">
          <a:extLst>
            <a:ext uri="{FF2B5EF4-FFF2-40B4-BE49-F238E27FC236}">
              <a16:creationId xmlns:a16="http://schemas.microsoft.com/office/drawing/2014/main" id="{DFFD44F9-8E02-47D5-A3A7-1FDB5EFA72C0}"/>
            </a:ext>
          </a:extLst>
        </xdr:cNvPr>
        <xdr:cNvSpPr txBox="1"/>
      </xdr:nvSpPr>
      <xdr:spPr>
        <a:xfrm flipH="1">
          <a:off x="1461488" y="4301108"/>
          <a:ext cx="45719" cy="135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clientData/>
  </xdr:twoCellAnchor>
  <xdr:twoCellAnchor>
    <xdr:from>
      <xdr:col>2</xdr:col>
      <xdr:colOff>238277</xdr:colOff>
      <xdr:row>23</xdr:row>
      <xdr:rowOff>141946</xdr:rowOff>
    </xdr:from>
    <xdr:to>
      <xdr:col>2</xdr:col>
      <xdr:colOff>283996</xdr:colOff>
      <xdr:row>24</xdr:row>
      <xdr:rowOff>91262</xdr:rowOff>
    </xdr:to>
    <xdr:sp macro="" textlink="">
      <xdr:nvSpPr>
        <xdr:cNvPr id="46" name="TextBox 45">
          <a:extLst>
            <a:ext uri="{FF2B5EF4-FFF2-40B4-BE49-F238E27FC236}">
              <a16:creationId xmlns:a16="http://schemas.microsoft.com/office/drawing/2014/main" id="{B9D802B1-7ED0-4655-A5EA-20E1E3CDA152}"/>
            </a:ext>
          </a:extLst>
        </xdr:cNvPr>
        <xdr:cNvSpPr txBox="1"/>
      </xdr:nvSpPr>
      <xdr:spPr>
        <a:xfrm flipH="1">
          <a:off x="1461488" y="4523446"/>
          <a:ext cx="45719" cy="1398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000">
              <a:solidFill>
                <a:srgbClr val="FFFF00"/>
              </a:solidFill>
              <a:latin typeface="Berlin Sans FB" panose="020E0602020502020306" pitchFamily="34" charset="0"/>
            </a:rPr>
            <a:t>•</a:t>
          </a:r>
        </a:p>
      </xdr:txBody>
    </xdr:sp>
    <xdr:clientData/>
  </xdr:twoCellAnchor>
  <xdr:twoCellAnchor>
    <xdr:from>
      <xdr:col>1</xdr:col>
      <xdr:colOff>467118</xdr:colOff>
      <xdr:row>25</xdr:row>
      <xdr:rowOff>86591</xdr:rowOff>
    </xdr:from>
    <xdr:to>
      <xdr:col>6</xdr:col>
      <xdr:colOff>366772</xdr:colOff>
      <xdr:row>40</xdr:row>
      <xdr:rowOff>154627</xdr:rowOff>
    </xdr:to>
    <xdr:graphicFrame macro="">
      <xdr:nvGraphicFramePr>
        <xdr:cNvPr id="47" name="Chart 46">
          <a:extLst>
            <a:ext uri="{FF2B5EF4-FFF2-40B4-BE49-F238E27FC236}">
              <a16:creationId xmlns:a16="http://schemas.microsoft.com/office/drawing/2014/main" id="{98F46313-7EF3-41CA-9169-34CE0905E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447385</xdr:colOff>
      <xdr:row>30</xdr:row>
      <xdr:rowOff>144318</xdr:rowOff>
    </xdr:from>
    <xdr:to>
      <xdr:col>5</xdr:col>
      <xdr:colOff>436918</xdr:colOff>
      <xdr:row>32</xdr:row>
      <xdr:rowOff>162569</xdr:rowOff>
    </xdr:to>
    <xdr:sp macro="" textlink="'pivot tables'!BY5">
      <xdr:nvSpPr>
        <xdr:cNvPr id="48" name="TextBox 47">
          <a:extLst>
            <a:ext uri="{FF2B5EF4-FFF2-40B4-BE49-F238E27FC236}">
              <a16:creationId xmlns:a16="http://schemas.microsoft.com/office/drawing/2014/main" id="{DB894C4E-33DA-4319-AF3B-B35614886A2C}"/>
            </a:ext>
          </a:extLst>
        </xdr:cNvPr>
        <xdr:cNvSpPr txBox="1"/>
      </xdr:nvSpPr>
      <xdr:spPr>
        <a:xfrm>
          <a:off x="1659658" y="5772727"/>
          <a:ext cx="1807942" cy="3934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9489FEDA-96FC-48CB-8305-B788C502D7E8}" type="TxLink">
            <a:rPr lang="en-US" sz="3200" b="0" i="0" u="none" strike="noStrike">
              <a:solidFill>
                <a:schemeClr val="bg1"/>
              </a:solidFill>
              <a:latin typeface="Arial" panose="020B0604020202020204" pitchFamily="34" charset="0"/>
              <a:cs typeface="Arial" panose="020B0604020202020204" pitchFamily="34" charset="0"/>
            </a:rPr>
            <a:pPr algn="ctr"/>
            <a:t>75%</a:t>
          </a:fld>
          <a:endParaRPr lang="en-IN" sz="2400" b="0">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101023</xdr:colOff>
      <xdr:row>32</xdr:row>
      <xdr:rowOff>14432</xdr:rowOff>
    </xdr:from>
    <xdr:to>
      <xdr:col>6</xdr:col>
      <xdr:colOff>115455</xdr:colOff>
      <xdr:row>36</xdr:row>
      <xdr:rowOff>57727</xdr:rowOff>
    </xdr:to>
    <xdr:sp macro="" textlink="">
      <xdr:nvSpPr>
        <xdr:cNvPr id="49" name="TextBox 48">
          <a:extLst>
            <a:ext uri="{FF2B5EF4-FFF2-40B4-BE49-F238E27FC236}">
              <a16:creationId xmlns:a16="http://schemas.microsoft.com/office/drawing/2014/main" id="{4D6B285B-6EF6-4809-903B-FC72B6D19188}"/>
            </a:ext>
          </a:extLst>
        </xdr:cNvPr>
        <xdr:cNvSpPr txBox="1"/>
      </xdr:nvSpPr>
      <xdr:spPr>
        <a:xfrm>
          <a:off x="1313296" y="6018068"/>
          <a:ext cx="2438977" cy="793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1200">
              <a:solidFill>
                <a:schemeClr val="bg1">
                  <a:lumMod val="95000"/>
                </a:schemeClr>
              </a:solidFill>
              <a:latin typeface="Berlin Sans FB" panose="020E0602020502020306" pitchFamily="34" charset="0"/>
            </a:rPr>
            <a:t>Sales</a:t>
          </a:r>
          <a:r>
            <a:rPr lang="en-IN" sz="1200" baseline="0">
              <a:solidFill>
                <a:schemeClr val="bg1">
                  <a:lumMod val="95000"/>
                </a:schemeClr>
              </a:solidFill>
              <a:latin typeface="Berlin Sans FB" panose="020E0602020502020306" pitchFamily="34" charset="0"/>
            </a:rPr>
            <a:t> percentage </a:t>
          </a:r>
        </a:p>
        <a:p>
          <a:pPr algn="ctr"/>
          <a:r>
            <a:rPr lang="en-IN" sz="1800" baseline="0">
              <a:solidFill>
                <a:schemeClr val="bg1">
                  <a:lumMod val="95000"/>
                </a:schemeClr>
              </a:solidFill>
              <a:latin typeface="Berlin Sans FB" panose="020E0602020502020306" pitchFamily="34" charset="0"/>
            </a:rPr>
            <a:t>Achieved</a:t>
          </a:r>
          <a:endParaRPr lang="en-IN" sz="1800">
            <a:solidFill>
              <a:schemeClr val="bg1">
                <a:lumMod val="95000"/>
              </a:schemeClr>
            </a:solidFill>
            <a:latin typeface="Berlin Sans FB" panose="020E0602020502020306" pitchFamily="34" charset="0"/>
          </a:endParaRPr>
        </a:p>
      </xdr:txBody>
    </xdr:sp>
    <xdr:clientData/>
  </xdr:twoCellAnchor>
  <xdr:twoCellAnchor>
    <xdr:from>
      <xdr:col>9</xdr:col>
      <xdr:colOff>373304</xdr:colOff>
      <xdr:row>12</xdr:row>
      <xdr:rowOff>124732</xdr:rowOff>
    </xdr:from>
    <xdr:to>
      <xdr:col>12</xdr:col>
      <xdr:colOff>186574</xdr:colOff>
      <xdr:row>13</xdr:row>
      <xdr:rowOff>140803</xdr:rowOff>
    </xdr:to>
    <xdr:sp macro="" textlink="'pivot tables'!BQ9">
      <xdr:nvSpPr>
        <xdr:cNvPr id="56" name="TextBox 55">
          <a:extLst>
            <a:ext uri="{FF2B5EF4-FFF2-40B4-BE49-F238E27FC236}">
              <a16:creationId xmlns:a16="http://schemas.microsoft.com/office/drawing/2014/main" id="{7A5AE8AA-6419-4023-A14E-358A12CE119D}"/>
            </a:ext>
          </a:extLst>
        </xdr:cNvPr>
        <xdr:cNvSpPr txBox="1"/>
      </xdr:nvSpPr>
      <xdr:spPr>
        <a:xfrm>
          <a:off x="5884197" y="2437946"/>
          <a:ext cx="1650234" cy="2088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C3D810A-911F-46F9-9972-81F52E72BC8A}" type="TxLink">
            <a:rPr lang="en-US" sz="1100" b="0" i="0" u="none" strike="noStrike">
              <a:solidFill>
                <a:srgbClr val="000000"/>
              </a:solidFill>
              <a:latin typeface="Arial"/>
              <a:cs typeface="Arial"/>
            </a:rPr>
            <a:pPr algn="ctr"/>
            <a:t>United Kingdom</a:t>
          </a:fld>
          <a:endParaRPr lang="en-IN" sz="2400">
            <a:solidFill>
              <a:schemeClr val="bg1">
                <a:lumMod val="95000"/>
              </a:schemeClr>
            </a:solidFill>
            <a:latin typeface="Berlin Sans FB" panose="020E0602020502020306" pitchFamily="34" charset="0"/>
          </a:endParaRPr>
        </a:p>
      </xdr:txBody>
    </xdr:sp>
    <xdr:clientData/>
  </xdr:twoCellAnchor>
  <xdr:twoCellAnchor>
    <xdr:from>
      <xdr:col>20</xdr:col>
      <xdr:colOff>502937</xdr:colOff>
      <xdr:row>21</xdr:row>
      <xdr:rowOff>8101</xdr:rowOff>
    </xdr:from>
    <xdr:to>
      <xdr:col>21</xdr:col>
      <xdr:colOff>444858</xdr:colOff>
      <xdr:row>23</xdr:row>
      <xdr:rowOff>128906</xdr:rowOff>
    </xdr:to>
    <xdr:grpSp>
      <xdr:nvGrpSpPr>
        <xdr:cNvPr id="53" name="Group 52">
          <a:extLst>
            <a:ext uri="{FF2B5EF4-FFF2-40B4-BE49-F238E27FC236}">
              <a16:creationId xmlns:a16="http://schemas.microsoft.com/office/drawing/2014/main" id="{A68BA35D-5806-43B2-88CB-94F7954938FE}"/>
            </a:ext>
          </a:extLst>
        </xdr:cNvPr>
        <xdr:cNvGrpSpPr/>
      </xdr:nvGrpSpPr>
      <xdr:grpSpPr>
        <a:xfrm>
          <a:off x="12694937" y="4008601"/>
          <a:ext cx="551521" cy="501805"/>
          <a:chOff x="11628166" y="4083669"/>
          <a:chExt cx="545946" cy="487866"/>
        </a:xfrm>
      </xdr:grpSpPr>
      <xdr:sp macro="" textlink="'pivot tables'!BG7">
        <xdr:nvSpPr>
          <xdr:cNvPr id="40" name="TextBox 39">
            <a:extLst>
              <a:ext uri="{FF2B5EF4-FFF2-40B4-BE49-F238E27FC236}">
                <a16:creationId xmlns:a16="http://schemas.microsoft.com/office/drawing/2014/main" id="{0DFF3EB9-8323-4CB6-9510-C88720AB9C11}"/>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110" name="TextBox 109">
            <a:extLst>
              <a:ext uri="{FF2B5EF4-FFF2-40B4-BE49-F238E27FC236}">
                <a16:creationId xmlns:a16="http://schemas.microsoft.com/office/drawing/2014/main" id="{22273957-3CF9-4E10-8F5D-9FB3E658A4E8}"/>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21</xdr:col>
      <xdr:colOff>52216</xdr:colOff>
      <xdr:row>21</xdr:row>
      <xdr:rowOff>4445</xdr:rowOff>
    </xdr:from>
    <xdr:to>
      <xdr:col>21</xdr:col>
      <xdr:colOff>606458</xdr:colOff>
      <xdr:row>23</xdr:row>
      <xdr:rowOff>126487</xdr:rowOff>
    </xdr:to>
    <xdr:grpSp>
      <xdr:nvGrpSpPr>
        <xdr:cNvPr id="57" name="Group 56">
          <a:extLst>
            <a:ext uri="{FF2B5EF4-FFF2-40B4-BE49-F238E27FC236}">
              <a16:creationId xmlns:a16="http://schemas.microsoft.com/office/drawing/2014/main" id="{C6044B79-51C5-4F6A-9C30-58942A8FE620}"/>
            </a:ext>
          </a:extLst>
        </xdr:cNvPr>
        <xdr:cNvGrpSpPr/>
      </xdr:nvGrpSpPr>
      <xdr:grpSpPr>
        <a:xfrm>
          <a:off x="12853816" y="4004945"/>
          <a:ext cx="554242" cy="503042"/>
          <a:chOff x="12926121" y="4092263"/>
          <a:chExt cx="545946" cy="487866"/>
        </a:xfrm>
      </xdr:grpSpPr>
      <xdr:sp macro="" textlink="'pivot tables'!BH7">
        <xdr:nvSpPr>
          <xdr:cNvPr id="111" name="TextBox 110">
            <a:extLst>
              <a:ext uri="{FF2B5EF4-FFF2-40B4-BE49-F238E27FC236}">
                <a16:creationId xmlns:a16="http://schemas.microsoft.com/office/drawing/2014/main" id="{4D435889-5784-4A61-B4A9-A42B02DC1E98}"/>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12" name="TextBox 111">
            <a:extLst>
              <a:ext uri="{FF2B5EF4-FFF2-40B4-BE49-F238E27FC236}">
                <a16:creationId xmlns:a16="http://schemas.microsoft.com/office/drawing/2014/main" id="{E2137591-7F65-410B-8C46-1C12DCB1E79A}"/>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359242</xdr:colOff>
      <xdr:row>21</xdr:row>
      <xdr:rowOff>51699</xdr:rowOff>
    </xdr:from>
    <xdr:to>
      <xdr:col>21</xdr:col>
      <xdr:colOff>301163</xdr:colOff>
      <xdr:row>23</xdr:row>
      <xdr:rowOff>173741</xdr:rowOff>
    </xdr:to>
    <xdr:grpSp>
      <xdr:nvGrpSpPr>
        <xdr:cNvPr id="164" name="Group 163">
          <a:extLst>
            <a:ext uri="{FF2B5EF4-FFF2-40B4-BE49-F238E27FC236}">
              <a16:creationId xmlns:a16="http://schemas.microsoft.com/office/drawing/2014/main" id="{7D9A81F0-D117-439B-9269-6071C8F21467}"/>
            </a:ext>
          </a:extLst>
        </xdr:cNvPr>
        <xdr:cNvGrpSpPr/>
      </xdr:nvGrpSpPr>
      <xdr:grpSpPr>
        <a:xfrm>
          <a:off x="12551242" y="4052199"/>
          <a:ext cx="551521" cy="503042"/>
          <a:chOff x="12926121" y="4092263"/>
          <a:chExt cx="545946" cy="487866"/>
        </a:xfrm>
      </xdr:grpSpPr>
      <xdr:sp macro="" textlink="'pivot tables'!BH7">
        <xdr:nvSpPr>
          <xdr:cNvPr id="165" name="TextBox 164">
            <a:extLst>
              <a:ext uri="{FF2B5EF4-FFF2-40B4-BE49-F238E27FC236}">
                <a16:creationId xmlns:a16="http://schemas.microsoft.com/office/drawing/2014/main" id="{15412254-6E31-4EAB-AFD7-96553029452A}"/>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66" name="TextBox 165">
            <a:extLst>
              <a:ext uri="{FF2B5EF4-FFF2-40B4-BE49-F238E27FC236}">
                <a16:creationId xmlns:a16="http://schemas.microsoft.com/office/drawing/2014/main" id="{A7980384-5E47-4B58-B5A7-40E71EC7ACA1}"/>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524012</xdr:colOff>
      <xdr:row>21</xdr:row>
      <xdr:rowOff>123693</xdr:rowOff>
    </xdr:from>
    <xdr:to>
      <xdr:col>21</xdr:col>
      <xdr:colOff>465933</xdr:colOff>
      <xdr:row>24</xdr:row>
      <xdr:rowOff>53998</xdr:rowOff>
    </xdr:to>
    <xdr:grpSp>
      <xdr:nvGrpSpPr>
        <xdr:cNvPr id="167" name="Group 166">
          <a:extLst>
            <a:ext uri="{FF2B5EF4-FFF2-40B4-BE49-F238E27FC236}">
              <a16:creationId xmlns:a16="http://schemas.microsoft.com/office/drawing/2014/main" id="{19CDCB01-D87D-4D99-A9E4-1A2793D362C1}"/>
            </a:ext>
          </a:extLst>
        </xdr:cNvPr>
        <xdr:cNvGrpSpPr/>
      </xdr:nvGrpSpPr>
      <xdr:grpSpPr>
        <a:xfrm>
          <a:off x="12716012" y="4124193"/>
          <a:ext cx="551521" cy="501805"/>
          <a:chOff x="12926121" y="4092263"/>
          <a:chExt cx="545946" cy="487866"/>
        </a:xfrm>
      </xdr:grpSpPr>
      <xdr:sp macro="" textlink="'pivot tables'!BH7">
        <xdr:nvSpPr>
          <xdr:cNvPr id="168" name="TextBox 167">
            <a:extLst>
              <a:ext uri="{FF2B5EF4-FFF2-40B4-BE49-F238E27FC236}">
                <a16:creationId xmlns:a16="http://schemas.microsoft.com/office/drawing/2014/main" id="{669C1143-A1A8-4C55-9555-7B8BAF5FDDFB}"/>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69" name="TextBox 168">
            <a:extLst>
              <a:ext uri="{FF2B5EF4-FFF2-40B4-BE49-F238E27FC236}">
                <a16:creationId xmlns:a16="http://schemas.microsoft.com/office/drawing/2014/main" id="{C956FCAB-F50D-4889-A900-C7E3231C6CFA}"/>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398084</xdr:colOff>
      <xdr:row>20</xdr:row>
      <xdr:rowOff>102911</xdr:rowOff>
    </xdr:from>
    <xdr:to>
      <xdr:col>21</xdr:col>
      <xdr:colOff>340005</xdr:colOff>
      <xdr:row>23</xdr:row>
      <xdr:rowOff>33216</xdr:rowOff>
    </xdr:to>
    <xdr:grpSp>
      <xdr:nvGrpSpPr>
        <xdr:cNvPr id="170" name="Group 169">
          <a:extLst>
            <a:ext uri="{FF2B5EF4-FFF2-40B4-BE49-F238E27FC236}">
              <a16:creationId xmlns:a16="http://schemas.microsoft.com/office/drawing/2014/main" id="{317FC5C4-5E99-45A2-9A51-FABF47CC30E5}"/>
            </a:ext>
          </a:extLst>
        </xdr:cNvPr>
        <xdr:cNvGrpSpPr/>
      </xdr:nvGrpSpPr>
      <xdr:grpSpPr>
        <a:xfrm>
          <a:off x="12590084" y="3912911"/>
          <a:ext cx="551521" cy="501805"/>
          <a:chOff x="12926121" y="4092263"/>
          <a:chExt cx="545946" cy="487866"/>
        </a:xfrm>
      </xdr:grpSpPr>
      <xdr:sp macro="" textlink="'pivot tables'!BH7">
        <xdr:nvSpPr>
          <xdr:cNvPr id="171" name="TextBox 170">
            <a:extLst>
              <a:ext uri="{FF2B5EF4-FFF2-40B4-BE49-F238E27FC236}">
                <a16:creationId xmlns:a16="http://schemas.microsoft.com/office/drawing/2014/main" id="{4610A3A6-7932-409B-8CFA-F235C7A04211}"/>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72" name="TextBox 171">
            <a:extLst>
              <a:ext uri="{FF2B5EF4-FFF2-40B4-BE49-F238E27FC236}">
                <a16:creationId xmlns:a16="http://schemas.microsoft.com/office/drawing/2014/main" id="{ED904749-5342-4C3B-A941-7E5D1B31CD76}"/>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241231</xdr:colOff>
      <xdr:row>21</xdr:row>
      <xdr:rowOff>143980</xdr:rowOff>
    </xdr:from>
    <xdr:to>
      <xdr:col>21</xdr:col>
      <xdr:colOff>183152</xdr:colOff>
      <xdr:row>24</xdr:row>
      <xdr:rowOff>74285</xdr:rowOff>
    </xdr:to>
    <xdr:grpSp>
      <xdr:nvGrpSpPr>
        <xdr:cNvPr id="173" name="Group 172">
          <a:extLst>
            <a:ext uri="{FF2B5EF4-FFF2-40B4-BE49-F238E27FC236}">
              <a16:creationId xmlns:a16="http://schemas.microsoft.com/office/drawing/2014/main" id="{72CF704A-3C4E-48D0-A86A-F668B8906EEA}"/>
            </a:ext>
          </a:extLst>
        </xdr:cNvPr>
        <xdr:cNvGrpSpPr/>
      </xdr:nvGrpSpPr>
      <xdr:grpSpPr>
        <a:xfrm>
          <a:off x="12433231" y="4144480"/>
          <a:ext cx="551521" cy="501805"/>
          <a:chOff x="12926121" y="4092263"/>
          <a:chExt cx="545946" cy="487866"/>
        </a:xfrm>
      </xdr:grpSpPr>
      <xdr:sp macro="" textlink="'pivot tables'!BH7">
        <xdr:nvSpPr>
          <xdr:cNvPr id="174" name="TextBox 173">
            <a:extLst>
              <a:ext uri="{FF2B5EF4-FFF2-40B4-BE49-F238E27FC236}">
                <a16:creationId xmlns:a16="http://schemas.microsoft.com/office/drawing/2014/main" id="{DBCE38A4-D627-48FB-895D-DAB5E42F6DBB}"/>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75" name="TextBox 174">
            <a:extLst>
              <a:ext uri="{FF2B5EF4-FFF2-40B4-BE49-F238E27FC236}">
                <a16:creationId xmlns:a16="http://schemas.microsoft.com/office/drawing/2014/main" id="{C6E825DD-D481-44F8-8362-2CB2912A62A8}"/>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393631</xdr:colOff>
      <xdr:row>22</xdr:row>
      <xdr:rowOff>104643</xdr:rowOff>
    </xdr:from>
    <xdr:to>
      <xdr:col>21</xdr:col>
      <xdr:colOff>335552</xdr:colOff>
      <xdr:row>25</xdr:row>
      <xdr:rowOff>34948</xdr:rowOff>
    </xdr:to>
    <xdr:grpSp>
      <xdr:nvGrpSpPr>
        <xdr:cNvPr id="176" name="Group 175">
          <a:extLst>
            <a:ext uri="{FF2B5EF4-FFF2-40B4-BE49-F238E27FC236}">
              <a16:creationId xmlns:a16="http://schemas.microsoft.com/office/drawing/2014/main" id="{692D4400-D3FD-4C94-BEDF-03827D0579D2}"/>
            </a:ext>
          </a:extLst>
        </xdr:cNvPr>
        <xdr:cNvGrpSpPr/>
      </xdr:nvGrpSpPr>
      <xdr:grpSpPr>
        <a:xfrm>
          <a:off x="12585631" y="4295643"/>
          <a:ext cx="551521" cy="501805"/>
          <a:chOff x="12926121" y="4092263"/>
          <a:chExt cx="545946" cy="487866"/>
        </a:xfrm>
      </xdr:grpSpPr>
      <xdr:sp macro="" textlink="'pivot tables'!BH7">
        <xdr:nvSpPr>
          <xdr:cNvPr id="177" name="TextBox 176">
            <a:extLst>
              <a:ext uri="{FF2B5EF4-FFF2-40B4-BE49-F238E27FC236}">
                <a16:creationId xmlns:a16="http://schemas.microsoft.com/office/drawing/2014/main" id="{D1A4498D-20E0-4EF0-B2C4-6F47295EBC5C}"/>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78" name="TextBox 177">
            <a:extLst>
              <a:ext uri="{FF2B5EF4-FFF2-40B4-BE49-F238E27FC236}">
                <a16:creationId xmlns:a16="http://schemas.microsoft.com/office/drawing/2014/main" id="{0F53E0DC-4DA7-49D2-8E89-27988D3E3CB0}"/>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26485</xdr:colOff>
      <xdr:row>20</xdr:row>
      <xdr:rowOff>189008</xdr:rowOff>
    </xdr:from>
    <xdr:to>
      <xdr:col>20</xdr:col>
      <xdr:colOff>580727</xdr:colOff>
      <xdr:row>23</xdr:row>
      <xdr:rowOff>119313</xdr:rowOff>
    </xdr:to>
    <xdr:grpSp>
      <xdr:nvGrpSpPr>
        <xdr:cNvPr id="179" name="Group 178">
          <a:extLst>
            <a:ext uri="{FF2B5EF4-FFF2-40B4-BE49-F238E27FC236}">
              <a16:creationId xmlns:a16="http://schemas.microsoft.com/office/drawing/2014/main" id="{30126A0A-9832-489A-9965-9FF0883129A7}"/>
            </a:ext>
          </a:extLst>
        </xdr:cNvPr>
        <xdr:cNvGrpSpPr/>
      </xdr:nvGrpSpPr>
      <xdr:grpSpPr>
        <a:xfrm>
          <a:off x="12218485" y="3999008"/>
          <a:ext cx="554242" cy="501805"/>
          <a:chOff x="12926121" y="4092263"/>
          <a:chExt cx="545946" cy="487866"/>
        </a:xfrm>
      </xdr:grpSpPr>
      <xdr:sp macro="" textlink="'pivot tables'!BH7">
        <xdr:nvSpPr>
          <xdr:cNvPr id="180" name="TextBox 179">
            <a:extLst>
              <a:ext uri="{FF2B5EF4-FFF2-40B4-BE49-F238E27FC236}">
                <a16:creationId xmlns:a16="http://schemas.microsoft.com/office/drawing/2014/main" id="{FB59F352-F47A-47D8-992F-6FEC0C5A1BE9}"/>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81" name="TextBox 180">
            <a:extLst>
              <a:ext uri="{FF2B5EF4-FFF2-40B4-BE49-F238E27FC236}">
                <a16:creationId xmlns:a16="http://schemas.microsoft.com/office/drawing/2014/main" id="{E5B56799-82A8-414E-9A93-7A4AF4C7B39A}"/>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19</xdr:col>
      <xdr:colOff>605655</xdr:colOff>
      <xdr:row>21</xdr:row>
      <xdr:rowOff>75451</xdr:rowOff>
    </xdr:from>
    <xdr:to>
      <xdr:col>20</xdr:col>
      <xdr:colOff>547575</xdr:colOff>
      <xdr:row>24</xdr:row>
      <xdr:rowOff>5756</xdr:rowOff>
    </xdr:to>
    <xdr:grpSp>
      <xdr:nvGrpSpPr>
        <xdr:cNvPr id="182" name="Group 181">
          <a:extLst>
            <a:ext uri="{FF2B5EF4-FFF2-40B4-BE49-F238E27FC236}">
              <a16:creationId xmlns:a16="http://schemas.microsoft.com/office/drawing/2014/main" id="{5EE87BA9-E2B0-4D09-A4CC-17BA70EB3FA0}"/>
            </a:ext>
          </a:extLst>
        </xdr:cNvPr>
        <xdr:cNvGrpSpPr/>
      </xdr:nvGrpSpPr>
      <xdr:grpSpPr>
        <a:xfrm>
          <a:off x="12188055" y="4075951"/>
          <a:ext cx="551520" cy="501805"/>
          <a:chOff x="12926121" y="4092263"/>
          <a:chExt cx="545946" cy="487866"/>
        </a:xfrm>
      </xdr:grpSpPr>
      <xdr:sp macro="" textlink="'pivot tables'!BH7">
        <xdr:nvSpPr>
          <xdr:cNvPr id="183" name="TextBox 182">
            <a:extLst>
              <a:ext uri="{FF2B5EF4-FFF2-40B4-BE49-F238E27FC236}">
                <a16:creationId xmlns:a16="http://schemas.microsoft.com/office/drawing/2014/main" id="{CF0833FC-C27B-4F5B-907A-CDE5B8C8639E}"/>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84" name="TextBox 183">
            <a:extLst>
              <a:ext uri="{FF2B5EF4-FFF2-40B4-BE49-F238E27FC236}">
                <a16:creationId xmlns:a16="http://schemas.microsoft.com/office/drawing/2014/main" id="{5A4838D5-36CB-4169-933E-88EDDBBF3872}"/>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294174</xdr:colOff>
      <xdr:row>22</xdr:row>
      <xdr:rowOff>135075</xdr:rowOff>
    </xdr:from>
    <xdr:to>
      <xdr:col>21</xdr:col>
      <xdr:colOff>236095</xdr:colOff>
      <xdr:row>25</xdr:row>
      <xdr:rowOff>65380</xdr:rowOff>
    </xdr:to>
    <xdr:grpSp>
      <xdr:nvGrpSpPr>
        <xdr:cNvPr id="185" name="Group 184">
          <a:extLst>
            <a:ext uri="{FF2B5EF4-FFF2-40B4-BE49-F238E27FC236}">
              <a16:creationId xmlns:a16="http://schemas.microsoft.com/office/drawing/2014/main" id="{E56BF34C-28FB-4FAB-A39D-35E6E51D06EA}"/>
            </a:ext>
          </a:extLst>
        </xdr:cNvPr>
        <xdr:cNvGrpSpPr/>
      </xdr:nvGrpSpPr>
      <xdr:grpSpPr>
        <a:xfrm>
          <a:off x="12486174" y="4326075"/>
          <a:ext cx="551521" cy="501805"/>
          <a:chOff x="12926121" y="4092263"/>
          <a:chExt cx="545946" cy="487866"/>
        </a:xfrm>
      </xdr:grpSpPr>
      <xdr:sp macro="" textlink="'pivot tables'!BH7">
        <xdr:nvSpPr>
          <xdr:cNvPr id="186" name="TextBox 185">
            <a:extLst>
              <a:ext uri="{FF2B5EF4-FFF2-40B4-BE49-F238E27FC236}">
                <a16:creationId xmlns:a16="http://schemas.microsoft.com/office/drawing/2014/main" id="{E2C857D4-8A62-4729-93EC-EAADAF9642D3}"/>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87" name="TextBox 186">
            <a:extLst>
              <a:ext uri="{FF2B5EF4-FFF2-40B4-BE49-F238E27FC236}">
                <a16:creationId xmlns:a16="http://schemas.microsoft.com/office/drawing/2014/main" id="{8B162A6B-86F5-434E-81D5-8B1764658374}"/>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19</xdr:col>
      <xdr:colOff>607386</xdr:colOff>
      <xdr:row>23</xdr:row>
      <xdr:rowOff>108108</xdr:rowOff>
    </xdr:from>
    <xdr:to>
      <xdr:col>20</xdr:col>
      <xdr:colOff>549306</xdr:colOff>
      <xdr:row>26</xdr:row>
      <xdr:rowOff>38413</xdr:rowOff>
    </xdr:to>
    <xdr:grpSp>
      <xdr:nvGrpSpPr>
        <xdr:cNvPr id="188" name="Group 187">
          <a:extLst>
            <a:ext uri="{FF2B5EF4-FFF2-40B4-BE49-F238E27FC236}">
              <a16:creationId xmlns:a16="http://schemas.microsoft.com/office/drawing/2014/main" id="{5FDC0599-8A28-4603-911F-DE0B28996800}"/>
            </a:ext>
          </a:extLst>
        </xdr:cNvPr>
        <xdr:cNvGrpSpPr/>
      </xdr:nvGrpSpPr>
      <xdr:grpSpPr>
        <a:xfrm>
          <a:off x="12189786" y="4489608"/>
          <a:ext cx="551520" cy="501805"/>
          <a:chOff x="12926121" y="4092263"/>
          <a:chExt cx="545946" cy="487866"/>
        </a:xfrm>
      </xdr:grpSpPr>
      <xdr:sp macro="" textlink="'pivot tables'!BH7">
        <xdr:nvSpPr>
          <xdr:cNvPr id="189" name="TextBox 188">
            <a:extLst>
              <a:ext uri="{FF2B5EF4-FFF2-40B4-BE49-F238E27FC236}">
                <a16:creationId xmlns:a16="http://schemas.microsoft.com/office/drawing/2014/main" id="{57416D86-E958-4026-9358-9A39208D47C4}"/>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90" name="TextBox 189">
            <a:extLst>
              <a:ext uri="{FF2B5EF4-FFF2-40B4-BE49-F238E27FC236}">
                <a16:creationId xmlns:a16="http://schemas.microsoft.com/office/drawing/2014/main" id="{3345EF3C-9004-47CB-9122-056D1E725BF1}"/>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19</xdr:col>
      <xdr:colOff>574234</xdr:colOff>
      <xdr:row>23</xdr:row>
      <xdr:rowOff>50215</xdr:rowOff>
    </xdr:from>
    <xdr:to>
      <xdr:col>20</xdr:col>
      <xdr:colOff>516154</xdr:colOff>
      <xdr:row>25</xdr:row>
      <xdr:rowOff>172257</xdr:rowOff>
    </xdr:to>
    <xdr:grpSp>
      <xdr:nvGrpSpPr>
        <xdr:cNvPr id="191" name="Group 190">
          <a:extLst>
            <a:ext uri="{FF2B5EF4-FFF2-40B4-BE49-F238E27FC236}">
              <a16:creationId xmlns:a16="http://schemas.microsoft.com/office/drawing/2014/main" id="{1A371E69-081C-41BA-8B8D-FD486A836372}"/>
            </a:ext>
          </a:extLst>
        </xdr:cNvPr>
        <xdr:cNvGrpSpPr/>
      </xdr:nvGrpSpPr>
      <xdr:grpSpPr>
        <a:xfrm>
          <a:off x="12156634" y="4431715"/>
          <a:ext cx="551520" cy="503042"/>
          <a:chOff x="12926121" y="4092263"/>
          <a:chExt cx="545946" cy="487866"/>
        </a:xfrm>
      </xdr:grpSpPr>
      <xdr:sp macro="" textlink="'pivot tables'!BH7">
        <xdr:nvSpPr>
          <xdr:cNvPr id="192" name="TextBox 191">
            <a:extLst>
              <a:ext uri="{FF2B5EF4-FFF2-40B4-BE49-F238E27FC236}">
                <a16:creationId xmlns:a16="http://schemas.microsoft.com/office/drawing/2014/main" id="{063B7B10-9E2E-44F8-AFF6-266EB9D101FC}"/>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93" name="TextBox 192">
            <a:extLst>
              <a:ext uri="{FF2B5EF4-FFF2-40B4-BE49-F238E27FC236}">
                <a16:creationId xmlns:a16="http://schemas.microsoft.com/office/drawing/2014/main" id="{8F6DC394-CA8F-4519-8B3E-F426842B689B}"/>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398825</xdr:colOff>
      <xdr:row>23</xdr:row>
      <xdr:rowOff>23248</xdr:rowOff>
    </xdr:from>
    <xdr:to>
      <xdr:col>21</xdr:col>
      <xdr:colOff>340746</xdr:colOff>
      <xdr:row>25</xdr:row>
      <xdr:rowOff>145290</xdr:rowOff>
    </xdr:to>
    <xdr:grpSp>
      <xdr:nvGrpSpPr>
        <xdr:cNvPr id="194" name="Group 193">
          <a:extLst>
            <a:ext uri="{FF2B5EF4-FFF2-40B4-BE49-F238E27FC236}">
              <a16:creationId xmlns:a16="http://schemas.microsoft.com/office/drawing/2014/main" id="{29001D24-9FA5-4390-8C1C-14A8020917A8}"/>
            </a:ext>
          </a:extLst>
        </xdr:cNvPr>
        <xdr:cNvGrpSpPr/>
      </xdr:nvGrpSpPr>
      <xdr:grpSpPr>
        <a:xfrm>
          <a:off x="12590825" y="4404748"/>
          <a:ext cx="551521" cy="503042"/>
          <a:chOff x="12926121" y="4092263"/>
          <a:chExt cx="545946" cy="487866"/>
        </a:xfrm>
      </xdr:grpSpPr>
      <xdr:sp macro="" textlink="'pivot tables'!BH7">
        <xdr:nvSpPr>
          <xdr:cNvPr id="195" name="TextBox 194">
            <a:extLst>
              <a:ext uri="{FF2B5EF4-FFF2-40B4-BE49-F238E27FC236}">
                <a16:creationId xmlns:a16="http://schemas.microsoft.com/office/drawing/2014/main" id="{A2A68E5D-1353-4DB5-9707-AC8B08B7A33D}"/>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96" name="TextBox 195">
            <a:extLst>
              <a:ext uri="{FF2B5EF4-FFF2-40B4-BE49-F238E27FC236}">
                <a16:creationId xmlns:a16="http://schemas.microsoft.com/office/drawing/2014/main" id="{EC06A633-B140-4C33-86F7-122277C9100E}"/>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600706</xdr:colOff>
      <xdr:row>22</xdr:row>
      <xdr:rowOff>119982</xdr:rowOff>
    </xdr:from>
    <xdr:to>
      <xdr:col>21</xdr:col>
      <xdr:colOff>542627</xdr:colOff>
      <xdr:row>25</xdr:row>
      <xdr:rowOff>50287</xdr:rowOff>
    </xdr:to>
    <xdr:grpSp>
      <xdr:nvGrpSpPr>
        <xdr:cNvPr id="197" name="Group 196">
          <a:extLst>
            <a:ext uri="{FF2B5EF4-FFF2-40B4-BE49-F238E27FC236}">
              <a16:creationId xmlns:a16="http://schemas.microsoft.com/office/drawing/2014/main" id="{AE85B870-F12C-4475-B7D6-ED549416E202}"/>
            </a:ext>
          </a:extLst>
        </xdr:cNvPr>
        <xdr:cNvGrpSpPr/>
      </xdr:nvGrpSpPr>
      <xdr:grpSpPr>
        <a:xfrm>
          <a:off x="12792706" y="4310982"/>
          <a:ext cx="551521" cy="501805"/>
          <a:chOff x="12926121" y="4092263"/>
          <a:chExt cx="545946" cy="487866"/>
        </a:xfrm>
      </xdr:grpSpPr>
      <xdr:sp macro="" textlink="'pivot tables'!BH7">
        <xdr:nvSpPr>
          <xdr:cNvPr id="198" name="TextBox 197">
            <a:extLst>
              <a:ext uri="{FF2B5EF4-FFF2-40B4-BE49-F238E27FC236}">
                <a16:creationId xmlns:a16="http://schemas.microsoft.com/office/drawing/2014/main" id="{AC47E2D7-FD8B-407B-AD96-B9C57BA427C3}"/>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199" name="TextBox 198">
            <a:extLst>
              <a:ext uri="{FF2B5EF4-FFF2-40B4-BE49-F238E27FC236}">
                <a16:creationId xmlns:a16="http://schemas.microsoft.com/office/drawing/2014/main" id="{B13F08DD-1AD8-4817-B4DC-C5718A8D16AC}"/>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19</xdr:col>
      <xdr:colOff>369632</xdr:colOff>
      <xdr:row>21</xdr:row>
      <xdr:rowOff>173421</xdr:rowOff>
    </xdr:from>
    <xdr:to>
      <xdr:col>20</xdr:col>
      <xdr:colOff>311552</xdr:colOff>
      <xdr:row>24</xdr:row>
      <xdr:rowOff>103726</xdr:rowOff>
    </xdr:to>
    <xdr:grpSp>
      <xdr:nvGrpSpPr>
        <xdr:cNvPr id="200" name="Group 199">
          <a:extLst>
            <a:ext uri="{FF2B5EF4-FFF2-40B4-BE49-F238E27FC236}">
              <a16:creationId xmlns:a16="http://schemas.microsoft.com/office/drawing/2014/main" id="{11CE6131-5A4D-4427-B80B-95823BF81F79}"/>
            </a:ext>
          </a:extLst>
        </xdr:cNvPr>
        <xdr:cNvGrpSpPr/>
      </xdr:nvGrpSpPr>
      <xdr:grpSpPr>
        <a:xfrm>
          <a:off x="11952032" y="4173921"/>
          <a:ext cx="551520" cy="501805"/>
          <a:chOff x="12926121" y="4092263"/>
          <a:chExt cx="545946" cy="487866"/>
        </a:xfrm>
      </xdr:grpSpPr>
      <xdr:sp macro="" textlink="'pivot tables'!BH7">
        <xdr:nvSpPr>
          <xdr:cNvPr id="201" name="TextBox 200">
            <a:extLst>
              <a:ext uri="{FF2B5EF4-FFF2-40B4-BE49-F238E27FC236}">
                <a16:creationId xmlns:a16="http://schemas.microsoft.com/office/drawing/2014/main" id="{6830698B-71A1-4A77-AC01-0814E0118DC5}"/>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202" name="TextBox 201">
            <a:extLst>
              <a:ext uri="{FF2B5EF4-FFF2-40B4-BE49-F238E27FC236}">
                <a16:creationId xmlns:a16="http://schemas.microsoft.com/office/drawing/2014/main" id="{B97F5D2D-63F9-4C6E-9B1B-EFF2732425A4}"/>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76706</xdr:colOff>
      <xdr:row>22</xdr:row>
      <xdr:rowOff>66049</xdr:rowOff>
    </xdr:from>
    <xdr:to>
      <xdr:col>21</xdr:col>
      <xdr:colOff>18627</xdr:colOff>
      <xdr:row>24</xdr:row>
      <xdr:rowOff>188091</xdr:rowOff>
    </xdr:to>
    <xdr:grpSp>
      <xdr:nvGrpSpPr>
        <xdr:cNvPr id="203" name="Group 202">
          <a:extLst>
            <a:ext uri="{FF2B5EF4-FFF2-40B4-BE49-F238E27FC236}">
              <a16:creationId xmlns:a16="http://schemas.microsoft.com/office/drawing/2014/main" id="{93AED124-9657-4BE8-81C2-C20763EFCF60}"/>
            </a:ext>
          </a:extLst>
        </xdr:cNvPr>
        <xdr:cNvGrpSpPr/>
      </xdr:nvGrpSpPr>
      <xdr:grpSpPr>
        <a:xfrm>
          <a:off x="12268706" y="4257049"/>
          <a:ext cx="551521" cy="503042"/>
          <a:chOff x="12926121" y="4092263"/>
          <a:chExt cx="545946" cy="487866"/>
        </a:xfrm>
      </xdr:grpSpPr>
      <xdr:sp macro="" textlink="'pivot tables'!BH7">
        <xdr:nvSpPr>
          <xdr:cNvPr id="204" name="TextBox 203">
            <a:extLst>
              <a:ext uri="{FF2B5EF4-FFF2-40B4-BE49-F238E27FC236}">
                <a16:creationId xmlns:a16="http://schemas.microsoft.com/office/drawing/2014/main" id="{6B94AA9E-DD47-4FDC-ADCF-1E17539FB5C9}"/>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205" name="TextBox 204">
            <a:extLst>
              <a:ext uri="{FF2B5EF4-FFF2-40B4-BE49-F238E27FC236}">
                <a16:creationId xmlns:a16="http://schemas.microsoft.com/office/drawing/2014/main" id="{8FDF6132-2826-4014-9C78-649F49B0B5B6}"/>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19</xdr:col>
      <xdr:colOff>340438</xdr:colOff>
      <xdr:row>22</xdr:row>
      <xdr:rowOff>156598</xdr:rowOff>
    </xdr:from>
    <xdr:to>
      <xdr:col>20</xdr:col>
      <xdr:colOff>282358</xdr:colOff>
      <xdr:row>25</xdr:row>
      <xdr:rowOff>86903</xdr:rowOff>
    </xdr:to>
    <xdr:grpSp>
      <xdr:nvGrpSpPr>
        <xdr:cNvPr id="206" name="Group 205">
          <a:extLst>
            <a:ext uri="{FF2B5EF4-FFF2-40B4-BE49-F238E27FC236}">
              <a16:creationId xmlns:a16="http://schemas.microsoft.com/office/drawing/2014/main" id="{7B6A397C-C9CE-4785-9836-70F3065B9ED9}"/>
            </a:ext>
          </a:extLst>
        </xdr:cNvPr>
        <xdr:cNvGrpSpPr/>
      </xdr:nvGrpSpPr>
      <xdr:grpSpPr>
        <a:xfrm>
          <a:off x="11922838" y="4347598"/>
          <a:ext cx="551520" cy="501805"/>
          <a:chOff x="12926121" y="4092263"/>
          <a:chExt cx="545946" cy="487866"/>
        </a:xfrm>
      </xdr:grpSpPr>
      <xdr:sp macro="" textlink="'pivot tables'!BH7">
        <xdr:nvSpPr>
          <xdr:cNvPr id="207" name="TextBox 206">
            <a:extLst>
              <a:ext uri="{FF2B5EF4-FFF2-40B4-BE49-F238E27FC236}">
                <a16:creationId xmlns:a16="http://schemas.microsoft.com/office/drawing/2014/main" id="{28EC7410-3AC3-4B0C-AB9A-58A2F4976254}"/>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208" name="TextBox 207">
            <a:extLst>
              <a:ext uri="{FF2B5EF4-FFF2-40B4-BE49-F238E27FC236}">
                <a16:creationId xmlns:a16="http://schemas.microsoft.com/office/drawing/2014/main" id="{4210CB42-D223-4941-80FB-C908DD58EB35}"/>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21</xdr:col>
      <xdr:colOff>10403</xdr:colOff>
      <xdr:row>23</xdr:row>
      <xdr:rowOff>67781</xdr:rowOff>
    </xdr:from>
    <xdr:to>
      <xdr:col>21</xdr:col>
      <xdr:colOff>564645</xdr:colOff>
      <xdr:row>25</xdr:row>
      <xdr:rowOff>189823</xdr:rowOff>
    </xdr:to>
    <xdr:grpSp>
      <xdr:nvGrpSpPr>
        <xdr:cNvPr id="209" name="Group 208">
          <a:extLst>
            <a:ext uri="{FF2B5EF4-FFF2-40B4-BE49-F238E27FC236}">
              <a16:creationId xmlns:a16="http://schemas.microsoft.com/office/drawing/2014/main" id="{56E08C39-AD8B-4A65-8429-63D1D7DBD0DD}"/>
            </a:ext>
          </a:extLst>
        </xdr:cNvPr>
        <xdr:cNvGrpSpPr/>
      </xdr:nvGrpSpPr>
      <xdr:grpSpPr>
        <a:xfrm>
          <a:off x="12812003" y="4449281"/>
          <a:ext cx="554242" cy="503042"/>
          <a:chOff x="12926121" y="4092263"/>
          <a:chExt cx="545946" cy="487866"/>
        </a:xfrm>
      </xdr:grpSpPr>
      <xdr:sp macro="" textlink="'pivot tables'!BH7">
        <xdr:nvSpPr>
          <xdr:cNvPr id="210" name="TextBox 209">
            <a:extLst>
              <a:ext uri="{FF2B5EF4-FFF2-40B4-BE49-F238E27FC236}">
                <a16:creationId xmlns:a16="http://schemas.microsoft.com/office/drawing/2014/main" id="{39BFF7E0-11A8-45E1-A7FD-39F087ABDF12}"/>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211" name="TextBox 210">
            <a:extLst>
              <a:ext uri="{FF2B5EF4-FFF2-40B4-BE49-F238E27FC236}">
                <a16:creationId xmlns:a16="http://schemas.microsoft.com/office/drawing/2014/main" id="{1986DC3B-8226-4D69-9377-19044BB56E0A}"/>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162802</xdr:colOff>
      <xdr:row>20</xdr:row>
      <xdr:rowOff>145960</xdr:rowOff>
    </xdr:from>
    <xdr:to>
      <xdr:col>21</xdr:col>
      <xdr:colOff>104723</xdr:colOff>
      <xdr:row>23</xdr:row>
      <xdr:rowOff>76265</xdr:rowOff>
    </xdr:to>
    <xdr:grpSp>
      <xdr:nvGrpSpPr>
        <xdr:cNvPr id="212" name="Group 211">
          <a:extLst>
            <a:ext uri="{FF2B5EF4-FFF2-40B4-BE49-F238E27FC236}">
              <a16:creationId xmlns:a16="http://schemas.microsoft.com/office/drawing/2014/main" id="{A6064DAE-8A67-4AA6-B157-41470457CFA9}"/>
            </a:ext>
          </a:extLst>
        </xdr:cNvPr>
        <xdr:cNvGrpSpPr/>
      </xdr:nvGrpSpPr>
      <xdr:grpSpPr>
        <a:xfrm>
          <a:off x="12354802" y="3955960"/>
          <a:ext cx="551521" cy="501805"/>
          <a:chOff x="12926121" y="4092263"/>
          <a:chExt cx="545946" cy="487866"/>
        </a:xfrm>
      </xdr:grpSpPr>
      <xdr:sp macro="" textlink="'pivot tables'!BH7">
        <xdr:nvSpPr>
          <xdr:cNvPr id="213" name="TextBox 212">
            <a:extLst>
              <a:ext uri="{FF2B5EF4-FFF2-40B4-BE49-F238E27FC236}">
                <a16:creationId xmlns:a16="http://schemas.microsoft.com/office/drawing/2014/main" id="{13EEA64D-193D-407C-A44F-84CD08478B56}"/>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4BCA5F-FFEA-4FF6-AAE5-4CBF816308D9}" type="TxLink">
              <a:rPr lang="en-US" sz="1600" b="0" i="0" u="none" strike="noStrike">
                <a:solidFill>
                  <a:srgbClr val="5A097C"/>
                </a:solidFill>
                <a:latin typeface="Arial"/>
                <a:cs typeface="Arial"/>
              </a:rPr>
              <a:pPr algn="ctr"/>
              <a:t> </a:t>
            </a:fld>
            <a:endParaRPr lang="en-IN" sz="1100"/>
          </a:p>
        </xdr:txBody>
      </xdr:sp>
      <xdr:sp macro="" textlink="'pivot tables'!BJ7">
        <xdr:nvSpPr>
          <xdr:cNvPr id="214" name="TextBox 213">
            <a:extLst>
              <a:ext uri="{FF2B5EF4-FFF2-40B4-BE49-F238E27FC236}">
                <a16:creationId xmlns:a16="http://schemas.microsoft.com/office/drawing/2014/main" id="{604D21AA-9D3A-475E-A036-379F71B03AB1}"/>
              </a:ext>
            </a:extLst>
          </xdr:cNvPr>
          <xdr:cNvSpPr txBox="1"/>
        </xdr:nvSpPr>
        <xdr:spPr>
          <a:xfrm>
            <a:off x="12926121" y="4092263"/>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86FF2F-24D6-44AD-8F1F-8520F0A83559}" type="TxLink">
              <a:rPr lang="en-US" sz="1600" b="0" i="0" u="none" strike="noStrike">
                <a:solidFill>
                  <a:srgbClr val="296EFC"/>
                </a:solidFill>
                <a:latin typeface="Arial"/>
                <a:cs typeface="Arial"/>
              </a:rPr>
              <a:pPr algn="ctr"/>
              <a:t>•</a:t>
            </a:fld>
            <a:endParaRPr lang="en-IN" sz="1100"/>
          </a:p>
        </xdr:txBody>
      </xdr:sp>
    </xdr:grpSp>
    <xdr:clientData/>
  </xdr:twoCellAnchor>
  <xdr:twoCellAnchor>
    <xdr:from>
      <xdr:col>20</xdr:col>
      <xdr:colOff>162802</xdr:colOff>
      <xdr:row>20</xdr:row>
      <xdr:rowOff>145960</xdr:rowOff>
    </xdr:from>
    <xdr:to>
      <xdr:col>21</xdr:col>
      <xdr:colOff>104723</xdr:colOff>
      <xdr:row>23</xdr:row>
      <xdr:rowOff>75028</xdr:rowOff>
    </xdr:to>
    <xdr:grpSp>
      <xdr:nvGrpSpPr>
        <xdr:cNvPr id="215" name="Group 214">
          <a:extLst>
            <a:ext uri="{FF2B5EF4-FFF2-40B4-BE49-F238E27FC236}">
              <a16:creationId xmlns:a16="http://schemas.microsoft.com/office/drawing/2014/main" id="{1A7E8827-AB2F-481F-96D6-403F8DB82E36}"/>
            </a:ext>
          </a:extLst>
        </xdr:cNvPr>
        <xdr:cNvGrpSpPr/>
      </xdr:nvGrpSpPr>
      <xdr:grpSpPr>
        <a:xfrm>
          <a:off x="12354802" y="3955960"/>
          <a:ext cx="551521" cy="500568"/>
          <a:chOff x="11628166" y="4083669"/>
          <a:chExt cx="545946" cy="487866"/>
        </a:xfrm>
      </xdr:grpSpPr>
      <xdr:sp macro="" textlink="'pivot tables'!BG7">
        <xdr:nvSpPr>
          <xdr:cNvPr id="216" name="TextBox 215">
            <a:extLst>
              <a:ext uri="{FF2B5EF4-FFF2-40B4-BE49-F238E27FC236}">
                <a16:creationId xmlns:a16="http://schemas.microsoft.com/office/drawing/2014/main" id="{18C993A5-8A9E-4DC0-8187-AF60D43BB351}"/>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17" name="TextBox 216">
            <a:extLst>
              <a:ext uri="{FF2B5EF4-FFF2-40B4-BE49-F238E27FC236}">
                <a16:creationId xmlns:a16="http://schemas.microsoft.com/office/drawing/2014/main" id="{1477886C-12CD-441A-9436-BFB697B1E576}"/>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315202</xdr:colOff>
      <xdr:row>21</xdr:row>
      <xdr:rowOff>106623</xdr:rowOff>
    </xdr:from>
    <xdr:to>
      <xdr:col>21</xdr:col>
      <xdr:colOff>257123</xdr:colOff>
      <xdr:row>24</xdr:row>
      <xdr:rowOff>35691</xdr:rowOff>
    </xdr:to>
    <xdr:grpSp>
      <xdr:nvGrpSpPr>
        <xdr:cNvPr id="218" name="Group 217">
          <a:extLst>
            <a:ext uri="{FF2B5EF4-FFF2-40B4-BE49-F238E27FC236}">
              <a16:creationId xmlns:a16="http://schemas.microsoft.com/office/drawing/2014/main" id="{22C578D4-C58A-4F11-A08A-89CBBFDC933B}"/>
            </a:ext>
          </a:extLst>
        </xdr:cNvPr>
        <xdr:cNvGrpSpPr/>
      </xdr:nvGrpSpPr>
      <xdr:grpSpPr>
        <a:xfrm>
          <a:off x="12507202" y="4107123"/>
          <a:ext cx="551521" cy="500568"/>
          <a:chOff x="11628166" y="4083669"/>
          <a:chExt cx="545946" cy="487866"/>
        </a:xfrm>
      </xdr:grpSpPr>
      <xdr:sp macro="" textlink="'pivot tables'!BG7">
        <xdr:nvSpPr>
          <xdr:cNvPr id="219" name="TextBox 218">
            <a:extLst>
              <a:ext uri="{FF2B5EF4-FFF2-40B4-BE49-F238E27FC236}">
                <a16:creationId xmlns:a16="http://schemas.microsoft.com/office/drawing/2014/main" id="{6DBCD259-F376-4AF3-A87E-DE11D4A60761}"/>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20" name="TextBox 219">
            <a:extLst>
              <a:ext uri="{FF2B5EF4-FFF2-40B4-BE49-F238E27FC236}">
                <a16:creationId xmlns:a16="http://schemas.microsoft.com/office/drawing/2014/main" id="{CF58AD78-4F2F-4412-94B7-622EF660A02A}"/>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467602</xdr:colOff>
      <xdr:row>22</xdr:row>
      <xdr:rowOff>67286</xdr:rowOff>
    </xdr:from>
    <xdr:to>
      <xdr:col>21</xdr:col>
      <xdr:colOff>409523</xdr:colOff>
      <xdr:row>24</xdr:row>
      <xdr:rowOff>188091</xdr:rowOff>
    </xdr:to>
    <xdr:grpSp>
      <xdr:nvGrpSpPr>
        <xdr:cNvPr id="221" name="Group 220">
          <a:extLst>
            <a:ext uri="{FF2B5EF4-FFF2-40B4-BE49-F238E27FC236}">
              <a16:creationId xmlns:a16="http://schemas.microsoft.com/office/drawing/2014/main" id="{5168F119-D1B3-4309-8DCF-B9A61A85F427}"/>
            </a:ext>
          </a:extLst>
        </xdr:cNvPr>
        <xdr:cNvGrpSpPr/>
      </xdr:nvGrpSpPr>
      <xdr:grpSpPr>
        <a:xfrm>
          <a:off x="12659602" y="4258286"/>
          <a:ext cx="551521" cy="501805"/>
          <a:chOff x="11628166" y="4083669"/>
          <a:chExt cx="545946" cy="487866"/>
        </a:xfrm>
      </xdr:grpSpPr>
      <xdr:sp macro="" textlink="'pivot tables'!BG7">
        <xdr:nvSpPr>
          <xdr:cNvPr id="222" name="TextBox 221">
            <a:extLst>
              <a:ext uri="{FF2B5EF4-FFF2-40B4-BE49-F238E27FC236}">
                <a16:creationId xmlns:a16="http://schemas.microsoft.com/office/drawing/2014/main" id="{923E862C-9369-4EF5-BDE5-C3F4033C2829}"/>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23" name="TextBox 222">
            <a:extLst>
              <a:ext uri="{FF2B5EF4-FFF2-40B4-BE49-F238E27FC236}">
                <a16:creationId xmlns:a16="http://schemas.microsoft.com/office/drawing/2014/main" id="{DC557EA1-4FA2-40F3-AA49-695E32292DDA}"/>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607632</xdr:colOff>
      <xdr:row>21</xdr:row>
      <xdr:rowOff>102170</xdr:rowOff>
    </xdr:from>
    <xdr:to>
      <xdr:col>20</xdr:col>
      <xdr:colOff>549552</xdr:colOff>
      <xdr:row>24</xdr:row>
      <xdr:rowOff>31238</xdr:rowOff>
    </xdr:to>
    <xdr:grpSp>
      <xdr:nvGrpSpPr>
        <xdr:cNvPr id="224" name="Group 223">
          <a:extLst>
            <a:ext uri="{FF2B5EF4-FFF2-40B4-BE49-F238E27FC236}">
              <a16:creationId xmlns:a16="http://schemas.microsoft.com/office/drawing/2014/main" id="{10466E0D-6E15-4F1A-A83E-EBDD55BDB358}"/>
            </a:ext>
          </a:extLst>
        </xdr:cNvPr>
        <xdr:cNvGrpSpPr/>
      </xdr:nvGrpSpPr>
      <xdr:grpSpPr>
        <a:xfrm>
          <a:off x="12190032" y="4102670"/>
          <a:ext cx="551520" cy="500568"/>
          <a:chOff x="11628166" y="4083669"/>
          <a:chExt cx="545946" cy="487866"/>
        </a:xfrm>
      </xdr:grpSpPr>
      <xdr:sp macro="" textlink="'pivot tables'!BG7">
        <xdr:nvSpPr>
          <xdr:cNvPr id="225" name="TextBox 224">
            <a:extLst>
              <a:ext uri="{FF2B5EF4-FFF2-40B4-BE49-F238E27FC236}">
                <a16:creationId xmlns:a16="http://schemas.microsoft.com/office/drawing/2014/main" id="{12D39CAB-A193-484B-950A-D4134412978D}"/>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26" name="TextBox 225">
            <a:extLst>
              <a:ext uri="{FF2B5EF4-FFF2-40B4-BE49-F238E27FC236}">
                <a16:creationId xmlns:a16="http://schemas.microsoft.com/office/drawing/2014/main" id="{178B7620-D57E-457C-BF00-4053BAFF3FDD}"/>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518815</xdr:colOff>
      <xdr:row>22</xdr:row>
      <xdr:rowOff>19537</xdr:rowOff>
    </xdr:from>
    <xdr:to>
      <xdr:col>20</xdr:col>
      <xdr:colOff>460735</xdr:colOff>
      <xdr:row>24</xdr:row>
      <xdr:rowOff>140342</xdr:rowOff>
    </xdr:to>
    <xdr:grpSp>
      <xdr:nvGrpSpPr>
        <xdr:cNvPr id="227" name="Group 226">
          <a:extLst>
            <a:ext uri="{FF2B5EF4-FFF2-40B4-BE49-F238E27FC236}">
              <a16:creationId xmlns:a16="http://schemas.microsoft.com/office/drawing/2014/main" id="{AB2AD04F-638B-4B7B-907F-D5CFEB5FA975}"/>
            </a:ext>
          </a:extLst>
        </xdr:cNvPr>
        <xdr:cNvGrpSpPr/>
      </xdr:nvGrpSpPr>
      <xdr:grpSpPr>
        <a:xfrm>
          <a:off x="12101215" y="4210537"/>
          <a:ext cx="551520" cy="501805"/>
          <a:chOff x="11628166" y="4083669"/>
          <a:chExt cx="545946" cy="487866"/>
        </a:xfrm>
      </xdr:grpSpPr>
      <xdr:sp macro="" textlink="'pivot tables'!BG7">
        <xdr:nvSpPr>
          <xdr:cNvPr id="228" name="TextBox 227">
            <a:extLst>
              <a:ext uri="{FF2B5EF4-FFF2-40B4-BE49-F238E27FC236}">
                <a16:creationId xmlns:a16="http://schemas.microsoft.com/office/drawing/2014/main" id="{59BE9D29-038C-4ECD-9A47-CDF40786055B}"/>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29" name="TextBox 228">
            <a:extLst>
              <a:ext uri="{FF2B5EF4-FFF2-40B4-BE49-F238E27FC236}">
                <a16:creationId xmlns:a16="http://schemas.microsoft.com/office/drawing/2014/main" id="{6B096411-BFDE-4C32-BC77-4DD107188EE9}"/>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584624</xdr:colOff>
      <xdr:row>20</xdr:row>
      <xdr:rowOff>110086</xdr:rowOff>
    </xdr:from>
    <xdr:to>
      <xdr:col>20</xdr:col>
      <xdr:colOff>526544</xdr:colOff>
      <xdr:row>23</xdr:row>
      <xdr:rowOff>39154</xdr:rowOff>
    </xdr:to>
    <xdr:grpSp>
      <xdr:nvGrpSpPr>
        <xdr:cNvPr id="230" name="Group 229">
          <a:extLst>
            <a:ext uri="{FF2B5EF4-FFF2-40B4-BE49-F238E27FC236}">
              <a16:creationId xmlns:a16="http://schemas.microsoft.com/office/drawing/2014/main" id="{631431AF-4724-4B05-AD8C-854C294156C4}"/>
            </a:ext>
          </a:extLst>
        </xdr:cNvPr>
        <xdr:cNvGrpSpPr/>
      </xdr:nvGrpSpPr>
      <xdr:grpSpPr>
        <a:xfrm>
          <a:off x="12167024" y="3920086"/>
          <a:ext cx="551520" cy="500568"/>
          <a:chOff x="11628166" y="4083669"/>
          <a:chExt cx="545946" cy="487866"/>
        </a:xfrm>
      </xdr:grpSpPr>
      <xdr:sp macro="" textlink="'pivot tables'!BG7">
        <xdr:nvSpPr>
          <xdr:cNvPr id="231" name="TextBox 230">
            <a:extLst>
              <a:ext uri="{FF2B5EF4-FFF2-40B4-BE49-F238E27FC236}">
                <a16:creationId xmlns:a16="http://schemas.microsoft.com/office/drawing/2014/main" id="{0982DDEE-8F1D-442F-B926-4751F5C02CDB}"/>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32" name="TextBox 231">
            <a:extLst>
              <a:ext uri="{FF2B5EF4-FFF2-40B4-BE49-F238E27FC236}">
                <a16:creationId xmlns:a16="http://schemas.microsoft.com/office/drawing/2014/main" id="{F27EF5E2-AC31-4628-8F0C-0BDDBA4929CF}"/>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124702</xdr:colOff>
      <xdr:row>21</xdr:row>
      <xdr:rowOff>70749</xdr:rowOff>
    </xdr:from>
    <xdr:to>
      <xdr:col>21</xdr:col>
      <xdr:colOff>66623</xdr:colOff>
      <xdr:row>23</xdr:row>
      <xdr:rowOff>191554</xdr:rowOff>
    </xdr:to>
    <xdr:grpSp>
      <xdr:nvGrpSpPr>
        <xdr:cNvPr id="233" name="Group 232">
          <a:extLst>
            <a:ext uri="{FF2B5EF4-FFF2-40B4-BE49-F238E27FC236}">
              <a16:creationId xmlns:a16="http://schemas.microsoft.com/office/drawing/2014/main" id="{0DB3DE7E-F6EB-4DAF-9D0B-D1248C0E1C8D}"/>
            </a:ext>
          </a:extLst>
        </xdr:cNvPr>
        <xdr:cNvGrpSpPr/>
      </xdr:nvGrpSpPr>
      <xdr:grpSpPr>
        <a:xfrm>
          <a:off x="12316702" y="4071249"/>
          <a:ext cx="551521" cy="501805"/>
          <a:chOff x="11628166" y="4083669"/>
          <a:chExt cx="545946" cy="487866"/>
        </a:xfrm>
      </xdr:grpSpPr>
      <xdr:sp macro="" textlink="'pivot tables'!BG7">
        <xdr:nvSpPr>
          <xdr:cNvPr id="234" name="TextBox 233">
            <a:extLst>
              <a:ext uri="{FF2B5EF4-FFF2-40B4-BE49-F238E27FC236}">
                <a16:creationId xmlns:a16="http://schemas.microsoft.com/office/drawing/2014/main" id="{85768540-B428-40E1-A050-53963927BB6C}"/>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35" name="TextBox 234">
            <a:extLst>
              <a:ext uri="{FF2B5EF4-FFF2-40B4-BE49-F238E27FC236}">
                <a16:creationId xmlns:a16="http://schemas.microsoft.com/office/drawing/2014/main" id="{61598D9A-CC70-4C4B-88AD-77C7CD1E4460}"/>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277102</xdr:colOff>
      <xdr:row>22</xdr:row>
      <xdr:rowOff>31412</xdr:rowOff>
    </xdr:from>
    <xdr:to>
      <xdr:col>21</xdr:col>
      <xdr:colOff>219023</xdr:colOff>
      <xdr:row>24</xdr:row>
      <xdr:rowOff>152217</xdr:rowOff>
    </xdr:to>
    <xdr:grpSp>
      <xdr:nvGrpSpPr>
        <xdr:cNvPr id="236" name="Group 235">
          <a:extLst>
            <a:ext uri="{FF2B5EF4-FFF2-40B4-BE49-F238E27FC236}">
              <a16:creationId xmlns:a16="http://schemas.microsoft.com/office/drawing/2014/main" id="{CE42473E-33F5-45F8-9ABD-6D2A413E09EF}"/>
            </a:ext>
          </a:extLst>
        </xdr:cNvPr>
        <xdr:cNvGrpSpPr/>
      </xdr:nvGrpSpPr>
      <xdr:grpSpPr>
        <a:xfrm>
          <a:off x="12469102" y="4222412"/>
          <a:ext cx="551521" cy="501805"/>
          <a:chOff x="11628166" y="4083669"/>
          <a:chExt cx="545946" cy="487866"/>
        </a:xfrm>
      </xdr:grpSpPr>
      <xdr:sp macro="" textlink="'pivot tables'!BG7">
        <xdr:nvSpPr>
          <xdr:cNvPr id="237" name="TextBox 236">
            <a:extLst>
              <a:ext uri="{FF2B5EF4-FFF2-40B4-BE49-F238E27FC236}">
                <a16:creationId xmlns:a16="http://schemas.microsoft.com/office/drawing/2014/main" id="{8D7C9B4C-86F6-49AD-B293-A760E0237FBC}"/>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38" name="TextBox 237">
            <a:extLst>
              <a:ext uri="{FF2B5EF4-FFF2-40B4-BE49-F238E27FC236}">
                <a16:creationId xmlns:a16="http://schemas.microsoft.com/office/drawing/2014/main" id="{DCA1F23D-3FE8-4E6B-9D87-B55D4019F913}"/>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429502</xdr:colOff>
      <xdr:row>22</xdr:row>
      <xdr:rowOff>183812</xdr:rowOff>
    </xdr:from>
    <xdr:to>
      <xdr:col>21</xdr:col>
      <xdr:colOff>371423</xdr:colOff>
      <xdr:row>25</xdr:row>
      <xdr:rowOff>112880</xdr:rowOff>
    </xdr:to>
    <xdr:grpSp>
      <xdr:nvGrpSpPr>
        <xdr:cNvPr id="239" name="Group 238">
          <a:extLst>
            <a:ext uri="{FF2B5EF4-FFF2-40B4-BE49-F238E27FC236}">
              <a16:creationId xmlns:a16="http://schemas.microsoft.com/office/drawing/2014/main" id="{F10940CA-79E1-4249-AB07-A09799020B59}"/>
            </a:ext>
          </a:extLst>
        </xdr:cNvPr>
        <xdr:cNvGrpSpPr/>
      </xdr:nvGrpSpPr>
      <xdr:grpSpPr>
        <a:xfrm>
          <a:off x="12621502" y="4374812"/>
          <a:ext cx="551521" cy="500568"/>
          <a:chOff x="11628166" y="4083669"/>
          <a:chExt cx="545946" cy="487866"/>
        </a:xfrm>
      </xdr:grpSpPr>
      <xdr:sp macro="" textlink="'pivot tables'!BG7">
        <xdr:nvSpPr>
          <xdr:cNvPr id="240" name="TextBox 239">
            <a:extLst>
              <a:ext uri="{FF2B5EF4-FFF2-40B4-BE49-F238E27FC236}">
                <a16:creationId xmlns:a16="http://schemas.microsoft.com/office/drawing/2014/main" id="{7FCFA5B3-C581-4EAF-A7FA-7B5412FAB36F}"/>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41" name="TextBox 240">
            <a:extLst>
              <a:ext uri="{FF2B5EF4-FFF2-40B4-BE49-F238E27FC236}">
                <a16:creationId xmlns:a16="http://schemas.microsoft.com/office/drawing/2014/main" id="{3148E5A1-B92F-4E9B-9232-C353846033ED}"/>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365425</xdr:colOff>
      <xdr:row>22</xdr:row>
      <xdr:rowOff>57884</xdr:rowOff>
    </xdr:from>
    <xdr:to>
      <xdr:col>20</xdr:col>
      <xdr:colOff>307345</xdr:colOff>
      <xdr:row>24</xdr:row>
      <xdr:rowOff>178689</xdr:rowOff>
    </xdr:to>
    <xdr:grpSp>
      <xdr:nvGrpSpPr>
        <xdr:cNvPr id="242" name="Group 241">
          <a:extLst>
            <a:ext uri="{FF2B5EF4-FFF2-40B4-BE49-F238E27FC236}">
              <a16:creationId xmlns:a16="http://schemas.microsoft.com/office/drawing/2014/main" id="{E35A694E-5E0A-4CDF-A733-C63DBA78D3E4}"/>
            </a:ext>
          </a:extLst>
        </xdr:cNvPr>
        <xdr:cNvGrpSpPr/>
      </xdr:nvGrpSpPr>
      <xdr:grpSpPr>
        <a:xfrm>
          <a:off x="11947825" y="4248884"/>
          <a:ext cx="551520" cy="501805"/>
          <a:chOff x="11628166" y="4083669"/>
          <a:chExt cx="545946" cy="487866"/>
        </a:xfrm>
      </xdr:grpSpPr>
      <xdr:sp macro="" textlink="'pivot tables'!BG7">
        <xdr:nvSpPr>
          <xdr:cNvPr id="243" name="TextBox 242">
            <a:extLst>
              <a:ext uri="{FF2B5EF4-FFF2-40B4-BE49-F238E27FC236}">
                <a16:creationId xmlns:a16="http://schemas.microsoft.com/office/drawing/2014/main" id="{F59B4B28-B7D6-4292-9C4B-4A1669ED0672}"/>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44" name="TextBox 243">
            <a:extLst>
              <a:ext uri="{FF2B5EF4-FFF2-40B4-BE49-F238E27FC236}">
                <a16:creationId xmlns:a16="http://schemas.microsoft.com/office/drawing/2014/main" id="{332ECBBE-45E2-49FF-945E-BFF910BA928B}"/>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517825</xdr:colOff>
      <xdr:row>23</xdr:row>
      <xdr:rowOff>18547</xdr:rowOff>
    </xdr:from>
    <xdr:to>
      <xdr:col>20</xdr:col>
      <xdr:colOff>459745</xdr:colOff>
      <xdr:row>25</xdr:row>
      <xdr:rowOff>139352</xdr:rowOff>
    </xdr:to>
    <xdr:grpSp>
      <xdr:nvGrpSpPr>
        <xdr:cNvPr id="245" name="Group 244">
          <a:extLst>
            <a:ext uri="{FF2B5EF4-FFF2-40B4-BE49-F238E27FC236}">
              <a16:creationId xmlns:a16="http://schemas.microsoft.com/office/drawing/2014/main" id="{DEC30DC5-76C7-454C-BCDC-A66669BB2E0E}"/>
            </a:ext>
          </a:extLst>
        </xdr:cNvPr>
        <xdr:cNvGrpSpPr/>
      </xdr:nvGrpSpPr>
      <xdr:grpSpPr>
        <a:xfrm>
          <a:off x="12100225" y="4400047"/>
          <a:ext cx="551520" cy="501805"/>
          <a:chOff x="11628166" y="4083669"/>
          <a:chExt cx="545946" cy="487866"/>
        </a:xfrm>
      </xdr:grpSpPr>
      <xdr:sp macro="" textlink="'pivot tables'!BG7">
        <xdr:nvSpPr>
          <xdr:cNvPr id="246" name="TextBox 245">
            <a:extLst>
              <a:ext uri="{FF2B5EF4-FFF2-40B4-BE49-F238E27FC236}">
                <a16:creationId xmlns:a16="http://schemas.microsoft.com/office/drawing/2014/main" id="{942CDC80-DA69-4FBB-9B51-EAEA60D954A1}"/>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47" name="TextBox 246">
            <a:extLst>
              <a:ext uri="{FF2B5EF4-FFF2-40B4-BE49-F238E27FC236}">
                <a16:creationId xmlns:a16="http://schemas.microsoft.com/office/drawing/2014/main" id="{EDCFF15D-E33A-4D55-B5B5-21F15B4F503F}"/>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360972</xdr:colOff>
      <xdr:row>20</xdr:row>
      <xdr:rowOff>170947</xdr:rowOff>
    </xdr:from>
    <xdr:to>
      <xdr:col>20</xdr:col>
      <xdr:colOff>302892</xdr:colOff>
      <xdr:row>23</xdr:row>
      <xdr:rowOff>100015</xdr:rowOff>
    </xdr:to>
    <xdr:grpSp>
      <xdr:nvGrpSpPr>
        <xdr:cNvPr id="248" name="Group 247">
          <a:extLst>
            <a:ext uri="{FF2B5EF4-FFF2-40B4-BE49-F238E27FC236}">
              <a16:creationId xmlns:a16="http://schemas.microsoft.com/office/drawing/2014/main" id="{492DD40E-F395-4BBE-8FE5-6CB111DD5FC3}"/>
            </a:ext>
          </a:extLst>
        </xdr:cNvPr>
        <xdr:cNvGrpSpPr/>
      </xdr:nvGrpSpPr>
      <xdr:grpSpPr>
        <a:xfrm>
          <a:off x="11943372" y="3980947"/>
          <a:ext cx="551520" cy="500568"/>
          <a:chOff x="11628166" y="4083669"/>
          <a:chExt cx="545946" cy="487866"/>
        </a:xfrm>
      </xdr:grpSpPr>
      <xdr:sp macro="" textlink="'pivot tables'!BG7">
        <xdr:nvSpPr>
          <xdr:cNvPr id="249" name="TextBox 248">
            <a:extLst>
              <a:ext uri="{FF2B5EF4-FFF2-40B4-BE49-F238E27FC236}">
                <a16:creationId xmlns:a16="http://schemas.microsoft.com/office/drawing/2014/main" id="{7E5B49BF-44DA-4537-BE61-6E8889A45407}"/>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50" name="TextBox 249">
            <a:extLst>
              <a:ext uri="{FF2B5EF4-FFF2-40B4-BE49-F238E27FC236}">
                <a16:creationId xmlns:a16="http://schemas.microsoft.com/office/drawing/2014/main" id="{94F1BC73-0430-4D4F-BFBD-81E83E05F277}"/>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513372</xdr:colOff>
      <xdr:row>21</xdr:row>
      <xdr:rowOff>131610</xdr:rowOff>
    </xdr:from>
    <xdr:to>
      <xdr:col>20</xdr:col>
      <xdr:colOff>455292</xdr:colOff>
      <xdr:row>24</xdr:row>
      <xdr:rowOff>60678</xdr:rowOff>
    </xdr:to>
    <xdr:grpSp>
      <xdr:nvGrpSpPr>
        <xdr:cNvPr id="251" name="Group 250">
          <a:extLst>
            <a:ext uri="{FF2B5EF4-FFF2-40B4-BE49-F238E27FC236}">
              <a16:creationId xmlns:a16="http://schemas.microsoft.com/office/drawing/2014/main" id="{101EA6CD-ACE3-4F2D-B01A-70D70E39ABF8}"/>
            </a:ext>
          </a:extLst>
        </xdr:cNvPr>
        <xdr:cNvGrpSpPr/>
      </xdr:nvGrpSpPr>
      <xdr:grpSpPr>
        <a:xfrm>
          <a:off x="12095772" y="4132110"/>
          <a:ext cx="551520" cy="500568"/>
          <a:chOff x="11628166" y="4083669"/>
          <a:chExt cx="545946" cy="487866"/>
        </a:xfrm>
      </xdr:grpSpPr>
      <xdr:sp macro="" textlink="'pivot tables'!BG7">
        <xdr:nvSpPr>
          <xdr:cNvPr id="252" name="TextBox 251">
            <a:extLst>
              <a:ext uri="{FF2B5EF4-FFF2-40B4-BE49-F238E27FC236}">
                <a16:creationId xmlns:a16="http://schemas.microsoft.com/office/drawing/2014/main" id="{0564757F-9E58-4A0B-8BF7-7B5D75F09268}"/>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53" name="TextBox 252">
            <a:extLst>
              <a:ext uri="{FF2B5EF4-FFF2-40B4-BE49-F238E27FC236}">
                <a16:creationId xmlns:a16="http://schemas.microsoft.com/office/drawing/2014/main" id="{7F26EDD9-CDB3-4058-A591-A90ABF809AF1}"/>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269928</xdr:colOff>
      <xdr:row>21</xdr:row>
      <xdr:rowOff>79903</xdr:rowOff>
    </xdr:from>
    <xdr:to>
      <xdr:col>20</xdr:col>
      <xdr:colOff>211848</xdr:colOff>
      <xdr:row>24</xdr:row>
      <xdr:rowOff>8971</xdr:rowOff>
    </xdr:to>
    <xdr:grpSp>
      <xdr:nvGrpSpPr>
        <xdr:cNvPr id="254" name="Group 253">
          <a:extLst>
            <a:ext uri="{FF2B5EF4-FFF2-40B4-BE49-F238E27FC236}">
              <a16:creationId xmlns:a16="http://schemas.microsoft.com/office/drawing/2014/main" id="{6BDD0A60-1907-4F69-9FCC-FB8F9DEFED06}"/>
            </a:ext>
          </a:extLst>
        </xdr:cNvPr>
        <xdr:cNvGrpSpPr/>
      </xdr:nvGrpSpPr>
      <xdr:grpSpPr>
        <a:xfrm>
          <a:off x="11852328" y="4080403"/>
          <a:ext cx="551520" cy="500568"/>
          <a:chOff x="11628166" y="4083669"/>
          <a:chExt cx="545946" cy="487866"/>
        </a:xfrm>
      </xdr:grpSpPr>
      <xdr:sp macro="" textlink="'pivot tables'!BG7">
        <xdr:nvSpPr>
          <xdr:cNvPr id="255" name="TextBox 254">
            <a:extLst>
              <a:ext uri="{FF2B5EF4-FFF2-40B4-BE49-F238E27FC236}">
                <a16:creationId xmlns:a16="http://schemas.microsoft.com/office/drawing/2014/main" id="{C32327F5-349B-4C96-B2DD-7B866EB2911F}"/>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56" name="TextBox 255">
            <a:extLst>
              <a:ext uri="{FF2B5EF4-FFF2-40B4-BE49-F238E27FC236}">
                <a16:creationId xmlns:a16="http://schemas.microsoft.com/office/drawing/2014/main" id="{66865120-F2CE-4612-9032-92322A778472}"/>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422328</xdr:colOff>
      <xdr:row>22</xdr:row>
      <xdr:rowOff>40566</xdr:rowOff>
    </xdr:from>
    <xdr:to>
      <xdr:col>20</xdr:col>
      <xdr:colOff>364248</xdr:colOff>
      <xdr:row>24</xdr:row>
      <xdr:rowOff>161371</xdr:rowOff>
    </xdr:to>
    <xdr:grpSp>
      <xdr:nvGrpSpPr>
        <xdr:cNvPr id="257" name="Group 256">
          <a:extLst>
            <a:ext uri="{FF2B5EF4-FFF2-40B4-BE49-F238E27FC236}">
              <a16:creationId xmlns:a16="http://schemas.microsoft.com/office/drawing/2014/main" id="{1CAEDB2F-A3CB-4BC3-8B60-14B61833F1EF}"/>
            </a:ext>
          </a:extLst>
        </xdr:cNvPr>
        <xdr:cNvGrpSpPr/>
      </xdr:nvGrpSpPr>
      <xdr:grpSpPr>
        <a:xfrm>
          <a:off x="12004728" y="4231566"/>
          <a:ext cx="551520" cy="501805"/>
          <a:chOff x="11628166" y="4083669"/>
          <a:chExt cx="545946" cy="487866"/>
        </a:xfrm>
      </xdr:grpSpPr>
      <xdr:sp macro="" textlink="'pivot tables'!BG7">
        <xdr:nvSpPr>
          <xdr:cNvPr id="258" name="TextBox 257">
            <a:extLst>
              <a:ext uri="{FF2B5EF4-FFF2-40B4-BE49-F238E27FC236}">
                <a16:creationId xmlns:a16="http://schemas.microsoft.com/office/drawing/2014/main" id="{72691368-3C77-4C25-A674-9AA1DEE3DBDB}"/>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59" name="TextBox 258">
            <a:extLst>
              <a:ext uri="{FF2B5EF4-FFF2-40B4-BE49-F238E27FC236}">
                <a16:creationId xmlns:a16="http://schemas.microsoft.com/office/drawing/2014/main" id="{1638355A-E311-4B3B-AEA9-3740D34A5A49}"/>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574728</xdr:colOff>
      <xdr:row>23</xdr:row>
      <xdr:rowOff>1229</xdr:rowOff>
    </xdr:from>
    <xdr:to>
      <xdr:col>20</xdr:col>
      <xdr:colOff>516648</xdr:colOff>
      <xdr:row>25</xdr:row>
      <xdr:rowOff>122034</xdr:rowOff>
    </xdr:to>
    <xdr:grpSp>
      <xdr:nvGrpSpPr>
        <xdr:cNvPr id="260" name="Group 259">
          <a:extLst>
            <a:ext uri="{FF2B5EF4-FFF2-40B4-BE49-F238E27FC236}">
              <a16:creationId xmlns:a16="http://schemas.microsoft.com/office/drawing/2014/main" id="{74ADD969-E89A-44EC-9929-A54EFE035127}"/>
            </a:ext>
          </a:extLst>
        </xdr:cNvPr>
        <xdr:cNvGrpSpPr/>
      </xdr:nvGrpSpPr>
      <xdr:grpSpPr>
        <a:xfrm>
          <a:off x="12157128" y="4382729"/>
          <a:ext cx="551520" cy="501805"/>
          <a:chOff x="11628166" y="4083669"/>
          <a:chExt cx="545946" cy="487866"/>
        </a:xfrm>
      </xdr:grpSpPr>
      <xdr:sp macro="" textlink="'pivot tables'!BG7">
        <xdr:nvSpPr>
          <xdr:cNvPr id="261" name="TextBox 260">
            <a:extLst>
              <a:ext uri="{FF2B5EF4-FFF2-40B4-BE49-F238E27FC236}">
                <a16:creationId xmlns:a16="http://schemas.microsoft.com/office/drawing/2014/main" id="{DB257348-AE8B-406A-A96D-32877F6FA2E0}"/>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62" name="TextBox 261">
            <a:extLst>
              <a:ext uri="{FF2B5EF4-FFF2-40B4-BE49-F238E27FC236}">
                <a16:creationId xmlns:a16="http://schemas.microsoft.com/office/drawing/2014/main" id="{32DB0706-4BFB-4211-9D34-9E7BF1F553B5}"/>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102435</xdr:colOff>
      <xdr:row>21</xdr:row>
      <xdr:rowOff>153629</xdr:rowOff>
    </xdr:from>
    <xdr:to>
      <xdr:col>21</xdr:col>
      <xdr:colOff>44356</xdr:colOff>
      <xdr:row>24</xdr:row>
      <xdr:rowOff>82697</xdr:rowOff>
    </xdr:to>
    <xdr:grpSp>
      <xdr:nvGrpSpPr>
        <xdr:cNvPr id="263" name="Group 262">
          <a:extLst>
            <a:ext uri="{FF2B5EF4-FFF2-40B4-BE49-F238E27FC236}">
              <a16:creationId xmlns:a16="http://schemas.microsoft.com/office/drawing/2014/main" id="{63BCB3E0-15F4-4FA0-AE94-A47C8647284A}"/>
            </a:ext>
          </a:extLst>
        </xdr:cNvPr>
        <xdr:cNvGrpSpPr/>
      </xdr:nvGrpSpPr>
      <xdr:grpSpPr>
        <a:xfrm>
          <a:off x="12294435" y="4154129"/>
          <a:ext cx="551521" cy="500568"/>
          <a:chOff x="11628166" y="4083669"/>
          <a:chExt cx="545946" cy="487866"/>
        </a:xfrm>
      </xdr:grpSpPr>
      <xdr:sp macro="" textlink="'pivot tables'!BG7">
        <xdr:nvSpPr>
          <xdr:cNvPr id="264" name="TextBox 263">
            <a:extLst>
              <a:ext uri="{FF2B5EF4-FFF2-40B4-BE49-F238E27FC236}">
                <a16:creationId xmlns:a16="http://schemas.microsoft.com/office/drawing/2014/main" id="{D46C27F1-CAFA-49AB-BAE2-E752F800DDB2}"/>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65" name="TextBox 264">
            <a:extLst>
              <a:ext uri="{FF2B5EF4-FFF2-40B4-BE49-F238E27FC236}">
                <a16:creationId xmlns:a16="http://schemas.microsoft.com/office/drawing/2014/main" id="{592A79A4-D83D-485E-9D78-A9B23BECCE70}"/>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254835</xdr:colOff>
      <xdr:row>22</xdr:row>
      <xdr:rowOff>114292</xdr:rowOff>
    </xdr:from>
    <xdr:to>
      <xdr:col>21</xdr:col>
      <xdr:colOff>196756</xdr:colOff>
      <xdr:row>25</xdr:row>
      <xdr:rowOff>43360</xdr:rowOff>
    </xdr:to>
    <xdr:grpSp>
      <xdr:nvGrpSpPr>
        <xdr:cNvPr id="266" name="Group 265">
          <a:extLst>
            <a:ext uri="{FF2B5EF4-FFF2-40B4-BE49-F238E27FC236}">
              <a16:creationId xmlns:a16="http://schemas.microsoft.com/office/drawing/2014/main" id="{B7E9C200-EBFB-46E5-A18A-11DD40BE9189}"/>
            </a:ext>
          </a:extLst>
        </xdr:cNvPr>
        <xdr:cNvGrpSpPr/>
      </xdr:nvGrpSpPr>
      <xdr:grpSpPr>
        <a:xfrm>
          <a:off x="12446835" y="4305292"/>
          <a:ext cx="551521" cy="500568"/>
          <a:chOff x="11628166" y="4083669"/>
          <a:chExt cx="545946" cy="487866"/>
        </a:xfrm>
      </xdr:grpSpPr>
      <xdr:sp macro="" textlink="'pivot tables'!BG7">
        <xdr:nvSpPr>
          <xdr:cNvPr id="267" name="TextBox 266">
            <a:extLst>
              <a:ext uri="{FF2B5EF4-FFF2-40B4-BE49-F238E27FC236}">
                <a16:creationId xmlns:a16="http://schemas.microsoft.com/office/drawing/2014/main" id="{1AB7694E-E839-4392-AD63-02B10DF67CF0}"/>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68" name="TextBox 267">
            <a:extLst>
              <a:ext uri="{FF2B5EF4-FFF2-40B4-BE49-F238E27FC236}">
                <a16:creationId xmlns:a16="http://schemas.microsoft.com/office/drawing/2014/main" id="{317F07C1-EB7A-4398-A35C-81A09C89D41C}"/>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407235</xdr:colOff>
      <xdr:row>23</xdr:row>
      <xdr:rowOff>74955</xdr:rowOff>
    </xdr:from>
    <xdr:to>
      <xdr:col>21</xdr:col>
      <xdr:colOff>349156</xdr:colOff>
      <xdr:row>26</xdr:row>
      <xdr:rowOff>4023</xdr:rowOff>
    </xdr:to>
    <xdr:grpSp>
      <xdr:nvGrpSpPr>
        <xdr:cNvPr id="269" name="Group 268">
          <a:extLst>
            <a:ext uri="{FF2B5EF4-FFF2-40B4-BE49-F238E27FC236}">
              <a16:creationId xmlns:a16="http://schemas.microsoft.com/office/drawing/2014/main" id="{F8CE779D-551C-404F-814B-5C4051667949}"/>
            </a:ext>
          </a:extLst>
        </xdr:cNvPr>
        <xdr:cNvGrpSpPr/>
      </xdr:nvGrpSpPr>
      <xdr:grpSpPr>
        <a:xfrm>
          <a:off x="12599235" y="4456455"/>
          <a:ext cx="551521" cy="500568"/>
          <a:chOff x="11628166" y="4083669"/>
          <a:chExt cx="545946" cy="487866"/>
        </a:xfrm>
      </xdr:grpSpPr>
      <xdr:sp macro="" textlink="'pivot tables'!BG7">
        <xdr:nvSpPr>
          <xdr:cNvPr id="270" name="TextBox 269">
            <a:extLst>
              <a:ext uri="{FF2B5EF4-FFF2-40B4-BE49-F238E27FC236}">
                <a16:creationId xmlns:a16="http://schemas.microsoft.com/office/drawing/2014/main" id="{1B6E1F26-D3B4-4A08-B3C9-3F582B5CDF11}"/>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71" name="TextBox 270">
            <a:extLst>
              <a:ext uri="{FF2B5EF4-FFF2-40B4-BE49-F238E27FC236}">
                <a16:creationId xmlns:a16="http://schemas.microsoft.com/office/drawing/2014/main" id="{73BF7407-99B7-4ED4-8BA9-DE2BC705EC29}"/>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244197</xdr:colOff>
      <xdr:row>20</xdr:row>
      <xdr:rowOff>171689</xdr:rowOff>
    </xdr:from>
    <xdr:to>
      <xdr:col>21</xdr:col>
      <xdr:colOff>186118</xdr:colOff>
      <xdr:row>23</xdr:row>
      <xdr:rowOff>100757</xdr:rowOff>
    </xdr:to>
    <xdr:grpSp>
      <xdr:nvGrpSpPr>
        <xdr:cNvPr id="272" name="Group 271">
          <a:extLst>
            <a:ext uri="{FF2B5EF4-FFF2-40B4-BE49-F238E27FC236}">
              <a16:creationId xmlns:a16="http://schemas.microsoft.com/office/drawing/2014/main" id="{0CD46C7B-49D8-4123-8E1A-B16177EE83B9}"/>
            </a:ext>
          </a:extLst>
        </xdr:cNvPr>
        <xdr:cNvGrpSpPr/>
      </xdr:nvGrpSpPr>
      <xdr:grpSpPr>
        <a:xfrm>
          <a:off x="12436197" y="3981689"/>
          <a:ext cx="551521" cy="500568"/>
          <a:chOff x="11628166" y="4083669"/>
          <a:chExt cx="545946" cy="487866"/>
        </a:xfrm>
      </xdr:grpSpPr>
      <xdr:sp macro="" textlink="'pivot tables'!BG7">
        <xdr:nvSpPr>
          <xdr:cNvPr id="273" name="TextBox 272">
            <a:extLst>
              <a:ext uri="{FF2B5EF4-FFF2-40B4-BE49-F238E27FC236}">
                <a16:creationId xmlns:a16="http://schemas.microsoft.com/office/drawing/2014/main" id="{DCCF7BA9-48D3-4901-A2B5-74829257A17F}"/>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74" name="TextBox 273">
            <a:extLst>
              <a:ext uri="{FF2B5EF4-FFF2-40B4-BE49-F238E27FC236}">
                <a16:creationId xmlns:a16="http://schemas.microsoft.com/office/drawing/2014/main" id="{BFEE7B70-BE12-4188-B86A-2DFD41140740}"/>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396597</xdr:colOff>
      <xdr:row>21</xdr:row>
      <xdr:rowOff>132352</xdr:rowOff>
    </xdr:from>
    <xdr:to>
      <xdr:col>21</xdr:col>
      <xdr:colOff>338518</xdr:colOff>
      <xdr:row>24</xdr:row>
      <xdr:rowOff>61420</xdr:rowOff>
    </xdr:to>
    <xdr:grpSp>
      <xdr:nvGrpSpPr>
        <xdr:cNvPr id="275" name="Group 274">
          <a:extLst>
            <a:ext uri="{FF2B5EF4-FFF2-40B4-BE49-F238E27FC236}">
              <a16:creationId xmlns:a16="http://schemas.microsoft.com/office/drawing/2014/main" id="{422D5E30-258D-49C2-AA21-2A6ACEEDB090}"/>
            </a:ext>
          </a:extLst>
        </xdr:cNvPr>
        <xdr:cNvGrpSpPr/>
      </xdr:nvGrpSpPr>
      <xdr:grpSpPr>
        <a:xfrm>
          <a:off x="12588597" y="4132852"/>
          <a:ext cx="551521" cy="500568"/>
          <a:chOff x="11628166" y="4083669"/>
          <a:chExt cx="545946" cy="487866"/>
        </a:xfrm>
      </xdr:grpSpPr>
      <xdr:sp macro="" textlink="'pivot tables'!BG7">
        <xdr:nvSpPr>
          <xdr:cNvPr id="276" name="TextBox 275">
            <a:extLst>
              <a:ext uri="{FF2B5EF4-FFF2-40B4-BE49-F238E27FC236}">
                <a16:creationId xmlns:a16="http://schemas.microsoft.com/office/drawing/2014/main" id="{D6C23242-A453-4802-9CAF-C113CF64C31C}"/>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77" name="TextBox 276">
            <a:extLst>
              <a:ext uri="{FF2B5EF4-FFF2-40B4-BE49-F238E27FC236}">
                <a16:creationId xmlns:a16="http://schemas.microsoft.com/office/drawing/2014/main" id="{B2CF7D76-2919-4EB2-9D68-261D30A1E0BA}"/>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91302</xdr:colOff>
      <xdr:row>22</xdr:row>
      <xdr:rowOff>111570</xdr:rowOff>
    </xdr:from>
    <xdr:to>
      <xdr:col>21</xdr:col>
      <xdr:colOff>33223</xdr:colOff>
      <xdr:row>25</xdr:row>
      <xdr:rowOff>40638</xdr:rowOff>
    </xdr:to>
    <xdr:grpSp>
      <xdr:nvGrpSpPr>
        <xdr:cNvPr id="278" name="Group 277">
          <a:extLst>
            <a:ext uri="{FF2B5EF4-FFF2-40B4-BE49-F238E27FC236}">
              <a16:creationId xmlns:a16="http://schemas.microsoft.com/office/drawing/2014/main" id="{AC4ABFB5-B402-48DD-B48E-ECE41551CF0F}"/>
            </a:ext>
          </a:extLst>
        </xdr:cNvPr>
        <xdr:cNvGrpSpPr/>
      </xdr:nvGrpSpPr>
      <xdr:grpSpPr>
        <a:xfrm>
          <a:off x="12283302" y="4302570"/>
          <a:ext cx="551521" cy="500568"/>
          <a:chOff x="11628166" y="4083669"/>
          <a:chExt cx="545946" cy="487866"/>
        </a:xfrm>
      </xdr:grpSpPr>
      <xdr:sp macro="" textlink="'pivot tables'!BG7">
        <xdr:nvSpPr>
          <xdr:cNvPr id="279" name="TextBox 278">
            <a:extLst>
              <a:ext uri="{FF2B5EF4-FFF2-40B4-BE49-F238E27FC236}">
                <a16:creationId xmlns:a16="http://schemas.microsoft.com/office/drawing/2014/main" id="{6DF8F66A-CE8D-4E8B-892D-88101A2C7EB0}"/>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80" name="TextBox 279">
            <a:extLst>
              <a:ext uri="{FF2B5EF4-FFF2-40B4-BE49-F238E27FC236}">
                <a16:creationId xmlns:a16="http://schemas.microsoft.com/office/drawing/2014/main" id="{65349E3B-00EF-4F20-BC00-2C1E2E34C638}"/>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243702</xdr:colOff>
      <xdr:row>23</xdr:row>
      <xdr:rowOff>72233</xdr:rowOff>
    </xdr:from>
    <xdr:to>
      <xdr:col>21</xdr:col>
      <xdr:colOff>185623</xdr:colOff>
      <xdr:row>26</xdr:row>
      <xdr:rowOff>1301</xdr:rowOff>
    </xdr:to>
    <xdr:grpSp>
      <xdr:nvGrpSpPr>
        <xdr:cNvPr id="281" name="Group 280">
          <a:extLst>
            <a:ext uri="{FF2B5EF4-FFF2-40B4-BE49-F238E27FC236}">
              <a16:creationId xmlns:a16="http://schemas.microsoft.com/office/drawing/2014/main" id="{33C3510C-676E-41EB-8EA1-575BC2FA40E7}"/>
            </a:ext>
          </a:extLst>
        </xdr:cNvPr>
        <xdr:cNvGrpSpPr/>
      </xdr:nvGrpSpPr>
      <xdr:grpSpPr>
        <a:xfrm>
          <a:off x="12435702" y="4453733"/>
          <a:ext cx="551521" cy="500568"/>
          <a:chOff x="11628166" y="4083669"/>
          <a:chExt cx="545946" cy="487866"/>
        </a:xfrm>
      </xdr:grpSpPr>
      <xdr:sp macro="" textlink="'pivot tables'!BG7">
        <xdr:nvSpPr>
          <xdr:cNvPr id="282" name="TextBox 281">
            <a:extLst>
              <a:ext uri="{FF2B5EF4-FFF2-40B4-BE49-F238E27FC236}">
                <a16:creationId xmlns:a16="http://schemas.microsoft.com/office/drawing/2014/main" id="{7F673ABD-3588-4D8A-93FE-906791BB94A0}"/>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83" name="TextBox 282">
            <a:extLst>
              <a:ext uri="{FF2B5EF4-FFF2-40B4-BE49-F238E27FC236}">
                <a16:creationId xmlns:a16="http://schemas.microsoft.com/office/drawing/2014/main" id="{2D64A6C5-178E-404A-80F5-1EA7D943FC90}"/>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396102</xdr:colOff>
      <xdr:row>24</xdr:row>
      <xdr:rowOff>32896</xdr:rowOff>
    </xdr:from>
    <xdr:to>
      <xdr:col>21</xdr:col>
      <xdr:colOff>338023</xdr:colOff>
      <xdr:row>26</xdr:row>
      <xdr:rowOff>153701</xdr:rowOff>
    </xdr:to>
    <xdr:grpSp>
      <xdr:nvGrpSpPr>
        <xdr:cNvPr id="284" name="Group 283">
          <a:extLst>
            <a:ext uri="{FF2B5EF4-FFF2-40B4-BE49-F238E27FC236}">
              <a16:creationId xmlns:a16="http://schemas.microsoft.com/office/drawing/2014/main" id="{D63F2925-6D5F-4658-92A9-ABA2FD24AEDE}"/>
            </a:ext>
          </a:extLst>
        </xdr:cNvPr>
        <xdr:cNvGrpSpPr/>
      </xdr:nvGrpSpPr>
      <xdr:grpSpPr>
        <a:xfrm>
          <a:off x="12588102" y="4604896"/>
          <a:ext cx="551521" cy="501805"/>
          <a:chOff x="11628166" y="4083669"/>
          <a:chExt cx="545946" cy="487866"/>
        </a:xfrm>
      </xdr:grpSpPr>
      <xdr:sp macro="" textlink="'pivot tables'!BG7">
        <xdr:nvSpPr>
          <xdr:cNvPr id="285" name="TextBox 284">
            <a:extLst>
              <a:ext uri="{FF2B5EF4-FFF2-40B4-BE49-F238E27FC236}">
                <a16:creationId xmlns:a16="http://schemas.microsoft.com/office/drawing/2014/main" id="{F8A64F00-D302-480C-907C-1C04BBCBCACF}"/>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86" name="TextBox 285">
            <a:extLst>
              <a:ext uri="{FF2B5EF4-FFF2-40B4-BE49-F238E27FC236}">
                <a16:creationId xmlns:a16="http://schemas.microsoft.com/office/drawing/2014/main" id="{F12458AD-5966-4716-AF2E-591B6AE2CF0D}"/>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233064</xdr:colOff>
      <xdr:row>22</xdr:row>
      <xdr:rowOff>179111</xdr:rowOff>
    </xdr:from>
    <xdr:to>
      <xdr:col>20</xdr:col>
      <xdr:colOff>174984</xdr:colOff>
      <xdr:row>25</xdr:row>
      <xdr:rowOff>108179</xdr:rowOff>
    </xdr:to>
    <xdr:grpSp>
      <xdr:nvGrpSpPr>
        <xdr:cNvPr id="287" name="Group 286">
          <a:extLst>
            <a:ext uri="{FF2B5EF4-FFF2-40B4-BE49-F238E27FC236}">
              <a16:creationId xmlns:a16="http://schemas.microsoft.com/office/drawing/2014/main" id="{B35C2A4D-88A7-48A5-8BC6-13A989DDEB5C}"/>
            </a:ext>
          </a:extLst>
        </xdr:cNvPr>
        <xdr:cNvGrpSpPr/>
      </xdr:nvGrpSpPr>
      <xdr:grpSpPr>
        <a:xfrm>
          <a:off x="11815464" y="4370111"/>
          <a:ext cx="551520" cy="500568"/>
          <a:chOff x="11628166" y="4083669"/>
          <a:chExt cx="545946" cy="487866"/>
        </a:xfrm>
      </xdr:grpSpPr>
      <xdr:sp macro="" textlink="'pivot tables'!BG7">
        <xdr:nvSpPr>
          <xdr:cNvPr id="288" name="TextBox 287">
            <a:extLst>
              <a:ext uri="{FF2B5EF4-FFF2-40B4-BE49-F238E27FC236}">
                <a16:creationId xmlns:a16="http://schemas.microsoft.com/office/drawing/2014/main" id="{78E4B7D6-B8C2-4392-838F-B93F988F5A72}"/>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89" name="TextBox 288">
            <a:extLst>
              <a:ext uri="{FF2B5EF4-FFF2-40B4-BE49-F238E27FC236}">
                <a16:creationId xmlns:a16="http://schemas.microsoft.com/office/drawing/2014/main" id="{2CAD8A05-583B-46AA-8325-E86A282F6C91}"/>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19</xdr:col>
      <xdr:colOff>465870</xdr:colOff>
      <xdr:row>20</xdr:row>
      <xdr:rowOff>84109</xdr:rowOff>
    </xdr:from>
    <xdr:to>
      <xdr:col>20</xdr:col>
      <xdr:colOff>407790</xdr:colOff>
      <xdr:row>23</xdr:row>
      <xdr:rowOff>13177</xdr:rowOff>
    </xdr:to>
    <xdr:grpSp>
      <xdr:nvGrpSpPr>
        <xdr:cNvPr id="290" name="Group 289">
          <a:extLst>
            <a:ext uri="{FF2B5EF4-FFF2-40B4-BE49-F238E27FC236}">
              <a16:creationId xmlns:a16="http://schemas.microsoft.com/office/drawing/2014/main" id="{BA0DE852-C24E-4867-890A-11F5C556D061}"/>
            </a:ext>
          </a:extLst>
        </xdr:cNvPr>
        <xdr:cNvGrpSpPr/>
      </xdr:nvGrpSpPr>
      <xdr:grpSpPr>
        <a:xfrm>
          <a:off x="12048270" y="3894109"/>
          <a:ext cx="551520" cy="500568"/>
          <a:chOff x="11628166" y="4083669"/>
          <a:chExt cx="545946" cy="487866"/>
        </a:xfrm>
      </xdr:grpSpPr>
      <xdr:sp macro="" textlink="'pivot tables'!BG7">
        <xdr:nvSpPr>
          <xdr:cNvPr id="291" name="TextBox 290">
            <a:extLst>
              <a:ext uri="{FF2B5EF4-FFF2-40B4-BE49-F238E27FC236}">
                <a16:creationId xmlns:a16="http://schemas.microsoft.com/office/drawing/2014/main" id="{8012416F-11C8-40AC-BCDD-7A22C054FE37}"/>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92" name="TextBox 291">
            <a:extLst>
              <a:ext uri="{FF2B5EF4-FFF2-40B4-BE49-F238E27FC236}">
                <a16:creationId xmlns:a16="http://schemas.microsoft.com/office/drawing/2014/main" id="{37EE7896-FE72-4C3E-89AB-C12A5DB46886}"/>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20</xdr:col>
      <xdr:colOff>5948</xdr:colOff>
      <xdr:row>21</xdr:row>
      <xdr:rowOff>44772</xdr:rowOff>
    </xdr:from>
    <xdr:to>
      <xdr:col>20</xdr:col>
      <xdr:colOff>560190</xdr:colOff>
      <xdr:row>23</xdr:row>
      <xdr:rowOff>165577</xdr:rowOff>
    </xdr:to>
    <xdr:grpSp>
      <xdr:nvGrpSpPr>
        <xdr:cNvPr id="293" name="Group 292">
          <a:extLst>
            <a:ext uri="{FF2B5EF4-FFF2-40B4-BE49-F238E27FC236}">
              <a16:creationId xmlns:a16="http://schemas.microsoft.com/office/drawing/2014/main" id="{1D2A8EA2-E9E9-4AA1-9F32-528561F34116}"/>
            </a:ext>
          </a:extLst>
        </xdr:cNvPr>
        <xdr:cNvGrpSpPr/>
      </xdr:nvGrpSpPr>
      <xdr:grpSpPr>
        <a:xfrm>
          <a:off x="12197948" y="4045272"/>
          <a:ext cx="554242" cy="501805"/>
          <a:chOff x="11628166" y="4083669"/>
          <a:chExt cx="545946" cy="487866"/>
        </a:xfrm>
      </xdr:grpSpPr>
      <xdr:sp macro="" textlink="'pivot tables'!BG7">
        <xdr:nvSpPr>
          <xdr:cNvPr id="294" name="TextBox 293">
            <a:extLst>
              <a:ext uri="{FF2B5EF4-FFF2-40B4-BE49-F238E27FC236}">
                <a16:creationId xmlns:a16="http://schemas.microsoft.com/office/drawing/2014/main" id="{2C0E9D49-CCBC-434E-82EF-99E4630EDA9A}"/>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6CF659-0366-4224-9C65-61E40F54EC68}" type="TxLink">
              <a:rPr lang="en-US" sz="1600" b="0" i="0" u="none" strike="noStrike">
                <a:solidFill>
                  <a:srgbClr val="C240D8"/>
                </a:solidFill>
                <a:latin typeface="Arial"/>
                <a:cs typeface="Arial"/>
              </a:rPr>
              <a:pPr algn="ctr"/>
              <a:t> </a:t>
            </a:fld>
            <a:endParaRPr lang="en-IN" sz="1100"/>
          </a:p>
        </xdr:txBody>
      </xdr:sp>
      <xdr:sp macro="" textlink="'pivot tables'!BI7">
        <xdr:nvSpPr>
          <xdr:cNvPr id="295" name="TextBox 294">
            <a:extLst>
              <a:ext uri="{FF2B5EF4-FFF2-40B4-BE49-F238E27FC236}">
                <a16:creationId xmlns:a16="http://schemas.microsoft.com/office/drawing/2014/main" id="{70C83233-87CB-4671-B66C-E24F63FD1FA3}"/>
              </a:ext>
            </a:extLst>
          </xdr:cNvPr>
          <xdr:cNvSpPr txBox="1"/>
        </xdr:nvSpPr>
        <xdr:spPr>
          <a:xfrm>
            <a:off x="11628166" y="4083669"/>
            <a:ext cx="545946" cy="487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BE3C93-4015-4D1E-B6FE-1CC7EE1BD9BF}" type="TxLink">
              <a:rPr lang="en-US" sz="1600" b="0" i="0" u="none" strike="noStrike">
                <a:solidFill>
                  <a:srgbClr val="0F11A7"/>
                </a:solidFill>
                <a:latin typeface="Arial"/>
                <a:cs typeface="Arial"/>
              </a:rPr>
              <a:pPr algn="ctr"/>
              <a:t>•</a:t>
            </a:fld>
            <a:endParaRPr lang="en-IN" sz="1100"/>
          </a:p>
        </xdr:txBody>
      </xdr:sp>
    </xdr:grpSp>
    <xdr:clientData/>
  </xdr:twoCellAnchor>
  <xdr:twoCellAnchor>
    <xdr:from>
      <xdr:col>2</xdr:col>
      <xdr:colOff>315267</xdr:colOff>
      <xdr:row>17</xdr:row>
      <xdr:rowOff>41869</xdr:rowOff>
    </xdr:from>
    <xdr:to>
      <xdr:col>6</xdr:col>
      <xdr:colOff>294333</xdr:colOff>
      <xdr:row>24</xdr:row>
      <xdr:rowOff>177473</xdr:rowOff>
    </xdr:to>
    <xdr:grpSp>
      <xdr:nvGrpSpPr>
        <xdr:cNvPr id="35" name="Group 34">
          <a:extLst>
            <a:ext uri="{FF2B5EF4-FFF2-40B4-BE49-F238E27FC236}">
              <a16:creationId xmlns:a16="http://schemas.microsoft.com/office/drawing/2014/main" id="{138194A1-F5E7-4DDF-AF91-18DFD91B977F}"/>
            </a:ext>
          </a:extLst>
        </xdr:cNvPr>
        <xdr:cNvGrpSpPr/>
      </xdr:nvGrpSpPr>
      <xdr:grpSpPr>
        <a:xfrm>
          <a:off x="1534467" y="3280369"/>
          <a:ext cx="2417466" cy="1469104"/>
          <a:chOff x="1508509" y="2710962"/>
          <a:chExt cx="2407417" cy="1454450"/>
        </a:xfrm>
      </xdr:grpSpPr>
      <xdr:grpSp>
        <xdr:nvGrpSpPr>
          <xdr:cNvPr id="14" name="Group 13">
            <a:extLst>
              <a:ext uri="{FF2B5EF4-FFF2-40B4-BE49-F238E27FC236}">
                <a16:creationId xmlns:a16="http://schemas.microsoft.com/office/drawing/2014/main" id="{4AD96A0D-A267-42C8-BB7B-9F0578BA122D}"/>
              </a:ext>
            </a:extLst>
          </xdr:cNvPr>
          <xdr:cNvGrpSpPr/>
        </xdr:nvGrpSpPr>
        <xdr:grpSpPr>
          <a:xfrm>
            <a:off x="1508509" y="2710962"/>
            <a:ext cx="2407417" cy="285492"/>
            <a:chOff x="1507253" y="2710962"/>
            <a:chExt cx="2407417" cy="285492"/>
          </a:xfrm>
        </xdr:grpSpPr>
        <xdr:sp macro="" textlink="'pivot tables'!BB5">
          <xdr:nvSpPr>
            <xdr:cNvPr id="11" name="TextBox 10">
              <a:extLst>
                <a:ext uri="{FF2B5EF4-FFF2-40B4-BE49-F238E27FC236}">
                  <a16:creationId xmlns:a16="http://schemas.microsoft.com/office/drawing/2014/main" id="{887505C4-DF02-4E7F-8B37-EC888F1A6B24}"/>
                </a:ext>
              </a:extLst>
            </xdr:cNvPr>
            <xdr:cNvSpPr txBox="1"/>
          </xdr:nvSpPr>
          <xdr:spPr>
            <a:xfrm>
              <a:off x="1507253" y="2731894"/>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fld id="{B0A13FB1-6FF8-4E02-A7E7-685A9BE00F78}" type="TxLink">
                <a:rPr lang="en-US" sz="1100" b="0" i="0" u="none" strike="noStrike">
                  <a:solidFill>
                    <a:schemeClr val="bg1"/>
                  </a:solidFill>
                  <a:latin typeface="Calibri"/>
                  <a:cs typeface="Calibri"/>
                </a:rPr>
                <a:pPr algn="l"/>
                <a:t>Brazil</a:t>
              </a:fld>
              <a:endParaRPr lang="en-IN" sz="1100">
                <a:solidFill>
                  <a:schemeClr val="bg1"/>
                </a:solidFill>
              </a:endParaRPr>
            </a:p>
          </xdr:txBody>
        </xdr:sp>
        <xdr:sp macro="" textlink="'pivot tables'!BC5">
          <xdr:nvSpPr>
            <xdr:cNvPr id="12" name="TextBox 11">
              <a:extLst>
                <a:ext uri="{FF2B5EF4-FFF2-40B4-BE49-F238E27FC236}">
                  <a16:creationId xmlns:a16="http://schemas.microsoft.com/office/drawing/2014/main" id="{8FC104AB-0A6C-43AD-8548-EAFAC4C6661D}"/>
                </a:ext>
              </a:extLst>
            </xdr:cNvPr>
            <xdr:cNvSpPr txBox="1"/>
          </xdr:nvSpPr>
          <xdr:spPr>
            <a:xfrm>
              <a:off x="2318448" y="2721428"/>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9F3DB6C-9090-4458-AE54-D89A1B92AD4A}" type="TxLink">
                <a:rPr lang="en-US" sz="1100" b="0" i="0" u="none" strike="noStrike">
                  <a:solidFill>
                    <a:schemeClr val="bg1"/>
                  </a:solidFill>
                  <a:latin typeface="Calibri"/>
                  <a:cs typeface="Calibri"/>
                </a:rPr>
                <a:pPr algn="ctr"/>
                <a:t>71992</a:t>
              </a:fld>
              <a:endParaRPr lang="en-IN" sz="1100">
                <a:solidFill>
                  <a:schemeClr val="bg1"/>
                </a:solidFill>
              </a:endParaRPr>
            </a:p>
          </xdr:txBody>
        </xdr:sp>
        <xdr:sp macro="" textlink="'pivot tables'!BD5">
          <xdr:nvSpPr>
            <xdr:cNvPr id="13" name="TextBox 12">
              <a:extLst>
                <a:ext uri="{FF2B5EF4-FFF2-40B4-BE49-F238E27FC236}">
                  <a16:creationId xmlns:a16="http://schemas.microsoft.com/office/drawing/2014/main" id="{69BABB7D-A202-4D80-9AF0-18541B01A92C}"/>
                </a:ext>
              </a:extLst>
            </xdr:cNvPr>
            <xdr:cNvSpPr txBox="1"/>
          </xdr:nvSpPr>
          <xdr:spPr>
            <a:xfrm>
              <a:off x="3129643" y="2710962"/>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8E82162-D4A3-4DE4-A673-2B4BE6A49F5D}" type="TxLink">
                <a:rPr lang="en-US" sz="1100" b="0" i="0" u="none" strike="noStrike">
                  <a:solidFill>
                    <a:schemeClr val="bg1"/>
                  </a:solidFill>
                  <a:latin typeface="Calibri"/>
                  <a:cs typeface="Calibri"/>
                </a:rPr>
                <a:pPr algn="ctr"/>
                <a:t>8.70%</a:t>
              </a:fld>
              <a:endParaRPr lang="en-IN" sz="1100">
                <a:solidFill>
                  <a:schemeClr val="bg1"/>
                </a:solidFill>
              </a:endParaRPr>
            </a:p>
          </xdr:txBody>
        </xdr:sp>
      </xdr:grpSp>
      <xdr:grpSp>
        <xdr:nvGrpSpPr>
          <xdr:cNvPr id="15" name="Group 14">
            <a:extLst>
              <a:ext uri="{FF2B5EF4-FFF2-40B4-BE49-F238E27FC236}">
                <a16:creationId xmlns:a16="http://schemas.microsoft.com/office/drawing/2014/main" id="{8F1EE745-F0A5-49AA-9CC3-8D967B0887E2}"/>
              </a:ext>
            </a:extLst>
          </xdr:cNvPr>
          <xdr:cNvGrpSpPr/>
        </xdr:nvGrpSpPr>
        <xdr:grpSpPr>
          <a:xfrm>
            <a:off x="1508509" y="2944754"/>
            <a:ext cx="2407417" cy="285492"/>
            <a:chOff x="1507253" y="2710962"/>
            <a:chExt cx="2407417" cy="285492"/>
          </a:xfrm>
        </xdr:grpSpPr>
        <xdr:sp macro="" textlink="'pivot tables'!BB6">
          <xdr:nvSpPr>
            <xdr:cNvPr id="16" name="TextBox 15">
              <a:extLst>
                <a:ext uri="{FF2B5EF4-FFF2-40B4-BE49-F238E27FC236}">
                  <a16:creationId xmlns:a16="http://schemas.microsoft.com/office/drawing/2014/main" id="{35AA7585-E947-467D-B645-1D04C6C5F447}"/>
                </a:ext>
              </a:extLst>
            </xdr:cNvPr>
            <xdr:cNvSpPr txBox="1"/>
          </xdr:nvSpPr>
          <xdr:spPr>
            <a:xfrm>
              <a:off x="1507253" y="2731894"/>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fld id="{EC38D747-EF06-4343-8C6E-F8984A05E29A}" type="TxLink">
                <a:rPr lang="en-US" sz="1100" b="0" i="0" u="none" strike="noStrike">
                  <a:solidFill>
                    <a:schemeClr val="bg1"/>
                  </a:solidFill>
                  <a:latin typeface="Calibri"/>
                  <a:cs typeface="Calibri"/>
                </a:rPr>
                <a:pPr algn="l"/>
                <a:t>Canada</a:t>
              </a:fld>
              <a:endParaRPr lang="en-IN" sz="1100">
                <a:solidFill>
                  <a:schemeClr val="bg1"/>
                </a:solidFill>
              </a:endParaRPr>
            </a:p>
          </xdr:txBody>
        </xdr:sp>
        <xdr:sp macro="" textlink="'pivot tables'!BC6">
          <xdr:nvSpPr>
            <xdr:cNvPr id="17" name="TextBox 16">
              <a:extLst>
                <a:ext uri="{FF2B5EF4-FFF2-40B4-BE49-F238E27FC236}">
                  <a16:creationId xmlns:a16="http://schemas.microsoft.com/office/drawing/2014/main" id="{2089DE60-D60A-4219-A199-6C6C9F7E58FE}"/>
                </a:ext>
              </a:extLst>
            </xdr:cNvPr>
            <xdr:cNvSpPr txBox="1"/>
          </xdr:nvSpPr>
          <xdr:spPr>
            <a:xfrm>
              <a:off x="2318448" y="2721428"/>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4524572-CC45-4B70-BE9D-0E81AB6E7DBA}" type="TxLink">
                <a:rPr lang="en-US" sz="1100" b="0" i="0" u="none" strike="noStrike">
                  <a:solidFill>
                    <a:schemeClr val="bg1"/>
                  </a:solidFill>
                  <a:latin typeface="Calibri"/>
                  <a:cs typeface="Calibri"/>
                </a:rPr>
                <a:pPr algn="ctr"/>
                <a:t>73912</a:t>
              </a:fld>
              <a:endParaRPr lang="en-IN" sz="1100">
                <a:solidFill>
                  <a:schemeClr val="bg1"/>
                </a:solidFill>
              </a:endParaRPr>
            </a:p>
          </xdr:txBody>
        </xdr:sp>
        <xdr:sp macro="" textlink="'pivot tables'!BD6">
          <xdr:nvSpPr>
            <xdr:cNvPr id="18" name="TextBox 17">
              <a:extLst>
                <a:ext uri="{FF2B5EF4-FFF2-40B4-BE49-F238E27FC236}">
                  <a16:creationId xmlns:a16="http://schemas.microsoft.com/office/drawing/2014/main" id="{4296909E-DDF2-4E84-912D-176A83617C3A}"/>
                </a:ext>
              </a:extLst>
            </xdr:cNvPr>
            <xdr:cNvSpPr txBox="1"/>
          </xdr:nvSpPr>
          <xdr:spPr>
            <a:xfrm>
              <a:off x="3129643" y="2710962"/>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C716B03-D4E4-4B4A-905C-C50F3C369CB4}" type="TxLink">
                <a:rPr lang="en-US" sz="1100" b="0" i="0" u="none" strike="noStrike">
                  <a:solidFill>
                    <a:srgbClr val="FFFFFF"/>
                  </a:solidFill>
                  <a:latin typeface="Calibri"/>
                  <a:cs typeface="Calibri"/>
                </a:rPr>
                <a:pPr algn="ctr"/>
                <a:t>8.94%</a:t>
              </a:fld>
              <a:endParaRPr lang="en-IN" sz="1100">
                <a:solidFill>
                  <a:schemeClr val="bg1"/>
                </a:solidFill>
              </a:endParaRPr>
            </a:p>
          </xdr:txBody>
        </xdr:sp>
      </xdr:grpSp>
      <xdr:grpSp>
        <xdr:nvGrpSpPr>
          <xdr:cNvPr id="19" name="Group 18">
            <a:extLst>
              <a:ext uri="{FF2B5EF4-FFF2-40B4-BE49-F238E27FC236}">
                <a16:creationId xmlns:a16="http://schemas.microsoft.com/office/drawing/2014/main" id="{CB841C5A-9D63-492C-A60D-4440288EB47E}"/>
              </a:ext>
            </a:extLst>
          </xdr:cNvPr>
          <xdr:cNvGrpSpPr/>
        </xdr:nvGrpSpPr>
        <xdr:grpSpPr>
          <a:xfrm>
            <a:off x="1508509" y="3178546"/>
            <a:ext cx="2407417" cy="285492"/>
            <a:chOff x="1507253" y="2710962"/>
            <a:chExt cx="2407417" cy="285492"/>
          </a:xfrm>
        </xdr:grpSpPr>
        <xdr:sp macro="" textlink="'pivot tables'!BB7">
          <xdr:nvSpPr>
            <xdr:cNvPr id="20" name="TextBox 19">
              <a:extLst>
                <a:ext uri="{FF2B5EF4-FFF2-40B4-BE49-F238E27FC236}">
                  <a16:creationId xmlns:a16="http://schemas.microsoft.com/office/drawing/2014/main" id="{C85B134E-8EB3-4053-9AB8-1439EA3ADC03}"/>
                </a:ext>
              </a:extLst>
            </xdr:cNvPr>
            <xdr:cNvSpPr txBox="1"/>
          </xdr:nvSpPr>
          <xdr:spPr>
            <a:xfrm>
              <a:off x="1507253" y="2731894"/>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fld id="{AD1524DA-02E8-4E5A-BB82-023FBD5B4F10}" type="TxLink">
                <a:rPr lang="en-US" sz="1100" b="0" i="0" u="none" strike="noStrike">
                  <a:solidFill>
                    <a:schemeClr val="bg1"/>
                  </a:solidFill>
                  <a:latin typeface="Calibri"/>
                  <a:cs typeface="Calibri"/>
                </a:rPr>
                <a:pPr algn="l"/>
                <a:t>Egypt</a:t>
              </a:fld>
              <a:endParaRPr lang="en-IN" sz="1100">
                <a:solidFill>
                  <a:schemeClr val="bg1"/>
                </a:solidFill>
              </a:endParaRPr>
            </a:p>
          </xdr:txBody>
        </xdr:sp>
        <xdr:sp macro="" textlink="'pivot tables'!BC7">
          <xdr:nvSpPr>
            <xdr:cNvPr id="21" name="TextBox 20">
              <a:extLst>
                <a:ext uri="{FF2B5EF4-FFF2-40B4-BE49-F238E27FC236}">
                  <a16:creationId xmlns:a16="http://schemas.microsoft.com/office/drawing/2014/main" id="{3184DCB6-3C0A-4E01-9576-F9631E11FA48}"/>
                </a:ext>
              </a:extLst>
            </xdr:cNvPr>
            <xdr:cNvSpPr txBox="1"/>
          </xdr:nvSpPr>
          <xdr:spPr>
            <a:xfrm>
              <a:off x="2318448" y="2721428"/>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69B1B93-D3BB-41B4-9D20-65214366E9ED}" type="TxLink">
                <a:rPr lang="en-US" sz="1100" b="0" i="0" u="none" strike="noStrike">
                  <a:solidFill>
                    <a:srgbClr val="FFFFFF"/>
                  </a:solidFill>
                  <a:latin typeface="Calibri"/>
                  <a:cs typeface="Calibri"/>
                </a:rPr>
                <a:pPr algn="ctr"/>
                <a:t>204528</a:t>
              </a:fld>
              <a:endParaRPr lang="en-IN" sz="1100">
                <a:solidFill>
                  <a:schemeClr val="bg1"/>
                </a:solidFill>
              </a:endParaRPr>
            </a:p>
          </xdr:txBody>
        </xdr:sp>
        <xdr:sp macro="" textlink="'pivot tables'!BD7">
          <xdr:nvSpPr>
            <xdr:cNvPr id="22" name="TextBox 21">
              <a:extLst>
                <a:ext uri="{FF2B5EF4-FFF2-40B4-BE49-F238E27FC236}">
                  <a16:creationId xmlns:a16="http://schemas.microsoft.com/office/drawing/2014/main" id="{EEFADED7-9D0D-42F3-9D5F-0E2C2894E13C}"/>
                </a:ext>
              </a:extLst>
            </xdr:cNvPr>
            <xdr:cNvSpPr txBox="1"/>
          </xdr:nvSpPr>
          <xdr:spPr>
            <a:xfrm>
              <a:off x="3129643" y="2710962"/>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73201CBD-605C-47A8-A479-24B0B1ED7637}" type="TxLink">
                <a:rPr lang="en-US" sz="1100" b="0" i="0" u="none" strike="noStrike">
                  <a:solidFill>
                    <a:srgbClr val="FFFFFF"/>
                  </a:solidFill>
                  <a:latin typeface="Calibri"/>
                  <a:cs typeface="Calibri"/>
                </a:rPr>
                <a:pPr algn="ctr"/>
                <a:t>24.73%</a:t>
              </a:fld>
              <a:endParaRPr lang="en-IN" sz="1100">
                <a:solidFill>
                  <a:schemeClr val="bg1"/>
                </a:solidFill>
              </a:endParaRPr>
            </a:p>
          </xdr:txBody>
        </xdr:sp>
      </xdr:grpSp>
      <xdr:grpSp>
        <xdr:nvGrpSpPr>
          <xdr:cNvPr id="23" name="Group 22">
            <a:extLst>
              <a:ext uri="{FF2B5EF4-FFF2-40B4-BE49-F238E27FC236}">
                <a16:creationId xmlns:a16="http://schemas.microsoft.com/office/drawing/2014/main" id="{EA7076A3-01CA-4D9E-9272-4B76121BF61F}"/>
              </a:ext>
            </a:extLst>
          </xdr:cNvPr>
          <xdr:cNvGrpSpPr/>
        </xdr:nvGrpSpPr>
        <xdr:grpSpPr>
          <a:xfrm>
            <a:off x="1508509" y="3412338"/>
            <a:ext cx="2407417" cy="285492"/>
            <a:chOff x="1507253" y="2710962"/>
            <a:chExt cx="2407417" cy="285492"/>
          </a:xfrm>
        </xdr:grpSpPr>
        <xdr:sp macro="" textlink="'pivot tables'!BB8">
          <xdr:nvSpPr>
            <xdr:cNvPr id="24" name="TextBox 23">
              <a:extLst>
                <a:ext uri="{FF2B5EF4-FFF2-40B4-BE49-F238E27FC236}">
                  <a16:creationId xmlns:a16="http://schemas.microsoft.com/office/drawing/2014/main" id="{52305441-A0D5-437C-BA9D-E0A835F0D3FF}"/>
                </a:ext>
              </a:extLst>
            </xdr:cNvPr>
            <xdr:cNvSpPr txBox="1"/>
          </xdr:nvSpPr>
          <xdr:spPr>
            <a:xfrm>
              <a:off x="1507253" y="2731894"/>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fld id="{04DDB5A4-8751-4525-81F1-0FC03D42F643}" type="TxLink">
                <a:rPr lang="en-US" sz="1100" b="0" i="0" u="none" strike="noStrike">
                  <a:solidFill>
                    <a:schemeClr val="bg1"/>
                  </a:solidFill>
                  <a:latin typeface="Calibri"/>
                  <a:cs typeface="Calibri"/>
                </a:rPr>
                <a:pPr algn="l"/>
                <a:t>Russia</a:t>
              </a:fld>
              <a:endParaRPr lang="en-IN" sz="1100">
                <a:solidFill>
                  <a:schemeClr val="bg1"/>
                </a:solidFill>
              </a:endParaRPr>
            </a:p>
          </xdr:txBody>
        </xdr:sp>
        <xdr:sp macro="" textlink="'pivot tables'!BC8">
          <xdr:nvSpPr>
            <xdr:cNvPr id="25" name="TextBox 24">
              <a:extLst>
                <a:ext uri="{FF2B5EF4-FFF2-40B4-BE49-F238E27FC236}">
                  <a16:creationId xmlns:a16="http://schemas.microsoft.com/office/drawing/2014/main" id="{964B988E-510F-433C-8789-2785A6B00A3E}"/>
                </a:ext>
              </a:extLst>
            </xdr:cNvPr>
            <xdr:cNvSpPr txBox="1"/>
          </xdr:nvSpPr>
          <xdr:spPr>
            <a:xfrm>
              <a:off x="2318448" y="2721428"/>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93D31036-6BD0-4FDB-9205-13BA6D1D808F}" type="TxLink">
                <a:rPr lang="en-US" sz="1100" b="0" i="0" u="none" strike="noStrike">
                  <a:solidFill>
                    <a:srgbClr val="FFFFFF"/>
                  </a:solidFill>
                  <a:latin typeface="Calibri"/>
                  <a:cs typeface="Calibri"/>
                </a:rPr>
                <a:pPr algn="ctr"/>
                <a:t>219404</a:t>
              </a:fld>
              <a:endParaRPr lang="en-IN" sz="1100">
                <a:solidFill>
                  <a:schemeClr val="bg1"/>
                </a:solidFill>
              </a:endParaRPr>
            </a:p>
          </xdr:txBody>
        </xdr:sp>
        <xdr:sp macro="" textlink="'pivot tables'!BD8">
          <xdr:nvSpPr>
            <xdr:cNvPr id="26" name="TextBox 25">
              <a:extLst>
                <a:ext uri="{FF2B5EF4-FFF2-40B4-BE49-F238E27FC236}">
                  <a16:creationId xmlns:a16="http://schemas.microsoft.com/office/drawing/2014/main" id="{95051D79-36A1-4163-AD67-8E91F0D182E3}"/>
                </a:ext>
              </a:extLst>
            </xdr:cNvPr>
            <xdr:cNvSpPr txBox="1"/>
          </xdr:nvSpPr>
          <xdr:spPr>
            <a:xfrm>
              <a:off x="3129643" y="2710962"/>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AD7DA5FD-80DE-4CB0-829D-720193D6EC58}" type="TxLink">
                <a:rPr lang="en-US" sz="1100" b="0" i="0" u="none" strike="noStrike">
                  <a:solidFill>
                    <a:srgbClr val="FFFFFF"/>
                  </a:solidFill>
                  <a:latin typeface="Calibri"/>
                  <a:cs typeface="Calibri"/>
                </a:rPr>
                <a:pPr algn="ctr"/>
                <a:t>26.53%</a:t>
              </a:fld>
              <a:endParaRPr lang="en-IN" sz="1100">
                <a:solidFill>
                  <a:schemeClr val="bg1"/>
                </a:solidFill>
              </a:endParaRPr>
            </a:p>
          </xdr:txBody>
        </xdr:sp>
      </xdr:grpSp>
      <xdr:grpSp>
        <xdr:nvGrpSpPr>
          <xdr:cNvPr id="27" name="Group 26">
            <a:extLst>
              <a:ext uri="{FF2B5EF4-FFF2-40B4-BE49-F238E27FC236}">
                <a16:creationId xmlns:a16="http://schemas.microsoft.com/office/drawing/2014/main" id="{6700C99F-AA3E-48B5-A128-357789FEDE7E}"/>
              </a:ext>
            </a:extLst>
          </xdr:cNvPr>
          <xdr:cNvGrpSpPr/>
        </xdr:nvGrpSpPr>
        <xdr:grpSpPr>
          <a:xfrm>
            <a:off x="1508509" y="3646130"/>
            <a:ext cx="2407417" cy="285492"/>
            <a:chOff x="1507253" y="2710962"/>
            <a:chExt cx="2407417" cy="285492"/>
          </a:xfrm>
        </xdr:grpSpPr>
        <xdr:sp macro="" textlink="'pivot tables'!BB9">
          <xdr:nvSpPr>
            <xdr:cNvPr id="28" name="TextBox 27">
              <a:extLst>
                <a:ext uri="{FF2B5EF4-FFF2-40B4-BE49-F238E27FC236}">
                  <a16:creationId xmlns:a16="http://schemas.microsoft.com/office/drawing/2014/main" id="{76DCDD7C-29EC-4449-90F5-F8847534E50F}"/>
                </a:ext>
              </a:extLst>
            </xdr:cNvPr>
            <xdr:cNvSpPr txBox="1"/>
          </xdr:nvSpPr>
          <xdr:spPr>
            <a:xfrm>
              <a:off x="1507253" y="2731894"/>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N" sz="1100">
                  <a:solidFill>
                    <a:schemeClr val="bg1"/>
                  </a:solidFill>
                </a:rPr>
                <a:t>UK</a:t>
              </a:r>
            </a:p>
          </xdr:txBody>
        </xdr:sp>
        <xdr:sp macro="" textlink="'pivot tables'!BC9">
          <xdr:nvSpPr>
            <xdr:cNvPr id="29" name="TextBox 28">
              <a:extLst>
                <a:ext uri="{FF2B5EF4-FFF2-40B4-BE49-F238E27FC236}">
                  <a16:creationId xmlns:a16="http://schemas.microsoft.com/office/drawing/2014/main" id="{927B786D-E31F-415D-83FE-4EDE913661FE}"/>
                </a:ext>
              </a:extLst>
            </xdr:cNvPr>
            <xdr:cNvSpPr txBox="1"/>
          </xdr:nvSpPr>
          <xdr:spPr>
            <a:xfrm>
              <a:off x="2318448" y="2721428"/>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F3AFF0D-A6F4-414B-8F8B-BBF3E2C80A9C}" type="TxLink">
                <a:rPr lang="en-US" sz="1100" b="0" i="0" u="none" strike="noStrike">
                  <a:solidFill>
                    <a:srgbClr val="FFFFFF"/>
                  </a:solidFill>
                  <a:latin typeface="Calibri"/>
                  <a:cs typeface="Calibri"/>
                </a:rPr>
                <a:pPr algn="ctr"/>
                <a:t>129304</a:t>
              </a:fld>
              <a:endParaRPr lang="en-IN" sz="1100">
                <a:solidFill>
                  <a:schemeClr val="bg1"/>
                </a:solidFill>
              </a:endParaRPr>
            </a:p>
          </xdr:txBody>
        </xdr:sp>
        <xdr:sp macro="" textlink="'pivot tables'!BD9">
          <xdr:nvSpPr>
            <xdr:cNvPr id="30" name="TextBox 29">
              <a:extLst>
                <a:ext uri="{FF2B5EF4-FFF2-40B4-BE49-F238E27FC236}">
                  <a16:creationId xmlns:a16="http://schemas.microsoft.com/office/drawing/2014/main" id="{17DC47CC-DA5F-4205-B387-3025EAB42694}"/>
                </a:ext>
              </a:extLst>
            </xdr:cNvPr>
            <xdr:cNvSpPr txBox="1"/>
          </xdr:nvSpPr>
          <xdr:spPr>
            <a:xfrm>
              <a:off x="3129643" y="2710962"/>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21A7CFA4-AC16-4AE5-822B-6064D3EED948}" type="TxLink">
                <a:rPr lang="en-US" sz="1100" b="0" i="0" u="none" strike="noStrike">
                  <a:solidFill>
                    <a:srgbClr val="FFFFFF"/>
                  </a:solidFill>
                  <a:latin typeface="Calibri"/>
                  <a:cs typeface="Calibri"/>
                </a:rPr>
                <a:pPr algn="ctr"/>
                <a:t>15.63%</a:t>
              </a:fld>
              <a:endParaRPr lang="en-IN" sz="1100">
                <a:solidFill>
                  <a:schemeClr val="bg1"/>
                </a:solidFill>
              </a:endParaRPr>
            </a:p>
          </xdr:txBody>
        </xdr:sp>
      </xdr:grpSp>
      <xdr:grpSp>
        <xdr:nvGrpSpPr>
          <xdr:cNvPr id="31" name="Group 30">
            <a:extLst>
              <a:ext uri="{FF2B5EF4-FFF2-40B4-BE49-F238E27FC236}">
                <a16:creationId xmlns:a16="http://schemas.microsoft.com/office/drawing/2014/main" id="{9977E58F-44AA-4119-B803-77E6D3162BE9}"/>
              </a:ext>
            </a:extLst>
          </xdr:cNvPr>
          <xdr:cNvGrpSpPr/>
        </xdr:nvGrpSpPr>
        <xdr:grpSpPr>
          <a:xfrm>
            <a:off x="1512791" y="3879920"/>
            <a:ext cx="2403135" cy="285492"/>
            <a:chOff x="1511535" y="2710962"/>
            <a:chExt cx="2403135" cy="285492"/>
          </a:xfrm>
        </xdr:grpSpPr>
        <xdr:sp macro="" textlink="'pivot tables'!BB10">
          <xdr:nvSpPr>
            <xdr:cNvPr id="32" name="TextBox 31">
              <a:extLst>
                <a:ext uri="{FF2B5EF4-FFF2-40B4-BE49-F238E27FC236}">
                  <a16:creationId xmlns:a16="http://schemas.microsoft.com/office/drawing/2014/main" id="{77C2848F-4D25-401F-8F17-F0576B249A48}"/>
                </a:ext>
              </a:extLst>
            </xdr:cNvPr>
            <xdr:cNvSpPr txBox="1"/>
          </xdr:nvSpPr>
          <xdr:spPr>
            <a:xfrm>
              <a:off x="1511535" y="2731894"/>
              <a:ext cx="71366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fld id="{C92574D4-28D3-4611-AC9F-475C198AC28C}" type="TxLink">
                <a:rPr lang="en-US" sz="1100" b="0" i="0" u="none" strike="noStrike">
                  <a:solidFill>
                    <a:schemeClr val="bg1"/>
                  </a:solidFill>
                  <a:latin typeface="Calibri"/>
                  <a:cs typeface="Calibri"/>
                </a:rPr>
                <a:pPr algn="l"/>
                <a:t>USA</a:t>
              </a:fld>
              <a:endParaRPr lang="en-IN" sz="1100">
                <a:solidFill>
                  <a:schemeClr val="bg1"/>
                </a:solidFill>
              </a:endParaRPr>
            </a:p>
          </xdr:txBody>
        </xdr:sp>
        <xdr:sp macro="" textlink="'pivot tables'!BC10">
          <xdr:nvSpPr>
            <xdr:cNvPr id="33" name="TextBox 32">
              <a:extLst>
                <a:ext uri="{FF2B5EF4-FFF2-40B4-BE49-F238E27FC236}">
                  <a16:creationId xmlns:a16="http://schemas.microsoft.com/office/drawing/2014/main" id="{23956FE5-6E85-4243-BAD4-B3667A1C2F25}"/>
                </a:ext>
              </a:extLst>
            </xdr:cNvPr>
            <xdr:cNvSpPr txBox="1"/>
          </xdr:nvSpPr>
          <xdr:spPr>
            <a:xfrm>
              <a:off x="2318448" y="2721428"/>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CE56F6CC-E820-43F4-B184-39DBD2304C5E}" type="TxLink">
                <a:rPr lang="en-US" sz="1100" b="0" i="0" u="none" strike="noStrike">
                  <a:solidFill>
                    <a:srgbClr val="FFFFFF"/>
                  </a:solidFill>
                  <a:latin typeface="Calibri"/>
                  <a:cs typeface="Calibri"/>
                </a:rPr>
                <a:pPr algn="ctr"/>
                <a:t>127904</a:t>
              </a:fld>
              <a:endParaRPr lang="en-IN" sz="1100">
                <a:solidFill>
                  <a:schemeClr val="bg1"/>
                </a:solidFill>
              </a:endParaRPr>
            </a:p>
          </xdr:txBody>
        </xdr:sp>
        <xdr:sp macro="" textlink="'pivot tables'!BD10">
          <xdr:nvSpPr>
            <xdr:cNvPr id="34" name="TextBox 33">
              <a:extLst>
                <a:ext uri="{FF2B5EF4-FFF2-40B4-BE49-F238E27FC236}">
                  <a16:creationId xmlns:a16="http://schemas.microsoft.com/office/drawing/2014/main" id="{9391910C-CFA8-44FC-B3C3-C529B1581D2D}"/>
                </a:ext>
              </a:extLst>
            </xdr:cNvPr>
            <xdr:cNvSpPr txBox="1"/>
          </xdr:nvSpPr>
          <xdr:spPr>
            <a:xfrm>
              <a:off x="3129643" y="2710962"/>
              <a:ext cx="7850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84A4F663-0CA1-483F-8792-AA914B30F56B}" type="TxLink">
                <a:rPr lang="en-US" sz="1100" b="0" i="0" u="none" strike="noStrike">
                  <a:solidFill>
                    <a:srgbClr val="FFFFFF"/>
                  </a:solidFill>
                  <a:latin typeface="Calibri"/>
                  <a:cs typeface="Calibri"/>
                </a:rPr>
                <a:pPr algn="ctr"/>
                <a:t>15.47%</a:t>
              </a:fld>
              <a:endParaRPr lang="en-IN" sz="1100">
                <a:solidFill>
                  <a:schemeClr val="bg1"/>
                </a:solidFill>
              </a:endParaRPr>
            </a:p>
          </xdr:txBody>
        </xdr:sp>
      </xdr:grpSp>
    </xdr:grpSp>
    <xdr:clientData/>
  </xdr:twoCellAnchor>
  <xdr:twoCellAnchor>
    <xdr:from>
      <xdr:col>2</xdr:col>
      <xdr:colOff>136071</xdr:colOff>
      <xdr:row>6</xdr:row>
      <xdr:rowOff>174886</xdr:rowOff>
    </xdr:from>
    <xdr:to>
      <xdr:col>6</xdr:col>
      <xdr:colOff>322645</xdr:colOff>
      <xdr:row>8</xdr:row>
      <xdr:rowOff>122921</xdr:rowOff>
    </xdr:to>
    <xdr:sp macro="" textlink="">
      <xdr:nvSpPr>
        <xdr:cNvPr id="36" name="TextBox 35">
          <a:extLst>
            <a:ext uri="{FF2B5EF4-FFF2-40B4-BE49-F238E27FC236}">
              <a16:creationId xmlns:a16="http://schemas.microsoft.com/office/drawing/2014/main" id="{979C2E96-B6F5-4FB8-ADE9-0001C9CC7723}"/>
            </a:ext>
          </a:extLst>
        </xdr:cNvPr>
        <xdr:cNvSpPr txBox="1"/>
      </xdr:nvSpPr>
      <xdr:spPr>
        <a:xfrm>
          <a:off x="1350247" y="1305326"/>
          <a:ext cx="2614925" cy="3248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N" sz="2400">
              <a:solidFill>
                <a:schemeClr val="bg1">
                  <a:lumMod val="95000"/>
                </a:schemeClr>
              </a:solidFill>
              <a:latin typeface="Berlin Sans FB" panose="020E0602020502020306" pitchFamily="34" charset="0"/>
            </a:rPr>
            <a:t>Financial</a:t>
          </a:r>
          <a:r>
            <a:rPr lang="en-IN" sz="2400" baseline="0">
              <a:solidFill>
                <a:schemeClr val="bg1">
                  <a:lumMod val="95000"/>
                </a:schemeClr>
              </a:solidFill>
              <a:latin typeface="Berlin Sans FB" panose="020E0602020502020306" pitchFamily="34" charset="0"/>
            </a:rPr>
            <a:t> Statistics</a:t>
          </a:r>
          <a:endParaRPr lang="en-IN" sz="2400">
            <a:solidFill>
              <a:schemeClr val="bg1">
                <a:lumMod val="95000"/>
              </a:schemeClr>
            </a:solidFill>
            <a:latin typeface="Berlin Sans FB" panose="020E0602020502020306" pitchFamily="34" charset="0"/>
          </a:endParaRPr>
        </a:p>
      </xdr:txBody>
    </xdr:sp>
    <xdr:clientData/>
  </xdr:twoCellAnchor>
  <xdr:twoCellAnchor>
    <xdr:from>
      <xdr:col>2</xdr:col>
      <xdr:colOff>460549</xdr:colOff>
      <xdr:row>8</xdr:row>
      <xdr:rowOff>133018</xdr:rowOff>
    </xdr:from>
    <xdr:to>
      <xdr:col>5</xdr:col>
      <xdr:colOff>450082</xdr:colOff>
      <xdr:row>10</xdr:row>
      <xdr:rowOff>151269</xdr:rowOff>
    </xdr:to>
    <xdr:sp macro="" textlink="'pivot tables'!BO6">
      <xdr:nvSpPr>
        <xdr:cNvPr id="37" name="TextBox 36">
          <a:extLst>
            <a:ext uri="{FF2B5EF4-FFF2-40B4-BE49-F238E27FC236}">
              <a16:creationId xmlns:a16="http://schemas.microsoft.com/office/drawing/2014/main" id="{75DFAA8D-8B14-410C-ACF4-298A5612CD39}"/>
            </a:ext>
          </a:extLst>
        </xdr:cNvPr>
        <xdr:cNvSpPr txBox="1"/>
      </xdr:nvSpPr>
      <xdr:spPr>
        <a:xfrm>
          <a:off x="1674725" y="1640271"/>
          <a:ext cx="1810797" cy="395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F7777AD4-520F-4C9F-A694-8EB4B420C23A}" type="TxLink">
            <a:rPr lang="en-US" sz="2400" b="0" i="0" u="none" strike="noStrike">
              <a:solidFill>
                <a:schemeClr val="bg1"/>
              </a:solidFill>
              <a:latin typeface="Arial"/>
              <a:cs typeface="Arial"/>
            </a:rPr>
            <a:pPr algn="ctr"/>
            <a:t>$8,27,044</a:t>
          </a:fld>
          <a:endParaRPr lang="en-IN" sz="2800">
            <a:solidFill>
              <a:schemeClr val="bg1"/>
            </a:solidFill>
            <a:latin typeface="Berlin Sans FB" panose="020E0602020502020306" pitchFamily="34" charset="0"/>
          </a:endParaRPr>
        </a:p>
      </xdr:txBody>
    </xdr:sp>
    <xdr:clientData/>
  </xdr:twoCellAnchor>
  <xdr:twoCellAnchor editAs="oneCell">
    <xdr:from>
      <xdr:col>2</xdr:col>
      <xdr:colOff>104670</xdr:colOff>
      <xdr:row>11</xdr:row>
      <xdr:rowOff>52335</xdr:rowOff>
    </xdr:from>
    <xdr:to>
      <xdr:col>6</xdr:col>
      <xdr:colOff>366347</xdr:colOff>
      <xdr:row>13</xdr:row>
      <xdr:rowOff>104671</xdr:rowOff>
    </xdr:to>
    <mc:AlternateContent xmlns:mc="http://schemas.openxmlformats.org/markup-compatibility/2006" xmlns:a14="http://schemas.microsoft.com/office/drawing/2010/main">
      <mc:Choice Requires="a14">
        <xdr:graphicFrame macro="">
          <xdr:nvGraphicFramePr>
            <xdr:cNvPr id="38" name="Year 1">
              <a:extLst>
                <a:ext uri="{FF2B5EF4-FFF2-40B4-BE49-F238E27FC236}">
                  <a16:creationId xmlns:a16="http://schemas.microsoft.com/office/drawing/2014/main" id="{5830777C-D448-4E58-B298-D46D48C9E8B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312719" y="2096725"/>
              <a:ext cx="2677774" cy="4240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10469</xdr:colOff>
      <xdr:row>13</xdr:row>
      <xdr:rowOff>57728</xdr:rowOff>
    </xdr:from>
    <xdr:to>
      <xdr:col>6</xdr:col>
      <xdr:colOff>502420</xdr:colOff>
      <xdr:row>18</xdr:row>
      <xdr:rowOff>94203</xdr:rowOff>
    </xdr:to>
    <xdr:graphicFrame macro="">
      <xdr:nvGraphicFramePr>
        <xdr:cNvPr id="39" name="Chart 38">
          <a:extLst>
            <a:ext uri="{FF2B5EF4-FFF2-40B4-BE49-F238E27FC236}">
              <a16:creationId xmlns:a16="http://schemas.microsoft.com/office/drawing/2014/main" id="{320236F5-E022-4265-B1FF-84D069517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xdr:col>
      <xdr:colOff>401444</xdr:colOff>
      <xdr:row>17</xdr:row>
      <xdr:rowOff>11616</xdr:rowOff>
    </xdr:from>
    <xdr:to>
      <xdr:col>13</xdr:col>
      <xdr:colOff>227207</xdr:colOff>
      <xdr:row>19</xdr:row>
      <xdr:rowOff>-1</xdr:rowOff>
    </xdr:to>
    <xdr:grpSp>
      <xdr:nvGrpSpPr>
        <xdr:cNvPr id="64" name="Group 63">
          <a:extLst>
            <a:ext uri="{FF2B5EF4-FFF2-40B4-BE49-F238E27FC236}">
              <a16:creationId xmlns:a16="http://schemas.microsoft.com/office/drawing/2014/main" id="{29DD5115-7AE7-4EE0-9BC5-D9D8FF8E12DC}"/>
            </a:ext>
          </a:extLst>
        </xdr:cNvPr>
        <xdr:cNvGrpSpPr/>
      </xdr:nvGrpSpPr>
      <xdr:grpSpPr>
        <a:xfrm>
          <a:off x="7716644" y="3250116"/>
          <a:ext cx="435363" cy="369383"/>
          <a:chOff x="7649737" y="3171128"/>
          <a:chExt cx="429787" cy="360091"/>
        </a:xfrm>
      </xdr:grpSpPr>
      <xdr:sp macro="" textlink="'pivot tables'!BG10">
        <xdr:nvSpPr>
          <xdr:cNvPr id="63" name="TextBox 62">
            <a:extLst>
              <a:ext uri="{FF2B5EF4-FFF2-40B4-BE49-F238E27FC236}">
                <a16:creationId xmlns:a16="http://schemas.microsoft.com/office/drawing/2014/main" id="{220677CA-A2DD-4C3C-ACD5-8787FEA28921}"/>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296" name="TextBox 295">
            <a:extLst>
              <a:ext uri="{FF2B5EF4-FFF2-40B4-BE49-F238E27FC236}">
                <a16:creationId xmlns:a16="http://schemas.microsoft.com/office/drawing/2014/main" id="{FE106FA8-C430-4AAF-96E4-468D0D416C0C}"/>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200955</xdr:colOff>
      <xdr:row>17</xdr:row>
      <xdr:rowOff>162623</xdr:rowOff>
    </xdr:from>
    <xdr:to>
      <xdr:col>15</xdr:col>
      <xdr:colOff>34150</xdr:colOff>
      <xdr:row>20</xdr:row>
      <xdr:rowOff>15798</xdr:rowOff>
    </xdr:to>
    <xdr:grpSp>
      <xdr:nvGrpSpPr>
        <xdr:cNvPr id="65" name="Group 64">
          <a:extLst>
            <a:ext uri="{FF2B5EF4-FFF2-40B4-BE49-F238E27FC236}">
              <a16:creationId xmlns:a16="http://schemas.microsoft.com/office/drawing/2014/main" id="{DFAB956B-EFEA-4A9B-8B55-A3B98422E261}"/>
            </a:ext>
          </a:extLst>
        </xdr:cNvPr>
        <xdr:cNvGrpSpPr/>
      </xdr:nvGrpSpPr>
      <xdr:grpSpPr>
        <a:xfrm>
          <a:off x="8735355" y="3401123"/>
          <a:ext cx="442795" cy="424675"/>
          <a:chOff x="8657296" y="3322135"/>
          <a:chExt cx="437220" cy="410736"/>
        </a:xfrm>
      </xdr:grpSpPr>
      <xdr:sp macro="" textlink="'pivot tables'!BH10">
        <xdr:nvSpPr>
          <xdr:cNvPr id="297" name="TextBox 296">
            <a:extLst>
              <a:ext uri="{FF2B5EF4-FFF2-40B4-BE49-F238E27FC236}">
                <a16:creationId xmlns:a16="http://schemas.microsoft.com/office/drawing/2014/main" id="{CE9B4F4F-9180-4100-97F4-067A804630C2}"/>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298" name="TextBox 297">
            <a:extLst>
              <a:ext uri="{FF2B5EF4-FFF2-40B4-BE49-F238E27FC236}">
                <a16:creationId xmlns:a16="http://schemas.microsoft.com/office/drawing/2014/main" id="{CE50F5EB-B3E8-4694-8EF9-3F1B54416A58}"/>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12</xdr:col>
      <xdr:colOff>494138</xdr:colOff>
      <xdr:row>17</xdr:row>
      <xdr:rowOff>49253</xdr:rowOff>
    </xdr:from>
    <xdr:to>
      <xdr:col>13</xdr:col>
      <xdr:colOff>327334</xdr:colOff>
      <xdr:row>19</xdr:row>
      <xdr:rowOff>88281</xdr:rowOff>
    </xdr:to>
    <xdr:grpSp>
      <xdr:nvGrpSpPr>
        <xdr:cNvPr id="305" name="Group 304">
          <a:extLst>
            <a:ext uri="{FF2B5EF4-FFF2-40B4-BE49-F238E27FC236}">
              <a16:creationId xmlns:a16="http://schemas.microsoft.com/office/drawing/2014/main" id="{3B7AC027-40D6-443B-9CF4-A9AA4C3F4909}"/>
            </a:ext>
          </a:extLst>
        </xdr:cNvPr>
        <xdr:cNvGrpSpPr/>
      </xdr:nvGrpSpPr>
      <xdr:grpSpPr>
        <a:xfrm>
          <a:off x="7809338" y="3287753"/>
          <a:ext cx="442796" cy="420028"/>
          <a:chOff x="8657296" y="3322135"/>
          <a:chExt cx="437220" cy="410736"/>
        </a:xfrm>
      </xdr:grpSpPr>
      <xdr:sp macro="" textlink="'pivot tables'!BH10">
        <xdr:nvSpPr>
          <xdr:cNvPr id="306" name="TextBox 305">
            <a:extLst>
              <a:ext uri="{FF2B5EF4-FFF2-40B4-BE49-F238E27FC236}">
                <a16:creationId xmlns:a16="http://schemas.microsoft.com/office/drawing/2014/main" id="{394FEF4C-9227-4D65-AED4-4E48C5AE23B1}"/>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07" name="TextBox 306">
            <a:extLst>
              <a:ext uri="{FF2B5EF4-FFF2-40B4-BE49-F238E27FC236}">
                <a16:creationId xmlns:a16="http://schemas.microsoft.com/office/drawing/2014/main" id="{E3047442-85A9-40C4-BD58-61420F68F18D}"/>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42514</xdr:colOff>
      <xdr:row>18</xdr:row>
      <xdr:rowOff>15799</xdr:rowOff>
    </xdr:from>
    <xdr:to>
      <xdr:col>13</xdr:col>
      <xdr:colOff>479734</xdr:colOff>
      <xdr:row>20</xdr:row>
      <xdr:rowOff>54828</xdr:rowOff>
    </xdr:to>
    <xdr:grpSp>
      <xdr:nvGrpSpPr>
        <xdr:cNvPr id="308" name="Group 307">
          <a:extLst>
            <a:ext uri="{FF2B5EF4-FFF2-40B4-BE49-F238E27FC236}">
              <a16:creationId xmlns:a16="http://schemas.microsoft.com/office/drawing/2014/main" id="{D88B50BC-50EB-46AE-A968-F0699CF8FE1E}"/>
            </a:ext>
          </a:extLst>
        </xdr:cNvPr>
        <xdr:cNvGrpSpPr/>
      </xdr:nvGrpSpPr>
      <xdr:grpSpPr>
        <a:xfrm>
          <a:off x="7967314" y="3444799"/>
          <a:ext cx="437220" cy="420029"/>
          <a:chOff x="8657296" y="3322135"/>
          <a:chExt cx="437220" cy="410736"/>
        </a:xfrm>
      </xdr:grpSpPr>
      <xdr:sp macro="" textlink="'pivot tables'!BH10">
        <xdr:nvSpPr>
          <xdr:cNvPr id="309" name="TextBox 308">
            <a:extLst>
              <a:ext uri="{FF2B5EF4-FFF2-40B4-BE49-F238E27FC236}">
                <a16:creationId xmlns:a16="http://schemas.microsoft.com/office/drawing/2014/main" id="{F06009A5-1DB1-44C2-8328-2CBF5C54BAE2}"/>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10" name="TextBox 309">
            <a:extLst>
              <a:ext uri="{FF2B5EF4-FFF2-40B4-BE49-F238E27FC236}">
                <a16:creationId xmlns:a16="http://schemas.microsoft.com/office/drawing/2014/main" id="{FA47ACCC-BA72-407A-A62E-06A189EC3076}"/>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311072</xdr:colOff>
      <xdr:row>17</xdr:row>
      <xdr:rowOff>28809</xdr:rowOff>
    </xdr:from>
    <xdr:to>
      <xdr:col>14</xdr:col>
      <xdr:colOff>144268</xdr:colOff>
      <xdr:row>19</xdr:row>
      <xdr:rowOff>67837</xdr:rowOff>
    </xdr:to>
    <xdr:grpSp>
      <xdr:nvGrpSpPr>
        <xdr:cNvPr id="311" name="Group 310">
          <a:extLst>
            <a:ext uri="{FF2B5EF4-FFF2-40B4-BE49-F238E27FC236}">
              <a16:creationId xmlns:a16="http://schemas.microsoft.com/office/drawing/2014/main" id="{FB32501F-138E-4C39-81A8-A003F0632416}"/>
            </a:ext>
          </a:extLst>
        </xdr:cNvPr>
        <xdr:cNvGrpSpPr/>
      </xdr:nvGrpSpPr>
      <xdr:grpSpPr>
        <a:xfrm>
          <a:off x="8235872" y="3267309"/>
          <a:ext cx="442796" cy="420028"/>
          <a:chOff x="8657296" y="3322135"/>
          <a:chExt cx="437220" cy="410736"/>
        </a:xfrm>
      </xdr:grpSpPr>
      <xdr:sp macro="" textlink="'pivot tables'!BH10">
        <xdr:nvSpPr>
          <xdr:cNvPr id="312" name="TextBox 311">
            <a:extLst>
              <a:ext uri="{FF2B5EF4-FFF2-40B4-BE49-F238E27FC236}">
                <a16:creationId xmlns:a16="http://schemas.microsoft.com/office/drawing/2014/main" id="{0476B236-B2ED-4DA7-BCFF-C81273FD1A73}"/>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13" name="TextBox 312">
            <a:extLst>
              <a:ext uri="{FF2B5EF4-FFF2-40B4-BE49-F238E27FC236}">
                <a16:creationId xmlns:a16="http://schemas.microsoft.com/office/drawing/2014/main" id="{9AC0C6B0-273D-4CB7-9926-BFC104939EB3}"/>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440240</xdr:colOff>
      <xdr:row>17</xdr:row>
      <xdr:rowOff>123130</xdr:rowOff>
    </xdr:from>
    <xdr:to>
      <xdr:col>14</xdr:col>
      <xdr:colOff>273436</xdr:colOff>
      <xdr:row>19</xdr:row>
      <xdr:rowOff>162158</xdr:rowOff>
    </xdr:to>
    <xdr:grpSp>
      <xdr:nvGrpSpPr>
        <xdr:cNvPr id="314" name="Group 313">
          <a:extLst>
            <a:ext uri="{FF2B5EF4-FFF2-40B4-BE49-F238E27FC236}">
              <a16:creationId xmlns:a16="http://schemas.microsoft.com/office/drawing/2014/main" id="{7A35032F-3191-4372-BFAC-D98B41C9C39F}"/>
            </a:ext>
          </a:extLst>
        </xdr:cNvPr>
        <xdr:cNvGrpSpPr/>
      </xdr:nvGrpSpPr>
      <xdr:grpSpPr>
        <a:xfrm>
          <a:off x="8365040" y="3361630"/>
          <a:ext cx="442796" cy="420028"/>
          <a:chOff x="8657296" y="3322135"/>
          <a:chExt cx="437220" cy="410736"/>
        </a:xfrm>
      </xdr:grpSpPr>
      <xdr:sp macro="" textlink="'pivot tables'!BH10">
        <xdr:nvSpPr>
          <xdr:cNvPr id="315" name="TextBox 314">
            <a:extLst>
              <a:ext uri="{FF2B5EF4-FFF2-40B4-BE49-F238E27FC236}">
                <a16:creationId xmlns:a16="http://schemas.microsoft.com/office/drawing/2014/main" id="{278F28D7-966A-45E9-9D01-3751875A1CCC}"/>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16" name="TextBox 315">
            <a:extLst>
              <a:ext uri="{FF2B5EF4-FFF2-40B4-BE49-F238E27FC236}">
                <a16:creationId xmlns:a16="http://schemas.microsoft.com/office/drawing/2014/main" id="{4225213C-43E1-4D56-A719-948629BDF6C9}"/>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592640</xdr:colOff>
      <xdr:row>18</xdr:row>
      <xdr:rowOff>89676</xdr:rowOff>
    </xdr:from>
    <xdr:to>
      <xdr:col>14</xdr:col>
      <xdr:colOff>425836</xdr:colOff>
      <xdr:row>20</xdr:row>
      <xdr:rowOff>128705</xdr:rowOff>
    </xdr:to>
    <xdr:grpSp>
      <xdr:nvGrpSpPr>
        <xdr:cNvPr id="317" name="Group 316">
          <a:extLst>
            <a:ext uri="{FF2B5EF4-FFF2-40B4-BE49-F238E27FC236}">
              <a16:creationId xmlns:a16="http://schemas.microsoft.com/office/drawing/2014/main" id="{F23EAF4C-D6E6-467F-B9A5-E8890B7D4E8B}"/>
            </a:ext>
          </a:extLst>
        </xdr:cNvPr>
        <xdr:cNvGrpSpPr/>
      </xdr:nvGrpSpPr>
      <xdr:grpSpPr>
        <a:xfrm>
          <a:off x="8517440" y="3518676"/>
          <a:ext cx="442796" cy="420029"/>
          <a:chOff x="8657296" y="3322135"/>
          <a:chExt cx="437220" cy="410736"/>
        </a:xfrm>
      </xdr:grpSpPr>
      <xdr:sp macro="" textlink="'pivot tables'!BH10">
        <xdr:nvSpPr>
          <xdr:cNvPr id="318" name="TextBox 317">
            <a:extLst>
              <a:ext uri="{FF2B5EF4-FFF2-40B4-BE49-F238E27FC236}">
                <a16:creationId xmlns:a16="http://schemas.microsoft.com/office/drawing/2014/main" id="{3DC6D70E-A639-4882-B58B-83F4E7874CE8}"/>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19" name="TextBox 318">
            <a:extLst>
              <a:ext uri="{FF2B5EF4-FFF2-40B4-BE49-F238E27FC236}">
                <a16:creationId xmlns:a16="http://schemas.microsoft.com/office/drawing/2014/main" id="{091B80AB-5DB0-49F3-AADA-1325B6655099}"/>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14</xdr:col>
      <xdr:colOff>141016</xdr:colOff>
      <xdr:row>19</xdr:row>
      <xdr:rowOff>56222</xdr:rowOff>
    </xdr:from>
    <xdr:to>
      <xdr:col>14</xdr:col>
      <xdr:colOff>578236</xdr:colOff>
      <xdr:row>21</xdr:row>
      <xdr:rowOff>95251</xdr:rowOff>
    </xdr:to>
    <xdr:grpSp>
      <xdr:nvGrpSpPr>
        <xdr:cNvPr id="320" name="Group 319">
          <a:extLst>
            <a:ext uri="{FF2B5EF4-FFF2-40B4-BE49-F238E27FC236}">
              <a16:creationId xmlns:a16="http://schemas.microsoft.com/office/drawing/2014/main" id="{3F43775D-0CDA-410F-83AF-AAD3A158104D}"/>
            </a:ext>
          </a:extLst>
        </xdr:cNvPr>
        <xdr:cNvGrpSpPr/>
      </xdr:nvGrpSpPr>
      <xdr:grpSpPr>
        <a:xfrm>
          <a:off x="8675416" y="3675722"/>
          <a:ext cx="437220" cy="420029"/>
          <a:chOff x="8657296" y="3322135"/>
          <a:chExt cx="437220" cy="410736"/>
        </a:xfrm>
      </xdr:grpSpPr>
      <xdr:sp macro="" textlink="'pivot tables'!BH10">
        <xdr:nvSpPr>
          <xdr:cNvPr id="321" name="TextBox 320">
            <a:extLst>
              <a:ext uri="{FF2B5EF4-FFF2-40B4-BE49-F238E27FC236}">
                <a16:creationId xmlns:a16="http://schemas.microsoft.com/office/drawing/2014/main" id="{FC07D72B-E674-4D5A-961D-B8ED6316A8F1}"/>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22" name="TextBox 321">
            <a:extLst>
              <a:ext uri="{FF2B5EF4-FFF2-40B4-BE49-F238E27FC236}">
                <a16:creationId xmlns:a16="http://schemas.microsoft.com/office/drawing/2014/main" id="{161515C1-2597-4FD4-AF57-B4883CE28993}"/>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270184</xdr:colOff>
      <xdr:row>18</xdr:row>
      <xdr:rowOff>173775</xdr:rowOff>
    </xdr:from>
    <xdr:to>
      <xdr:col>14</xdr:col>
      <xdr:colOff>103380</xdr:colOff>
      <xdr:row>21</xdr:row>
      <xdr:rowOff>26950</xdr:rowOff>
    </xdr:to>
    <xdr:grpSp>
      <xdr:nvGrpSpPr>
        <xdr:cNvPr id="323" name="Group 322">
          <a:extLst>
            <a:ext uri="{FF2B5EF4-FFF2-40B4-BE49-F238E27FC236}">
              <a16:creationId xmlns:a16="http://schemas.microsoft.com/office/drawing/2014/main" id="{EC139095-F9B0-4448-A06E-7508F96166A7}"/>
            </a:ext>
          </a:extLst>
        </xdr:cNvPr>
        <xdr:cNvGrpSpPr/>
      </xdr:nvGrpSpPr>
      <xdr:grpSpPr>
        <a:xfrm>
          <a:off x="8194984" y="3602775"/>
          <a:ext cx="442796" cy="424675"/>
          <a:chOff x="8657296" y="3322135"/>
          <a:chExt cx="437220" cy="410736"/>
        </a:xfrm>
      </xdr:grpSpPr>
      <xdr:sp macro="" textlink="'pivot tables'!BH10">
        <xdr:nvSpPr>
          <xdr:cNvPr id="324" name="TextBox 323">
            <a:extLst>
              <a:ext uri="{FF2B5EF4-FFF2-40B4-BE49-F238E27FC236}">
                <a16:creationId xmlns:a16="http://schemas.microsoft.com/office/drawing/2014/main" id="{A52C036B-3A6B-49AC-BE11-6A33F0919EA0}"/>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25" name="TextBox 324">
            <a:extLst>
              <a:ext uri="{FF2B5EF4-FFF2-40B4-BE49-F238E27FC236}">
                <a16:creationId xmlns:a16="http://schemas.microsoft.com/office/drawing/2014/main" id="{25468F06-690A-441F-B20B-D97C4C9C7425}"/>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167035</xdr:colOff>
      <xdr:row>16</xdr:row>
      <xdr:rowOff>151937</xdr:rowOff>
    </xdr:from>
    <xdr:to>
      <xdr:col>14</xdr:col>
      <xdr:colOff>231</xdr:colOff>
      <xdr:row>19</xdr:row>
      <xdr:rowOff>5112</xdr:rowOff>
    </xdr:to>
    <xdr:grpSp>
      <xdr:nvGrpSpPr>
        <xdr:cNvPr id="326" name="Group 325">
          <a:extLst>
            <a:ext uri="{FF2B5EF4-FFF2-40B4-BE49-F238E27FC236}">
              <a16:creationId xmlns:a16="http://schemas.microsoft.com/office/drawing/2014/main" id="{409C71E9-AE91-4508-A94D-255207A9BB41}"/>
            </a:ext>
          </a:extLst>
        </xdr:cNvPr>
        <xdr:cNvGrpSpPr/>
      </xdr:nvGrpSpPr>
      <xdr:grpSpPr>
        <a:xfrm>
          <a:off x="8091835" y="3199937"/>
          <a:ext cx="442796" cy="424675"/>
          <a:chOff x="8657296" y="3322135"/>
          <a:chExt cx="437220" cy="410736"/>
        </a:xfrm>
      </xdr:grpSpPr>
      <xdr:sp macro="" textlink="'pivot tables'!BH10">
        <xdr:nvSpPr>
          <xdr:cNvPr id="327" name="TextBox 326">
            <a:extLst>
              <a:ext uri="{FF2B5EF4-FFF2-40B4-BE49-F238E27FC236}">
                <a16:creationId xmlns:a16="http://schemas.microsoft.com/office/drawing/2014/main" id="{8690A078-9399-4AE9-9895-F42C64BAE9BA}"/>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28" name="TextBox 327">
            <a:extLst>
              <a:ext uri="{FF2B5EF4-FFF2-40B4-BE49-F238E27FC236}">
                <a16:creationId xmlns:a16="http://schemas.microsoft.com/office/drawing/2014/main" id="{26DAA398-D4BB-403D-9E2C-65C8AB560524}"/>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12</xdr:col>
      <xdr:colOff>389130</xdr:colOff>
      <xdr:row>18</xdr:row>
      <xdr:rowOff>13941</xdr:rowOff>
    </xdr:from>
    <xdr:to>
      <xdr:col>13</xdr:col>
      <xdr:colOff>222326</xdr:colOff>
      <xdr:row>20</xdr:row>
      <xdr:rowOff>52970</xdr:rowOff>
    </xdr:to>
    <xdr:grpSp>
      <xdr:nvGrpSpPr>
        <xdr:cNvPr id="329" name="Group 328">
          <a:extLst>
            <a:ext uri="{FF2B5EF4-FFF2-40B4-BE49-F238E27FC236}">
              <a16:creationId xmlns:a16="http://schemas.microsoft.com/office/drawing/2014/main" id="{C377AAD5-DBD9-483D-B615-5CE27F9DE227}"/>
            </a:ext>
          </a:extLst>
        </xdr:cNvPr>
        <xdr:cNvGrpSpPr/>
      </xdr:nvGrpSpPr>
      <xdr:grpSpPr>
        <a:xfrm>
          <a:off x="7704330" y="3442941"/>
          <a:ext cx="442796" cy="420029"/>
          <a:chOff x="8657296" y="3322135"/>
          <a:chExt cx="437220" cy="410736"/>
        </a:xfrm>
      </xdr:grpSpPr>
      <xdr:sp macro="" textlink="'pivot tables'!BH10">
        <xdr:nvSpPr>
          <xdr:cNvPr id="330" name="TextBox 329">
            <a:extLst>
              <a:ext uri="{FF2B5EF4-FFF2-40B4-BE49-F238E27FC236}">
                <a16:creationId xmlns:a16="http://schemas.microsoft.com/office/drawing/2014/main" id="{913CD4AC-A8B8-4F0A-9DF4-F95ABABED964}"/>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31" name="TextBox 330">
            <a:extLst>
              <a:ext uri="{FF2B5EF4-FFF2-40B4-BE49-F238E27FC236}">
                <a16:creationId xmlns:a16="http://schemas.microsoft.com/office/drawing/2014/main" id="{2640FE07-2C63-4D3F-A6C8-CD41B8D0ADED}"/>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540136</xdr:colOff>
      <xdr:row>16</xdr:row>
      <xdr:rowOff>141715</xdr:rowOff>
    </xdr:from>
    <xdr:to>
      <xdr:col>14</xdr:col>
      <xdr:colOff>373332</xdr:colOff>
      <xdr:row>18</xdr:row>
      <xdr:rowOff>180744</xdr:rowOff>
    </xdr:to>
    <xdr:grpSp>
      <xdr:nvGrpSpPr>
        <xdr:cNvPr id="332" name="Group 331">
          <a:extLst>
            <a:ext uri="{FF2B5EF4-FFF2-40B4-BE49-F238E27FC236}">
              <a16:creationId xmlns:a16="http://schemas.microsoft.com/office/drawing/2014/main" id="{C76D02CA-7F29-4D40-A1E5-B443650CF2EC}"/>
            </a:ext>
          </a:extLst>
        </xdr:cNvPr>
        <xdr:cNvGrpSpPr/>
      </xdr:nvGrpSpPr>
      <xdr:grpSpPr>
        <a:xfrm>
          <a:off x="8464936" y="3189715"/>
          <a:ext cx="442796" cy="420029"/>
          <a:chOff x="8657296" y="3322135"/>
          <a:chExt cx="437220" cy="410736"/>
        </a:xfrm>
      </xdr:grpSpPr>
      <xdr:sp macro="" textlink="'pivot tables'!BH10">
        <xdr:nvSpPr>
          <xdr:cNvPr id="333" name="TextBox 332">
            <a:extLst>
              <a:ext uri="{FF2B5EF4-FFF2-40B4-BE49-F238E27FC236}">
                <a16:creationId xmlns:a16="http://schemas.microsoft.com/office/drawing/2014/main" id="{6D9E542B-1EB1-4158-8372-1A8A9519DA9A}"/>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34" name="TextBox 333">
            <a:extLst>
              <a:ext uri="{FF2B5EF4-FFF2-40B4-BE49-F238E27FC236}">
                <a16:creationId xmlns:a16="http://schemas.microsoft.com/office/drawing/2014/main" id="{AFAC427E-BD45-4AC3-B7E0-25CA33F86305}"/>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14</xdr:col>
      <xdr:colOff>158207</xdr:colOff>
      <xdr:row>16</xdr:row>
      <xdr:rowOff>166341</xdr:rowOff>
    </xdr:from>
    <xdr:to>
      <xdr:col>14</xdr:col>
      <xdr:colOff>595427</xdr:colOff>
      <xdr:row>19</xdr:row>
      <xdr:rowOff>19516</xdr:rowOff>
    </xdr:to>
    <xdr:grpSp>
      <xdr:nvGrpSpPr>
        <xdr:cNvPr id="335" name="Group 334">
          <a:extLst>
            <a:ext uri="{FF2B5EF4-FFF2-40B4-BE49-F238E27FC236}">
              <a16:creationId xmlns:a16="http://schemas.microsoft.com/office/drawing/2014/main" id="{48A4E855-00F3-497C-8952-A65E14EBEE53}"/>
            </a:ext>
          </a:extLst>
        </xdr:cNvPr>
        <xdr:cNvGrpSpPr/>
      </xdr:nvGrpSpPr>
      <xdr:grpSpPr>
        <a:xfrm>
          <a:off x="8692607" y="3214341"/>
          <a:ext cx="437220" cy="424675"/>
          <a:chOff x="8657296" y="3322135"/>
          <a:chExt cx="437220" cy="410736"/>
        </a:xfrm>
      </xdr:grpSpPr>
      <xdr:sp macro="" textlink="'pivot tables'!BH10">
        <xdr:nvSpPr>
          <xdr:cNvPr id="336" name="TextBox 335">
            <a:extLst>
              <a:ext uri="{FF2B5EF4-FFF2-40B4-BE49-F238E27FC236}">
                <a16:creationId xmlns:a16="http://schemas.microsoft.com/office/drawing/2014/main" id="{6DF109D2-E642-4B2A-9A82-951CAAD1DC67}"/>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37" name="TextBox 336">
            <a:extLst>
              <a:ext uri="{FF2B5EF4-FFF2-40B4-BE49-F238E27FC236}">
                <a16:creationId xmlns:a16="http://schemas.microsoft.com/office/drawing/2014/main" id="{E99F7058-E17C-41FD-9F9D-C45AFB865E5D}"/>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14</xdr:col>
      <xdr:colOff>310607</xdr:colOff>
      <xdr:row>17</xdr:row>
      <xdr:rowOff>132888</xdr:rowOff>
    </xdr:from>
    <xdr:to>
      <xdr:col>15</xdr:col>
      <xdr:colOff>143802</xdr:colOff>
      <xdr:row>19</xdr:row>
      <xdr:rowOff>171916</xdr:rowOff>
    </xdr:to>
    <xdr:grpSp>
      <xdr:nvGrpSpPr>
        <xdr:cNvPr id="338" name="Group 337">
          <a:extLst>
            <a:ext uri="{FF2B5EF4-FFF2-40B4-BE49-F238E27FC236}">
              <a16:creationId xmlns:a16="http://schemas.microsoft.com/office/drawing/2014/main" id="{A33B66E4-F38A-4902-B389-65E854942B5B}"/>
            </a:ext>
          </a:extLst>
        </xdr:cNvPr>
        <xdr:cNvGrpSpPr/>
      </xdr:nvGrpSpPr>
      <xdr:grpSpPr>
        <a:xfrm>
          <a:off x="8845007" y="3371388"/>
          <a:ext cx="442795" cy="420028"/>
          <a:chOff x="8657296" y="3322135"/>
          <a:chExt cx="437220" cy="410736"/>
        </a:xfrm>
      </xdr:grpSpPr>
      <xdr:sp macro="" textlink="'pivot tables'!BH10">
        <xdr:nvSpPr>
          <xdr:cNvPr id="339" name="TextBox 338">
            <a:extLst>
              <a:ext uri="{FF2B5EF4-FFF2-40B4-BE49-F238E27FC236}">
                <a16:creationId xmlns:a16="http://schemas.microsoft.com/office/drawing/2014/main" id="{CADB1B51-7EB1-4D60-9D28-A9A163E0A6FF}"/>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40" name="TextBox 339">
            <a:extLst>
              <a:ext uri="{FF2B5EF4-FFF2-40B4-BE49-F238E27FC236}">
                <a16:creationId xmlns:a16="http://schemas.microsoft.com/office/drawing/2014/main" id="{9A4A8D55-7EC8-48C8-A7BA-E322EDA58B9E}"/>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12</xdr:col>
      <xdr:colOff>486238</xdr:colOff>
      <xdr:row>19</xdr:row>
      <xdr:rowOff>41354</xdr:rowOff>
    </xdr:from>
    <xdr:to>
      <xdr:col>13</xdr:col>
      <xdr:colOff>319434</xdr:colOff>
      <xdr:row>21</xdr:row>
      <xdr:rowOff>80383</xdr:rowOff>
    </xdr:to>
    <xdr:grpSp>
      <xdr:nvGrpSpPr>
        <xdr:cNvPr id="341" name="Group 340">
          <a:extLst>
            <a:ext uri="{FF2B5EF4-FFF2-40B4-BE49-F238E27FC236}">
              <a16:creationId xmlns:a16="http://schemas.microsoft.com/office/drawing/2014/main" id="{E61BBE46-492B-413B-8A2F-845941B7B58C}"/>
            </a:ext>
          </a:extLst>
        </xdr:cNvPr>
        <xdr:cNvGrpSpPr/>
      </xdr:nvGrpSpPr>
      <xdr:grpSpPr>
        <a:xfrm>
          <a:off x="7801438" y="3660854"/>
          <a:ext cx="442796" cy="420029"/>
          <a:chOff x="8657296" y="3322135"/>
          <a:chExt cx="437220" cy="410736"/>
        </a:xfrm>
      </xdr:grpSpPr>
      <xdr:sp macro="" textlink="'pivot tables'!BH10">
        <xdr:nvSpPr>
          <xdr:cNvPr id="342" name="TextBox 341">
            <a:extLst>
              <a:ext uri="{FF2B5EF4-FFF2-40B4-BE49-F238E27FC236}">
                <a16:creationId xmlns:a16="http://schemas.microsoft.com/office/drawing/2014/main" id="{808215A3-68F0-40DA-B9F7-27AF9976C312}"/>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43" name="TextBox 342">
            <a:extLst>
              <a:ext uri="{FF2B5EF4-FFF2-40B4-BE49-F238E27FC236}">
                <a16:creationId xmlns:a16="http://schemas.microsoft.com/office/drawing/2014/main" id="{3461C862-9133-4EF4-9CFF-1191F447D552}"/>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171915</xdr:colOff>
      <xdr:row>17</xdr:row>
      <xdr:rowOff>153795</xdr:rowOff>
    </xdr:from>
    <xdr:to>
      <xdr:col>13</xdr:col>
      <xdr:colOff>601702</xdr:colOff>
      <xdr:row>19</xdr:row>
      <xdr:rowOff>142178</xdr:rowOff>
    </xdr:to>
    <xdr:grpSp>
      <xdr:nvGrpSpPr>
        <xdr:cNvPr id="344" name="Group 343">
          <a:extLst>
            <a:ext uri="{FF2B5EF4-FFF2-40B4-BE49-F238E27FC236}">
              <a16:creationId xmlns:a16="http://schemas.microsoft.com/office/drawing/2014/main" id="{A2DA6B2B-2BDD-4172-BF51-04DED2705D42}"/>
            </a:ext>
          </a:extLst>
        </xdr:cNvPr>
        <xdr:cNvGrpSpPr/>
      </xdr:nvGrpSpPr>
      <xdr:grpSpPr>
        <a:xfrm>
          <a:off x="8096715" y="3392295"/>
          <a:ext cx="429787" cy="369383"/>
          <a:chOff x="7649737" y="3171128"/>
          <a:chExt cx="429787" cy="360091"/>
        </a:xfrm>
      </xdr:grpSpPr>
      <xdr:sp macro="" textlink="'pivot tables'!BG10">
        <xdr:nvSpPr>
          <xdr:cNvPr id="345" name="TextBox 344">
            <a:extLst>
              <a:ext uri="{FF2B5EF4-FFF2-40B4-BE49-F238E27FC236}">
                <a16:creationId xmlns:a16="http://schemas.microsoft.com/office/drawing/2014/main" id="{9F1802FA-F325-4FD2-AF05-8CF63C68BD3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46" name="TextBox 345">
            <a:extLst>
              <a:ext uri="{FF2B5EF4-FFF2-40B4-BE49-F238E27FC236}">
                <a16:creationId xmlns:a16="http://schemas.microsoft.com/office/drawing/2014/main" id="{DFDC2A4D-01CD-4218-990F-6D08B89AC56A}"/>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324315</xdr:colOff>
      <xdr:row>18</xdr:row>
      <xdr:rowOff>120341</xdr:rowOff>
    </xdr:from>
    <xdr:to>
      <xdr:col>14</xdr:col>
      <xdr:colOff>150078</xdr:colOff>
      <xdr:row>20</xdr:row>
      <xdr:rowOff>108725</xdr:rowOff>
    </xdr:to>
    <xdr:grpSp>
      <xdr:nvGrpSpPr>
        <xdr:cNvPr id="347" name="Group 346">
          <a:extLst>
            <a:ext uri="{FF2B5EF4-FFF2-40B4-BE49-F238E27FC236}">
              <a16:creationId xmlns:a16="http://schemas.microsoft.com/office/drawing/2014/main" id="{7C17D434-75C0-49C2-AF3A-5ED71D41CFB2}"/>
            </a:ext>
          </a:extLst>
        </xdr:cNvPr>
        <xdr:cNvGrpSpPr/>
      </xdr:nvGrpSpPr>
      <xdr:grpSpPr>
        <a:xfrm>
          <a:off x="8249115" y="3549341"/>
          <a:ext cx="435363" cy="369384"/>
          <a:chOff x="7649737" y="3171128"/>
          <a:chExt cx="429787" cy="360091"/>
        </a:xfrm>
      </xdr:grpSpPr>
      <xdr:sp macro="" textlink="'pivot tables'!BG10">
        <xdr:nvSpPr>
          <xdr:cNvPr id="348" name="TextBox 347">
            <a:extLst>
              <a:ext uri="{FF2B5EF4-FFF2-40B4-BE49-F238E27FC236}">
                <a16:creationId xmlns:a16="http://schemas.microsoft.com/office/drawing/2014/main" id="{1CD459D1-2590-4B67-BE09-E51EC71E50DC}"/>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49" name="TextBox 348">
            <a:extLst>
              <a:ext uri="{FF2B5EF4-FFF2-40B4-BE49-F238E27FC236}">
                <a16:creationId xmlns:a16="http://schemas.microsoft.com/office/drawing/2014/main" id="{F69E1C4A-CCFC-42C6-8F33-471F0A66459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476715</xdr:colOff>
      <xdr:row>19</xdr:row>
      <xdr:rowOff>86887</xdr:rowOff>
    </xdr:from>
    <xdr:to>
      <xdr:col>14</xdr:col>
      <xdr:colOff>302478</xdr:colOff>
      <xdr:row>21</xdr:row>
      <xdr:rowOff>75271</xdr:rowOff>
    </xdr:to>
    <xdr:grpSp>
      <xdr:nvGrpSpPr>
        <xdr:cNvPr id="350" name="Group 349">
          <a:extLst>
            <a:ext uri="{FF2B5EF4-FFF2-40B4-BE49-F238E27FC236}">
              <a16:creationId xmlns:a16="http://schemas.microsoft.com/office/drawing/2014/main" id="{7D24FD3B-616B-4B07-98E2-9C88F516A766}"/>
            </a:ext>
          </a:extLst>
        </xdr:cNvPr>
        <xdr:cNvGrpSpPr/>
      </xdr:nvGrpSpPr>
      <xdr:grpSpPr>
        <a:xfrm>
          <a:off x="8401515" y="3706387"/>
          <a:ext cx="435363" cy="369384"/>
          <a:chOff x="7649737" y="3171128"/>
          <a:chExt cx="429787" cy="360091"/>
        </a:xfrm>
      </xdr:grpSpPr>
      <xdr:sp macro="" textlink="'pivot tables'!BG10">
        <xdr:nvSpPr>
          <xdr:cNvPr id="351" name="TextBox 350">
            <a:extLst>
              <a:ext uri="{FF2B5EF4-FFF2-40B4-BE49-F238E27FC236}">
                <a16:creationId xmlns:a16="http://schemas.microsoft.com/office/drawing/2014/main" id="{F3FBF8A5-A236-4421-93AD-797568FE6183}"/>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52" name="TextBox 351">
            <a:extLst>
              <a:ext uri="{FF2B5EF4-FFF2-40B4-BE49-F238E27FC236}">
                <a16:creationId xmlns:a16="http://schemas.microsoft.com/office/drawing/2014/main" id="{1F25299E-AB63-4D33-AE34-3EC64CF64D43}"/>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443261</xdr:colOff>
      <xdr:row>17</xdr:row>
      <xdr:rowOff>65050</xdr:rowOff>
    </xdr:from>
    <xdr:to>
      <xdr:col>14</xdr:col>
      <xdr:colOff>269024</xdr:colOff>
      <xdr:row>19</xdr:row>
      <xdr:rowOff>53433</xdr:rowOff>
    </xdr:to>
    <xdr:grpSp>
      <xdr:nvGrpSpPr>
        <xdr:cNvPr id="353" name="Group 352">
          <a:extLst>
            <a:ext uri="{FF2B5EF4-FFF2-40B4-BE49-F238E27FC236}">
              <a16:creationId xmlns:a16="http://schemas.microsoft.com/office/drawing/2014/main" id="{E0B7E63A-040E-4EEF-B9C6-BDC22D242163}"/>
            </a:ext>
          </a:extLst>
        </xdr:cNvPr>
        <xdr:cNvGrpSpPr/>
      </xdr:nvGrpSpPr>
      <xdr:grpSpPr>
        <a:xfrm>
          <a:off x="8368061" y="3303550"/>
          <a:ext cx="435363" cy="369383"/>
          <a:chOff x="7649737" y="3171128"/>
          <a:chExt cx="429787" cy="360091"/>
        </a:xfrm>
      </xdr:grpSpPr>
      <xdr:sp macro="" textlink="'pivot tables'!BG10">
        <xdr:nvSpPr>
          <xdr:cNvPr id="354" name="TextBox 353">
            <a:extLst>
              <a:ext uri="{FF2B5EF4-FFF2-40B4-BE49-F238E27FC236}">
                <a16:creationId xmlns:a16="http://schemas.microsoft.com/office/drawing/2014/main" id="{2FE17D6D-E71E-43EF-8EA5-7DC2A695121C}"/>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55" name="TextBox 354">
            <a:extLst>
              <a:ext uri="{FF2B5EF4-FFF2-40B4-BE49-F238E27FC236}">
                <a16:creationId xmlns:a16="http://schemas.microsoft.com/office/drawing/2014/main" id="{FEDF2B64-3DF2-4D3A-B9DF-C56241522D4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584046</xdr:colOff>
      <xdr:row>17</xdr:row>
      <xdr:rowOff>31597</xdr:rowOff>
    </xdr:from>
    <xdr:to>
      <xdr:col>14</xdr:col>
      <xdr:colOff>409809</xdr:colOff>
      <xdr:row>19</xdr:row>
      <xdr:rowOff>19980</xdr:rowOff>
    </xdr:to>
    <xdr:grpSp>
      <xdr:nvGrpSpPr>
        <xdr:cNvPr id="356" name="Group 355">
          <a:extLst>
            <a:ext uri="{FF2B5EF4-FFF2-40B4-BE49-F238E27FC236}">
              <a16:creationId xmlns:a16="http://schemas.microsoft.com/office/drawing/2014/main" id="{4FC4990D-E3B7-484C-AD31-3C4B275ADB8D}"/>
            </a:ext>
          </a:extLst>
        </xdr:cNvPr>
        <xdr:cNvGrpSpPr/>
      </xdr:nvGrpSpPr>
      <xdr:grpSpPr>
        <a:xfrm>
          <a:off x="8508846" y="3270097"/>
          <a:ext cx="435363" cy="369383"/>
          <a:chOff x="7649737" y="3171128"/>
          <a:chExt cx="429787" cy="360091"/>
        </a:xfrm>
      </xdr:grpSpPr>
      <xdr:sp macro="" textlink="'pivot tables'!BG10">
        <xdr:nvSpPr>
          <xdr:cNvPr id="357" name="TextBox 356">
            <a:extLst>
              <a:ext uri="{FF2B5EF4-FFF2-40B4-BE49-F238E27FC236}">
                <a16:creationId xmlns:a16="http://schemas.microsoft.com/office/drawing/2014/main" id="{9E7299FF-0142-4ED6-AAF0-85C6B0ABAD2C}"/>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58" name="TextBox 357">
            <a:extLst>
              <a:ext uri="{FF2B5EF4-FFF2-40B4-BE49-F238E27FC236}">
                <a16:creationId xmlns:a16="http://schemas.microsoft.com/office/drawing/2014/main" id="{7ADDE30D-DC65-4530-8A5F-553C9BBA8BCC}"/>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132422</xdr:colOff>
      <xdr:row>17</xdr:row>
      <xdr:rowOff>183997</xdr:rowOff>
    </xdr:from>
    <xdr:to>
      <xdr:col>14</xdr:col>
      <xdr:colOff>562209</xdr:colOff>
      <xdr:row>19</xdr:row>
      <xdr:rowOff>172380</xdr:rowOff>
    </xdr:to>
    <xdr:grpSp>
      <xdr:nvGrpSpPr>
        <xdr:cNvPr id="359" name="Group 358">
          <a:extLst>
            <a:ext uri="{FF2B5EF4-FFF2-40B4-BE49-F238E27FC236}">
              <a16:creationId xmlns:a16="http://schemas.microsoft.com/office/drawing/2014/main" id="{736C9A77-5E36-43DE-8F5C-BCB8D1564FCF}"/>
            </a:ext>
          </a:extLst>
        </xdr:cNvPr>
        <xdr:cNvGrpSpPr/>
      </xdr:nvGrpSpPr>
      <xdr:grpSpPr>
        <a:xfrm>
          <a:off x="8666822" y="3422497"/>
          <a:ext cx="429787" cy="369383"/>
          <a:chOff x="7649737" y="3171128"/>
          <a:chExt cx="429787" cy="360091"/>
        </a:xfrm>
      </xdr:grpSpPr>
      <xdr:sp macro="" textlink="'pivot tables'!BG10">
        <xdr:nvSpPr>
          <xdr:cNvPr id="360" name="TextBox 359">
            <a:extLst>
              <a:ext uri="{FF2B5EF4-FFF2-40B4-BE49-F238E27FC236}">
                <a16:creationId xmlns:a16="http://schemas.microsoft.com/office/drawing/2014/main" id="{8346AF81-5C19-403F-B376-91CA3B433A92}"/>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61" name="TextBox 360">
            <a:extLst>
              <a:ext uri="{FF2B5EF4-FFF2-40B4-BE49-F238E27FC236}">
                <a16:creationId xmlns:a16="http://schemas.microsoft.com/office/drawing/2014/main" id="{B8E98B27-CC8D-4227-A401-6599CDC0389E}"/>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64120</xdr:colOff>
      <xdr:row>17</xdr:row>
      <xdr:rowOff>92464</xdr:rowOff>
    </xdr:from>
    <xdr:to>
      <xdr:col>13</xdr:col>
      <xdr:colOff>493907</xdr:colOff>
      <xdr:row>19</xdr:row>
      <xdr:rowOff>80847</xdr:rowOff>
    </xdr:to>
    <xdr:grpSp>
      <xdr:nvGrpSpPr>
        <xdr:cNvPr id="362" name="Group 361">
          <a:extLst>
            <a:ext uri="{FF2B5EF4-FFF2-40B4-BE49-F238E27FC236}">
              <a16:creationId xmlns:a16="http://schemas.microsoft.com/office/drawing/2014/main" id="{3AE66CFB-52C7-4BC5-8C3F-88E229A354C7}"/>
            </a:ext>
          </a:extLst>
        </xdr:cNvPr>
        <xdr:cNvGrpSpPr/>
      </xdr:nvGrpSpPr>
      <xdr:grpSpPr>
        <a:xfrm>
          <a:off x="7988920" y="3330964"/>
          <a:ext cx="429787" cy="369383"/>
          <a:chOff x="7649737" y="3171128"/>
          <a:chExt cx="429787" cy="360091"/>
        </a:xfrm>
      </xdr:grpSpPr>
      <xdr:sp macro="" textlink="'pivot tables'!BG10">
        <xdr:nvSpPr>
          <xdr:cNvPr id="363" name="TextBox 362">
            <a:extLst>
              <a:ext uri="{FF2B5EF4-FFF2-40B4-BE49-F238E27FC236}">
                <a16:creationId xmlns:a16="http://schemas.microsoft.com/office/drawing/2014/main" id="{7DDB548A-AA47-49E7-BB94-BEF1B3A89D8B}"/>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64" name="TextBox 363">
            <a:extLst>
              <a:ext uri="{FF2B5EF4-FFF2-40B4-BE49-F238E27FC236}">
                <a16:creationId xmlns:a16="http://schemas.microsoft.com/office/drawing/2014/main" id="{C59967D7-6BBA-4E92-A611-12863D9655C5}"/>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472068</xdr:colOff>
      <xdr:row>18</xdr:row>
      <xdr:rowOff>82241</xdr:rowOff>
    </xdr:from>
    <xdr:to>
      <xdr:col>13</xdr:col>
      <xdr:colOff>297831</xdr:colOff>
      <xdr:row>20</xdr:row>
      <xdr:rowOff>70625</xdr:rowOff>
    </xdr:to>
    <xdr:grpSp>
      <xdr:nvGrpSpPr>
        <xdr:cNvPr id="365" name="Group 364">
          <a:extLst>
            <a:ext uri="{FF2B5EF4-FFF2-40B4-BE49-F238E27FC236}">
              <a16:creationId xmlns:a16="http://schemas.microsoft.com/office/drawing/2014/main" id="{22D942C3-153B-4EEC-9920-5E9773FD3ACA}"/>
            </a:ext>
          </a:extLst>
        </xdr:cNvPr>
        <xdr:cNvGrpSpPr/>
      </xdr:nvGrpSpPr>
      <xdr:grpSpPr>
        <a:xfrm>
          <a:off x="7787268" y="3511241"/>
          <a:ext cx="435363" cy="369384"/>
          <a:chOff x="7649737" y="3171128"/>
          <a:chExt cx="429787" cy="360091"/>
        </a:xfrm>
      </xdr:grpSpPr>
      <xdr:sp macro="" textlink="'pivot tables'!BG10">
        <xdr:nvSpPr>
          <xdr:cNvPr id="366" name="TextBox 365">
            <a:extLst>
              <a:ext uri="{FF2B5EF4-FFF2-40B4-BE49-F238E27FC236}">
                <a16:creationId xmlns:a16="http://schemas.microsoft.com/office/drawing/2014/main" id="{B1916E10-A183-40E8-93BD-E992B607B2D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67" name="TextBox 366">
            <a:extLst>
              <a:ext uri="{FF2B5EF4-FFF2-40B4-BE49-F238E27FC236}">
                <a16:creationId xmlns:a16="http://schemas.microsoft.com/office/drawing/2014/main" id="{3BB5BFEC-A54D-4482-8156-DFB389DB2C33}"/>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368919</xdr:colOff>
      <xdr:row>17</xdr:row>
      <xdr:rowOff>83635</xdr:rowOff>
    </xdr:from>
    <xdr:to>
      <xdr:col>13</xdr:col>
      <xdr:colOff>194682</xdr:colOff>
      <xdr:row>19</xdr:row>
      <xdr:rowOff>72018</xdr:rowOff>
    </xdr:to>
    <xdr:grpSp>
      <xdr:nvGrpSpPr>
        <xdr:cNvPr id="368" name="Group 367">
          <a:extLst>
            <a:ext uri="{FF2B5EF4-FFF2-40B4-BE49-F238E27FC236}">
              <a16:creationId xmlns:a16="http://schemas.microsoft.com/office/drawing/2014/main" id="{AC0D56B3-AD52-4C3C-9967-629DE0984FD4}"/>
            </a:ext>
          </a:extLst>
        </xdr:cNvPr>
        <xdr:cNvGrpSpPr/>
      </xdr:nvGrpSpPr>
      <xdr:grpSpPr>
        <a:xfrm>
          <a:off x="7684119" y="3322135"/>
          <a:ext cx="435363" cy="369383"/>
          <a:chOff x="7649737" y="3171128"/>
          <a:chExt cx="429787" cy="360091"/>
        </a:xfrm>
      </xdr:grpSpPr>
      <xdr:sp macro="" textlink="'pivot tables'!BG10">
        <xdr:nvSpPr>
          <xdr:cNvPr id="369" name="TextBox 368">
            <a:extLst>
              <a:ext uri="{FF2B5EF4-FFF2-40B4-BE49-F238E27FC236}">
                <a16:creationId xmlns:a16="http://schemas.microsoft.com/office/drawing/2014/main" id="{5BA8FC43-E351-4E68-8F7E-B0F3B31F619E}"/>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70" name="TextBox 369">
            <a:extLst>
              <a:ext uri="{FF2B5EF4-FFF2-40B4-BE49-F238E27FC236}">
                <a16:creationId xmlns:a16="http://schemas.microsoft.com/office/drawing/2014/main" id="{15C2D0BF-1CB0-4958-9A26-8A71ED6CED9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137997</xdr:colOff>
      <xdr:row>17</xdr:row>
      <xdr:rowOff>177956</xdr:rowOff>
    </xdr:from>
    <xdr:to>
      <xdr:col>13</xdr:col>
      <xdr:colOff>567784</xdr:colOff>
      <xdr:row>19</xdr:row>
      <xdr:rowOff>166339</xdr:rowOff>
    </xdr:to>
    <xdr:grpSp>
      <xdr:nvGrpSpPr>
        <xdr:cNvPr id="371" name="Group 370">
          <a:extLst>
            <a:ext uri="{FF2B5EF4-FFF2-40B4-BE49-F238E27FC236}">
              <a16:creationId xmlns:a16="http://schemas.microsoft.com/office/drawing/2014/main" id="{51B27A2A-AA74-4F2E-B632-3475CCD526E2}"/>
            </a:ext>
          </a:extLst>
        </xdr:cNvPr>
        <xdr:cNvGrpSpPr/>
      </xdr:nvGrpSpPr>
      <xdr:grpSpPr>
        <a:xfrm>
          <a:off x="8062797" y="3416456"/>
          <a:ext cx="429787" cy="369383"/>
          <a:chOff x="7649737" y="3171128"/>
          <a:chExt cx="429787" cy="360091"/>
        </a:xfrm>
      </xdr:grpSpPr>
      <xdr:sp macro="" textlink="'pivot tables'!BG10">
        <xdr:nvSpPr>
          <xdr:cNvPr id="372" name="TextBox 371">
            <a:extLst>
              <a:ext uri="{FF2B5EF4-FFF2-40B4-BE49-F238E27FC236}">
                <a16:creationId xmlns:a16="http://schemas.microsoft.com/office/drawing/2014/main" id="{C245B8CF-DC8F-4449-8701-2421CEA5A2CA}"/>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373" name="TextBox 372">
            <a:extLst>
              <a:ext uri="{FF2B5EF4-FFF2-40B4-BE49-F238E27FC236}">
                <a16:creationId xmlns:a16="http://schemas.microsoft.com/office/drawing/2014/main" id="{A97EE86A-4184-4191-9F86-5D0727CD9EB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110816</xdr:colOff>
      <xdr:row>17</xdr:row>
      <xdr:rowOff>107331</xdr:rowOff>
    </xdr:from>
    <xdr:to>
      <xdr:col>13</xdr:col>
      <xdr:colOff>548036</xdr:colOff>
      <xdr:row>19</xdr:row>
      <xdr:rowOff>146359</xdr:rowOff>
    </xdr:to>
    <xdr:grpSp>
      <xdr:nvGrpSpPr>
        <xdr:cNvPr id="374" name="Group 373">
          <a:extLst>
            <a:ext uri="{FF2B5EF4-FFF2-40B4-BE49-F238E27FC236}">
              <a16:creationId xmlns:a16="http://schemas.microsoft.com/office/drawing/2014/main" id="{63E5D864-EF13-483F-8342-8C2FEEA90109}"/>
            </a:ext>
          </a:extLst>
        </xdr:cNvPr>
        <xdr:cNvGrpSpPr/>
      </xdr:nvGrpSpPr>
      <xdr:grpSpPr>
        <a:xfrm>
          <a:off x="8035616" y="3345831"/>
          <a:ext cx="437220" cy="420028"/>
          <a:chOff x="8657296" y="3322135"/>
          <a:chExt cx="437220" cy="410736"/>
        </a:xfrm>
      </xdr:grpSpPr>
      <xdr:sp macro="" textlink="'pivot tables'!BH10">
        <xdr:nvSpPr>
          <xdr:cNvPr id="375" name="TextBox 374">
            <a:extLst>
              <a:ext uri="{FF2B5EF4-FFF2-40B4-BE49-F238E27FC236}">
                <a16:creationId xmlns:a16="http://schemas.microsoft.com/office/drawing/2014/main" id="{DED7CDF4-91FB-468A-80DC-56B2C1257D91}"/>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76" name="TextBox 375">
            <a:extLst>
              <a:ext uri="{FF2B5EF4-FFF2-40B4-BE49-F238E27FC236}">
                <a16:creationId xmlns:a16="http://schemas.microsoft.com/office/drawing/2014/main" id="{2927B66C-347A-4E32-A7E6-B970FBC3FA0F}"/>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263216</xdr:colOff>
      <xdr:row>18</xdr:row>
      <xdr:rowOff>73877</xdr:rowOff>
    </xdr:from>
    <xdr:to>
      <xdr:col>14</xdr:col>
      <xdr:colOff>96412</xdr:colOff>
      <xdr:row>20</xdr:row>
      <xdr:rowOff>112906</xdr:rowOff>
    </xdr:to>
    <xdr:grpSp>
      <xdr:nvGrpSpPr>
        <xdr:cNvPr id="377" name="Group 376">
          <a:extLst>
            <a:ext uri="{FF2B5EF4-FFF2-40B4-BE49-F238E27FC236}">
              <a16:creationId xmlns:a16="http://schemas.microsoft.com/office/drawing/2014/main" id="{F28EDC09-814B-469B-8755-2816FB5DA100}"/>
            </a:ext>
          </a:extLst>
        </xdr:cNvPr>
        <xdr:cNvGrpSpPr/>
      </xdr:nvGrpSpPr>
      <xdr:grpSpPr>
        <a:xfrm>
          <a:off x="8188016" y="3502877"/>
          <a:ext cx="442796" cy="420029"/>
          <a:chOff x="8657296" y="3322135"/>
          <a:chExt cx="437220" cy="410736"/>
        </a:xfrm>
      </xdr:grpSpPr>
      <xdr:sp macro="" textlink="'pivot tables'!BH10">
        <xdr:nvSpPr>
          <xdr:cNvPr id="378" name="TextBox 377">
            <a:extLst>
              <a:ext uri="{FF2B5EF4-FFF2-40B4-BE49-F238E27FC236}">
                <a16:creationId xmlns:a16="http://schemas.microsoft.com/office/drawing/2014/main" id="{B3EC313B-C74E-4EB2-9D59-814B65A41CDA}"/>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79" name="TextBox 378">
            <a:extLst>
              <a:ext uri="{FF2B5EF4-FFF2-40B4-BE49-F238E27FC236}">
                <a16:creationId xmlns:a16="http://schemas.microsoft.com/office/drawing/2014/main" id="{68A5F75F-9521-4778-AEC3-11461D69F3CC}"/>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276226</xdr:colOff>
      <xdr:row>10</xdr:row>
      <xdr:rowOff>40423</xdr:rowOff>
    </xdr:from>
    <xdr:to>
      <xdr:col>14</xdr:col>
      <xdr:colOff>109422</xdr:colOff>
      <xdr:row>12</xdr:row>
      <xdr:rowOff>79452</xdr:rowOff>
    </xdr:to>
    <xdr:grpSp>
      <xdr:nvGrpSpPr>
        <xdr:cNvPr id="380" name="Group 379">
          <a:extLst>
            <a:ext uri="{FF2B5EF4-FFF2-40B4-BE49-F238E27FC236}">
              <a16:creationId xmlns:a16="http://schemas.microsoft.com/office/drawing/2014/main" id="{7C346C87-0828-4A54-BC20-A4DFD90B0F8B}"/>
            </a:ext>
          </a:extLst>
        </xdr:cNvPr>
        <xdr:cNvGrpSpPr/>
      </xdr:nvGrpSpPr>
      <xdr:grpSpPr>
        <a:xfrm>
          <a:off x="8201026" y="1945423"/>
          <a:ext cx="442796" cy="420029"/>
          <a:chOff x="8657296" y="3322135"/>
          <a:chExt cx="437220" cy="410736"/>
        </a:xfrm>
      </xdr:grpSpPr>
      <xdr:sp macro="" textlink="'pivot tables'!BH10">
        <xdr:nvSpPr>
          <xdr:cNvPr id="381" name="TextBox 380">
            <a:extLst>
              <a:ext uri="{FF2B5EF4-FFF2-40B4-BE49-F238E27FC236}">
                <a16:creationId xmlns:a16="http://schemas.microsoft.com/office/drawing/2014/main" id="{29C1A6DB-1EA6-431B-9E7D-668FBA4A7AF9}"/>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82" name="TextBox 381">
            <a:extLst>
              <a:ext uri="{FF2B5EF4-FFF2-40B4-BE49-F238E27FC236}">
                <a16:creationId xmlns:a16="http://schemas.microsoft.com/office/drawing/2014/main" id="{6D84348A-1091-48B5-BE26-19EE82239428}"/>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428626</xdr:colOff>
      <xdr:row>11</xdr:row>
      <xdr:rowOff>6970</xdr:rowOff>
    </xdr:from>
    <xdr:to>
      <xdr:col>14</xdr:col>
      <xdr:colOff>261822</xdr:colOff>
      <xdr:row>13</xdr:row>
      <xdr:rowOff>45998</xdr:rowOff>
    </xdr:to>
    <xdr:grpSp>
      <xdr:nvGrpSpPr>
        <xdr:cNvPr id="383" name="Group 382">
          <a:extLst>
            <a:ext uri="{FF2B5EF4-FFF2-40B4-BE49-F238E27FC236}">
              <a16:creationId xmlns:a16="http://schemas.microsoft.com/office/drawing/2014/main" id="{6ADB676A-8818-4CD1-A30D-68FCDA30CC51}"/>
            </a:ext>
          </a:extLst>
        </xdr:cNvPr>
        <xdr:cNvGrpSpPr/>
      </xdr:nvGrpSpPr>
      <xdr:grpSpPr>
        <a:xfrm>
          <a:off x="8353426" y="2102470"/>
          <a:ext cx="442796" cy="420028"/>
          <a:chOff x="8657296" y="3322135"/>
          <a:chExt cx="437220" cy="410736"/>
        </a:xfrm>
      </xdr:grpSpPr>
      <xdr:sp macro="" textlink="'pivot tables'!BH10">
        <xdr:nvSpPr>
          <xdr:cNvPr id="384" name="TextBox 383">
            <a:extLst>
              <a:ext uri="{FF2B5EF4-FFF2-40B4-BE49-F238E27FC236}">
                <a16:creationId xmlns:a16="http://schemas.microsoft.com/office/drawing/2014/main" id="{C379A2EE-633B-4765-A5F1-87796F3B6EF1}"/>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85" name="TextBox 384">
            <a:extLst>
              <a:ext uri="{FF2B5EF4-FFF2-40B4-BE49-F238E27FC236}">
                <a16:creationId xmlns:a16="http://schemas.microsoft.com/office/drawing/2014/main" id="{D01BE23E-5FE7-4B15-82A9-75AAAC779615}"/>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14</xdr:col>
      <xdr:colOff>93161</xdr:colOff>
      <xdr:row>10</xdr:row>
      <xdr:rowOff>66442</xdr:rowOff>
    </xdr:from>
    <xdr:to>
      <xdr:col>14</xdr:col>
      <xdr:colOff>530381</xdr:colOff>
      <xdr:row>12</xdr:row>
      <xdr:rowOff>105471</xdr:rowOff>
    </xdr:to>
    <xdr:grpSp>
      <xdr:nvGrpSpPr>
        <xdr:cNvPr id="386" name="Group 385">
          <a:extLst>
            <a:ext uri="{FF2B5EF4-FFF2-40B4-BE49-F238E27FC236}">
              <a16:creationId xmlns:a16="http://schemas.microsoft.com/office/drawing/2014/main" id="{E328F6AC-6AE7-490B-8070-8481DB6B6F10}"/>
            </a:ext>
          </a:extLst>
        </xdr:cNvPr>
        <xdr:cNvGrpSpPr/>
      </xdr:nvGrpSpPr>
      <xdr:grpSpPr>
        <a:xfrm>
          <a:off x="8627561" y="1971442"/>
          <a:ext cx="437220" cy="420029"/>
          <a:chOff x="8657296" y="3322135"/>
          <a:chExt cx="437220" cy="410736"/>
        </a:xfrm>
      </xdr:grpSpPr>
      <xdr:sp macro="" textlink="'pivot tables'!BH10">
        <xdr:nvSpPr>
          <xdr:cNvPr id="387" name="TextBox 386">
            <a:extLst>
              <a:ext uri="{FF2B5EF4-FFF2-40B4-BE49-F238E27FC236}">
                <a16:creationId xmlns:a16="http://schemas.microsoft.com/office/drawing/2014/main" id="{B9B38B0D-00D7-4489-8E25-BA4333AD700A}"/>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88" name="TextBox 387">
            <a:extLst>
              <a:ext uri="{FF2B5EF4-FFF2-40B4-BE49-F238E27FC236}">
                <a16:creationId xmlns:a16="http://schemas.microsoft.com/office/drawing/2014/main" id="{EF20CD49-C07C-492E-B78C-A428394448F0}"/>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14</xdr:col>
      <xdr:colOff>245561</xdr:colOff>
      <xdr:row>11</xdr:row>
      <xdr:rowOff>32989</xdr:rowOff>
    </xdr:from>
    <xdr:to>
      <xdr:col>15</xdr:col>
      <xdr:colOff>78756</xdr:colOff>
      <xdr:row>13</xdr:row>
      <xdr:rowOff>72017</xdr:rowOff>
    </xdr:to>
    <xdr:grpSp>
      <xdr:nvGrpSpPr>
        <xdr:cNvPr id="389" name="Group 388">
          <a:extLst>
            <a:ext uri="{FF2B5EF4-FFF2-40B4-BE49-F238E27FC236}">
              <a16:creationId xmlns:a16="http://schemas.microsoft.com/office/drawing/2014/main" id="{E8EA19B3-801F-47FD-9C41-008715083A49}"/>
            </a:ext>
          </a:extLst>
        </xdr:cNvPr>
        <xdr:cNvGrpSpPr/>
      </xdr:nvGrpSpPr>
      <xdr:grpSpPr>
        <a:xfrm>
          <a:off x="8779961" y="2128489"/>
          <a:ext cx="442795" cy="420028"/>
          <a:chOff x="8657296" y="3322135"/>
          <a:chExt cx="437220" cy="410736"/>
        </a:xfrm>
      </xdr:grpSpPr>
      <xdr:sp macro="" textlink="'pivot tables'!BH10">
        <xdr:nvSpPr>
          <xdr:cNvPr id="390" name="TextBox 389">
            <a:extLst>
              <a:ext uri="{FF2B5EF4-FFF2-40B4-BE49-F238E27FC236}">
                <a16:creationId xmlns:a16="http://schemas.microsoft.com/office/drawing/2014/main" id="{74507102-B184-4891-BC60-F93F0ACD48B7}"/>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91" name="TextBox 390">
            <a:extLst>
              <a:ext uri="{FF2B5EF4-FFF2-40B4-BE49-F238E27FC236}">
                <a16:creationId xmlns:a16="http://schemas.microsoft.com/office/drawing/2014/main" id="{AA4F47EB-45D4-4927-9FB2-96885F53E353}"/>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14</xdr:col>
      <xdr:colOff>421193</xdr:colOff>
      <xdr:row>11</xdr:row>
      <xdr:rowOff>22767</xdr:rowOff>
    </xdr:from>
    <xdr:to>
      <xdr:col>15</xdr:col>
      <xdr:colOff>254388</xdr:colOff>
      <xdr:row>13</xdr:row>
      <xdr:rowOff>61795</xdr:rowOff>
    </xdr:to>
    <xdr:grpSp>
      <xdr:nvGrpSpPr>
        <xdr:cNvPr id="392" name="Group 391">
          <a:extLst>
            <a:ext uri="{FF2B5EF4-FFF2-40B4-BE49-F238E27FC236}">
              <a16:creationId xmlns:a16="http://schemas.microsoft.com/office/drawing/2014/main" id="{06D2014C-CFCF-482E-A0F1-A07B2B535660}"/>
            </a:ext>
          </a:extLst>
        </xdr:cNvPr>
        <xdr:cNvGrpSpPr/>
      </xdr:nvGrpSpPr>
      <xdr:grpSpPr>
        <a:xfrm>
          <a:off x="8955593" y="2118267"/>
          <a:ext cx="442795" cy="420028"/>
          <a:chOff x="8657296" y="3322135"/>
          <a:chExt cx="437220" cy="410736"/>
        </a:xfrm>
      </xdr:grpSpPr>
      <xdr:sp macro="" textlink="'pivot tables'!BH10">
        <xdr:nvSpPr>
          <xdr:cNvPr id="393" name="TextBox 392">
            <a:extLst>
              <a:ext uri="{FF2B5EF4-FFF2-40B4-BE49-F238E27FC236}">
                <a16:creationId xmlns:a16="http://schemas.microsoft.com/office/drawing/2014/main" id="{4D175800-7D3B-4121-878E-6CA7AE4D6032}"/>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94" name="TextBox 393">
            <a:extLst>
              <a:ext uri="{FF2B5EF4-FFF2-40B4-BE49-F238E27FC236}">
                <a16:creationId xmlns:a16="http://schemas.microsoft.com/office/drawing/2014/main" id="{F5A9F5DB-CE29-43B4-B27A-480277BDBCDF}"/>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39264</xdr:colOff>
      <xdr:row>11</xdr:row>
      <xdr:rowOff>35776</xdr:rowOff>
    </xdr:from>
    <xdr:to>
      <xdr:col>13</xdr:col>
      <xdr:colOff>476484</xdr:colOff>
      <xdr:row>13</xdr:row>
      <xdr:rowOff>74804</xdr:rowOff>
    </xdr:to>
    <xdr:grpSp>
      <xdr:nvGrpSpPr>
        <xdr:cNvPr id="395" name="Group 394">
          <a:extLst>
            <a:ext uri="{FF2B5EF4-FFF2-40B4-BE49-F238E27FC236}">
              <a16:creationId xmlns:a16="http://schemas.microsoft.com/office/drawing/2014/main" id="{28B476CA-01A3-4B89-A4A9-21F4B95CD419}"/>
            </a:ext>
          </a:extLst>
        </xdr:cNvPr>
        <xdr:cNvGrpSpPr/>
      </xdr:nvGrpSpPr>
      <xdr:grpSpPr>
        <a:xfrm>
          <a:off x="7964064" y="2131276"/>
          <a:ext cx="437220" cy="420028"/>
          <a:chOff x="8657296" y="3322135"/>
          <a:chExt cx="437220" cy="410736"/>
        </a:xfrm>
      </xdr:grpSpPr>
      <xdr:sp macro="" textlink="'pivot tables'!BH10">
        <xdr:nvSpPr>
          <xdr:cNvPr id="396" name="TextBox 395">
            <a:extLst>
              <a:ext uri="{FF2B5EF4-FFF2-40B4-BE49-F238E27FC236}">
                <a16:creationId xmlns:a16="http://schemas.microsoft.com/office/drawing/2014/main" id="{66CC7F56-56AF-453B-A4AA-FD9E86F094B1}"/>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397" name="TextBox 396">
            <a:extLst>
              <a:ext uri="{FF2B5EF4-FFF2-40B4-BE49-F238E27FC236}">
                <a16:creationId xmlns:a16="http://schemas.microsoft.com/office/drawing/2014/main" id="{590FD068-4DD8-499F-8A6F-C63E6F6671BF}"/>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191664</xdr:colOff>
      <xdr:row>12</xdr:row>
      <xdr:rowOff>2322</xdr:rowOff>
    </xdr:from>
    <xdr:to>
      <xdr:col>14</xdr:col>
      <xdr:colOff>24860</xdr:colOff>
      <xdr:row>14</xdr:row>
      <xdr:rowOff>41351</xdr:rowOff>
    </xdr:to>
    <xdr:grpSp>
      <xdr:nvGrpSpPr>
        <xdr:cNvPr id="398" name="Group 397">
          <a:extLst>
            <a:ext uri="{FF2B5EF4-FFF2-40B4-BE49-F238E27FC236}">
              <a16:creationId xmlns:a16="http://schemas.microsoft.com/office/drawing/2014/main" id="{63C5649F-1842-49A4-9848-F02C45F3A22E}"/>
            </a:ext>
          </a:extLst>
        </xdr:cNvPr>
        <xdr:cNvGrpSpPr/>
      </xdr:nvGrpSpPr>
      <xdr:grpSpPr>
        <a:xfrm>
          <a:off x="8116464" y="2288322"/>
          <a:ext cx="442796" cy="420029"/>
          <a:chOff x="8657296" y="3322135"/>
          <a:chExt cx="437220" cy="410736"/>
        </a:xfrm>
      </xdr:grpSpPr>
      <xdr:sp macro="" textlink="'pivot tables'!BH10">
        <xdr:nvSpPr>
          <xdr:cNvPr id="399" name="TextBox 398">
            <a:extLst>
              <a:ext uri="{FF2B5EF4-FFF2-40B4-BE49-F238E27FC236}">
                <a16:creationId xmlns:a16="http://schemas.microsoft.com/office/drawing/2014/main" id="{C0E9B735-FD03-4A62-92EC-5E1CC03442B1}"/>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00" name="TextBox 399">
            <a:extLst>
              <a:ext uri="{FF2B5EF4-FFF2-40B4-BE49-F238E27FC236}">
                <a16:creationId xmlns:a16="http://schemas.microsoft.com/office/drawing/2014/main" id="{9F21DAD2-7113-43C0-B64C-C9B86BFA76AB}"/>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12</xdr:col>
      <xdr:colOff>367296</xdr:colOff>
      <xdr:row>10</xdr:row>
      <xdr:rowOff>50179</xdr:rowOff>
    </xdr:from>
    <xdr:to>
      <xdr:col>13</xdr:col>
      <xdr:colOff>200492</xdr:colOff>
      <xdr:row>12</xdr:row>
      <xdr:rowOff>89208</xdr:rowOff>
    </xdr:to>
    <xdr:grpSp>
      <xdr:nvGrpSpPr>
        <xdr:cNvPr id="401" name="Group 400">
          <a:extLst>
            <a:ext uri="{FF2B5EF4-FFF2-40B4-BE49-F238E27FC236}">
              <a16:creationId xmlns:a16="http://schemas.microsoft.com/office/drawing/2014/main" id="{A40D68DE-05C1-404F-9A38-C480942BCEA0}"/>
            </a:ext>
          </a:extLst>
        </xdr:cNvPr>
        <xdr:cNvGrpSpPr/>
      </xdr:nvGrpSpPr>
      <xdr:grpSpPr>
        <a:xfrm>
          <a:off x="7682496" y="1955179"/>
          <a:ext cx="442796" cy="420029"/>
          <a:chOff x="8657296" y="3322135"/>
          <a:chExt cx="437220" cy="410736"/>
        </a:xfrm>
      </xdr:grpSpPr>
      <xdr:sp macro="" textlink="'pivot tables'!BH10">
        <xdr:nvSpPr>
          <xdr:cNvPr id="402" name="TextBox 401">
            <a:extLst>
              <a:ext uri="{FF2B5EF4-FFF2-40B4-BE49-F238E27FC236}">
                <a16:creationId xmlns:a16="http://schemas.microsoft.com/office/drawing/2014/main" id="{9C20537A-2AA3-4951-9EB5-BF3074D89323}"/>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03" name="TextBox 402">
            <a:extLst>
              <a:ext uri="{FF2B5EF4-FFF2-40B4-BE49-F238E27FC236}">
                <a16:creationId xmlns:a16="http://schemas.microsoft.com/office/drawing/2014/main" id="{AE7313C6-865F-4A5B-92AE-8D3B8D79CEB1}"/>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12</xdr:col>
      <xdr:colOff>519696</xdr:colOff>
      <xdr:row>11</xdr:row>
      <xdr:rowOff>16726</xdr:rowOff>
    </xdr:from>
    <xdr:to>
      <xdr:col>13</xdr:col>
      <xdr:colOff>352892</xdr:colOff>
      <xdr:row>13</xdr:row>
      <xdr:rowOff>55754</xdr:rowOff>
    </xdr:to>
    <xdr:grpSp>
      <xdr:nvGrpSpPr>
        <xdr:cNvPr id="404" name="Group 403">
          <a:extLst>
            <a:ext uri="{FF2B5EF4-FFF2-40B4-BE49-F238E27FC236}">
              <a16:creationId xmlns:a16="http://schemas.microsoft.com/office/drawing/2014/main" id="{E3E48F6E-7881-4ED9-9A1E-B46DFBD2F84A}"/>
            </a:ext>
          </a:extLst>
        </xdr:cNvPr>
        <xdr:cNvGrpSpPr/>
      </xdr:nvGrpSpPr>
      <xdr:grpSpPr>
        <a:xfrm>
          <a:off x="7834896" y="2112226"/>
          <a:ext cx="442796" cy="420028"/>
          <a:chOff x="8657296" y="3322135"/>
          <a:chExt cx="437220" cy="410736"/>
        </a:xfrm>
      </xdr:grpSpPr>
      <xdr:sp macro="" textlink="'pivot tables'!BH10">
        <xdr:nvSpPr>
          <xdr:cNvPr id="405" name="TextBox 404">
            <a:extLst>
              <a:ext uri="{FF2B5EF4-FFF2-40B4-BE49-F238E27FC236}">
                <a16:creationId xmlns:a16="http://schemas.microsoft.com/office/drawing/2014/main" id="{A2FCF00F-5E59-419E-A2DA-14AFA6E9E37A}"/>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06" name="TextBox 405">
            <a:extLst>
              <a:ext uri="{FF2B5EF4-FFF2-40B4-BE49-F238E27FC236}">
                <a16:creationId xmlns:a16="http://schemas.microsoft.com/office/drawing/2014/main" id="{10E9A807-4F7E-47E0-9116-AAFA808137C1}"/>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13</xdr:col>
      <xdr:colOff>160300</xdr:colOff>
      <xdr:row>10</xdr:row>
      <xdr:rowOff>165410</xdr:rowOff>
    </xdr:from>
    <xdr:to>
      <xdr:col>13</xdr:col>
      <xdr:colOff>590087</xdr:colOff>
      <xdr:row>12</xdr:row>
      <xdr:rowOff>153794</xdr:rowOff>
    </xdr:to>
    <xdr:grpSp>
      <xdr:nvGrpSpPr>
        <xdr:cNvPr id="407" name="Group 406">
          <a:extLst>
            <a:ext uri="{FF2B5EF4-FFF2-40B4-BE49-F238E27FC236}">
              <a16:creationId xmlns:a16="http://schemas.microsoft.com/office/drawing/2014/main" id="{12E0FE9F-70C4-4CF9-B8D7-8264F66B873D}"/>
            </a:ext>
          </a:extLst>
        </xdr:cNvPr>
        <xdr:cNvGrpSpPr/>
      </xdr:nvGrpSpPr>
      <xdr:grpSpPr>
        <a:xfrm>
          <a:off x="8085100" y="2070410"/>
          <a:ext cx="429787" cy="369384"/>
          <a:chOff x="7649737" y="3171128"/>
          <a:chExt cx="429787" cy="360091"/>
        </a:xfrm>
      </xdr:grpSpPr>
      <xdr:sp macro="" textlink="'pivot tables'!BG10">
        <xdr:nvSpPr>
          <xdr:cNvPr id="408" name="TextBox 407">
            <a:extLst>
              <a:ext uri="{FF2B5EF4-FFF2-40B4-BE49-F238E27FC236}">
                <a16:creationId xmlns:a16="http://schemas.microsoft.com/office/drawing/2014/main" id="{1CC3A157-33C4-4126-9A87-C81E0336F393}"/>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09" name="TextBox 408">
            <a:extLst>
              <a:ext uri="{FF2B5EF4-FFF2-40B4-BE49-F238E27FC236}">
                <a16:creationId xmlns:a16="http://schemas.microsoft.com/office/drawing/2014/main" id="{C36B047C-1424-49FC-B3F3-0A339B12076E}"/>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312700</xdr:colOff>
      <xdr:row>11</xdr:row>
      <xdr:rowOff>131957</xdr:rowOff>
    </xdr:from>
    <xdr:to>
      <xdr:col>14</xdr:col>
      <xdr:colOff>138463</xdr:colOff>
      <xdr:row>13</xdr:row>
      <xdr:rowOff>120340</xdr:rowOff>
    </xdr:to>
    <xdr:grpSp>
      <xdr:nvGrpSpPr>
        <xdr:cNvPr id="410" name="Group 409">
          <a:extLst>
            <a:ext uri="{FF2B5EF4-FFF2-40B4-BE49-F238E27FC236}">
              <a16:creationId xmlns:a16="http://schemas.microsoft.com/office/drawing/2014/main" id="{5519F046-2030-44B6-9B53-E2116BF3A8B9}"/>
            </a:ext>
          </a:extLst>
        </xdr:cNvPr>
        <xdr:cNvGrpSpPr/>
      </xdr:nvGrpSpPr>
      <xdr:grpSpPr>
        <a:xfrm>
          <a:off x="8237500" y="2227457"/>
          <a:ext cx="435363" cy="369383"/>
          <a:chOff x="7649737" y="3171128"/>
          <a:chExt cx="429787" cy="360091"/>
        </a:xfrm>
      </xdr:grpSpPr>
      <xdr:sp macro="" textlink="'pivot tables'!BG10">
        <xdr:nvSpPr>
          <xdr:cNvPr id="411" name="TextBox 410">
            <a:extLst>
              <a:ext uri="{FF2B5EF4-FFF2-40B4-BE49-F238E27FC236}">
                <a16:creationId xmlns:a16="http://schemas.microsoft.com/office/drawing/2014/main" id="{CA0FB7E1-388D-45FF-8501-6F2D115C2210}"/>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12" name="TextBox 411">
            <a:extLst>
              <a:ext uri="{FF2B5EF4-FFF2-40B4-BE49-F238E27FC236}">
                <a16:creationId xmlns:a16="http://schemas.microsoft.com/office/drawing/2014/main" id="{92FFDFBF-D756-4CF2-AA67-0AEC265F75D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476716</xdr:colOff>
      <xdr:row>11</xdr:row>
      <xdr:rowOff>40424</xdr:rowOff>
    </xdr:from>
    <xdr:to>
      <xdr:col>14</xdr:col>
      <xdr:colOff>302479</xdr:colOff>
      <xdr:row>13</xdr:row>
      <xdr:rowOff>28807</xdr:rowOff>
    </xdr:to>
    <xdr:grpSp>
      <xdr:nvGrpSpPr>
        <xdr:cNvPr id="413" name="Group 412">
          <a:extLst>
            <a:ext uri="{FF2B5EF4-FFF2-40B4-BE49-F238E27FC236}">
              <a16:creationId xmlns:a16="http://schemas.microsoft.com/office/drawing/2014/main" id="{C438CCAC-A11F-4306-8873-B88AF3ED0168}"/>
            </a:ext>
          </a:extLst>
        </xdr:cNvPr>
        <xdr:cNvGrpSpPr/>
      </xdr:nvGrpSpPr>
      <xdr:grpSpPr>
        <a:xfrm>
          <a:off x="8401516" y="2135924"/>
          <a:ext cx="435363" cy="369383"/>
          <a:chOff x="7649737" y="3171128"/>
          <a:chExt cx="429787" cy="360091"/>
        </a:xfrm>
      </xdr:grpSpPr>
      <xdr:sp macro="" textlink="'pivot tables'!BG10">
        <xdr:nvSpPr>
          <xdr:cNvPr id="414" name="TextBox 413">
            <a:extLst>
              <a:ext uri="{FF2B5EF4-FFF2-40B4-BE49-F238E27FC236}">
                <a16:creationId xmlns:a16="http://schemas.microsoft.com/office/drawing/2014/main" id="{FBBC9CE0-45A0-4E0F-AB7D-B40B471ACD0E}"/>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15" name="TextBox 414">
            <a:extLst>
              <a:ext uri="{FF2B5EF4-FFF2-40B4-BE49-F238E27FC236}">
                <a16:creationId xmlns:a16="http://schemas.microsoft.com/office/drawing/2014/main" id="{0FBCD863-A586-4013-8D41-DD134BA202B3}"/>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25092</xdr:colOff>
      <xdr:row>12</xdr:row>
      <xdr:rowOff>6970</xdr:rowOff>
    </xdr:from>
    <xdr:to>
      <xdr:col>14</xdr:col>
      <xdr:colOff>454879</xdr:colOff>
      <xdr:row>13</xdr:row>
      <xdr:rowOff>181207</xdr:rowOff>
    </xdr:to>
    <xdr:grpSp>
      <xdr:nvGrpSpPr>
        <xdr:cNvPr id="416" name="Group 415">
          <a:extLst>
            <a:ext uri="{FF2B5EF4-FFF2-40B4-BE49-F238E27FC236}">
              <a16:creationId xmlns:a16="http://schemas.microsoft.com/office/drawing/2014/main" id="{7DF6F458-F673-4FF6-94A8-EF6FA5B01825}"/>
            </a:ext>
          </a:extLst>
        </xdr:cNvPr>
        <xdr:cNvGrpSpPr/>
      </xdr:nvGrpSpPr>
      <xdr:grpSpPr>
        <a:xfrm>
          <a:off x="8559492" y="2292970"/>
          <a:ext cx="429787" cy="364737"/>
          <a:chOff x="7649737" y="3171128"/>
          <a:chExt cx="429787" cy="360091"/>
        </a:xfrm>
      </xdr:grpSpPr>
      <xdr:sp macro="" textlink="'pivot tables'!BG10">
        <xdr:nvSpPr>
          <xdr:cNvPr id="417" name="TextBox 416">
            <a:extLst>
              <a:ext uri="{FF2B5EF4-FFF2-40B4-BE49-F238E27FC236}">
                <a16:creationId xmlns:a16="http://schemas.microsoft.com/office/drawing/2014/main" id="{F6A72E2F-75AE-4A79-A225-C7B5CAE61F44}"/>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18" name="TextBox 417">
            <a:extLst>
              <a:ext uri="{FF2B5EF4-FFF2-40B4-BE49-F238E27FC236}">
                <a16:creationId xmlns:a16="http://schemas.microsoft.com/office/drawing/2014/main" id="{ACAC792F-ED32-4823-B3FC-1BB5367AB5C4}"/>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223955</xdr:colOff>
      <xdr:row>10</xdr:row>
      <xdr:rowOff>54827</xdr:rowOff>
    </xdr:from>
    <xdr:to>
      <xdr:col>15</xdr:col>
      <xdr:colOff>49717</xdr:colOff>
      <xdr:row>12</xdr:row>
      <xdr:rowOff>43211</xdr:rowOff>
    </xdr:to>
    <xdr:grpSp>
      <xdr:nvGrpSpPr>
        <xdr:cNvPr id="419" name="Group 418">
          <a:extLst>
            <a:ext uri="{FF2B5EF4-FFF2-40B4-BE49-F238E27FC236}">
              <a16:creationId xmlns:a16="http://schemas.microsoft.com/office/drawing/2014/main" id="{96F6354D-E535-495D-B1E0-8C5331A2894C}"/>
            </a:ext>
          </a:extLst>
        </xdr:cNvPr>
        <xdr:cNvGrpSpPr/>
      </xdr:nvGrpSpPr>
      <xdr:grpSpPr>
        <a:xfrm>
          <a:off x="8758355" y="1959827"/>
          <a:ext cx="435362" cy="369384"/>
          <a:chOff x="7649737" y="3171128"/>
          <a:chExt cx="429787" cy="360091"/>
        </a:xfrm>
      </xdr:grpSpPr>
      <xdr:sp macro="" textlink="'pivot tables'!BG10">
        <xdr:nvSpPr>
          <xdr:cNvPr id="420" name="TextBox 419">
            <a:extLst>
              <a:ext uri="{FF2B5EF4-FFF2-40B4-BE49-F238E27FC236}">
                <a16:creationId xmlns:a16="http://schemas.microsoft.com/office/drawing/2014/main" id="{5F8E5413-9516-4EA6-A107-6A2E004EEAD5}"/>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21" name="TextBox 420">
            <a:extLst>
              <a:ext uri="{FF2B5EF4-FFF2-40B4-BE49-F238E27FC236}">
                <a16:creationId xmlns:a16="http://schemas.microsoft.com/office/drawing/2014/main" id="{A0DC3647-09A0-4AFC-9EFB-F3C0946A6336}"/>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376355</xdr:colOff>
      <xdr:row>11</xdr:row>
      <xdr:rowOff>21374</xdr:rowOff>
    </xdr:from>
    <xdr:to>
      <xdr:col>15</xdr:col>
      <xdr:colOff>202117</xdr:colOff>
      <xdr:row>13</xdr:row>
      <xdr:rowOff>9757</xdr:rowOff>
    </xdr:to>
    <xdr:grpSp>
      <xdr:nvGrpSpPr>
        <xdr:cNvPr id="422" name="Group 421">
          <a:extLst>
            <a:ext uri="{FF2B5EF4-FFF2-40B4-BE49-F238E27FC236}">
              <a16:creationId xmlns:a16="http://schemas.microsoft.com/office/drawing/2014/main" id="{98412013-87A3-4626-A3A4-E3A2B299C415}"/>
            </a:ext>
          </a:extLst>
        </xdr:cNvPr>
        <xdr:cNvGrpSpPr/>
      </xdr:nvGrpSpPr>
      <xdr:grpSpPr>
        <a:xfrm>
          <a:off x="8910755" y="2116874"/>
          <a:ext cx="435362" cy="369383"/>
          <a:chOff x="7649737" y="3171128"/>
          <a:chExt cx="429787" cy="360091"/>
        </a:xfrm>
      </xdr:grpSpPr>
      <xdr:sp macro="" textlink="'pivot tables'!BG10">
        <xdr:nvSpPr>
          <xdr:cNvPr id="423" name="TextBox 422">
            <a:extLst>
              <a:ext uri="{FF2B5EF4-FFF2-40B4-BE49-F238E27FC236}">
                <a16:creationId xmlns:a16="http://schemas.microsoft.com/office/drawing/2014/main" id="{80005B7B-A5C0-4633-B777-E77EC2D881CC}"/>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24" name="TextBox 423">
            <a:extLst>
              <a:ext uri="{FF2B5EF4-FFF2-40B4-BE49-F238E27FC236}">
                <a16:creationId xmlns:a16="http://schemas.microsoft.com/office/drawing/2014/main" id="{89A74A82-B0D2-44FC-9BEF-B4128E601F13}"/>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586834</xdr:colOff>
      <xdr:row>11</xdr:row>
      <xdr:rowOff>104079</xdr:rowOff>
    </xdr:from>
    <xdr:to>
      <xdr:col>13</xdr:col>
      <xdr:colOff>412597</xdr:colOff>
      <xdr:row>13</xdr:row>
      <xdr:rowOff>92462</xdr:rowOff>
    </xdr:to>
    <xdr:grpSp>
      <xdr:nvGrpSpPr>
        <xdr:cNvPr id="425" name="Group 424">
          <a:extLst>
            <a:ext uri="{FF2B5EF4-FFF2-40B4-BE49-F238E27FC236}">
              <a16:creationId xmlns:a16="http://schemas.microsoft.com/office/drawing/2014/main" id="{734375AD-3690-4762-9A5C-D58EB6C37410}"/>
            </a:ext>
          </a:extLst>
        </xdr:cNvPr>
        <xdr:cNvGrpSpPr/>
      </xdr:nvGrpSpPr>
      <xdr:grpSpPr>
        <a:xfrm>
          <a:off x="7902034" y="2199579"/>
          <a:ext cx="435363" cy="369383"/>
          <a:chOff x="7649737" y="3171128"/>
          <a:chExt cx="429787" cy="360091"/>
        </a:xfrm>
      </xdr:grpSpPr>
      <xdr:sp macro="" textlink="'pivot tables'!BG10">
        <xdr:nvSpPr>
          <xdr:cNvPr id="426" name="TextBox 425">
            <a:extLst>
              <a:ext uri="{FF2B5EF4-FFF2-40B4-BE49-F238E27FC236}">
                <a16:creationId xmlns:a16="http://schemas.microsoft.com/office/drawing/2014/main" id="{F966B92F-07ED-4B02-9CFE-99C9FC5ABCAE}"/>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27" name="TextBox 426">
            <a:extLst>
              <a:ext uri="{FF2B5EF4-FFF2-40B4-BE49-F238E27FC236}">
                <a16:creationId xmlns:a16="http://schemas.microsoft.com/office/drawing/2014/main" id="{33B29538-5D16-496C-B15F-26E32C1E084E}"/>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135210</xdr:colOff>
      <xdr:row>12</xdr:row>
      <xdr:rowOff>70625</xdr:rowOff>
    </xdr:from>
    <xdr:to>
      <xdr:col>13</xdr:col>
      <xdr:colOff>564997</xdr:colOff>
      <xdr:row>14</xdr:row>
      <xdr:rowOff>59009</xdr:rowOff>
    </xdr:to>
    <xdr:grpSp>
      <xdr:nvGrpSpPr>
        <xdr:cNvPr id="428" name="Group 427">
          <a:extLst>
            <a:ext uri="{FF2B5EF4-FFF2-40B4-BE49-F238E27FC236}">
              <a16:creationId xmlns:a16="http://schemas.microsoft.com/office/drawing/2014/main" id="{A9632125-9D4C-424C-A0D3-E46ABDA96BB0}"/>
            </a:ext>
          </a:extLst>
        </xdr:cNvPr>
        <xdr:cNvGrpSpPr/>
      </xdr:nvGrpSpPr>
      <xdr:grpSpPr>
        <a:xfrm>
          <a:off x="8060010" y="2356625"/>
          <a:ext cx="429787" cy="369384"/>
          <a:chOff x="7649737" y="3171128"/>
          <a:chExt cx="429787" cy="360091"/>
        </a:xfrm>
      </xdr:grpSpPr>
      <xdr:sp macro="" textlink="'pivot tables'!BG10">
        <xdr:nvSpPr>
          <xdr:cNvPr id="429" name="TextBox 428">
            <a:extLst>
              <a:ext uri="{FF2B5EF4-FFF2-40B4-BE49-F238E27FC236}">
                <a16:creationId xmlns:a16="http://schemas.microsoft.com/office/drawing/2014/main" id="{633A78C2-4D25-4802-82E7-2D3DD33973C3}"/>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30" name="TextBox 429">
            <a:extLst>
              <a:ext uri="{FF2B5EF4-FFF2-40B4-BE49-F238E27FC236}">
                <a16:creationId xmlns:a16="http://schemas.microsoft.com/office/drawing/2014/main" id="{02D2E769-2031-4F6A-8878-765DF90C151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380536</xdr:colOff>
      <xdr:row>10</xdr:row>
      <xdr:rowOff>176561</xdr:rowOff>
    </xdr:from>
    <xdr:to>
      <xdr:col>13</xdr:col>
      <xdr:colOff>206299</xdr:colOff>
      <xdr:row>12</xdr:row>
      <xdr:rowOff>164945</xdr:rowOff>
    </xdr:to>
    <xdr:grpSp>
      <xdr:nvGrpSpPr>
        <xdr:cNvPr id="431" name="Group 430">
          <a:extLst>
            <a:ext uri="{FF2B5EF4-FFF2-40B4-BE49-F238E27FC236}">
              <a16:creationId xmlns:a16="http://schemas.microsoft.com/office/drawing/2014/main" id="{197088A1-13B5-4D7F-9D60-6B9DAB2BA7A7}"/>
            </a:ext>
          </a:extLst>
        </xdr:cNvPr>
        <xdr:cNvGrpSpPr/>
      </xdr:nvGrpSpPr>
      <xdr:grpSpPr>
        <a:xfrm>
          <a:off x="7695736" y="2081561"/>
          <a:ext cx="435363" cy="369384"/>
          <a:chOff x="7649737" y="3171128"/>
          <a:chExt cx="429787" cy="360091"/>
        </a:xfrm>
      </xdr:grpSpPr>
      <xdr:sp macro="" textlink="'pivot tables'!BG10">
        <xdr:nvSpPr>
          <xdr:cNvPr id="432" name="TextBox 431">
            <a:extLst>
              <a:ext uri="{FF2B5EF4-FFF2-40B4-BE49-F238E27FC236}">
                <a16:creationId xmlns:a16="http://schemas.microsoft.com/office/drawing/2014/main" id="{1DD9CF89-1D9E-41F0-BD51-1B66E4E9C277}"/>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33" name="TextBox 432">
            <a:extLst>
              <a:ext uri="{FF2B5EF4-FFF2-40B4-BE49-F238E27FC236}">
                <a16:creationId xmlns:a16="http://schemas.microsoft.com/office/drawing/2014/main" id="{44BEC1F0-FC15-46B8-83C9-B38BE22648F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556168</xdr:colOff>
      <xdr:row>10</xdr:row>
      <xdr:rowOff>50180</xdr:rowOff>
    </xdr:from>
    <xdr:to>
      <xdr:col>13</xdr:col>
      <xdr:colOff>381931</xdr:colOff>
      <xdr:row>12</xdr:row>
      <xdr:rowOff>38564</xdr:rowOff>
    </xdr:to>
    <xdr:grpSp>
      <xdr:nvGrpSpPr>
        <xdr:cNvPr id="434" name="Group 433">
          <a:extLst>
            <a:ext uri="{FF2B5EF4-FFF2-40B4-BE49-F238E27FC236}">
              <a16:creationId xmlns:a16="http://schemas.microsoft.com/office/drawing/2014/main" id="{67D41149-B91E-45EB-A7A4-0728631E4379}"/>
            </a:ext>
          </a:extLst>
        </xdr:cNvPr>
        <xdr:cNvGrpSpPr/>
      </xdr:nvGrpSpPr>
      <xdr:grpSpPr>
        <a:xfrm>
          <a:off x="7871368" y="1955180"/>
          <a:ext cx="435363" cy="369384"/>
          <a:chOff x="7649737" y="3171128"/>
          <a:chExt cx="429787" cy="360091"/>
        </a:xfrm>
      </xdr:grpSpPr>
      <xdr:sp macro="" textlink="'pivot tables'!BG10">
        <xdr:nvSpPr>
          <xdr:cNvPr id="435" name="TextBox 434">
            <a:extLst>
              <a:ext uri="{FF2B5EF4-FFF2-40B4-BE49-F238E27FC236}">
                <a16:creationId xmlns:a16="http://schemas.microsoft.com/office/drawing/2014/main" id="{EAEFF272-16B1-4EEA-8F07-3A87D19D51FA}"/>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36" name="TextBox 435">
            <a:extLst>
              <a:ext uri="{FF2B5EF4-FFF2-40B4-BE49-F238E27FC236}">
                <a16:creationId xmlns:a16="http://schemas.microsoft.com/office/drawing/2014/main" id="{A4A0D995-501D-4143-A2D8-65152DE926A5}"/>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151007</xdr:colOff>
      <xdr:row>10</xdr:row>
      <xdr:rowOff>109653</xdr:rowOff>
    </xdr:from>
    <xdr:to>
      <xdr:col>13</xdr:col>
      <xdr:colOff>580794</xdr:colOff>
      <xdr:row>12</xdr:row>
      <xdr:rowOff>98037</xdr:rowOff>
    </xdr:to>
    <xdr:grpSp>
      <xdr:nvGrpSpPr>
        <xdr:cNvPr id="437" name="Group 436">
          <a:extLst>
            <a:ext uri="{FF2B5EF4-FFF2-40B4-BE49-F238E27FC236}">
              <a16:creationId xmlns:a16="http://schemas.microsoft.com/office/drawing/2014/main" id="{CD6AFFEB-BF1F-4DA9-8196-E922FC80814F}"/>
            </a:ext>
          </a:extLst>
        </xdr:cNvPr>
        <xdr:cNvGrpSpPr/>
      </xdr:nvGrpSpPr>
      <xdr:grpSpPr>
        <a:xfrm>
          <a:off x="8075807" y="2014653"/>
          <a:ext cx="429787" cy="369384"/>
          <a:chOff x="7649737" y="3171128"/>
          <a:chExt cx="429787" cy="360091"/>
        </a:xfrm>
      </xdr:grpSpPr>
      <xdr:sp macro="" textlink="'pivot tables'!BG10">
        <xdr:nvSpPr>
          <xdr:cNvPr id="438" name="TextBox 437">
            <a:extLst>
              <a:ext uri="{FF2B5EF4-FFF2-40B4-BE49-F238E27FC236}">
                <a16:creationId xmlns:a16="http://schemas.microsoft.com/office/drawing/2014/main" id="{1FB51BAC-6C0D-43A2-A582-032F14F7A8F1}"/>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439" name="TextBox 438">
            <a:extLst>
              <a:ext uri="{FF2B5EF4-FFF2-40B4-BE49-F238E27FC236}">
                <a16:creationId xmlns:a16="http://schemas.microsoft.com/office/drawing/2014/main" id="{15C0A2BD-5873-489B-9810-AA531D55C5ED}"/>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296668</xdr:colOff>
      <xdr:row>11</xdr:row>
      <xdr:rowOff>72484</xdr:rowOff>
    </xdr:from>
    <xdr:to>
      <xdr:col>13</xdr:col>
      <xdr:colOff>129864</xdr:colOff>
      <xdr:row>13</xdr:row>
      <xdr:rowOff>111512</xdr:rowOff>
    </xdr:to>
    <xdr:grpSp>
      <xdr:nvGrpSpPr>
        <xdr:cNvPr id="440" name="Group 439">
          <a:extLst>
            <a:ext uri="{FF2B5EF4-FFF2-40B4-BE49-F238E27FC236}">
              <a16:creationId xmlns:a16="http://schemas.microsoft.com/office/drawing/2014/main" id="{1AC59473-2345-48A0-9A11-36E7F9160EC9}"/>
            </a:ext>
          </a:extLst>
        </xdr:cNvPr>
        <xdr:cNvGrpSpPr/>
      </xdr:nvGrpSpPr>
      <xdr:grpSpPr>
        <a:xfrm>
          <a:off x="7611868" y="2167984"/>
          <a:ext cx="442796" cy="420028"/>
          <a:chOff x="8657296" y="3322135"/>
          <a:chExt cx="437220" cy="410736"/>
        </a:xfrm>
      </xdr:grpSpPr>
      <xdr:sp macro="" textlink="'pivot tables'!BH10">
        <xdr:nvSpPr>
          <xdr:cNvPr id="441" name="TextBox 440">
            <a:extLst>
              <a:ext uri="{FF2B5EF4-FFF2-40B4-BE49-F238E27FC236}">
                <a16:creationId xmlns:a16="http://schemas.microsoft.com/office/drawing/2014/main" id="{1D30A94A-8263-4A00-A491-51A13E291361}"/>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42" name="TextBox 441">
            <a:extLst>
              <a:ext uri="{FF2B5EF4-FFF2-40B4-BE49-F238E27FC236}">
                <a16:creationId xmlns:a16="http://schemas.microsoft.com/office/drawing/2014/main" id="{8BD0E73C-5C4A-410A-A023-C750741F484C}"/>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15</xdr:col>
      <xdr:colOff>344526</xdr:colOff>
      <xdr:row>27</xdr:row>
      <xdr:rowOff>39030</xdr:rowOff>
    </xdr:from>
    <xdr:to>
      <xdr:col>16</xdr:col>
      <xdr:colOff>177722</xdr:colOff>
      <xdr:row>29</xdr:row>
      <xdr:rowOff>78059</xdr:rowOff>
    </xdr:to>
    <xdr:grpSp>
      <xdr:nvGrpSpPr>
        <xdr:cNvPr id="443" name="Group 442">
          <a:extLst>
            <a:ext uri="{FF2B5EF4-FFF2-40B4-BE49-F238E27FC236}">
              <a16:creationId xmlns:a16="http://schemas.microsoft.com/office/drawing/2014/main" id="{0FF57E02-8F92-40A3-A80C-DFF126803C6E}"/>
            </a:ext>
          </a:extLst>
        </xdr:cNvPr>
        <xdr:cNvGrpSpPr/>
      </xdr:nvGrpSpPr>
      <xdr:grpSpPr>
        <a:xfrm>
          <a:off x="9488526" y="5182530"/>
          <a:ext cx="442796" cy="420029"/>
          <a:chOff x="8657296" y="3322135"/>
          <a:chExt cx="437220" cy="410736"/>
        </a:xfrm>
      </xdr:grpSpPr>
      <xdr:sp macro="" textlink="'pivot tables'!BH10">
        <xdr:nvSpPr>
          <xdr:cNvPr id="444" name="TextBox 443">
            <a:extLst>
              <a:ext uri="{FF2B5EF4-FFF2-40B4-BE49-F238E27FC236}">
                <a16:creationId xmlns:a16="http://schemas.microsoft.com/office/drawing/2014/main" id="{01755DC9-0E7C-4711-A629-CF3AE5476A0D}"/>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45" name="TextBox 444">
            <a:extLst>
              <a:ext uri="{FF2B5EF4-FFF2-40B4-BE49-F238E27FC236}">
                <a16:creationId xmlns:a16="http://schemas.microsoft.com/office/drawing/2014/main" id="{EA03CE9E-01E5-4812-8BC8-A8B27F2133E0}"/>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15</xdr:col>
      <xdr:colOff>496926</xdr:colOff>
      <xdr:row>28</xdr:row>
      <xdr:rowOff>5577</xdr:rowOff>
    </xdr:from>
    <xdr:to>
      <xdr:col>16</xdr:col>
      <xdr:colOff>330122</xdr:colOff>
      <xdr:row>30</xdr:row>
      <xdr:rowOff>44605</xdr:rowOff>
    </xdr:to>
    <xdr:grpSp>
      <xdr:nvGrpSpPr>
        <xdr:cNvPr id="446" name="Group 445">
          <a:extLst>
            <a:ext uri="{FF2B5EF4-FFF2-40B4-BE49-F238E27FC236}">
              <a16:creationId xmlns:a16="http://schemas.microsoft.com/office/drawing/2014/main" id="{47127E98-ABC4-4C68-A060-4617764F1A4A}"/>
            </a:ext>
          </a:extLst>
        </xdr:cNvPr>
        <xdr:cNvGrpSpPr/>
      </xdr:nvGrpSpPr>
      <xdr:grpSpPr>
        <a:xfrm>
          <a:off x="9640926" y="5339577"/>
          <a:ext cx="442796" cy="420028"/>
          <a:chOff x="8657296" y="3322135"/>
          <a:chExt cx="437220" cy="410736"/>
        </a:xfrm>
      </xdr:grpSpPr>
      <xdr:sp macro="" textlink="'pivot tables'!BH10">
        <xdr:nvSpPr>
          <xdr:cNvPr id="447" name="TextBox 446">
            <a:extLst>
              <a:ext uri="{FF2B5EF4-FFF2-40B4-BE49-F238E27FC236}">
                <a16:creationId xmlns:a16="http://schemas.microsoft.com/office/drawing/2014/main" id="{AF0A1AD6-DCBA-485A-B6A5-B322403ABD14}"/>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48" name="TextBox 447">
            <a:extLst>
              <a:ext uri="{FF2B5EF4-FFF2-40B4-BE49-F238E27FC236}">
                <a16:creationId xmlns:a16="http://schemas.microsoft.com/office/drawing/2014/main" id="{65EE48E0-5F28-4703-AB90-51A57073257D}"/>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16</xdr:col>
      <xdr:colOff>33686</xdr:colOff>
      <xdr:row>27</xdr:row>
      <xdr:rowOff>30202</xdr:rowOff>
    </xdr:from>
    <xdr:to>
      <xdr:col>16</xdr:col>
      <xdr:colOff>470906</xdr:colOff>
      <xdr:row>29</xdr:row>
      <xdr:rowOff>69231</xdr:rowOff>
    </xdr:to>
    <xdr:grpSp>
      <xdr:nvGrpSpPr>
        <xdr:cNvPr id="449" name="Group 448">
          <a:extLst>
            <a:ext uri="{FF2B5EF4-FFF2-40B4-BE49-F238E27FC236}">
              <a16:creationId xmlns:a16="http://schemas.microsoft.com/office/drawing/2014/main" id="{0E0AC77C-B055-4370-81F4-0BC601297113}"/>
            </a:ext>
          </a:extLst>
        </xdr:cNvPr>
        <xdr:cNvGrpSpPr/>
      </xdr:nvGrpSpPr>
      <xdr:grpSpPr>
        <a:xfrm>
          <a:off x="9787286" y="5173702"/>
          <a:ext cx="437220" cy="420029"/>
          <a:chOff x="8657296" y="3322135"/>
          <a:chExt cx="437220" cy="410736"/>
        </a:xfrm>
      </xdr:grpSpPr>
      <xdr:sp macro="" textlink="'pivot tables'!BH10">
        <xdr:nvSpPr>
          <xdr:cNvPr id="450" name="TextBox 449">
            <a:extLst>
              <a:ext uri="{FF2B5EF4-FFF2-40B4-BE49-F238E27FC236}">
                <a16:creationId xmlns:a16="http://schemas.microsoft.com/office/drawing/2014/main" id="{4379FD53-291C-4438-A654-3E26C65C046C}"/>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51" name="TextBox 450">
            <a:extLst>
              <a:ext uri="{FF2B5EF4-FFF2-40B4-BE49-F238E27FC236}">
                <a16:creationId xmlns:a16="http://schemas.microsoft.com/office/drawing/2014/main" id="{3473A30B-8127-43F9-B556-081D470294E8}"/>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16</xdr:col>
      <xdr:colOff>186086</xdr:colOff>
      <xdr:row>27</xdr:row>
      <xdr:rowOff>182602</xdr:rowOff>
    </xdr:from>
    <xdr:to>
      <xdr:col>17</xdr:col>
      <xdr:colOff>19281</xdr:colOff>
      <xdr:row>30</xdr:row>
      <xdr:rowOff>35777</xdr:rowOff>
    </xdr:to>
    <xdr:grpSp>
      <xdr:nvGrpSpPr>
        <xdr:cNvPr id="452" name="Group 451">
          <a:extLst>
            <a:ext uri="{FF2B5EF4-FFF2-40B4-BE49-F238E27FC236}">
              <a16:creationId xmlns:a16="http://schemas.microsoft.com/office/drawing/2014/main" id="{05E6FB3C-A297-465D-AC15-75912A5DB777}"/>
            </a:ext>
          </a:extLst>
        </xdr:cNvPr>
        <xdr:cNvGrpSpPr/>
      </xdr:nvGrpSpPr>
      <xdr:grpSpPr>
        <a:xfrm>
          <a:off x="9939686" y="5326102"/>
          <a:ext cx="442795" cy="424675"/>
          <a:chOff x="8657296" y="3322135"/>
          <a:chExt cx="437220" cy="410736"/>
        </a:xfrm>
      </xdr:grpSpPr>
      <xdr:sp macro="" textlink="'pivot tables'!BH10">
        <xdr:nvSpPr>
          <xdr:cNvPr id="453" name="TextBox 452">
            <a:extLst>
              <a:ext uri="{FF2B5EF4-FFF2-40B4-BE49-F238E27FC236}">
                <a16:creationId xmlns:a16="http://schemas.microsoft.com/office/drawing/2014/main" id="{0D25F48F-B4DD-4A49-A04B-2B01E91E4951}"/>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54" name="TextBox 453">
            <a:extLst>
              <a:ext uri="{FF2B5EF4-FFF2-40B4-BE49-F238E27FC236}">
                <a16:creationId xmlns:a16="http://schemas.microsoft.com/office/drawing/2014/main" id="{3DE9C2F0-7BC0-47A4-83AC-4665843FD5AD}"/>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16</xdr:col>
      <xdr:colOff>303638</xdr:colOff>
      <xdr:row>27</xdr:row>
      <xdr:rowOff>9758</xdr:rowOff>
    </xdr:from>
    <xdr:to>
      <xdr:col>17</xdr:col>
      <xdr:colOff>136833</xdr:colOff>
      <xdr:row>29</xdr:row>
      <xdr:rowOff>48787</xdr:rowOff>
    </xdr:to>
    <xdr:grpSp>
      <xdr:nvGrpSpPr>
        <xdr:cNvPr id="455" name="Group 454">
          <a:extLst>
            <a:ext uri="{FF2B5EF4-FFF2-40B4-BE49-F238E27FC236}">
              <a16:creationId xmlns:a16="http://schemas.microsoft.com/office/drawing/2014/main" id="{BECDC143-37E8-4685-9DA3-9FE20DF8560D}"/>
            </a:ext>
          </a:extLst>
        </xdr:cNvPr>
        <xdr:cNvGrpSpPr/>
      </xdr:nvGrpSpPr>
      <xdr:grpSpPr>
        <a:xfrm>
          <a:off x="10057238" y="5153258"/>
          <a:ext cx="442795" cy="420029"/>
          <a:chOff x="8657296" y="3322135"/>
          <a:chExt cx="437220" cy="410736"/>
        </a:xfrm>
      </xdr:grpSpPr>
      <xdr:sp macro="" textlink="'pivot tables'!BH10">
        <xdr:nvSpPr>
          <xdr:cNvPr id="456" name="TextBox 455">
            <a:extLst>
              <a:ext uri="{FF2B5EF4-FFF2-40B4-BE49-F238E27FC236}">
                <a16:creationId xmlns:a16="http://schemas.microsoft.com/office/drawing/2014/main" id="{E5207B4A-A3EC-4C55-9DB0-DD91E0C53213}"/>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57" name="TextBox 456">
            <a:extLst>
              <a:ext uri="{FF2B5EF4-FFF2-40B4-BE49-F238E27FC236}">
                <a16:creationId xmlns:a16="http://schemas.microsoft.com/office/drawing/2014/main" id="{3D86825C-1B3C-47A0-966B-A3FC5A0DDCFD}"/>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16</xdr:col>
      <xdr:colOff>456038</xdr:colOff>
      <xdr:row>27</xdr:row>
      <xdr:rowOff>162158</xdr:rowOff>
    </xdr:from>
    <xdr:to>
      <xdr:col>17</xdr:col>
      <xdr:colOff>289233</xdr:colOff>
      <xdr:row>30</xdr:row>
      <xdr:rowOff>15333</xdr:rowOff>
    </xdr:to>
    <xdr:grpSp>
      <xdr:nvGrpSpPr>
        <xdr:cNvPr id="458" name="Group 457">
          <a:extLst>
            <a:ext uri="{FF2B5EF4-FFF2-40B4-BE49-F238E27FC236}">
              <a16:creationId xmlns:a16="http://schemas.microsoft.com/office/drawing/2014/main" id="{56D2ECC9-7549-4649-AA68-87FC6FF85922}"/>
            </a:ext>
          </a:extLst>
        </xdr:cNvPr>
        <xdr:cNvGrpSpPr/>
      </xdr:nvGrpSpPr>
      <xdr:grpSpPr>
        <a:xfrm>
          <a:off x="10209638" y="5305658"/>
          <a:ext cx="442795" cy="424675"/>
          <a:chOff x="8657296" y="3322135"/>
          <a:chExt cx="437220" cy="410736"/>
        </a:xfrm>
      </xdr:grpSpPr>
      <xdr:sp macro="" textlink="'pivot tables'!BH10">
        <xdr:nvSpPr>
          <xdr:cNvPr id="459" name="TextBox 458">
            <a:extLst>
              <a:ext uri="{FF2B5EF4-FFF2-40B4-BE49-F238E27FC236}">
                <a16:creationId xmlns:a16="http://schemas.microsoft.com/office/drawing/2014/main" id="{027B69BA-4E67-4FC9-96C8-9FC6559BBA80}"/>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60" name="TextBox 459">
            <a:extLst>
              <a:ext uri="{FF2B5EF4-FFF2-40B4-BE49-F238E27FC236}">
                <a16:creationId xmlns:a16="http://schemas.microsoft.com/office/drawing/2014/main" id="{8D12A289-5FF9-470C-BAAF-4203C98D0787}"/>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15</xdr:col>
      <xdr:colOff>132187</xdr:colOff>
      <xdr:row>27</xdr:row>
      <xdr:rowOff>175168</xdr:rowOff>
    </xdr:from>
    <xdr:to>
      <xdr:col>15</xdr:col>
      <xdr:colOff>569407</xdr:colOff>
      <xdr:row>30</xdr:row>
      <xdr:rowOff>28343</xdr:rowOff>
    </xdr:to>
    <xdr:grpSp>
      <xdr:nvGrpSpPr>
        <xdr:cNvPr id="461" name="Group 460">
          <a:extLst>
            <a:ext uri="{FF2B5EF4-FFF2-40B4-BE49-F238E27FC236}">
              <a16:creationId xmlns:a16="http://schemas.microsoft.com/office/drawing/2014/main" id="{E2E45500-F721-4517-AF3C-9A454B252EEE}"/>
            </a:ext>
          </a:extLst>
        </xdr:cNvPr>
        <xdr:cNvGrpSpPr/>
      </xdr:nvGrpSpPr>
      <xdr:grpSpPr>
        <a:xfrm>
          <a:off x="9276187" y="5318668"/>
          <a:ext cx="437220" cy="424675"/>
          <a:chOff x="8657296" y="3322135"/>
          <a:chExt cx="437220" cy="410736"/>
        </a:xfrm>
      </xdr:grpSpPr>
      <xdr:sp macro="" textlink="'pivot tables'!BH10">
        <xdr:nvSpPr>
          <xdr:cNvPr id="462" name="TextBox 461">
            <a:extLst>
              <a:ext uri="{FF2B5EF4-FFF2-40B4-BE49-F238E27FC236}">
                <a16:creationId xmlns:a16="http://schemas.microsoft.com/office/drawing/2014/main" id="{86A0D2D7-D403-4682-8A86-751BBBE08924}"/>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63" name="TextBox 462">
            <a:extLst>
              <a:ext uri="{FF2B5EF4-FFF2-40B4-BE49-F238E27FC236}">
                <a16:creationId xmlns:a16="http://schemas.microsoft.com/office/drawing/2014/main" id="{532945FC-1D12-4CA9-8A86-B2EF06BFA370}"/>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15</xdr:col>
      <xdr:colOff>284587</xdr:colOff>
      <xdr:row>28</xdr:row>
      <xdr:rowOff>141715</xdr:rowOff>
    </xdr:from>
    <xdr:to>
      <xdr:col>16</xdr:col>
      <xdr:colOff>117783</xdr:colOff>
      <xdr:row>30</xdr:row>
      <xdr:rowOff>180743</xdr:rowOff>
    </xdr:to>
    <xdr:grpSp>
      <xdr:nvGrpSpPr>
        <xdr:cNvPr id="464" name="Group 463">
          <a:extLst>
            <a:ext uri="{FF2B5EF4-FFF2-40B4-BE49-F238E27FC236}">
              <a16:creationId xmlns:a16="http://schemas.microsoft.com/office/drawing/2014/main" id="{71271225-A973-4DBE-B359-F4FEDC93C39D}"/>
            </a:ext>
          </a:extLst>
        </xdr:cNvPr>
        <xdr:cNvGrpSpPr/>
      </xdr:nvGrpSpPr>
      <xdr:grpSpPr>
        <a:xfrm>
          <a:off x="9428587" y="5475715"/>
          <a:ext cx="442796" cy="420028"/>
          <a:chOff x="8657296" y="3322135"/>
          <a:chExt cx="437220" cy="410736"/>
        </a:xfrm>
      </xdr:grpSpPr>
      <xdr:sp macro="" textlink="'pivot tables'!BH10">
        <xdr:nvSpPr>
          <xdr:cNvPr id="465" name="TextBox 464">
            <a:extLst>
              <a:ext uri="{FF2B5EF4-FFF2-40B4-BE49-F238E27FC236}">
                <a16:creationId xmlns:a16="http://schemas.microsoft.com/office/drawing/2014/main" id="{8BB3E057-CF10-4C85-981F-5B226CBDBEC0}"/>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66" name="TextBox 465">
            <a:extLst>
              <a:ext uri="{FF2B5EF4-FFF2-40B4-BE49-F238E27FC236}">
                <a16:creationId xmlns:a16="http://schemas.microsoft.com/office/drawing/2014/main" id="{B6F67AD4-7AD3-49E1-9A5D-9783000789E1}"/>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15</xdr:col>
      <xdr:colOff>65279</xdr:colOff>
      <xdr:row>26</xdr:row>
      <xdr:rowOff>38565</xdr:rowOff>
    </xdr:from>
    <xdr:to>
      <xdr:col>15</xdr:col>
      <xdr:colOff>502499</xdr:colOff>
      <xdr:row>28</xdr:row>
      <xdr:rowOff>77594</xdr:rowOff>
    </xdr:to>
    <xdr:grpSp>
      <xdr:nvGrpSpPr>
        <xdr:cNvPr id="467" name="Group 466">
          <a:extLst>
            <a:ext uri="{FF2B5EF4-FFF2-40B4-BE49-F238E27FC236}">
              <a16:creationId xmlns:a16="http://schemas.microsoft.com/office/drawing/2014/main" id="{E572D2EB-930A-4B4E-925C-9A7F0825BA98}"/>
            </a:ext>
          </a:extLst>
        </xdr:cNvPr>
        <xdr:cNvGrpSpPr/>
      </xdr:nvGrpSpPr>
      <xdr:grpSpPr>
        <a:xfrm>
          <a:off x="9209279" y="4991565"/>
          <a:ext cx="437220" cy="420029"/>
          <a:chOff x="8657296" y="3322135"/>
          <a:chExt cx="437220" cy="410736"/>
        </a:xfrm>
      </xdr:grpSpPr>
      <xdr:sp macro="" textlink="'pivot tables'!BH10">
        <xdr:nvSpPr>
          <xdr:cNvPr id="468" name="TextBox 467">
            <a:extLst>
              <a:ext uri="{FF2B5EF4-FFF2-40B4-BE49-F238E27FC236}">
                <a16:creationId xmlns:a16="http://schemas.microsoft.com/office/drawing/2014/main" id="{DFCB927C-C34F-4E44-9488-E6E9827EA82D}"/>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69" name="TextBox 468">
            <a:extLst>
              <a:ext uri="{FF2B5EF4-FFF2-40B4-BE49-F238E27FC236}">
                <a16:creationId xmlns:a16="http://schemas.microsoft.com/office/drawing/2014/main" id="{9E2D3C49-D9AE-49D1-A289-9E86C5CB9879}"/>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21</xdr:col>
      <xdr:colOff>496460</xdr:colOff>
      <xdr:row>11</xdr:row>
      <xdr:rowOff>144502</xdr:rowOff>
    </xdr:from>
    <xdr:to>
      <xdr:col>22</xdr:col>
      <xdr:colOff>329655</xdr:colOff>
      <xdr:row>13</xdr:row>
      <xdr:rowOff>183530</xdr:rowOff>
    </xdr:to>
    <xdr:grpSp>
      <xdr:nvGrpSpPr>
        <xdr:cNvPr id="470" name="Group 469">
          <a:extLst>
            <a:ext uri="{FF2B5EF4-FFF2-40B4-BE49-F238E27FC236}">
              <a16:creationId xmlns:a16="http://schemas.microsoft.com/office/drawing/2014/main" id="{56AE6F57-6189-4400-92A3-451E3249FD0A}"/>
            </a:ext>
          </a:extLst>
        </xdr:cNvPr>
        <xdr:cNvGrpSpPr/>
      </xdr:nvGrpSpPr>
      <xdr:grpSpPr>
        <a:xfrm>
          <a:off x="13298060" y="2240002"/>
          <a:ext cx="442795" cy="420028"/>
          <a:chOff x="8657296" y="3322135"/>
          <a:chExt cx="437220" cy="410736"/>
        </a:xfrm>
      </xdr:grpSpPr>
      <xdr:sp macro="" textlink="'pivot tables'!BH10">
        <xdr:nvSpPr>
          <xdr:cNvPr id="471" name="TextBox 470">
            <a:extLst>
              <a:ext uri="{FF2B5EF4-FFF2-40B4-BE49-F238E27FC236}">
                <a16:creationId xmlns:a16="http://schemas.microsoft.com/office/drawing/2014/main" id="{D3CA1722-C58D-4322-9CC3-CD2C02EF9B48}"/>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72" name="TextBox 471">
            <a:extLst>
              <a:ext uri="{FF2B5EF4-FFF2-40B4-BE49-F238E27FC236}">
                <a16:creationId xmlns:a16="http://schemas.microsoft.com/office/drawing/2014/main" id="{141C3A77-8535-4CA1-ABFA-D1D2133EE506}"/>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22</xdr:col>
      <xdr:colOff>44835</xdr:colOff>
      <xdr:row>12</xdr:row>
      <xdr:rowOff>111048</xdr:rowOff>
    </xdr:from>
    <xdr:to>
      <xdr:col>22</xdr:col>
      <xdr:colOff>482055</xdr:colOff>
      <xdr:row>14</xdr:row>
      <xdr:rowOff>150077</xdr:rowOff>
    </xdr:to>
    <xdr:grpSp>
      <xdr:nvGrpSpPr>
        <xdr:cNvPr id="473" name="Group 472">
          <a:extLst>
            <a:ext uri="{FF2B5EF4-FFF2-40B4-BE49-F238E27FC236}">
              <a16:creationId xmlns:a16="http://schemas.microsoft.com/office/drawing/2014/main" id="{CDFB0AB0-645A-4002-AD04-A44CF76D8792}"/>
            </a:ext>
          </a:extLst>
        </xdr:cNvPr>
        <xdr:cNvGrpSpPr/>
      </xdr:nvGrpSpPr>
      <xdr:grpSpPr>
        <a:xfrm>
          <a:off x="13456035" y="2397048"/>
          <a:ext cx="437220" cy="420029"/>
          <a:chOff x="8657296" y="3322135"/>
          <a:chExt cx="437220" cy="410736"/>
        </a:xfrm>
      </xdr:grpSpPr>
      <xdr:sp macro="" textlink="'pivot tables'!BH10">
        <xdr:nvSpPr>
          <xdr:cNvPr id="474" name="TextBox 473">
            <a:extLst>
              <a:ext uri="{FF2B5EF4-FFF2-40B4-BE49-F238E27FC236}">
                <a16:creationId xmlns:a16="http://schemas.microsoft.com/office/drawing/2014/main" id="{C7B8F243-8084-458B-AA26-02B0F02BA91B}"/>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75" name="TextBox 474">
            <a:extLst>
              <a:ext uri="{FF2B5EF4-FFF2-40B4-BE49-F238E27FC236}">
                <a16:creationId xmlns:a16="http://schemas.microsoft.com/office/drawing/2014/main" id="{490CD460-82F9-443C-8BCB-47ABABF68862}"/>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21</xdr:col>
      <xdr:colOff>348242</xdr:colOff>
      <xdr:row>12</xdr:row>
      <xdr:rowOff>124058</xdr:rowOff>
    </xdr:from>
    <xdr:to>
      <xdr:col>22</xdr:col>
      <xdr:colOff>181437</xdr:colOff>
      <xdr:row>14</xdr:row>
      <xdr:rowOff>163087</xdr:rowOff>
    </xdr:to>
    <xdr:grpSp>
      <xdr:nvGrpSpPr>
        <xdr:cNvPr id="476" name="Group 475">
          <a:extLst>
            <a:ext uri="{FF2B5EF4-FFF2-40B4-BE49-F238E27FC236}">
              <a16:creationId xmlns:a16="http://schemas.microsoft.com/office/drawing/2014/main" id="{05FE6961-74C1-4A63-9856-D9FB0905E75F}"/>
            </a:ext>
          </a:extLst>
        </xdr:cNvPr>
        <xdr:cNvGrpSpPr/>
      </xdr:nvGrpSpPr>
      <xdr:grpSpPr>
        <a:xfrm>
          <a:off x="13149842" y="2410058"/>
          <a:ext cx="442795" cy="420029"/>
          <a:chOff x="8657296" y="3322135"/>
          <a:chExt cx="437220" cy="410736"/>
        </a:xfrm>
      </xdr:grpSpPr>
      <xdr:sp macro="" textlink="'pivot tables'!BH10">
        <xdr:nvSpPr>
          <xdr:cNvPr id="477" name="TextBox 476">
            <a:extLst>
              <a:ext uri="{FF2B5EF4-FFF2-40B4-BE49-F238E27FC236}">
                <a16:creationId xmlns:a16="http://schemas.microsoft.com/office/drawing/2014/main" id="{56E83C70-1DD8-4AC5-8537-374DE2CBF8DA}"/>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78" name="TextBox 477">
            <a:extLst>
              <a:ext uri="{FF2B5EF4-FFF2-40B4-BE49-F238E27FC236}">
                <a16:creationId xmlns:a16="http://schemas.microsoft.com/office/drawing/2014/main" id="{06B7D0EB-9B9D-461B-8A0D-2D26B9D2CD0C}"/>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21</xdr:col>
      <xdr:colOff>500642</xdr:colOff>
      <xdr:row>13</xdr:row>
      <xdr:rowOff>90604</xdr:rowOff>
    </xdr:from>
    <xdr:to>
      <xdr:col>22</xdr:col>
      <xdr:colOff>333837</xdr:colOff>
      <xdr:row>15</xdr:row>
      <xdr:rowOff>129633</xdr:rowOff>
    </xdr:to>
    <xdr:grpSp>
      <xdr:nvGrpSpPr>
        <xdr:cNvPr id="479" name="Group 478">
          <a:extLst>
            <a:ext uri="{FF2B5EF4-FFF2-40B4-BE49-F238E27FC236}">
              <a16:creationId xmlns:a16="http://schemas.microsoft.com/office/drawing/2014/main" id="{9B52DD38-35DA-415D-923A-14D982E03BEE}"/>
            </a:ext>
          </a:extLst>
        </xdr:cNvPr>
        <xdr:cNvGrpSpPr/>
      </xdr:nvGrpSpPr>
      <xdr:grpSpPr>
        <a:xfrm>
          <a:off x="13302242" y="2567104"/>
          <a:ext cx="442795" cy="420029"/>
          <a:chOff x="8657296" y="3322135"/>
          <a:chExt cx="437220" cy="410736"/>
        </a:xfrm>
      </xdr:grpSpPr>
      <xdr:sp macro="" textlink="'pivot tables'!BH10">
        <xdr:nvSpPr>
          <xdr:cNvPr id="480" name="TextBox 479">
            <a:extLst>
              <a:ext uri="{FF2B5EF4-FFF2-40B4-BE49-F238E27FC236}">
                <a16:creationId xmlns:a16="http://schemas.microsoft.com/office/drawing/2014/main" id="{2DA49026-7AE7-4757-AF26-BC96AB6CB21E}"/>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81" name="TextBox 480">
            <a:extLst>
              <a:ext uri="{FF2B5EF4-FFF2-40B4-BE49-F238E27FC236}">
                <a16:creationId xmlns:a16="http://schemas.microsoft.com/office/drawing/2014/main" id="{8F4DB36E-207A-4644-A69D-DD9B0F1FAAA5}"/>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21</xdr:col>
      <xdr:colOff>83865</xdr:colOff>
      <xdr:row>12</xdr:row>
      <xdr:rowOff>184925</xdr:rowOff>
    </xdr:from>
    <xdr:to>
      <xdr:col>21</xdr:col>
      <xdr:colOff>521085</xdr:colOff>
      <xdr:row>15</xdr:row>
      <xdr:rowOff>38100</xdr:rowOff>
    </xdr:to>
    <xdr:grpSp>
      <xdr:nvGrpSpPr>
        <xdr:cNvPr id="482" name="Group 481">
          <a:extLst>
            <a:ext uri="{FF2B5EF4-FFF2-40B4-BE49-F238E27FC236}">
              <a16:creationId xmlns:a16="http://schemas.microsoft.com/office/drawing/2014/main" id="{6CF4EAE2-39A5-4C51-962F-ACA3E56B6182}"/>
            </a:ext>
          </a:extLst>
        </xdr:cNvPr>
        <xdr:cNvGrpSpPr/>
      </xdr:nvGrpSpPr>
      <xdr:grpSpPr>
        <a:xfrm>
          <a:off x="12885465" y="2470925"/>
          <a:ext cx="437220" cy="424675"/>
          <a:chOff x="8657296" y="3322135"/>
          <a:chExt cx="437220" cy="410736"/>
        </a:xfrm>
      </xdr:grpSpPr>
      <xdr:sp macro="" textlink="'pivot tables'!BH10">
        <xdr:nvSpPr>
          <xdr:cNvPr id="483" name="TextBox 482">
            <a:extLst>
              <a:ext uri="{FF2B5EF4-FFF2-40B4-BE49-F238E27FC236}">
                <a16:creationId xmlns:a16="http://schemas.microsoft.com/office/drawing/2014/main" id="{DE09E7A6-83A3-404A-A4A1-477F385244E3}"/>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84" name="TextBox 483">
            <a:extLst>
              <a:ext uri="{FF2B5EF4-FFF2-40B4-BE49-F238E27FC236}">
                <a16:creationId xmlns:a16="http://schemas.microsoft.com/office/drawing/2014/main" id="{F568FD57-2A81-4E80-8901-0258BFDD359F}"/>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21</xdr:col>
      <xdr:colOff>236265</xdr:colOff>
      <xdr:row>13</xdr:row>
      <xdr:rowOff>151471</xdr:rowOff>
    </xdr:from>
    <xdr:to>
      <xdr:col>22</xdr:col>
      <xdr:colOff>69460</xdr:colOff>
      <xdr:row>16</xdr:row>
      <xdr:rowOff>4646</xdr:rowOff>
    </xdr:to>
    <xdr:grpSp>
      <xdr:nvGrpSpPr>
        <xdr:cNvPr id="485" name="Group 484">
          <a:extLst>
            <a:ext uri="{FF2B5EF4-FFF2-40B4-BE49-F238E27FC236}">
              <a16:creationId xmlns:a16="http://schemas.microsoft.com/office/drawing/2014/main" id="{9F2D0DFF-33BC-485D-BCEA-27C514CBF3FE}"/>
            </a:ext>
          </a:extLst>
        </xdr:cNvPr>
        <xdr:cNvGrpSpPr/>
      </xdr:nvGrpSpPr>
      <xdr:grpSpPr>
        <a:xfrm>
          <a:off x="13037865" y="2627971"/>
          <a:ext cx="442795" cy="424675"/>
          <a:chOff x="8657296" y="3322135"/>
          <a:chExt cx="437220" cy="410736"/>
        </a:xfrm>
      </xdr:grpSpPr>
      <xdr:sp macro="" textlink="'pivot tables'!BH10">
        <xdr:nvSpPr>
          <xdr:cNvPr id="486" name="TextBox 485">
            <a:extLst>
              <a:ext uri="{FF2B5EF4-FFF2-40B4-BE49-F238E27FC236}">
                <a16:creationId xmlns:a16="http://schemas.microsoft.com/office/drawing/2014/main" id="{9383FF27-1DDD-4936-A0CA-C8C4D5F38165}"/>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87" name="TextBox 486">
            <a:extLst>
              <a:ext uri="{FF2B5EF4-FFF2-40B4-BE49-F238E27FC236}">
                <a16:creationId xmlns:a16="http://schemas.microsoft.com/office/drawing/2014/main" id="{8F257C95-892E-4FBE-895A-A5EE86ABDC13}"/>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21</xdr:col>
      <xdr:colOff>86653</xdr:colOff>
      <xdr:row>11</xdr:row>
      <xdr:rowOff>1860</xdr:rowOff>
    </xdr:from>
    <xdr:to>
      <xdr:col>21</xdr:col>
      <xdr:colOff>523873</xdr:colOff>
      <xdr:row>13</xdr:row>
      <xdr:rowOff>40888</xdr:rowOff>
    </xdr:to>
    <xdr:grpSp>
      <xdr:nvGrpSpPr>
        <xdr:cNvPr id="488" name="Group 487">
          <a:extLst>
            <a:ext uri="{FF2B5EF4-FFF2-40B4-BE49-F238E27FC236}">
              <a16:creationId xmlns:a16="http://schemas.microsoft.com/office/drawing/2014/main" id="{BFF1DE26-4AF3-4335-8EDE-A0BCAAEFB297}"/>
            </a:ext>
          </a:extLst>
        </xdr:cNvPr>
        <xdr:cNvGrpSpPr/>
      </xdr:nvGrpSpPr>
      <xdr:grpSpPr>
        <a:xfrm>
          <a:off x="12888253" y="2097360"/>
          <a:ext cx="437220" cy="420028"/>
          <a:chOff x="8657296" y="3322135"/>
          <a:chExt cx="437220" cy="410736"/>
        </a:xfrm>
      </xdr:grpSpPr>
      <xdr:sp macro="" textlink="'pivot tables'!BH10">
        <xdr:nvSpPr>
          <xdr:cNvPr id="489" name="TextBox 488">
            <a:extLst>
              <a:ext uri="{FF2B5EF4-FFF2-40B4-BE49-F238E27FC236}">
                <a16:creationId xmlns:a16="http://schemas.microsoft.com/office/drawing/2014/main" id="{277F3A5E-D941-4497-ACB6-9DB33D505DBA}"/>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90" name="TextBox 489">
            <a:extLst>
              <a:ext uri="{FF2B5EF4-FFF2-40B4-BE49-F238E27FC236}">
                <a16:creationId xmlns:a16="http://schemas.microsoft.com/office/drawing/2014/main" id="{9976F991-5814-4092-8662-E052ACD0A8D3}"/>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20</xdr:col>
      <xdr:colOff>320363</xdr:colOff>
      <xdr:row>12</xdr:row>
      <xdr:rowOff>84564</xdr:rowOff>
    </xdr:from>
    <xdr:to>
      <xdr:col>21</xdr:col>
      <xdr:colOff>153559</xdr:colOff>
      <xdr:row>14</xdr:row>
      <xdr:rowOff>123593</xdr:rowOff>
    </xdr:to>
    <xdr:grpSp>
      <xdr:nvGrpSpPr>
        <xdr:cNvPr id="491" name="Group 490">
          <a:extLst>
            <a:ext uri="{FF2B5EF4-FFF2-40B4-BE49-F238E27FC236}">
              <a16:creationId xmlns:a16="http://schemas.microsoft.com/office/drawing/2014/main" id="{576FF6AE-AB77-40A3-9196-CEA9A8E6EED8}"/>
            </a:ext>
          </a:extLst>
        </xdr:cNvPr>
        <xdr:cNvGrpSpPr/>
      </xdr:nvGrpSpPr>
      <xdr:grpSpPr>
        <a:xfrm>
          <a:off x="12512363" y="2370564"/>
          <a:ext cx="442796" cy="420029"/>
          <a:chOff x="8657296" y="3322135"/>
          <a:chExt cx="437220" cy="410736"/>
        </a:xfrm>
      </xdr:grpSpPr>
      <xdr:sp macro="" textlink="'pivot tables'!BH10">
        <xdr:nvSpPr>
          <xdr:cNvPr id="492" name="TextBox 491">
            <a:extLst>
              <a:ext uri="{FF2B5EF4-FFF2-40B4-BE49-F238E27FC236}">
                <a16:creationId xmlns:a16="http://schemas.microsoft.com/office/drawing/2014/main" id="{555D4A45-3B6F-41CC-9381-AFC95920C6C2}"/>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93" name="TextBox 492">
            <a:extLst>
              <a:ext uri="{FF2B5EF4-FFF2-40B4-BE49-F238E27FC236}">
                <a16:creationId xmlns:a16="http://schemas.microsoft.com/office/drawing/2014/main" id="{3D3A3A5B-9C3C-4556-A82A-8DA1462E84CE}"/>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20</xdr:col>
      <xdr:colOff>472763</xdr:colOff>
      <xdr:row>13</xdr:row>
      <xdr:rowOff>51110</xdr:rowOff>
    </xdr:from>
    <xdr:to>
      <xdr:col>21</xdr:col>
      <xdr:colOff>305959</xdr:colOff>
      <xdr:row>15</xdr:row>
      <xdr:rowOff>90139</xdr:rowOff>
    </xdr:to>
    <xdr:grpSp>
      <xdr:nvGrpSpPr>
        <xdr:cNvPr id="494" name="Group 493">
          <a:extLst>
            <a:ext uri="{FF2B5EF4-FFF2-40B4-BE49-F238E27FC236}">
              <a16:creationId xmlns:a16="http://schemas.microsoft.com/office/drawing/2014/main" id="{BD95F1EB-87CB-46BA-981B-007F85A9CBD8}"/>
            </a:ext>
          </a:extLst>
        </xdr:cNvPr>
        <xdr:cNvGrpSpPr/>
      </xdr:nvGrpSpPr>
      <xdr:grpSpPr>
        <a:xfrm>
          <a:off x="12664763" y="2527610"/>
          <a:ext cx="442796" cy="420029"/>
          <a:chOff x="8657296" y="3322135"/>
          <a:chExt cx="437220" cy="410736"/>
        </a:xfrm>
      </xdr:grpSpPr>
      <xdr:sp macro="" textlink="'pivot tables'!BH10">
        <xdr:nvSpPr>
          <xdr:cNvPr id="495" name="TextBox 494">
            <a:extLst>
              <a:ext uri="{FF2B5EF4-FFF2-40B4-BE49-F238E27FC236}">
                <a16:creationId xmlns:a16="http://schemas.microsoft.com/office/drawing/2014/main" id="{EC54E976-E14F-449F-8607-CC8CB5BA5802}"/>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96" name="TextBox 495">
            <a:extLst>
              <a:ext uri="{FF2B5EF4-FFF2-40B4-BE49-F238E27FC236}">
                <a16:creationId xmlns:a16="http://schemas.microsoft.com/office/drawing/2014/main" id="{AE4830FE-0E1F-4A61-9594-023923984879}"/>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21</xdr:col>
      <xdr:colOff>21139</xdr:colOff>
      <xdr:row>14</xdr:row>
      <xdr:rowOff>17657</xdr:rowOff>
    </xdr:from>
    <xdr:to>
      <xdr:col>21</xdr:col>
      <xdr:colOff>458359</xdr:colOff>
      <xdr:row>16</xdr:row>
      <xdr:rowOff>56685</xdr:rowOff>
    </xdr:to>
    <xdr:grpSp>
      <xdr:nvGrpSpPr>
        <xdr:cNvPr id="497" name="Group 496">
          <a:extLst>
            <a:ext uri="{FF2B5EF4-FFF2-40B4-BE49-F238E27FC236}">
              <a16:creationId xmlns:a16="http://schemas.microsoft.com/office/drawing/2014/main" id="{04B3BE53-E251-4C3A-B3C9-7B2B52F94834}"/>
            </a:ext>
          </a:extLst>
        </xdr:cNvPr>
        <xdr:cNvGrpSpPr/>
      </xdr:nvGrpSpPr>
      <xdr:grpSpPr>
        <a:xfrm>
          <a:off x="12822739" y="2684657"/>
          <a:ext cx="437220" cy="420028"/>
          <a:chOff x="8657296" y="3322135"/>
          <a:chExt cx="437220" cy="410736"/>
        </a:xfrm>
      </xdr:grpSpPr>
      <xdr:sp macro="" textlink="'pivot tables'!BH10">
        <xdr:nvSpPr>
          <xdr:cNvPr id="498" name="TextBox 497">
            <a:extLst>
              <a:ext uri="{FF2B5EF4-FFF2-40B4-BE49-F238E27FC236}">
                <a16:creationId xmlns:a16="http://schemas.microsoft.com/office/drawing/2014/main" id="{5E2A9E92-2258-45C3-99B4-6A87127DA3EF}"/>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499" name="TextBox 498">
            <a:extLst>
              <a:ext uri="{FF2B5EF4-FFF2-40B4-BE49-F238E27FC236}">
                <a16:creationId xmlns:a16="http://schemas.microsoft.com/office/drawing/2014/main" id="{88EDED97-5FBC-42DD-9079-1A4F19AA8DB5}"/>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21</xdr:col>
      <xdr:colOff>239053</xdr:colOff>
      <xdr:row>11</xdr:row>
      <xdr:rowOff>154260</xdr:rowOff>
    </xdr:from>
    <xdr:to>
      <xdr:col>22</xdr:col>
      <xdr:colOff>72248</xdr:colOff>
      <xdr:row>14</xdr:row>
      <xdr:rowOff>7435</xdr:rowOff>
    </xdr:to>
    <xdr:grpSp>
      <xdr:nvGrpSpPr>
        <xdr:cNvPr id="500" name="Group 499">
          <a:extLst>
            <a:ext uri="{FF2B5EF4-FFF2-40B4-BE49-F238E27FC236}">
              <a16:creationId xmlns:a16="http://schemas.microsoft.com/office/drawing/2014/main" id="{AF4D1FB2-8267-4E4A-B0F1-C1116794A92E}"/>
            </a:ext>
          </a:extLst>
        </xdr:cNvPr>
        <xdr:cNvGrpSpPr/>
      </xdr:nvGrpSpPr>
      <xdr:grpSpPr>
        <a:xfrm>
          <a:off x="13040653" y="2249760"/>
          <a:ext cx="442795" cy="424675"/>
          <a:chOff x="8657296" y="3322135"/>
          <a:chExt cx="437220" cy="410736"/>
        </a:xfrm>
      </xdr:grpSpPr>
      <xdr:sp macro="" textlink="'pivot tables'!BH10">
        <xdr:nvSpPr>
          <xdr:cNvPr id="501" name="TextBox 500">
            <a:extLst>
              <a:ext uri="{FF2B5EF4-FFF2-40B4-BE49-F238E27FC236}">
                <a16:creationId xmlns:a16="http://schemas.microsoft.com/office/drawing/2014/main" id="{4C615912-C15B-44EC-9E11-57949B15CDFF}"/>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02" name="TextBox 501">
            <a:extLst>
              <a:ext uri="{FF2B5EF4-FFF2-40B4-BE49-F238E27FC236}">
                <a16:creationId xmlns:a16="http://schemas.microsoft.com/office/drawing/2014/main" id="{474CD96E-DD7B-46E5-86E5-B2B0D3330644}"/>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20</xdr:col>
      <xdr:colOff>507611</xdr:colOff>
      <xdr:row>11</xdr:row>
      <xdr:rowOff>167269</xdr:rowOff>
    </xdr:from>
    <xdr:to>
      <xdr:col>21</xdr:col>
      <xdr:colOff>340807</xdr:colOff>
      <xdr:row>14</xdr:row>
      <xdr:rowOff>20444</xdr:rowOff>
    </xdr:to>
    <xdr:grpSp>
      <xdr:nvGrpSpPr>
        <xdr:cNvPr id="503" name="Group 502">
          <a:extLst>
            <a:ext uri="{FF2B5EF4-FFF2-40B4-BE49-F238E27FC236}">
              <a16:creationId xmlns:a16="http://schemas.microsoft.com/office/drawing/2014/main" id="{48DCAAFC-92E6-41A9-9A8F-6DC50456A7C2}"/>
            </a:ext>
          </a:extLst>
        </xdr:cNvPr>
        <xdr:cNvGrpSpPr/>
      </xdr:nvGrpSpPr>
      <xdr:grpSpPr>
        <a:xfrm>
          <a:off x="12699611" y="2262769"/>
          <a:ext cx="442796" cy="424675"/>
          <a:chOff x="8657296" y="3322135"/>
          <a:chExt cx="437220" cy="410736"/>
        </a:xfrm>
      </xdr:grpSpPr>
      <xdr:sp macro="" textlink="'pivot tables'!BH10">
        <xdr:nvSpPr>
          <xdr:cNvPr id="504" name="TextBox 503">
            <a:extLst>
              <a:ext uri="{FF2B5EF4-FFF2-40B4-BE49-F238E27FC236}">
                <a16:creationId xmlns:a16="http://schemas.microsoft.com/office/drawing/2014/main" id="{10F8719F-1F79-47E5-B24F-73C365F1720F}"/>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1" i="0" u="none" strike="noStrike">
                <a:solidFill>
                  <a:srgbClr val="5A097C"/>
                </a:solidFill>
                <a:latin typeface="Arial"/>
                <a:cs typeface="Arial"/>
              </a:rPr>
              <a:pPr algn="ctr"/>
              <a:t>•</a:t>
            </a:fld>
            <a:endParaRPr lang="en-IN" sz="1100" b="1"/>
          </a:p>
        </xdr:txBody>
      </xdr:sp>
      <xdr:sp macro="" textlink="'pivot tables'!BJ10">
        <xdr:nvSpPr>
          <xdr:cNvPr id="505" name="TextBox 504">
            <a:extLst>
              <a:ext uri="{FF2B5EF4-FFF2-40B4-BE49-F238E27FC236}">
                <a16:creationId xmlns:a16="http://schemas.microsoft.com/office/drawing/2014/main" id="{302B2E16-ADC2-432A-9CBF-BA873325B6A9}"/>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1" i="0" u="none" strike="noStrike">
                <a:solidFill>
                  <a:srgbClr val="296EFC"/>
                </a:solidFill>
                <a:latin typeface="Arial"/>
                <a:cs typeface="Arial"/>
              </a:rPr>
              <a:pPr algn="ctr"/>
              <a:t> </a:t>
            </a:fld>
            <a:endParaRPr lang="en-IN" sz="1100" b="1"/>
          </a:p>
        </xdr:txBody>
      </xdr:sp>
    </xdr:grpSp>
    <xdr:clientData/>
  </xdr:twoCellAnchor>
  <xdr:twoCellAnchor>
    <xdr:from>
      <xdr:col>20</xdr:col>
      <xdr:colOff>218608</xdr:colOff>
      <xdr:row>11</xdr:row>
      <xdr:rowOff>110583</xdr:rowOff>
    </xdr:from>
    <xdr:to>
      <xdr:col>21</xdr:col>
      <xdr:colOff>51804</xdr:colOff>
      <xdr:row>13</xdr:row>
      <xdr:rowOff>149611</xdr:rowOff>
    </xdr:to>
    <xdr:grpSp>
      <xdr:nvGrpSpPr>
        <xdr:cNvPr id="506" name="Group 505">
          <a:extLst>
            <a:ext uri="{FF2B5EF4-FFF2-40B4-BE49-F238E27FC236}">
              <a16:creationId xmlns:a16="http://schemas.microsoft.com/office/drawing/2014/main" id="{9C7BABB8-7B4A-4F92-8AE0-673511FFD4B9}"/>
            </a:ext>
          </a:extLst>
        </xdr:cNvPr>
        <xdr:cNvGrpSpPr/>
      </xdr:nvGrpSpPr>
      <xdr:grpSpPr>
        <a:xfrm>
          <a:off x="12410608" y="2206083"/>
          <a:ext cx="442796" cy="420028"/>
          <a:chOff x="8657296" y="3322135"/>
          <a:chExt cx="437220" cy="410736"/>
        </a:xfrm>
      </xdr:grpSpPr>
      <xdr:sp macro="" textlink="'pivot tables'!BH10">
        <xdr:nvSpPr>
          <xdr:cNvPr id="507" name="TextBox 506">
            <a:extLst>
              <a:ext uri="{FF2B5EF4-FFF2-40B4-BE49-F238E27FC236}">
                <a16:creationId xmlns:a16="http://schemas.microsoft.com/office/drawing/2014/main" id="{FCE698AE-3CBE-4378-9127-9AEEE2210D85}"/>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08" name="TextBox 507">
            <a:extLst>
              <a:ext uri="{FF2B5EF4-FFF2-40B4-BE49-F238E27FC236}">
                <a16:creationId xmlns:a16="http://schemas.microsoft.com/office/drawing/2014/main" id="{0B082A80-72F5-4973-B344-C7C1DC14CA01}"/>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20</xdr:col>
      <xdr:colOff>127075</xdr:colOff>
      <xdr:row>12</xdr:row>
      <xdr:rowOff>170056</xdr:rowOff>
    </xdr:from>
    <xdr:to>
      <xdr:col>20</xdr:col>
      <xdr:colOff>564295</xdr:colOff>
      <xdr:row>15</xdr:row>
      <xdr:rowOff>23231</xdr:rowOff>
    </xdr:to>
    <xdr:grpSp>
      <xdr:nvGrpSpPr>
        <xdr:cNvPr id="509" name="Group 508">
          <a:extLst>
            <a:ext uri="{FF2B5EF4-FFF2-40B4-BE49-F238E27FC236}">
              <a16:creationId xmlns:a16="http://schemas.microsoft.com/office/drawing/2014/main" id="{2CA9C501-2C6E-4683-8C2F-A4DE792B4F7A}"/>
            </a:ext>
          </a:extLst>
        </xdr:cNvPr>
        <xdr:cNvGrpSpPr/>
      </xdr:nvGrpSpPr>
      <xdr:grpSpPr>
        <a:xfrm>
          <a:off x="12319075" y="2456056"/>
          <a:ext cx="437220" cy="424675"/>
          <a:chOff x="8657296" y="3322135"/>
          <a:chExt cx="437220" cy="410736"/>
        </a:xfrm>
      </xdr:grpSpPr>
      <xdr:sp macro="" textlink="'pivot tables'!BH10">
        <xdr:nvSpPr>
          <xdr:cNvPr id="510" name="TextBox 509">
            <a:extLst>
              <a:ext uri="{FF2B5EF4-FFF2-40B4-BE49-F238E27FC236}">
                <a16:creationId xmlns:a16="http://schemas.microsoft.com/office/drawing/2014/main" id="{6EECB8D6-F8AF-46E5-AE68-E2FA444B05B3}"/>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11" name="TextBox 510">
            <a:extLst>
              <a:ext uri="{FF2B5EF4-FFF2-40B4-BE49-F238E27FC236}">
                <a16:creationId xmlns:a16="http://schemas.microsoft.com/office/drawing/2014/main" id="{1A0F0D22-22D7-45D8-854D-9D36743657D8}"/>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20</xdr:col>
      <xdr:colOff>279475</xdr:colOff>
      <xdr:row>13</xdr:row>
      <xdr:rowOff>136602</xdr:rowOff>
    </xdr:from>
    <xdr:to>
      <xdr:col>21</xdr:col>
      <xdr:colOff>112671</xdr:colOff>
      <xdr:row>15</xdr:row>
      <xdr:rowOff>175631</xdr:rowOff>
    </xdr:to>
    <xdr:grpSp>
      <xdr:nvGrpSpPr>
        <xdr:cNvPr id="512" name="Group 511">
          <a:extLst>
            <a:ext uri="{FF2B5EF4-FFF2-40B4-BE49-F238E27FC236}">
              <a16:creationId xmlns:a16="http://schemas.microsoft.com/office/drawing/2014/main" id="{6912077B-988B-4906-89CE-E3B8B17F7C04}"/>
            </a:ext>
          </a:extLst>
        </xdr:cNvPr>
        <xdr:cNvGrpSpPr/>
      </xdr:nvGrpSpPr>
      <xdr:grpSpPr>
        <a:xfrm>
          <a:off x="12471475" y="2613102"/>
          <a:ext cx="442796" cy="420029"/>
          <a:chOff x="8657296" y="3322135"/>
          <a:chExt cx="437220" cy="410736"/>
        </a:xfrm>
      </xdr:grpSpPr>
      <xdr:sp macro="" textlink="'pivot tables'!BH10">
        <xdr:nvSpPr>
          <xdr:cNvPr id="513" name="TextBox 512">
            <a:extLst>
              <a:ext uri="{FF2B5EF4-FFF2-40B4-BE49-F238E27FC236}">
                <a16:creationId xmlns:a16="http://schemas.microsoft.com/office/drawing/2014/main" id="{226D111F-3AA9-4FE1-A0DB-D1FC9EB0CDCE}"/>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14" name="TextBox 513">
            <a:extLst>
              <a:ext uri="{FF2B5EF4-FFF2-40B4-BE49-F238E27FC236}">
                <a16:creationId xmlns:a16="http://schemas.microsoft.com/office/drawing/2014/main" id="{A614E42A-884E-4860-AFA3-61AFF961D83D}"/>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25</xdr:col>
      <xdr:colOff>83400</xdr:colOff>
      <xdr:row>8</xdr:row>
      <xdr:rowOff>68301</xdr:rowOff>
    </xdr:from>
    <xdr:to>
      <xdr:col>25</xdr:col>
      <xdr:colOff>520620</xdr:colOff>
      <xdr:row>10</xdr:row>
      <xdr:rowOff>107329</xdr:rowOff>
    </xdr:to>
    <xdr:grpSp>
      <xdr:nvGrpSpPr>
        <xdr:cNvPr id="515" name="Group 514">
          <a:extLst>
            <a:ext uri="{FF2B5EF4-FFF2-40B4-BE49-F238E27FC236}">
              <a16:creationId xmlns:a16="http://schemas.microsoft.com/office/drawing/2014/main" id="{8AE1A599-E52D-4020-9E39-49F4A7F5E927}"/>
            </a:ext>
          </a:extLst>
        </xdr:cNvPr>
        <xdr:cNvGrpSpPr/>
      </xdr:nvGrpSpPr>
      <xdr:grpSpPr>
        <a:xfrm>
          <a:off x="15323400" y="1592301"/>
          <a:ext cx="437220" cy="420028"/>
          <a:chOff x="8657296" y="3322135"/>
          <a:chExt cx="437220" cy="410736"/>
        </a:xfrm>
      </xdr:grpSpPr>
      <xdr:sp macro="" textlink="'pivot tables'!BH10">
        <xdr:nvSpPr>
          <xdr:cNvPr id="516" name="TextBox 515">
            <a:extLst>
              <a:ext uri="{FF2B5EF4-FFF2-40B4-BE49-F238E27FC236}">
                <a16:creationId xmlns:a16="http://schemas.microsoft.com/office/drawing/2014/main" id="{F8E82999-45AA-4589-AC67-C4CD7405F118}"/>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17" name="TextBox 516">
            <a:extLst>
              <a:ext uri="{FF2B5EF4-FFF2-40B4-BE49-F238E27FC236}">
                <a16:creationId xmlns:a16="http://schemas.microsoft.com/office/drawing/2014/main" id="{76F7B71E-967A-470B-A3D3-0F569F518AFC}"/>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25</xdr:col>
      <xdr:colOff>468117</xdr:colOff>
      <xdr:row>8</xdr:row>
      <xdr:rowOff>46463</xdr:rowOff>
    </xdr:from>
    <xdr:to>
      <xdr:col>26</xdr:col>
      <xdr:colOff>301313</xdr:colOff>
      <xdr:row>10</xdr:row>
      <xdr:rowOff>85491</xdr:rowOff>
    </xdr:to>
    <xdr:grpSp>
      <xdr:nvGrpSpPr>
        <xdr:cNvPr id="518" name="Group 517">
          <a:extLst>
            <a:ext uri="{FF2B5EF4-FFF2-40B4-BE49-F238E27FC236}">
              <a16:creationId xmlns:a16="http://schemas.microsoft.com/office/drawing/2014/main" id="{73DD502C-AE59-425A-803B-02BD1C9FF107}"/>
            </a:ext>
          </a:extLst>
        </xdr:cNvPr>
        <xdr:cNvGrpSpPr/>
      </xdr:nvGrpSpPr>
      <xdr:grpSpPr>
        <a:xfrm>
          <a:off x="15708117" y="1570463"/>
          <a:ext cx="442796" cy="420028"/>
          <a:chOff x="8657296" y="3322135"/>
          <a:chExt cx="437220" cy="410736"/>
        </a:xfrm>
      </xdr:grpSpPr>
      <xdr:sp macro="" textlink="'pivot tables'!BH10">
        <xdr:nvSpPr>
          <xdr:cNvPr id="519" name="TextBox 518">
            <a:extLst>
              <a:ext uri="{FF2B5EF4-FFF2-40B4-BE49-F238E27FC236}">
                <a16:creationId xmlns:a16="http://schemas.microsoft.com/office/drawing/2014/main" id="{400FF5EA-7343-4698-BC40-9C648CADC93C}"/>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20" name="TextBox 519">
            <a:extLst>
              <a:ext uri="{FF2B5EF4-FFF2-40B4-BE49-F238E27FC236}">
                <a16:creationId xmlns:a16="http://schemas.microsoft.com/office/drawing/2014/main" id="{12136998-EA67-4496-B66B-E300B46442B4}"/>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25</xdr:col>
      <xdr:colOff>388200</xdr:colOff>
      <xdr:row>10</xdr:row>
      <xdr:rowOff>1393</xdr:rowOff>
    </xdr:from>
    <xdr:to>
      <xdr:col>26</xdr:col>
      <xdr:colOff>221396</xdr:colOff>
      <xdr:row>12</xdr:row>
      <xdr:rowOff>40422</xdr:rowOff>
    </xdr:to>
    <xdr:grpSp>
      <xdr:nvGrpSpPr>
        <xdr:cNvPr id="521" name="Group 520">
          <a:extLst>
            <a:ext uri="{FF2B5EF4-FFF2-40B4-BE49-F238E27FC236}">
              <a16:creationId xmlns:a16="http://schemas.microsoft.com/office/drawing/2014/main" id="{8B27B50F-7B32-4304-9080-351725DF5F4D}"/>
            </a:ext>
          </a:extLst>
        </xdr:cNvPr>
        <xdr:cNvGrpSpPr/>
      </xdr:nvGrpSpPr>
      <xdr:grpSpPr>
        <a:xfrm>
          <a:off x="15628200" y="1906393"/>
          <a:ext cx="442796" cy="420029"/>
          <a:chOff x="8657296" y="3322135"/>
          <a:chExt cx="437220" cy="410736"/>
        </a:xfrm>
      </xdr:grpSpPr>
      <xdr:sp macro="" textlink="'pivot tables'!BH10">
        <xdr:nvSpPr>
          <xdr:cNvPr id="522" name="TextBox 521">
            <a:extLst>
              <a:ext uri="{FF2B5EF4-FFF2-40B4-BE49-F238E27FC236}">
                <a16:creationId xmlns:a16="http://schemas.microsoft.com/office/drawing/2014/main" id="{72502422-D1F2-494C-AF86-C255F0D2E2BB}"/>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23" name="TextBox 522">
            <a:extLst>
              <a:ext uri="{FF2B5EF4-FFF2-40B4-BE49-F238E27FC236}">
                <a16:creationId xmlns:a16="http://schemas.microsoft.com/office/drawing/2014/main" id="{3D175843-4361-4F47-BC8A-FDB6A54F0BFA}"/>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24</xdr:col>
      <xdr:colOff>552216</xdr:colOff>
      <xdr:row>9</xdr:row>
      <xdr:rowOff>95714</xdr:rowOff>
    </xdr:from>
    <xdr:to>
      <xdr:col>25</xdr:col>
      <xdr:colOff>385411</xdr:colOff>
      <xdr:row>11</xdr:row>
      <xdr:rowOff>134743</xdr:rowOff>
    </xdr:to>
    <xdr:grpSp>
      <xdr:nvGrpSpPr>
        <xdr:cNvPr id="524" name="Group 523">
          <a:extLst>
            <a:ext uri="{FF2B5EF4-FFF2-40B4-BE49-F238E27FC236}">
              <a16:creationId xmlns:a16="http://schemas.microsoft.com/office/drawing/2014/main" id="{F892E939-701B-4E6D-8A4A-D96212012936}"/>
            </a:ext>
          </a:extLst>
        </xdr:cNvPr>
        <xdr:cNvGrpSpPr/>
      </xdr:nvGrpSpPr>
      <xdr:grpSpPr>
        <a:xfrm>
          <a:off x="15182616" y="1810214"/>
          <a:ext cx="442795" cy="420029"/>
          <a:chOff x="8657296" y="3322135"/>
          <a:chExt cx="437220" cy="410736"/>
        </a:xfrm>
      </xdr:grpSpPr>
      <xdr:sp macro="" textlink="'pivot tables'!BH10">
        <xdr:nvSpPr>
          <xdr:cNvPr id="525" name="TextBox 524">
            <a:extLst>
              <a:ext uri="{FF2B5EF4-FFF2-40B4-BE49-F238E27FC236}">
                <a16:creationId xmlns:a16="http://schemas.microsoft.com/office/drawing/2014/main" id="{D39A6875-8D82-4856-830F-9BC9BD77B9C0}"/>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26" name="TextBox 525">
            <a:extLst>
              <a:ext uri="{FF2B5EF4-FFF2-40B4-BE49-F238E27FC236}">
                <a16:creationId xmlns:a16="http://schemas.microsoft.com/office/drawing/2014/main" id="{38453AED-E148-46EC-822B-B9A3567105EC}"/>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25</xdr:col>
      <xdr:colOff>100591</xdr:colOff>
      <xdr:row>10</xdr:row>
      <xdr:rowOff>62260</xdr:rowOff>
    </xdr:from>
    <xdr:to>
      <xdr:col>25</xdr:col>
      <xdr:colOff>537811</xdr:colOff>
      <xdr:row>12</xdr:row>
      <xdr:rowOff>101289</xdr:rowOff>
    </xdr:to>
    <xdr:grpSp>
      <xdr:nvGrpSpPr>
        <xdr:cNvPr id="527" name="Group 526">
          <a:extLst>
            <a:ext uri="{FF2B5EF4-FFF2-40B4-BE49-F238E27FC236}">
              <a16:creationId xmlns:a16="http://schemas.microsoft.com/office/drawing/2014/main" id="{85C85225-70E2-4815-8721-25D35AB90D87}"/>
            </a:ext>
          </a:extLst>
        </xdr:cNvPr>
        <xdr:cNvGrpSpPr/>
      </xdr:nvGrpSpPr>
      <xdr:grpSpPr>
        <a:xfrm>
          <a:off x="15340591" y="1967260"/>
          <a:ext cx="437220" cy="420029"/>
          <a:chOff x="8657296" y="3322135"/>
          <a:chExt cx="437220" cy="410736"/>
        </a:xfrm>
      </xdr:grpSpPr>
      <xdr:sp macro="" textlink="'pivot tables'!BH10">
        <xdr:nvSpPr>
          <xdr:cNvPr id="528" name="TextBox 527">
            <a:extLst>
              <a:ext uri="{FF2B5EF4-FFF2-40B4-BE49-F238E27FC236}">
                <a16:creationId xmlns:a16="http://schemas.microsoft.com/office/drawing/2014/main" id="{8D150CCE-BA2B-4728-80E3-6170659728A9}"/>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29" name="TextBox 528">
            <a:extLst>
              <a:ext uri="{FF2B5EF4-FFF2-40B4-BE49-F238E27FC236}">
                <a16:creationId xmlns:a16="http://schemas.microsoft.com/office/drawing/2014/main" id="{518A1DF6-C0B5-44F0-8020-97E24A2B18B5}"/>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26</xdr:col>
      <xdr:colOff>121036</xdr:colOff>
      <xdr:row>9</xdr:row>
      <xdr:rowOff>82704</xdr:rowOff>
    </xdr:from>
    <xdr:to>
      <xdr:col>26</xdr:col>
      <xdr:colOff>558256</xdr:colOff>
      <xdr:row>11</xdr:row>
      <xdr:rowOff>121733</xdr:rowOff>
    </xdr:to>
    <xdr:grpSp>
      <xdr:nvGrpSpPr>
        <xdr:cNvPr id="530" name="Group 529">
          <a:extLst>
            <a:ext uri="{FF2B5EF4-FFF2-40B4-BE49-F238E27FC236}">
              <a16:creationId xmlns:a16="http://schemas.microsoft.com/office/drawing/2014/main" id="{6BB414F8-8F88-46F9-A062-76D4D25DE0EB}"/>
            </a:ext>
          </a:extLst>
        </xdr:cNvPr>
        <xdr:cNvGrpSpPr/>
      </xdr:nvGrpSpPr>
      <xdr:grpSpPr>
        <a:xfrm>
          <a:off x="15970636" y="1797204"/>
          <a:ext cx="437220" cy="420029"/>
          <a:chOff x="8657296" y="3322135"/>
          <a:chExt cx="437220" cy="410736"/>
        </a:xfrm>
      </xdr:grpSpPr>
      <xdr:sp macro="" textlink="'pivot tables'!BH10">
        <xdr:nvSpPr>
          <xdr:cNvPr id="531" name="TextBox 530">
            <a:extLst>
              <a:ext uri="{FF2B5EF4-FFF2-40B4-BE49-F238E27FC236}">
                <a16:creationId xmlns:a16="http://schemas.microsoft.com/office/drawing/2014/main" id="{A8378DC5-37D7-4B1F-BBE6-D3C77B75B915}"/>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32" name="TextBox 531">
            <a:extLst>
              <a:ext uri="{FF2B5EF4-FFF2-40B4-BE49-F238E27FC236}">
                <a16:creationId xmlns:a16="http://schemas.microsoft.com/office/drawing/2014/main" id="{FC763397-76EB-4DFA-80DC-D53151FE2E41}"/>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25</xdr:col>
      <xdr:colOff>250204</xdr:colOff>
      <xdr:row>9</xdr:row>
      <xdr:rowOff>14402</xdr:rowOff>
    </xdr:from>
    <xdr:to>
      <xdr:col>26</xdr:col>
      <xdr:colOff>83400</xdr:colOff>
      <xdr:row>11</xdr:row>
      <xdr:rowOff>53431</xdr:rowOff>
    </xdr:to>
    <xdr:grpSp>
      <xdr:nvGrpSpPr>
        <xdr:cNvPr id="533" name="Group 532">
          <a:extLst>
            <a:ext uri="{FF2B5EF4-FFF2-40B4-BE49-F238E27FC236}">
              <a16:creationId xmlns:a16="http://schemas.microsoft.com/office/drawing/2014/main" id="{0B50DCAC-08D1-45A1-BB8B-34A13D33B5F1}"/>
            </a:ext>
          </a:extLst>
        </xdr:cNvPr>
        <xdr:cNvGrpSpPr/>
      </xdr:nvGrpSpPr>
      <xdr:grpSpPr>
        <a:xfrm>
          <a:off x="15490204" y="1728902"/>
          <a:ext cx="442796" cy="420029"/>
          <a:chOff x="8657296" y="3322135"/>
          <a:chExt cx="437220" cy="410736"/>
        </a:xfrm>
      </xdr:grpSpPr>
      <xdr:sp macro="" textlink="'pivot tables'!BH10">
        <xdr:nvSpPr>
          <xdr:cNvPr id="534" name="TextBox 533">
            <a:extLst>
              <a:ext uri="{FF2B5EF4-FFF2-40B4-BE49-F238E27FC236}">
                <a16:creationId xmlns:a16="http://schemas.microsoft.com/office/drawing/2014/main" id="{16135A47-56B6-4B01-B788-FBAED2DFF4AE}"/>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35" name="TextBox 534">
            <a:extLst>
              <a:ext uri="{FF2B5EF4-FFF2-40B4-BE49-F238E27FC236}">
                <a16:creationId xmlns:a16="http://schemas.microsoft.com/office/drawing/2014/main" id="{B2DA0445-AC76-401E-A72B-719D7E6D8D36}"/>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26</xdr:col>
      <xdr:colOff>123824</xdr:colOff>
      <xdr:row>8</xdr:row>
      <xdr:rowOff>62260</xdr:rowOff>
    </xdr:from>
    <xdr:to>
      <xdr:col>26</xdr:col>
      <xdr:colOff>561044</xdr:colOff>
      <xdr:row>10</xdr:row>
      <xdr:rowOff>101288</xdr:rowOff>
    </xdr:to>
    <xdr:grpSp>
      <xdr:nvGrpSpPr>
        <xdr:cNvPr id="536" name="Group 535">
          <a:extLst>
            <a:ext uri="{FF2B5EF4-FFF2-40B4-BE49-F238E27FC236}">
              <a16:creationId xmlns:a16="http://schemas.microsoft.com/office/drawing/2014/main" id="{CC2DBC26-7D55-4885-9FDA-95D62572AEC9}"/>
            </a:ext>
          </a:extLst>
        </xdr:cNvPr>
        <xdr:cNvGrpSpPr/>
      </xdr:nvGrpSpPr>
      <xdr:grpSpPr>
        <a:xfrm>
          <a:off x="15973424" y="1586260"/>
          <a:ext cx="437220" cy="420028"/>
          <a:chOff x="8657296" y="3322135"/>
          <a:chExt cx="437220" cy="410736"/>
        </a:xfrm>
      </xdr:grpSpPr>
      <xdr:sp macro="" textlink="'pivot tables'!BH10">
        <xdr:nvSpPr>
          <xdr:cNvPr id="537" name="TextBox 536">
            <a:extLst>
              <a:ext uri="{FF2B5EF4-FFF2-40B4-BE49-F238E27FC236}">
                <a16:creationId xmlns:a16="http://schemas.microsoft.com/office/drawing/2014/main" id="{CAB98DD1-7E1D-46B2-B9BF-4D4D30C2054B}"/>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38" name="TextBox 537">
            <a:extLst>
              <a:ext uri="{FF2B5EF4-FFF2-40B4-BE49-F238E27FC236}">
                <a16:creationId xmlns:a16="http://schemas.microsoft.com/office/drawing/2014/main" id="{9E556690-7144-4877-8340-D899C63E3BB9}"/>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26</xdr:col>
      <xdr:colOff>380766</xdr:colOff>
      <xdr:row>8</xdr:row>
      <xdr:rowOff>156581</xdr:rowOff>
    </xdr:from>
    <xdr:to>
      <xdr:col>27</xdr:col>
      <xdr:colOff>213961</xdr:colOff>
      <xdr:row>11</xdr:row>
      <xdr:rowOff>9756</xdr:rowOff>
    </xdr:to>
    <xdr:grpSp>
      <xdr:nvGrpSpPr>
        <xdr:cNvPr id="539" name="Group 538">
          <a:extLst>
            <a:ext uri="{FF2B5EF4-FFF2-40B4-BE49-F238E27FC236}">
              <a16:creationId xmlns:a16="http://schemas.microsoft.com/office/drawing/2014/main" id="{39B1DF43-D3E2-40F3-8395-4A4B1A6AAA53}"/>
            </a:ext>
          </a:extLst>
        </xdr:cNvPr>
        <xdr:cNvGrpSpPr/>
      </xdr:nvGrpSpPr>
      <xdr:grpSpPr>
        <a:xfrm>
          <a:off x="16230366" y="1680581"/>
          <a:ext cx="442795" cy="424675"/>
          <a:chOff x="8657296" y="3322135"/>
          <a:chExt cx="437220" cy="410736"/>
        </a:xfrm>
      </xdr:grpSpPr>
      <xdr:sp macro="" textlink="'pivot tables'!BH10">
        <xdr:nvSpPr>
          <xdr:cNvPr id="540" name="TextBox 539">
            <a:extLst>
              <a:ext uri="{FF2B5EF4-FFF2-40B4-BE49-F238E27FC236}">
                <a16:creationId xmlns:a16="http://schemas.microsoft.com/office/drawing/2014/main" id="{7CB9D5D2-0541-4778-A450-8A8216F82656}"/>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41" name="TextBox 540">
            <a:extLst>
              <a:ext uri="{FF2B5EF4-FFF2-40B4-BE49-F238E27FC236}">
                <a16:creationId xmlns:a16="http://schemas.microsoft.com/office/drawing/2014/main" id="{80F7643B-517A-40D4-B066-852B95A018DA}"/>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26</xdr:col>
      <xdr:colOff>533166</xdr:colOff>
      <xdr:row>9</xdr:row>
      <xdr:rowOff>123127</xdr:rowOff>
    </xdr:from>
    <xdr:to>
      <xdr:col>27</xdr:col>
      <xdr:colOff>366361</xdr:colOff>
      <xdr:row>11</xdr:row>
      <xdr:rowOff>162156</xdr:rowOff>
    </xdr:to>
    <xdr:grpSp>
      <xdr:nvGrpSpPr>
        <xdr:cNvPr id="542" name="Group 541">
          <a:extLst>
            <a:ext uri="{FF2B5EF4-FFF2-40B4-BE49-F238E27FC236}">
              <a16:creationId xmlns:a16="http://schemas.microsoft.com/office/drawing/2014/main" id="{FACBA5D3-FFF8-4AEE-8933-89655CC35319}"/>
            </a:ext>
          </a:extLst>
        </xdr:cNvPr>
        <xdr:cNvGrpSpPr/>
      </xdr:nvGrpSpPr>
      <xdr:grpSpPr>
        <a:xfrm>
          <a:off x="16382766" y="1837627"/>
          <a:ext cx="442795" cy="420029"/>
          <a:chOff x="8657296" y="3322135"/>
          <a:chExt cx="437220" cy="410736"/>
        </a:xfrm>
      </xdr:grpSpPr>
      <xdr:sp macro="" textlink="'pivot tables'!BH10">
        <xdr:nvSpPr>
          <xdr:cNvPr id="543" name="TextBox 542">
            <a:extLst>
              <a:ext uri="{FF2B5EF4-FFF2-40B4-BE49-F238E27FC236}">
                <a16:creationId xmlns:a16="http://schemas.microsoft.com/office/drawing/2014/main" id="{E808A5F5-4839-49A4-8344-B3C890D09068}"/>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44" name="TextBox 543">
            <a:extLst>
              <a:ext uri="{FF2B5EF4-FFF2-40B4-BE49-F238E27FC236}">
                <a16:creationId xmlns:a16="http://schemas.microsoft.com/office/drawing/2014/main" id="{F638E688-CAC6-408C-A76D-507C5621088C}"/>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24</xdr:col>
      <xdr:colOff>360323</xdr:colOff>
      <xdr:row>8</xdr:row>
      <xdr:rowOff>78058</xdr:rowOff>
    </xdr:from>
    <xdr:to>
      <xdr:col>25</xdr:col>
      <xdr:colOff>193518</xdr:colOff>
      <xdr:row>10</xdr:row>
      <xdr:rowOff>117086</xdr:rowOff>
    </xdr:to>
    <xdr:grpSp>
      <xdr:nvGrpSpPr>
        <xdr:cNvPr id="545" name="Group 544">
          <a:extLst>
            <a:ext uri="{FF2B5EF4-FFF2-40B4-BE49-F238E27FC236}">
              <a16:creationId xmlns:a16="http://schemas.microsoft.com/office/drawing/2014/main" id="{7A23261E-53EA-4E3C-B475-EC8F064CABB3}"/>
            </a:ext>
          </a:extLst>
        </xdr:cNvPr>
        <xdr:cNvGrpSpPr/>
      </xdr:nvGrpSpPr>
      <xdr:grpSpPr>
        <a:xfrm>
          <a:off x="14990723" y="1602058"/>
          <a:ext cx="442795" cy="420028"/>
          <a:chOff x="8657296" y="3322135"/>
          <a:chExt cx="437220" cy="410736"/>
        </a:xfrm>
      </xdr:grpSpPr>
      <xdr:sp macro="" textlink="'pivot tables'!BH10">
        <xdr:nvSpPr>
          <xdr:cNvPr id="546" name="TextBox 545">
            <a:extLst>
              <a:ext uri="{FF2B5EF4-FFF2-40B4-BE49-F238E27FC236}">
                <a16:creationId xmlns:a16="http://schemas.microsoft.com/office/drawing/2014/main" id="{4C7BF2F3-DCD0-4064-8291-373BD2D1637D}"/>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47" name="TextBox 546">
            <a:extLst>
              <a:ext uri="{FF2B5EF4-FFF2-40B4-BE49-F238E27FC236}">
                <a16:creationId xmlns:a16="http://schemas.microsoft.com/office/drawing/2014/main" id="{3EB722B1-6495-4070-81B7-8D7DC69258C3}"/>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24</xdr:col>
      <xdr:colOff>303638</xdr:colOff>
      <xdr:row>9</xdr:row>
      <xdr:rowOff>44604</xdr:rowOff>
    </xdr:from>
    <xdr:to>
      <xdr:col>25</xdr:col>
      <xdr:colOff>136833</xdr:colOff>
      <xdr:row>11</xdr:row>
      <xdr:rowOff>83633</xdr:rowOff>
    </xdr:to>
    <xdr:grpSp>
      <xdr:nvGrpSpPr>
        <xdr:cNvPr id="548" name="Group 547">
          <a:extLst>
            <a:ext uri="{FF2B5EF4-FFF2-40B4-BE49-F238E27FC236}">
              <a16:creationId xmlns:a16="http://schemas.microsoft.com/office/drawing/2014/main" id="{65B1CA07-FEC8-4915-A348-D22E4AAC2B8E}"/>
            </a:ext>
          </a:extLst>
        </xdr:cNvPr>
        <xdr:cNvGrpSpPr/>
      </xdr:nvGrpSpPr>
      <xdr:grpSpPr>
        <a:xfrm>
          <a:off x="14934038" y="1759104"/>
          <a:ext cx="442795" cy="420029"/>
          <a:chOff x="8657296" y="3322135"/>
          <a:chExt cx="437220" cy="410736"/>
        </a:xfrm>
      </xdr:grpSpPr>
      <xdr:sp macro="" textlink="'pivot tables'!BH10">
        <xdr:nvSpPr>
          <xdr:cNvPr id="549" name="TextBox 548">
            <a:extLst>
              <a:ext uri="{FF2B5EF4-FFF2-40B4-BE49-F238E27FC236}">
                <a16:creationId xmlns:a16="http://schemas.microsoft.com/office/drawing/2014/main" id="{7F8848A0-223A-42EA-9125-9B9A7E65A12E}"/>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50" name="TextBox 549">
            <a:extLst>
              <a:ext uri="{FF2B5EF4-FFF2-40B4-BE49-F238E27FC236}">
                <a16:creationId xmlns:a16="http://schemas.microsoft.com/office/drawing/2014/main" id="{8DAD1B6F-F156-4685-9ED8-87E6F6C6D52C}"/>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24</xdr:col>
      <xdr:colOff>456038</xdr:colOff>
      <xdr:row>10</xdr:row>
      <xdr:rowOff>11150</xdr:rowOff>
    </xdr:from>
    <xdr:to>
      <xdr:col>25</xdr:col>
      <xdr:colOff>289233</xdr:colOff>
      <xdr:row>12</xdr:row>
      <xdr:rowOff>50179</xdr:rowOff>
    </xdr:to>
    <xdr:grpSp>
      <xdr:nvGrpSpPr>
        <xdr:cNvPr id="551" name="Group 550">
          <a:extLst>
            <a:ext uri="{FF2B5EF4-FFF2-40B4-BE49-F238E27FC236}">
              <a16:creationId xmlns:a16="http://schemas.microsoft.com/office/drawing/2014/main" id="{979CBF48-1834-418C-9938-CF2F6CAE227F}"/>
            </a:ext>
          </a:extLst>
        </xdr:cNvPr>
        <xdr:cNvGrpSpPr/>
      </xdr:nvGrpSpPr>
      <xdr:grpSpPr>
        <a:xfrm>
          <a:off x="15086438" y="1916150"/>
          <a:ext cx="442795" cy="420029"/>
          <a:chOff x="8657296" y="3322135"/>
          <a:chExt cx="437220" cy="410736"/>
        </a:xfrm>
      </xdr:grpSpPr>
      <xdr:sp macro="" textlink="'pivot tables'!BH10">
        <xdr:nvSpPr>
          <xdr:cNvPr id="552" name="TextBox 551">
            <a:extLst>
              <a:ext uri="{FF2B5EF4-FFF2-40B4-BE49-F238E27FC236}">
                <a16:creationId xmlns:a16="http://schemas.microsoft.com/office/drawing/2014/main" id="{F9D12779-429F-4C64-A83F-F65A24704F9D}"/>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53" name="TextBox 552">
            <a:extLst>
              <a:ext uri="{FF2B5EF4-FFF2-40B4-BE49-F238E27FC236}">
                <a16:creationId xmlns:a16="http://schemas.microsoft.com/office/drawing/2014/main" id="{F3D17775-0EC6-42A6-96CC-CE4649642135}"/>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26</xdr:col>
      <xdr:colOff>573591</xdr:colOff>
      <xdr:row>7</xdr:row>
      <xdr:rowOff>140318</xdr:rowOff>
    </xdr:from>
    <xdr:to>
      <xdr:col>27</xdr:col>
      <xdr:colOff>406786</xdr:colOff>
      <xdr:row>9</xdr:row>
      <xdr:rowOff>179347</xdr:rowOff>
    </xdr:to>
    <xdr:grpSp>
      <xdr:nvGrpSpPr>
        <xdr:cNvPr id="554" name="Group 553">
          <a:extLst>
            <a:ext uri="{FF2B5EF4-FFF2-40B4-BE49-F238E27FC236}">
              <a16:creationId xmlns:a16="http://schemas.microsoft.com/office/drawing/2014/main" id="{1EB1E89B-1E04-476F-BADB-E88D1A5BC28E}"/>
            </a:ext>
          </a:extLst>
        </xdr:cNvPr>
        <xdr:cNvGrpSpPr/>
      </xdr:nvGrpSpPr>
      <xdr:grpSpPr>
        <a:xfrm>
          <a:off x="16423191" y="1473818"/>
          <a:ext cx="442795" cy="420029"/>
          <a:chOff x="8657296" y="3322135"/>
          <a:chExt cx="437220" cy="410736"/>
        </a:xfrm>
      </xdr:grpSpPr>
      <xdr:sp macro="" textlink="'pivot tables'!BH10">
        <xdr:nvSpPr>
          <xdr:cNvPr id="555" name="TextBox 554">
            <a:extLst>
              <a:ext uri="{FF2B5EF4-FFF2-40B4-BE49-F238E27FC236}">
                <a16:creationId xmlns:a16="http://schemas.microsoft.com/office/drawing/2014/main" id="{A5EBEE2C-05D6-4ADE-9EF8-338BEC280EDC}"/>
              </a:ext>
            </a:extLst>
          </xdr:cNvPr>
          <xdr:cNvSpPr txBox="1"/>
        </xdr:nvSpPr>
        <xdr:spPr>
          <a:xfrm>
            <a:off x="8695861" y="336488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7CFBE1-EB46-4F02-9DED-D305C0EB7DE2}" type="TxLink">
              <a:rPr lang="en-US" sz="1600" b="0" i="0" u="none" strike="noStrike">
                <a:solidFill>
                  <a:srgbClr val="5A097C"/>
                </a:solidFill>
                <a:latin typeface="Arial"/>
                <a:cs typeface="Arial"/>
              </a:rPr>
              <a:pPr algn="ctr"/>
              <a:t>•</a:t>
            </a:fld>
            <a:endParaRPr lang="en-IN" sz="1100"/>
          </a:p>
        </xdr:txBody>
      </xdr:sp>
      <xdr:sp macro="" textlink="'pivot tables'!BJ10">
        <xdr:nvSpPr>
          <xdr:cNvPr id="556" name="TextBox 555">
            <a:extLst>
              <a:ext uri="{FF2B5EF4-FFF2-40B4-BE49-F238E27FC236}">
                <a16:creationId xmlns:a16="http://schemas.microsoft.com/office/drawing/2014/main" id="{0076168B-0C28-40DA-83EE-4DA65C58191E}"/>
              </a:ext>
            </a:extLst>
          </xdr:cNvPr>
          <xdr:cNvSpPr txBox="1"/>
        </xdr:nvSpPr>
        <xdr:spPr>
          <a:xfrm>
            <a:off x="8657296" y="3322135"/>
            <a:ext cx="437220" cy="410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579A04-5B71-4905-B4A8-179FA8AB048D}" type="TxLink">
              <a:rPr lang="en-US" sz="1600" b="0" i="0" u="none" strike="noStrike">
                <a:solidFill>
                  <a:srgbClr val="296EFC"/>
                </a:solidFill>
                <a:latin typeface="Arial"/>
                <a:cs typeface="Arial"/>
              </a:rPr>
              <a:pPr algn="ctr"/>
              <a:t> </a:t>
            </a:fld>
            <a:endParaRPr lang="en-IN" sz="1100"/>
          </a:p>
        </xdr:txBody>
      </xdr:sp>
    </xdr:grpSp>
    <xdr:clientData/>
  </xdr:twoCellAnchor>
  <xdr:twoCellAnchor>
    <xdr:from>
      <xdr:col>12</xdr:col>
      <xdr:colOff>520391</xdr:colOff>
      <xdr:row>18</xdr:row>
      <xdr:rowOff>26020</xdr:rowOff>
    </xdr:from>
    <xdr:to>
      <xdr:col>13</xdr:col>
      <xdr:colOff>346154</xdr:colOff>
      <xdr:row>20</xdr:row>
      <xdr:rowOff>14404</xdr:rowOff>
    </xdr:to>
    <xdr:grpSp>
      <xdr:nvGrpSpPr>
        <xdr:cNvPr id="557" name="Group 556">
          <a:extLst>
            <a:ext uri="{FF2B5EF4-FFF2-40B4-BE49-F238E27FC236}">
              <a16:creationId xmlns:a16="http://schemas.microsoft.com/office/drawing/2014/main" id="{6858EA00-2DC3-4D3B-9DA9-0F97EA70A2B2}"/>
            </a:ext>
          </a:extLst>
        </xdr:cNvPr>
        <xdr:cNvGrpSpPr/>
      </xdr:nvGrpSpPr>
      <xdr:grpSpPr>
        <a:xfrm>
          <a:off x="7835591" y="3455020"/>
          <a:ext cx="435363" cy="369384"/>
          <a:chOff x="7649737" y="3171128"/>
          <a:chExt cx="429787" cy="360091"/>
        </a:xfrm>
      </xdr:grpSpPr>
      <xdr:sp macro="" textlink="'pivot tables'!BG10">
        <xdr:nvSpPr>
          <xdr:cNvPr id="558" name="TextBox 557">
            <a:extLst>
              <a:ext uri="{FF2B5EF4-FFF2-40B4-BE49-F238E27FC236}">
                <a16:creationId xmlns:a16="http://schemas.microsoft.com/office/drawing/2014/main" id="{1BE6A0A4-3C60-43BD-BBFE-BE21CC3D4AEA}"/>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59" name="TextBox 558">
            <a:extLst>
              <a:ext uri="{FF2B5EF4-FFF2-40B4-BE49-F238E27FC236}">
                <a16:creationId xmlns:a16="http://schemas.microsoft.com/office/drawing/2014/main" id="{9808401D-3CBA-428A-9ECF-2B460D31149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68767</xdr:colOff>
      <xdr:row>18</xdr:row>
      <xdr:rowOff>178420</xdr:rowOff>
    </xdr:from>
    <xdr:to>
      <xdr:col>13</xdr:col>
      <xdr:colOff>498554</xdr:colOff>
      <xdr:row>20</xdr:row>
      <xdr:rowOff>166804</xdr:rowOff>
    </xdr:to>
    <xdr:grpSp>
      <xdr:nvGrpSpPr>
        <xdr:cNvPr id="560" name="Group 559">
          <a:extLst>
            <a:ext uri="{FF2B5EF4-FFF2-40B4-BE49-F238E27FC236}">
              <a16:creationId xmlns:a16="http://schemas.microsoft.com/office/drawing/2014/main" id="{57277D1E-13BE-4225-8D99-DD5DCEDF441E}"/>
            </a:ext>
          </a:extLst>
        </xdr:cNvPr>
        <xdr:cNvGrpSpPr/>
      </xdr:nvGrpSpPr>
      <xdr:grpSpPr>
        <a:xfrm>
          <a:off x="7993567" y="3607420"/>
          <a:ext cx="429787" cy="369384"/>
          <a:chOff x="7649737" y="3171128"/>
          <a:chExt cx="429787" cy="360091"/>
        </a:xfrm>
      </xdr:grpSpPr>
      <xdr:sp macro="" textlink="'pivot tables'!BG10">
        <xdr:nvSpPr>
          <xdr:cNvPr id="561" name="TextBox 560">
            <a:extLst>
              <a:ext uri="{FF2B5EF4-FFF2-40B4-BE49-F238E27FC236}">
                <a16:creationId xmlns:a16="http://schemas.microsoft.com/office/drawing/2014/main" id="{10730C01-FE98-4149-B221-85A27D112A43}"/>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62" name="TextBox 561">
            <a:extLst>
              <a:ext uri="{FF2B5EF4-FFF2-40B4-BE49-F238E27FC236}">
                <a16:creationId xmlns:a16="http://schemas.microsoft.com/office/drawing/2014/main" id="{D8E8232E-5BC1-4B5E-A585-801999055A6F}"/>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221167</xdr:colOff>
      <xdr:row>19</xdr:row>
      <xdr:rowOff>144966</xdr:rowOff>
    </xdr:from>
    <xdr:to>
      <xdr:col>14</xdr:col>
      <xdr:colOff>46930</xdr:colOff>
      <xdr:row>21</xdr:row>
      <xdr:rowOff>133350</xdr:rowOff>
    </xdr:to>
    <xdr:grpSp>
      <xdr:nvGrpSpPr>
        <xdr:cNvPr id="563" name="Group 562">
          <a:extLst>
            <a:ext uri="{FF2B5EF4-FFF2-40B4-BE49-F238E27FC236}">
              <a16:creationId xmlns:a16="http://schemas.microsoft.com/office/drawing/2014/main" id="{CE0EEF1C-42A5-4418-9FDC-27465F666330}"/>
            </a:ext>
          </a:extLst>
        </xdr:cNvPr>
        <xdr:cNvGrpSpPr/>
      </xdr:nvGrpSpPr>
      <xdr:grpSpPr>
        <a:xfrm>
          <a:off x="8145967" y="3764466"/>
          <a:ext cx="435363" cy="369384"/>
          <a:chOff x="7649737" y="3171128"/>
          <a:chExt cx="429787" cy="360091"/>
        </a:xfrm>
      </xdr:grpSpPr>
      <xdr:sp macro="" textlink="'pivot tables'!BG10">
        <xdr:nvSpPr>
          <xdr:cNvPr id="564" name="TextBox 563">
            <a:extLst>
              <a:ext uri="{FF2B5EF4-FFF2-40B4-BE49-F238E27FC236}">
                <a16:creationId xmlns:a16="http://schemas.microsoft.com/office/drawing/2014/main" id="{D8BB0BC3-C626-4F7A-9843-A244F74CA6D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65" name="TextBox 564">
            <a:extLst>
              <a:ext uri="{FF2B5EF4-FFF2-40B4-BE49-F238E27FC236}">
                <a16:creationId xmlns:a16="http://schemas.microsoft.com/office/drawing/2014/main" id="{371CB674-FF6E-4D80-9CA7-A2F9E130827A}"/>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222561</xdr:colOff>
      <xdr:row>17</xdr:row>
      <xdr:rowOff>76666</xdr:rowOff>
    </xdr:from>
    <xdr:to>
      <xdr:col>14</xdr:col>
      <xdr:colOff>48324</xdr:colOff>
      <xdr:row>19</xdr:row>
      <xdr:rowOff>65049</xdr:rowOff>
    </xdr:to>
    <xdr:grpSp>
      <xdr:nvGrpSpPr>
        <xdr:cNvPr id="566" name="Group 565">
          <a:extLst>
            <a:ext uri="{FF2B5EF4-FFF2-40B4-BE49-F238E27FC236}">
              <a16:creationId xmlns:a16="http://schemas.microsoft.com/office/drawing/2014/main" id="{8F34F58D-403D-40E8-B9A5-7B4E231D3083}"/>
            </a:ext>
          </a:extLst>
        </xdr:cNvPr>
        <xdr:cNvGrpSpPr/>
      </xdr:nvGrpSpPr>
      <xdr:grpSpPr>
        <a:xfrm>
          <a:off x="8147361" y="3315166"/>
          <a:ext cx="435363" cy="369383"/>
          <a:chOff x="7649737" y="3171128"/>
          <a:chExt cx="429787" cy="360091"/>
        </a:xfrm>
      </xdr:grpSpPr>
      <xdr:sp macro="" textlink="'pivot tables'!BG10">
        <xdr:nvSpPr>
          <xdr:cNvPr id="567" name="TextBox 566">
            <a:extLst>
              <a:ext uri="{FF2B5EF4-FFF2-40B4-BE49-F238E27FC236}">
                <a16:creationId xmlns:a16="http://schemas.microsoft.com/office/drawing/2014/main" id="{0BD9B6E4-D1C9-4846-ABFC-BD470AF2D0E6}"/>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68" name="TextBox 567">
            <a:extLst>
              <a:ext uri="{FF2B5EF4-FFF2-40B4-BE49-F238E27FC236}">
                <a16:creationId xmlns:a16="http://schemas.microsoft.com/office/drawing/2014/main" id="{9CBBB055-9149-4F45-8914-AD1FD57D6F0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374961</xdr:colOff>
      <xdr:row>18</xdr:row>
      <xdr:rowOff>43212</xdr:rowOff>
    </xdr:from>
    <xdr:to>
      <xdr:col>14</xdr:col>
      <xdr:colOff>200724</xdr:colOff>
      <xdr:row>20</xdr:row>
      <xdr:rowOff>31596</xdr:rowOff>
    </xdr:to>
    <xdr:grpSp>
      <xdr:nvGrpSpPr>
        <xdr:cNvPr id="569" name="Group 568">
          <a:extLst>
            <a:ext uri="{FF2B5EF4-FFF2-40B4-BE49-F238E27FC236}">
              <a16:creationId xmlns:a16="http://schemas.microsoft.com/office/drawing/2014/main" id="{C5C67CE2-12E1-4176-93BA-BD79DDAD4AEB}"/>
            </a:ext>
          </a:extLst>
        </xdr:cNvPr>
        <xdr:cNvGrpSpPr/>
      </xdr:nvGrpSpPr>
      <xdr:grpSpPr>
        <a:xfrm>
          <a:off x="8299761" y="3472212"/>
          <a:ext cx="435363" cy="369384"/>
          <a:chOff x="7649737" y="3171128"/>
          <a:chExt cx="429787" cy="360091"/>
        </a:xfrm>
      </xdr:grpSpPr>
      <xdr:sp macro="" textlink="'pivot tables'!BG10">
        <xdr:nvSpPr>
          <xdr:cNvPr id="570" name="TextBox 569">
            <a:extLst>
              <a:ext uri="{FF2B5EF4-FFF2-40B4-BE49-F238E27FC236}">
                <a16:creationId xmlns:a16="http://schemas.microsoft.com/office/drawing/2014/main" id="{93F85728-B582-4102-9435-D1A3AEC5919E}"/>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71" name="TextBox 570">
            <a:extLst>
              <a:ext uri="{FF2B5EF4-FFF2-40B4-BE49-F238E27FC236}">
                <a16:creationId xmlns:a16="http://schemas.microsoft.com/office/drawing/2014/main" id="{AA080984-72BA-4DC9-99BE-BA1FB8517D98}"/>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446050</xdr:colOff>
      <xdr:row>10</xdr:row>
      <xdr:rowOff>102685</xdr:rowOff>
    </xdr:from>
    <xdr:to>
      <xdr:col>13</xdr:col>
      <xdr:colOff>271813</xdr:colOff>
      <xdr:row>12</xdr:row>
      <xdr:rowOff>91069</xdr:rowOff>
    </xdr:to>
    <xdr:grpSp>
      <xdr:nvGrpSpPr>
        <xdr:cNvPr id="572" name="Group 571">
          <a:extLst>
            <a:ext uri="{FF2B5EF4-FFF2-40B4-BE49-F238E27FC236}">
              <a16:creationId xmlns:a16="http://schemas.microsoft.com/office/drawing/2014/main" id="{6C5BFD2E-BABB-4A5D-B609-BD12A06B7EC9}"/>
            </a:ext>
          </a:extLst>
        </xdr:cNvPr>
        <xdr:cNvGrpSpPr/>
      </xdr:nvGrpSpPr>
      <xdr:grpSpPr>
        <a:xfrm>
          <a:off x="7761250" y="2007685"/>
          <a:ext cx="435363" cy="369384"/>
          <a:chOff x="7649737" y="3171128"/>
          <a:chExt cx="429787" cy="360091"/>
        </a:xfrm>
      </xdr:grpSpPr>
      <xdr:sp macro="" textlink="'pivot tables'!BG10">
        <xdr:nvSpPr>
          <xdr:cNvPr id="573" name="TextBox 572">
            <a:extLst>
              <a:ext uri="{FF2B5EF4-FFF2-40B4-BE49-F238E27FC236}">
                <a16:creationId xmlns:a16="http://schemas.microsoft.com/office/drawing/2014/main" id="{9E08EFAD-03AE-4341-A2C8-D42A7234BE99}"/>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74" name="TextBox 573">
            <a:extLst>
              <a:ext uri="{FF2B5EF4-FFF2-40B4-BE49-F238E27FC236}">
                <a16:creationId xmlns:a16="http://schemas.microsoft.com/office/drawing/2014/main" id="{40200A4B-1DDE-4B74-BD04-1AF4E0A76D43}"/>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598450</xdr:colOff>
      <xdr:row>11</xdr:row>
      <xdr:rowOff>69232</xdr:rowOff>
    </xdr:from>
    <xdr:to>
      <xdr:col>13</xdr:col>
      <xdr:colOff>424213</xdr:colOff>
      <xdr:row>13</xdr:row>
      <xdr:rowOff>57615</xdr:rowOff>
    </xdr:to>
    <xdr:grpSp>
      <xdr:nvGrpSpPr>
        <xdr:cNvPr id="575" name="Group 574">
          <a:extLst>
            <a:ext uri="{FF2B5EF4-FFF2-40B4-BE49-F238E27FC236}">
              <a16:creationId xmlns:a16="http://schemas.microsoft.com/office/drawing/2014/main" id="{F6039B86-6AB0-4792-92F6-798DE9C41DA7}"/>
            </a:ext>
          </a:extLst>
        </xdr:cNvPr>
        <xdr:cNvGrpSpPr/>
      </xdr:nvGrpSpPr>
      <xdr:grpSpPr>
        <a:xfrm>
          <a:off x="7913650" y="2164732"/>
          <a:ext cx="435363" cy="369383"/>
          <a:chOff x="7649737" y="3171128"/>
          <a:chExt cx="429787" cy="360091"/>
        </a:xfrm>
      </xdr:grpSpPr>
      <xdr:sp macro="" textlink="'pivot tables'!BG10">
        <xdr:nvSpPr>
          <xdr:cNvPr id="576" name="TextBox 575">
            <a:extLst>
              <a:ext uri="{FF2B5EF4-FFF2-40B4-BE49-F238E27FC236}">
                <a16:creationId xmlns:a16="http://schemas.microsoft.com/office/drawing/2014/main" id="{6819098E-834A-4FE3-957B-DA57EBB903F9}"/>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77" name="TextBox 576">
            <a:extLst>
              <a:ext uri="{FF2B5EF4-FFF2-40B4-BE49-F238E27FC236}">
                <a16:creationId xmlns:a16="http://schemas.microsoft.com/office/drawing/2014/main" id="{0711D6AB-A42B-4471-AC40-BF313085617C}"/>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204905</xdr:colOff>
      <xdr:row>10</xdr:row>
      <xdr:rowOff>35778</xdr:rowOff>
    </xdr:from>
    <xdr:to>
      <xdr:col>13</xdr:col>
      <xdr:colOff>30668</xdr:colOff>
      <xdr:row>12</xdr:row>
      <xdr:rowOff>24162</xdr:rowOff>
    </xdr:to>
    <xdr:grpSp>
      <xdr:nvGrpSpPr>
        <xdr:cNvPr id="578" name="Group 577">
          <a:extLst>
            <a:ext uri="{FF2B5EF4-FFF2-40B4-BE49-F238E27FC236}">
              <a16:creationId xmlns:a16="http://schemas.microsoft.com/office/drawing/2014/main" id="{2A5AFC3D-90A6-4AB0-AB99-96104E52B4B7}"/>
            </a:ext>
          </a:extLst>
        </xdr:cNvPr>
        <xdr:cNvGrpSpPr/>
      </xdr:nvGrpSpPr>
      <xdr:grpSpPr>
        <a:xfrm>
          <a:off x="7520105" y="1940778"/>
          <a:ext cx="435363" cy="369384"/>
          <a:chOff x="7649737" y="3171128"/>
          <a:chExt cx="429787" cy="360091"/>
        </a:xfrm>
      </xdr:grpSpPr>
      <xdr:sp macro="" textlink="'pivot tables'!BG10">
        <xdr:nvSpPr>
          <xdr:cNvPr id="579" name="TextBox 578">
            <a:extLst>
              <a:ext uri="{FF2B5EF4-FFF2-40B4-BE49-F238E27FC236}">
                <a16:creationId xmlns:a16="http://schemas.microsoft.com/office/drawing/2014/main" id="{68084658-7A31-4C13-8DB1-3B882D216A82}"/>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80" name="TextBox 579">
            <a:extLst>
              <a:ext uri="{FF2B5EF4-FFF2-40B4-BE49-F238E27FC236}">
                <a16:creationId xmlns:a16="http://schemas.microsoft.com/office/drawing/2014/main" id="{A3E9B25F-B47A-409E-BD70-78E969C837B8}"/>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12</xdr:col>
      <xdr:colOff>357305</xdr:colOff>
      <xdr:row>11</xdr:row>
      <xdr:rowOff>2325</xdr:rowOff>
    </xdr:from>
    <xdr:to>
      <xdr:col>13</xdr:col>
      <xdr:colOff>183068</xdr:colOff>
      <xdr:row>12</xdr:row>
      <xdr:rowOff>176562</xdr:rowOff>
    </xdr:to>
    <xdr:grpSp>
      <xdr:nvGrpSpPr>
        <xdr:cNvPr id="581" name="Group 580">
          <a:extLst>
            <a:ext uri="{FF2B5EF4-FFF2-40B4-BE49-F238E27FC236}">
              <a16:creationId xmlns:a16="http://schemas.microsoft.com/office/drawing/2014/main" id="{717BFAB0-8BF5-44E8-B203-564CCF1A6457}"/>
            </a:ext>
          </a:extLst>
        </xdr:cNvPr>
        <xdr:cNvGrpSpPr/>
      </xdr:nvGrpSpPr>
      <xdr:grpSpPr>
        <a:xfrm>
          <a:off x="7672505" y="2097825"/>
          <a:ext cx="435363" cy="364737"/>
          <a:chOff x="7649737" y="3171128"/>
          <a:chExt cx="429787" cy="360091"/>
        </a:xfrm>
      </xdr:grpSpPr>
      <xdr:sp macro="" textlink="'pivot tables'!BG10">
        <xdr:nvSpPr>
          <xdr:cNvPr id="582" name="TextBox 581">
            <a:extLst>
              <a:ext uri="{FF2B5EF4-FFF2-40B4-BE49-F238E27FC236}">
                <a16:creationId xmlns:a16="http://schemas.microsoft.com/office/drawing/2014/main" id="{9D09232D-3F0B-48FE-B326-0B3DFC39E1D6}"/>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83" name="TextBox 582">
            <a:extLst>
              <a:ext uri="{FF2B5EF4-FFF2-40B4-BE49-F238E27FC236}">
                <a16:creationId xmlns:a16="http://schemas.microsoft.com/office/drawing/2014/main" id="{310644E4-D97A-478F-8898-6B16DC91823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13</xdr:col>
      <xdr:colOff>486473</xdr:colOff>
      <xdr:row>10</xdr:row>
      <xdr:rowOff>73413</xdr:rowOff>
    </xdr:from>
    <xdr:to>
      <xdr:col>14</xdr:col>
      <xdr:colOff>312236</xdr:colOff>
      <xdr:row>12</xdr:row>
      <xdr:rowOff>61797</xdr:rowOff>
    </xdr:to>
    <xdr:grpSp>
      <xdr:nvGrpSpPr>
        <xdr:cNvPr id="584" name="Group 583">
          <a:extLst>
            <a:ext uri="{FF2B5EF4-FFF2-40B4-BE49-F238E27FC236}">
              <a16:creationId xmlns:a16="http://schemas.microsoft.com/office/drawing/2014/main" id="{90810F99-1724-4B7B-8DA1-D084BE16BE91}"/>
            </a:ext>
          </a:extLst>
        </xdr:cNvPr>
        <xdr:cNvGrpSpPr/>
      </xdr:nvGrpSpPr>
      <xdr:grpSpPr>
        <a:xfrm>
          <a:off x="8411273" y="1978413"/>
          <a:ext cx="435363" cy="369384"/>
          <a:chOff x="7649737" y="3171128"/>
          <a:chExt cx="429787" cy="360091"/>
        </a:xfrm>
      </xdr:grpSpPr>
      <xdr:sp macro="" textlink="'pivot tables'!BG10">
        <xdr:nvSpPr>
          <xdr:cNvPr id="585" name="TextBox 584">
            <a:extLst>
              <a:ext uri="{FF2B5EF4-FFF2-40B4-BE49-F238E27FC236}">
                <a16:creationId xmlns:a16="http://schemas.microsoft.com/office/drawing/2014/main" id="{3B07223C-CDE3-42A2-986C-BCE32F7E61B3}"/>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86" name="TextBox 585">
            <a:extLst>
              <a:ext uri="{FF2B5EF4-FFF2-40B4-BE49-F238E27FC236}">
                <a16:creationId xmlns:a16="http://schemas.microsoft.com/office/drawing/2014/main" id="{6D5F2503-6157-4037-8CB1-F45AAD2A9F97}"/>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34849</xdr:colOff>
      <xdr:row>11</xdr:row>
      <xdr:rowOff>39960</xdr:rowOff>
    </xdr:from>
    <xdr:to>
      <xdr:col>14</xdr:col>
      <xdr:colOff>464636</xdr:colOff>
      <xdr:row>13</xdr:row>
      <xdr:rowOff>28343</xdr:rowOff>
    </xdr:to>
    <xdr:grpSp>
      <xdr:nvGrpSpPr>
        <xdr:cNvPr id="587" name="Group 586">
          <a:extLst>
            <a:ext uri="{FF2B5EF4-FFF2-40B4-BE49-F238E27FC236}">
              <a16:creationId xmlns:a16="http://schemas.microsoft.com/office/drawing/2014/main" id="{0EF75F23-1EB5-46D4-A51F-0F5E3B6D675B}"/>
            </a:ext>
          </a:extLst>
        </xdr:cNvPr>
        <xdr:cNvGrpSpPr/>
      </xdr:nvGrpSpPr>
      <xdr:grpSpPr>
        <a:xfrm>
          <a:off x="8569249" y="2135460"/>
          <a:ext cx="429787" cy="369383"/>
          <a:chOff x="7649737" y="3171128"/>
          <a:chExt cx="429787" cy="360091"/>
        </a:xfrm>
      </xdr:grpSpPr>
      <xdr:sp macro="" textlink="'pivot tables'!BG10">
        <xdr:nvSpPr>
          <xdr:cNvPr id="588" name="TextBox 587">
            <a:extLst>
              <a:ext uri="{FF2B5EF4-FFF2-40B4-BE49-F238E27FC236}">
                <a16:creationId xmlns:a16="http://schemas.microsoft.com/office/drawing/2014/main" id="{9635F0CB-26D1-4C5B-8561-3982F57B90CA}"/>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89" name="TextBox 588">
            <a:extLst>
              <a:ext uri="{FF2B5EF4-FFF2-40B4-BE49-F238E27FC236}">
                <a16:creationId xmlns:a16="http://schemas.microsoft.com/office/drawing/2014/main" id="{0FB38E69-59E5-498B-A2A6-9A55267203E9}"/>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187249</xdr:colOff>
      <xdr:row>12</xdr:row>
      <xdr:rowOff>6506</xdr:rowOff>
    </xdr:from>
    <xdr:to>
      <xdr:col>15</xdr:col>
      <xdr:colOff>13011</xdr:colOff>
      <xdr:row>13</xdr:row>
      <xdr:rowOff>180743</xdr:rowOff>
    </xdr:to>
    <xdr:grpSp>
      <xdr:nvGrpSpPr>
        <xdr:cNvPr id="590" name="Group 589">
          <a:extLst>
            <a:ext uri="{FF2B5EF4-FFF2-40B4-BE49-F238E27FC236}">
              <a16:creationId xmlns:a16="http://schemas.microsoft.com/office/drawing/2014/main" id="{E5EFB1C1-F6C5-4D31-A4A0-F856E60C8291}"/>
            </a:ext>
          </a:extLst>
        </xdr:cNvPr>
        <xdr:cNvGrpSpPr/>
      </xdr:nvGrpSpPr>
      <xdr:grpSpPr>
        <a:xfrm>
          <a:off x="8721649" y="2292506"/>
          <a:ext cx="435362" cy="364737"/>
          <a:chOff x="7649737" y="3171128"/>
          <a:chExt cx="429787" cy="360091"/>
        </a:xfrm>
      </xdr:grpSpPr>
      <xdr:sp macro="" textlink="'pivot tables'!BG10">
        <xdr:nvSpPr>
          <xdr:cNvPr id="591" name="TextBox 590">
            <a:extLst>
              <a:ext uri="{FF2B5EF4-FFF2-40B4-BE49-F238E27FC236}">
                <a16:creationId xmlns:a16="http://schemas.microsoft.com/office/drawing/2014/main" id="{C6465711-28C3-47AA-BE6D-493A36DF9C3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92" name="TextBox 591">
            <a:extLst>
              <a:ext uri="{FF2B5EF4-FFF2-40B4-BE49-F238E27FC236}">
                <a16:creationId xmlns:a16="http://schemas.microsoft.com/office/drawing/2014/main" id="{BA224D6A-68BC-49AF-A2F0-28693B802F87}"/>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269953</xdr:colOff>
      <xdr:row>10</xdr:row>
      <xdr:rowOff>112442</xdr:rowOff>
    </xdr:from>
    <xdr:to>
      <xdr:col>15</xdr:col>
      <xdr:colOff>95715</xdr:colOff>
      <xdr:row>12</xdr:row>
      <xdr:rowOff>100826</xdr:rowOff>
    </xdr:to>
    <xdr:grpSp>
      <xdr:nvGrpSpPr>
        <xdr:cNvPr id="593" name="Group 592">
          <a:extLst>
            <a:ext uri="{FF2B5EF4-FFF2-40B4-BE49-F238E27FC236}">
              <a16:creationId xmlns:a16="http://schemas.microsoft.com/office/drawing/2014/main" id="{5AE4D3C3-B850-4C55-8EB6-30E9768B269F}"/>
            </a:ext>
          </a:extLst>
        </xdr:cNvPr>
        <xdr:cNvGrpSpPr/>
      </xdr:nvGrpSpPr>
      <xdr:grpSpPr>
        <a:xfrm>
          <a:off x="8804353" y="2017442"/>
          <a:ext cx="435362" cy="369384"/>
          <a:chOff x="7649737" y="3171128"/>
          <a:chExt cx="429787" cy="360091"/>
        </a:xfrm>
      </xdr:grpSpPr>
      <xdr:sp macro="" textlink="'pivot tables'!BG10">
        <xdr:nvSpPr>
          <xdr:cNvPr id="594" name="TextBox 593">
            <a:extLst>
              <a:ext uri="{FF2B5EF4-FFF2-40B4-BE49-F238E27FC236}">
                <a16:creationId xmlns:a16="http://schemas.microsoft.com/office/drawing/2014/main" id="{5AF0ABDC-5068-43ED-97F5-A626F0B46933}"/>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95" name="TextBox 594">
            <a:extLst>
              <a:ext uri="{FF2B5EF4-FFF2-40B4-BE49-F238E27FC236}">
                <a16:creationId xmlns:a16="http://schemas.microsoft.com/office/drawing/2014/main" id="{1EEFFD84-F6D4-4E54-93F3-7F0832ED2A87}"/>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422353</xdr:colOff>
      <xdr:row>11</xdr:row>
      <xdr:rowOff>78989</xdr:rowOff>
    </xdr:from>
    <xdr:to>
      <xdr:col>15</xdr:col>
      <xdr:colOff>248115</xdr:colOff>
      <xdr:row>13</xdr:row>
      <xdr:rowOff>67372</xdr:rowOff>
    </xdr:to>
    <xdr:grpSp>
      <xdr:nvGrpSpPr>
        <xdr:cNvPr id="596" name="Group 595">
          <a:extLst>
            <a:ext uri="{FF2B5EF4-FFF2-40B4-BE49-F238E27FC236}">
              <a16:creationId xmlns:a16="http://schemas.microsoft.com/office/drawing/2014/main" id="{80388866-621E-408D-B4AC-0F9C6DEA8F41}"/>
            </a:ext>
          </a:extLst>
        </xdr:cNvPr>
        <xdr:cNvGrpSpPr/>
      </xdr:nvGrpSpPr>
      <xdr:grpSpPr>
        <a:xfrm>
          <a:off x="8956753" y="2174489"/>
          <a:ext cx="435362" cy="369383"/>
          <a:chOff x="7649737" y="3171128"/>
          <a:chExt cx="429787" cy="360091"/>
        </a:xfrm>
      </xdr:grpSpPr>
      <xdr:sp macro="" textlink="'pivot tables'!BG10">
        <xdr:nvSpPr>
          <xdr:cNvPr id="597" name="TextBox 596">
            <a:extLst>
              <a:ext uri="{FF2B5EF4-FFF2-40B4-BE49-F238E27FC236}">
                <a16:creationId xmlns:a16="http://schemas.microsoft.com/office/drawing/2014/main" id="{07A13BD7-2532-4E02-9560-18C4A22C8A88}"/>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598" name="TextBox 597">
            <a:extLst>
              <a:ext uri="{FF2B5EF4-FFF2-40B4-BE49-F238E27FC236}">
                <a16:creationId xmlns:a16="http://schemas.microsoft.com/office/drawing/2014/main" id="{6ABC241C-AE5D-4133-9C46-7C4DBE2A621D}"/>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20</xdr:col>
      <xdr:colOff>507611</xdr:colOff>
      <xdr:row>11</xdr:row>
      <xdr:rowOff>167269</xdr:rowOff>
    </xdr:from>
    <xdr:to>
      <xdr:col>21</xdr:col>
      <xdr:colOff>333374</xdr:colOff>
      <xdr:row>13</xdr:row>
      <xdr:rowOff>155652</xdr:rowOff>
    </xdr:to>
    <xdr:grpSp>
      <xdr:nvGrpSpPr>
        <xdr:cNvPr id="602" name="Group 601">
          <a:extLst>
            <a:ext uri="{FF2B5EF4-FFF2-40B4-BE49-F238E27FC236}">
              <a16:creationId xmlns:a16="http://schemas.microsoft.com/office/drawing/2014/main" id="{84FBD838-66EE-4430-81A0-DD7F7761182B}"/>
            </a:ext>
          </a:extLst>
        </xdr:cNvPr>
        <xdr:cNvGrpSpPr/>
      </xdr:nvGrpSpPr>
      <xdr:grpSpPr>
        <a:xfrm>
          <a:off x="12699611" y="2262769"/>
          <a:ext cx="435363" cy="369383"/>
          <a:chOff x="7649737" y="3171128"/>
          <a:chExt cx="429787" cy="360091"/>
        </a:xfrm>
      </xdr:grpSpPr>
      <xdr:sp macro="" textlink="'pivot tables'!BG10">
        <xdr:nvSpPr>
          <xdr:cNvPr id="603" name="TextBox 602">
            <a:extLst>
              <a:ext uri="{FF2B5EF4-FFF2-40B4-BE49-F238E27FC236}">
                <a16:creationId xmlns:a16="http://schemas.microsoft.com/office/drawing/2014/main" id="{FED031EB-6BBD-4898-B96E-922FA5959C4F}"/>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04" name="TextBox 603">
            <a:extLst>
              <a:ext uri="{FF2B5EF4-FFF2-40B4-BE49-F238E27FC236}">
                <a16:creationId xmlns:a16="http://schemas.microsoft.com/office/drawing/2014/main" id="{65882336-181E-42A2-A1E0-E1F66BE04630}"/>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21</xdr:col>
      <xdr:colOff>55987</xdr:colOff>
      <xdr:row>12</xdr:row>
      <xdr:rowOff>133815</xdr:rowOff>
    </xdr:from>
    <xdr:to>
      <xdr:col>21</xdr:col>
      <xdr:colOff>485774</xdr:colOff>
      <xdr:row>14</xdr:row>
      <xdr:rowOff>122199</xdr:rowOff>
    </xdr:to>
    <xdr:grpSp>
      <xdr:nvGrpSpPr>
        <xdr:cNvPr id="605" name="Group 604">
          <a:extLst>
            <a:ext uri="{FF2B5EF4-FFF2-40B4-BE49-F238E27FC236}">
              <a16:creationId xmlns:a16="http://schemas.microsoft.com/office/drawing/2014/main" id="{8B28C63E-E7E4-4421-88DD-2E685E063F10}"/>
            </a:ext>
          </a:extLst>
        </xdr:cNvPr>
        <xdr:cNvGrpSpPr/>
      </xdr:nvGrpSpPr>
      <xdr:grpSpPr>
        <a:xfrm>
          <a:off x="12857587" y="2419815"/>
          <a:ext cx="429787" cy="369384"/>
          <a:chOff x="7649737" y="3171128"/>
          <a:chExt cx="429787" cy="360091"/>
        </a:xfrm>
      </xdr:grpSpPr>
      <xdr:sp macro="" textlink="'pivot tables'!BG10">
        <xdr:nvSpPr>
          <xdr:cNvPr id="606" name="TextBox 605">
            <a:extLst>
              <a:ext uri="{FF2B5EF4-FFF2-40B4-BE49-F238E27FC236}">
                <a16:creationId xmlns:a16="http://schemas.microsoft.com/office/drawing/2014/main" id="{81184467-5E16-41DC-987F-986C63428DE5}"/>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07" name="TextBox 606">
            <a:extLst>
              <a:ext uri="{FF2B5EF4-FFF2-40B4-BE49-F238E27FC236}">
                <a16:creationId xmlns:a16="http://schemas.microsoft.com/office/drawing/2014/main" id="{08F9FFB3-8538-4C09-81A0-C3EF7E72E9D9}"/>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20</xdr:col>
      <xdr:colOff>127076</xdr:colOff>
      <xdr:row>12</xdr:row>
      <xdr:rowOff>53898</xdr:rowOff>
    </xdr:from>
    <xdr:to>
      <xdr:col>20</xdr:col>
      <xdr:colOff>556863</xdr:colOff>
      <xdr:row>14</xdr:row>
      <xdr:rowOff>42282</xdr:rowOff>
    </xdr:to>
    <xdr:grpSp>
      <xdr:nvGrpSpPr>
        <xdr:cNvPr id="608" name="Group 607">
          <a:extLst>
            <a:ext uri="{FF2B5EF4-FFF2-40B4-BE49-F238E27FC236}">
              <a16:creationId xmlns:a16="http://schemas.microsoft.com/office/drawing/2014/main" id="{8CC7CDCF-836E-4BC2-A171-D26030352F76}"/>
            </a:ext>
          </a:extLst>
        </xdr:cNvPr>
        <xdr:cNvGrpSpPr/>
      </xdr:nvGrpSpPr>
      <xdr:grpSpPr>
        <a:xfrm>
          <a:off x="12319076" y="2339898"/>
          <a:ext cx="429787" cy="369384"/>
          <a:chOff x="7649737" y="3171128"/>
          <a:chExt cx="429787" cy="360091"/>
        </a:xfrm>
      </xdr:grpSpPr>
      <xdr:sp macro="" textlink="'pivot tables'!BG10">
        <xdr:nvSpPr>
          <xdr:cNvPr id="609" name="TextBox 608">
            <a:extLst>
              <a:ext uri="{FF2B5EF4-FFF2-40B4-BE49-F238E27FC236}">
                <a16:creationId xmlns:a16="http://schemas.microsoft.com/office/drawing/2014/main" id="{B64C0F54-EC41-4223-A7E6-C192BF026D09}"/>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10" name="TextBox 609">
            <a:extLst>
              <a:ext uri="{FF2B5EF4-FFF2-40B4-BE49-F238E27FC236}">
                <a16:creationId xmlns:a16="http://schemas.microsoft.com/office/drawing/2014/main" id="{90649BE7-51BE-4277-81E5-65C6AF80493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20</xdr:col>
      <xdr:colOff>279476</xdr:colOff>
      <xdr:row>13</xdr:row>
      <xdr:rowOff>20444</xdr:rowOff>
    </xdr:from>
    <xdr:to>
      <xdr:col>21</xdr:col>
      <xdr:colOff>105239</xdr:colOff>
      <xdr:row>15</xdr:row>
      <xdr:rowOff>8828</xdr:rowOff>
    </xdr:to>
    <xdr:grpSp>
      <xdr:nvGrpSpPr>
        <xdr:cNvPr id="611" name="Group 610">
          <a:extLst>
            <a:ext uri="{FF2B5EF4-FFF2-40B4-BE49-F238E27FC236}">
              <a16:creationId xmlns:a16="http://schemas.microsoft.com/office/drawing/2014/main" id="{7DBF506C-8868-4FF7-983C-91EF73F563D2}"/>
            </a:ext>
          </a:extLst>
        </xdr:cNvPr>
        <xdr:cNvGrpSpPr/>
      </xdr:nvGrpSpPr>
      <xdr:grpSpPr>
        <a:xfrm>
          <a:off x="12471476" y="2496944"/>
          <a:ext cx="435363" cy="369384"/>
          <a:chOff x="7649737" y="3171128"/>
          <a:chExt cx="429787" cy="360091"/>
        </a:xfrm>
      </xdr:grpSpPr>
      <xdr:sp macro="" textlink="'pivot tables'!BG10">
        <xdr:nvSpPr>
          <xdr:cNvPr id="612" name="TextBox 611">
            <a:extLst>
              <a:ext uri="{FF2B5EF4-FFF2-40B4-BE49-F238E27FC236}">
                <a16:creationId xmlns:a16="http://schemas.microsoft.com/office/drawing/2014/main" id="{397E2E4E-F29E-4F86-9A9B-7B808B368779}"/>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13" name="TextBox 612">
            <a:extLst>
              <a:ext uri="{FF2B5EF4-FFF2-40B4-BE49-F238E27FC236}">
                <a16:creationId xmlns:a16="http://schemas.microsoft.com/office/drawing/2014/main" id="{4DB07333-8559-4DBF-BB01-DD91559E006E}"/>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20</xdr:col>
      <xdr:colOff>95016</xdr:colOff>
      <xdr:row>12</xdr:row>
      <xdr:rowOff>114765</xdr:rowOff>
    </xdr:from>
    <xdr:to>
      <xdr:col>20</xdr:col>
      <xdr:colOff>524803</xdr:colOff>
      <xdr:row>14</xdr:row>
      <xdr:rowOff>103149</xdr:rowOff>
    </xdr:to>
    <xdr:grpSp>
      <xdr:nvGrpSpPr>
        <xdr:cNvPr id="614" name="Group 613">
          <a:extLst>
            <a:ext uri="{FF2B5EF4-FFF2-40B4-BE49-F238E27FC236}">
              <a16:creationId xmlns:a16="http://schemas.microsoft.com/office/drawing/2014/main" id="{164895F0-21C3-4A3C-857F-A503E8BE9637}"/>
            </a:ext>
          </a:extLst>
        </xdr:cNvPr>
        <xdr:cNvGrpSpPr/>
      </xdr:nvGrpSpPr>
      <xdr:grpSpPr>
        <a:xfrm>
          <a:off x="12287016" y="2400765"/>
          <a:ext cx="429787" cy="369384"/>
          <a:chOff x="7649737" y="3171128"/>
          <a:chExt cx="429787" cy="360091"/>
        </a:xfrm>
      </xdr:grpSpPr>
      <xdr:sp macro="" textlink="'pivot tables'!BG10">
        <xdr:nvSpPr>
          <xdr:cNvPr id="615" name="TextBox 614">
            <a:extLst>
              <a:ext uri="{FF2B5EF4-FFF2-40B4-BE49-F238E27FC236}">
                <a16:creationId xmlns:a16="http://schemas.microsoft.com/office/drawing/2014/main" id="{719A02CC-472A-4AB3-831F-9769A19FA45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16" name="TextBox 615">
            <a:extLst>
              <a:ext uri="{FF2B5EF4-FFF2-40B4-BE49-F238E27FC236}">
                <a16:creationId xmlns:a16="http://schemas.microsoft.com/office/drawing/2014/main" id="{C1B22972-EB86-4523-B5B5-BB3722074EA0}"/>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20</xdr:col>
      <xdr:colOff>247416</xdr:colOff>
      <xdr:row>13</xdr:row>
      <xdr:rowOff>81311</xdr:rowOff>
    </xdr:from>
    <xdr:to>
      <xdr:col>21</xdr:col>
      <xdr:colOff>73179</xdr:colOff>
      <xdr:row>15</xdr:row>
      <xdr:rowOff>69695</xdr:rowOff>
    </xdr:to>
    <xdr:grpSp>
      <xdr:nvGrpSpPr>
        <xdr:cNvPr id="617" name="Group 616">
          <a:extLst>
            <a:ext uri="{FF2B5EF4-FFF2-40B4-BE49-F238E27FC236}">
              <a16:creationId xmlns:a16="http://schemas.microsoft.com/office/drawing/2014/main" id="{160C5BE5-04A1-480B-8830-73E6597522D3}"/>
            </a:ext>
          </a:extLst>
        </xdr:cNvPr>
        <xdr:cNvGrpSpPr/>
      </xdr:nvGrpSpPr>
      <xdr:grpSpPr>
        <a:xfrm>
          <a:off x="12439416" y="2557811"/>
          <a:ext cx="435363" cy="369384"/>
          <a:chOff x="7649737" y="3171128"/>
          <a:chExt cx="429787" cy="360091"/>
        </a:xfrm>
      </xdr:grpSpPr>
      <xdr:sp macro="" textlink="'pivot tables'!BG10">
        <xdr:nvSpPr>
          <xdr:cNvPr id="618" name="TextBox 617">
            <a:extLst>
              <a:ext uri="{FF2B5EF4-FFF2-40B4-BE49-F238E27FC236}">
                <a16:creationId xmlns:a16="http://schemas.microsoft.com/office/drawing/2014/main" id="{D80416AB-9FC4-4146-9D24-91BF262E2847}"/>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19" name="TextBox 618">
            <a:extLst>
              <a:ext uri="{FF2B5EF4-FFF2-40B4-BE49-F238E27FC236}">
                <a16:creationId xmlns:a16="http://schemas.microsoft.com/office/drawing/2014/main" id="{D3A91D85-5481-4677-AC6D-F73474E6071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20</xdr:col>
      <xdr:colOff>481127</xdr:colOff>
      <xdr:row>11</xdr:row>
      <xdr:rowOff>82705</xdr:rowOff>
    </xdr:from>
    <xdr:to>
      <xdr:col>21</xdr:col>
      <xdr:colOff>306890</xdr:colOff>
      <xdr:row>13</xdr:row>
      <xdr:rowOff>71088</xdr:rowOff>
    </xdr:to>
    <xdr:grpSp>
      <xdr:nvGrpSpPr>
        <xdr:cNvPr id="620" name="Group 619">
          <a:extLst>
            <a:ext uri="{FF2B5EF4-FFF2-40B4-BE49-F238E27FC236}">
              <a16:creationId xmlns:a16="http://schemas.microsoft.com/office/drawing/2014/main" id="{51576519-CCE0-4884-844C-D93A003D090E}"/>
            </a:ext>
          </a:extLst>
        </xdr:cNvPr>
        <xdr:cNvGrpSpPr/>
      </xdr:nvGrpSpPr>
      <xdr:grpSpPr>
        <a:xfrm>
          <a:off x="12673127" y="2178205"/>
          <a:ext cx="435363" cy="369383"/>
          <a:chOff x="7649737" y="3171128"/>
          <a:chExt cx="429787" cy="360091"/>
        </a:xfrm>
      </xdr:grpSpPr>
      <xdr:sp macro="" textlink="'pivot tables'!BG10">
        <xdr:nvSpPr>
          <xdr:cNvPr id="621" name="TextBox 620">
            <a:extLst>
              <a:ext uri="{FF2B5EF4-FFF2-40B4-BE49-F238E27FC236}">
                <a16:creationId xmlns:a16="http://schemas.microsoft.com/office/drawing/2014/main" id="{DC9E063F-6843-430B-93A7-81534C65A825}"/>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22" name="TextBox 621">
            <a:extLst>
              <a:ext uri="{FF2B5EF4-FFF2-40B4-BE49-F238E27FC236}">
                <a16:creationId xmlns:a16="http://schemas.microsoft.com/office/drawing/2014/main" id="{0161CE77-3A4F-4340-A7DC-0356E578136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21</xdr:col>
      <xdr:colOff>29503</xdr:colOff>
      <xdr:row>12</xdr:row>
      <xdr:rowOff>49251</xdr:rowOff>
    </xdr:from>
    <xdr:to>
      <xdr:col>21</xdr:col>
      <xdr:colOff>459290</xdr:colOff>
      <xdr:row>14</xdr:row>
      <xdr:rowOff>37635</xdr:rowOff>
    </xdr:to>
    <xdr:grpSp>
      <xdr:nvGrpSpPr>
        <xdr:cNvPr id="623" name="Group 622">
          <a:extLst>
            <a:ext uri="{FF2B5EF4-FFF2-40B4-BE49-F238E27FC236}">
              <a16:creationId xmlns:a16="http://schemas.microsoft.com/office/drawing/2014/main" id="{453302D0-25B0-4A1D-A182-2E01581A22C3}"/>
            </a:ext>
          </a:extLst>
        </xdr:cNvPr>
        <xdr:cNvGrpSpPr/>
      </xdr:nvGrpSpPr>
      <xdr:grpSpPr>
        <a:xfrm>
          <a:off x="12831103" y="2335251"/>
          <a:ext cx="429787" cy="369384"/>
          <a:chOff x="7649737" y="3171128"/>
          <a:chExt cx="429787" cy="360091"/>
        </a:xfrm>
      </xdr:grpSpPr>
      <xdr:sp macro="" textlink="'pivot tables'!BG10">
        <xdr:nvSpPr>
          <xdr:cNvPr id="624" name="TextBox 623">
            <a:extLst>
              <a:ext uri="{FF2B5EF4-FFF2-40B4-BE49-F238E27FC236}">
                <a16:creationId xmlns:a16="http://schemas.microsoft.com/office/drawing/2014/main" id="{C5CE8161-28A2-439F-8879-73CA5321CCD0}"/>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25" name="TextBox 624">
            <a:extLst>
              <a:ext uri="{FF2B5EF4-FFF2-40B4-BE49-F238E27FC236}">
                <a16:creationId xmlns:a16="http://schemas.microsoft.com/office/drawing/2014/main" id="{59A621B4-7093-47EE-BDAA-9216C928DBD6}"/>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21</xdr:col>
      <xdr:colOff>286445</xdr:colOff>
      <xdr:row>11</xdr:row>
      <xdr:rowOff>15798</xdr:rowOff>
    </xdr:from>
    <xdr:to>
      <xdr:col>22</xdr:col>
      <xdr:colOff>112207</xdr:colOff>
      <xdr:row>13</xdr:row>
      <xdr:rowOff>4181</xdr:rowOff>
    </xdr:to>
    <xdr:grpSp>
      <xdr:nvGrpSpPr>
        <xdr:cNvPr id="626" name="Group 625">
          <a:extLst>
            <a:ext uri="{FF2B5EF4-FFF2-40B4-BE49-F238E27FC236}">
              <a16:creationId xmlns:a16="http://schemas.microsoft.com/office/drawing/2014/main" id="{6134F4E6-2B3A-475E-B9EA-D56BF5C4D534}"/>
            </a:ext>
          </a:extLst>
        </xdr:cNvPr>
        <xdr:cNvGrpSpPr/>
      </xdr:nvGrpSpPr>
      <xdr:grpSpPr>
        <a:xfrm>
          <a:off x="13088045" y="2111298"/>
          <a:ext cx="435362" cy="369383"/>
          <a:chOff x="7649737" y="3171128"/>
          <a:chExt cx="429787" cy="360091"/>
        </a:xfrm>
      </xdr:grpSpPr>
      <xdr:sp macro="" textlink="'pivot tables'!BG10">
        <xdr:nvSpPr>
          <xdr:cNvPr id="627" name="TextBox 626">
            <a:extLst>
              <a:ext uri="{FF2B5EF4-FFF2-40B4-BE49-F238E27FC236}">
                <a16:creationId xmlns:a16="http://schemas.microsoft.com/office/drawing/2014/main" id="{6B0D8569-46C5-4EE5-BB04-BFC98F97565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28" name="TextBox 627">
            <a:extLst>
              <a:ext uri="{FF2B5EF4-FFF2-40B4-BE49-F238E27FC236}">
                <a16:creationId xmlns:a16="http://schemas.microsoft.com/office/drawing/2014/main" id="{37C5C760-E7DC-441C-A71E-8722FC0C21D3}"/>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21</xdr:col>
      <xdr:colOff>438845</xdr:colOff>
      <xdr:row>11</xdr:row>
      <xdr:rowOff>168198</xdr:rowOff>
    </xdr:from>
    <xdr:to>
      <xdr:col>22</xdr:col>
      <xdr:colOff>264607</xdr:colOff>
      <xdr:row>13</xdr:row>
      <xdr:rowOff>156581</xdr:rowOff>
    </xdr:to>
    <xdr:grpSp>
      <xdr:nvGrpSpPr>
        <xdr:cNvPr id="629" name="Group 628">
          <a:extLst>
            <a:ext uri="{FF2B5EF4-FFF2-40B4-BE49-F238E27FC236}">
              <a16:creationId xmlns:a16="http://schemas.microsoft.com/office/drawing/2014/main" id="{C5B95121-50E7-4F25-BFE2-146B9B052B64}"/>
            </a:ext>
          </a:extLst>
        </xdr:cNvPr>
        <xdr:cNvGrpSpPr/>
      </xdr:nvGrpSpPr>
      <xdr:grpSpPr>
        <a:xfrm>
          <a:off x="13240445" y="2263698"/>
          <a:ext cx="435362" cy="369383"/>
          <a:chOff x="7649737" y="3171128"/>
          <a:chExt cx="429787" cy="360091"/>
        </a:xfrm>
      </xdr:grpSpPr>
      <xdr:sp macro="" textlink="'pivot tables'!BG10">
        <xdr:nvSpPr>
          <xdr:cNvPr id="630" name="TextBox 629">
            <a:extLst>
              <a:ext uri="{FF2B5EF4-FFF2-40B4-BE49-F238E27FC236}">
                <a16:creationId xmlns:a16="http://schemas.microsoft.com/office/drawing/2014/main" id="{7196C49E-EADA-4889-8097-3892404D109C}"/>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31" name="TextBox 630">
            <a:extLst>
              <a:ext uri="{FF2B5EF4-FFF2-40B4-BE49-F238E27FC236}">
                <a16:creationId xmlns:a16="http://schemas.microsoft.com/office/drawing/2014/main" id="{76EA262C-DD9F-43AE-BAE0-A7B7A680FBA4}"/>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21</xdr:col>
      <xdr:colOff>591245</xdr:colOff>
      <xdr:row>12</xdr:row>
      <xdr:rowOff>134744</xdr:rowOff>
    </xdr:from>
    <xdr:to>
      <xdr:col>22</xdr:col>
      <xdr:colOff>417007</xdr:colOff>
      <xdr:row>14</xdr:row>
      <xdr:rowOff>123128</xdr:rowOff>
    </xdr:to>
    <xdr:grpSp>
      <xdr:nvGrpSpPr>
        <xdr:cNvPr id="632" name="Group 631">
          <a:extLst>
            <a:ext uri="{FF2B5EF4-FFF2-40B4-BE49-F238E27FC236}">
              <a16:creationId xmlns:a16="http://schemas.microsoft.com/office/drawing/2014/main" id="{B816824A-2A47-4CE3-84E1-2BE009724227}"/>
            </a:ext>
          </a:extLst>
        </xdr:cNvPr>
        <xdr:cNvGrpSpPr/>
      </xdr:nvGrpSpPr>
      <xdr:grpSpPr>
        <a:xfrm>
          <a:off x="13392845" y="2420744"/>
          <a:ext cx="435362" cy="369384"/>
          <a:chOff x="7649737" y="3171128"/>
          <a:chExt cx="429787" cy="360091"/>
        </a:xfrm>
      </xdr:grpSpPr>
      <xdr:sp macro="" textlink="'pivot tables'!BG10">
        <xdr:nvSpPr>
          <xdr:cNvPr id="633" name="TextBox 632">
            <a:extLst>
              <a:ext uri="{FF2B5EF4-FFF2-40B4-BE49-F238E27FC236}">
                <a16:creationId xmlns:a16="http://schemas.microsoft.com/office/drawing/2014/main" id="{BA59E754-9FD0-4A6C-80D3-B7530F271DCB}"/>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34" name="TextBox 633">
            <a:extLst>
              <a:ext uri="{FF2B5EF4-FFF2-40B4-BE49-F238E27FC236}">
                <a16:creationId xmlns:a16="http://schemas.microsoft.com/office/drawing/2014/main" id="{6EE77E69-487B-4F55-9D0B-613D9478684D}"/>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21</xdr:col>
      <xdr:colOff>581023</xdr:colOff>
      <xdr:row>11</xdr:row>
      <xdr:rowOff>31595</xdr:rowOff>
    </xdr:from>
    <xdr:to>
      <xdr:col>22</xdr:col>
      <xdr:colOff>406785</xdr:colOff>
      <xdr:row>13</xdr:row>
      <xdr:rowOff>19978</xdr:rowOff>
    </xdr:to>
    <xdr:grpSp>
      <xdr:nvGrpSpPr>
        <xdr:cNvPr id="635" name="Group 634">
          <a:extLst>
            <a:ext uri="{FF2B5EF4-FFF2-40B4-BE49-F238E27FC236}">
              <a16:creationId xmlns:a16="http://schemas.microsoft.com/office/drawing/2014/main" id="{370D130C-48ED-4EB3-9A71-C21AA9AE43BD}"/>
            </a:ext>
          </a:extLst>
        </xdr:cNvPr>
        <xdr:cNvGrpSpPr/>
      </xdr:nvGrpSpPr>
      <xdr:grpSpPr>
        <a:xfrm>
          <a:off x="13382623" y="2127095"/>
          <a:ext cx="435362" cy="369383"/>
          <a:chOff x="7649737" y="3171128"/>
          <a:chExt cx="429787" cy="360091"/>
        </a:xfrm>
      </xdr:grpSpPr>
      <xdr:sp macro="" textlink="'pivot tables'!BG10">
        <xdr:nvSpPr>
          <xdr:cNvPr id="636" name="TextBox 635">
            <a:extLst>
              <a:ext uri="{FF2B5EF4-FFF2-40B4-BE49-F238E27FC236}">
                <a16:creationId xmlns:a16="http://schemas.microsoft.com/office/drawing/2014/main" id="{B191015B-A0E9-47D3-AB32-955E0D69B855}"/>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37" name="TextBox 636">
            <a:extLst>
              <a:ext uri="{FF2B5EF4-FFF2-40B4-BE49-F238E27FC236}">
                <a16:creationId xmlns:a16="http://schemas.microsoft.com/office/drawing/2014/main" id="{C97B85F4-52A5-495B-BCD3-19E9CDB61BC1}"/>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22</xdr:col>
      <xdr:colOff>129398</xdr:colOff>
      <xdr:row>11</xdr:row>
      <xdr:rowOff>183995</xdr:rowOff>
    </xdr:from>
    <xdr:to>
      <xdr:col>22</xdr:col>
      <xdr:colOff>559185</xdr:colOff>
      <xdr:row>13</xdr:row>
      <xdr:rowOff>172378</xdr:rowOff>
    </xdr:to>
    <xdr:grpSp>
      <xdr:nvGrpSpPr>
        <xdr:cNvPr id="638" name="Group 637">
          <a:extLst>
            <a:ext uri="{FF2B5EF4-FFF2-40B4-BE49-F238E27FC236}">
              <a16:creationId xmlns:a16="http://schemas.microsoft.com/office/drawing/2014/main" id="{1EA4F07D-3FD2-4F1D-9269-F6723D315234}"/>
            </a:ext>
          </a:extLst>
        </xdr:cNvPr>
        <xdr:cNvGrpSpPr/>
      </xdr:nvGrpSpPr>
      <xdr:grpSpPr>
        <a:xfrm>
          <a:off x="13540598" y="2279495"/>
          <a:ext cx="429787" cy="369383"/>
          <a:chOff x="7649737" y="3171128"/>
          <a:chExt cx="429787" cy="360091"/>
        </a:xfrm>
      </xdr:grpSpPr>
      <xdr:sp macro="" textlink="'pivot tables'!BG10">
        <xdr:nvSpPr>
          <xdr:cNvPr id="639" name="TextBox 638">
            <a:extLst>
              <a:ext uri="{FF2B5EF4-FFF2-40B4-BE49-F238E27FC236}">
                <a16:creationId xmlns:a16="http://schemas.microsoft.com/office/drawing/2014/main" id="{F9C459EE-708D-460C-81C9-09DBB3298109}"/>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40" name="TextBox 639">
            <a:extLst>
              <a:ext uri="{FF2B5EF4-FFF2-40B4-BE49-F238E27FC236}">
                <a16:creationId xmlns:a16="http://schemas.microsoft.com/office/drawing/2014/main" id="{374DA51B-1204-48E9-A638-964949FBA435}"/>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22</xdr:col>
      <xdr:colOff>281798</xdr:colOff>
      <xdr:row>12</xdr:row>
      <xdr:rowOff>150541</xdr:rowOff>
    </xdr:from>
    <xdr:to>
      <xdr:col>23</xdr:col>
      <xdr:colOff>107561</xdr:colOff>
      <xdr:row>14</xdr:row>
      <xdr:rowOff>138925</xdr:rowOff>
    </xdr:to>
    <xdr:grpSp>
      <xdr:nvGrpSpPr>
        <xdr:cNvPr id="641" name="Group 640">
          <a:extLst>
            <a:ext uri="{FF2B5EF4-FFF2-40B4-BE49-F238E27FC236}">
              <a16:creationId xmlns:a16="http://schemas.microsoft.com/office/drawing/2014/main" id="{EA331A17-18B5-41E5-9A0C-9D173E7F4E60}"/>
            </a:ext>
          </a:extLst>
        </xdr:cNvPr>
        <xdr:cNvGrpSpPr/>
      </xdr:nvGrpSpPr>
      <xdr:grpSpPr>
        <a:xfrm>
          <a:off x="13692998" y="2436541"/>
          <a:ext cx="435363" cy="369384"/>
          <a:chOff x="7649737" y="3171128"/>
          <a:chExt cx="429787" cy="360091"/>
        </a:xfrm>
      </xdr:grpSpPr>
      <xdr:sp macro="" textlink="'pivot tables'!BG10">
        <xdr:nvSpPr>
          <xdr:cNvPr id="642" name="TextBox 641">
            <a:extLst>
              <a:ext uri="{FF2B5EF4-FFF2-40B4-BE49-F238E27FC236}">
                <a16:creationId xmlns:a16="http://schemas.microsoft.com/office/drawing/2014/main" id="{D9D196E9-94C0-4B2C-AB3A-5C0A306A034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43" name="TextBox 642">
            <a:extLst>
              <a:ext uri="{FF2B5EF4-FFF2-40B4-BE49-F238E27FC236}">
                <a16:creationId xmlns:a16="http://schemas.microsoft.com/office/drawing/2014/main" id="{C9D63789-2552-4CE9-8489-EC3E39522595}"/>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24</xdr:col>
      <xdr:colOff>259961</xdr:colOff>
      <xdr:row>8</xdr:row>
      <xdr:rowOff>70624</xdr:rowOff>
    </xdr:from>
    <xdr:to>
      <xdr:col>25</xdr:col>
      <xdr:colOff>85723</xdr:colOff>
      <xdr:row>10</xdr:row>
      <xdr:rowOff>59007</xdr:rowOff>
    </xdr:to>
    <xdr:grpSp>
      <xdr:nvGrpSpPr>
        <xdr:cNvPr id="644" name="Group 643">
          <a:extLst>
            <a:ext uri="{FF2B5EF4-FFF2-40B4-BE49-F238E27FC236}">
              <a16:creationId xmlns:a16="http://schemas.microsoft.com/office/drawing/2014/main" id="{FDC74A59-C0A4-4678-92AF-1DDE99D15D08}"/>
            </a:ext>
          </a:extLst>
        </xdr:cNvPr>
        <xdr:cNvGrpSpPr/>
      </xdr:nvGrpSpPr>
      <xdr:grpSpPr>
        <a:xfrm>
          <a:off x="14890361" y="1594624"/>
          <a:ext cx="435362" cy="369383"/>
          <a:chOff x="7649737" y="3171128"/>
          <a:chExt cx="429787" cy="360091"/>
        </a:xfrm>
      </xdr:grpSpPr>
      <xdr:sp macro="" textlink="'pivot tables'!BG10">
        <xdr:nvSpPr>
          <xdr:cNvPr id="645" name="TextBox 644">
            <a:extLst>
              <a:ext uri="{FF2B5EF4-FFF2-40B4-BE49-F238E27FC236}">
                <a16:creationId xmlns:a16="http://schemas.microsoft.com/office/drawing/2014/main" id="{F5603504-1648-4A5C-A4F7-F9806F243A61}"/>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46" name="TextBox 645">
            <a:extLst>
              <a:ext uri="{FF2B5EF4-FFF2-40B4-BE49-F238E27FC236}">
                <a16:creationId xmlns:a16="http://schemas.microsoft.com/office/drawing/2014/main" id="{967FCE98-0334-4ACF-94CE-47B46D8EAFA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24</xdr:col>
      <xdr:colOff>412361</xdr:colOff>
      <xdr:row>9</xdr:row>
      <xdr:rowOff>37170</xdr:rowOff>
    </xdr:from>
    <xdr:to>
      <xdr:col>25</xdr:col>
      <xdr:colOff>238123</xdr:colOff>
      <xdr:row>11</xdr:row>
      <xdr:rowOff>25554</xdr:rowOff>
    </xdr:to>
    <xdr:grpSp>
      <xdr:nvGrpSpPr>
        <xdr:cNvPr id="647" name="Group 646">
          <a:extLst>
            <a:ext uri="{FF2B5EF4-FFF2-40B4-BE49-F238E27FC236}">
              <a16:creationId xmlns:a16="http://schemas.microsoft.com/office/drawing/2014/main" id="{7C7D9F36-1573-408B-907B-B66D5FD783DA}"/>
            </a:ext>
          </a:extLst>
        </xdr:cNvPr>
        <xdr:cNvGrpSpPr/>
      </xdr:nvGrpSpPr>
      <xdr:grpSpPr>
        <a:xfrm>
          <a:off x="15042761" y="1751670"/>
          <a:ext cx="435362" cy="369384"/>
          <a:chOff x="7649737" y="3171128"/>
          <a:chExt cx="429787" cy="360091"/>
        </a:xfrm>
      </xdr:grpSpPr>
      <xdr:sp macro="" textlink="'pivot tables'!BG10">
        <xdr:nvSpPr>
          <xdr:cNvPr id="648" name="TextBox 647">
            <a:extLst>
              <a:ext uri="{FF2B5EF4-FFF2-40B4-BE49-F238E27FC236}">
                <a16:creationId xmlns:a16="http://schemas.microsoft.com/office/drawing/2014/main" id="{66EB400F-F42A-44D0-9744-DA4022E4AB0E}"/>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49" name="TextBox 648">
            <a:extLst>
              <a:ext uri="{FF2B5EF4-FFF2-40B4-BE49-F238E27FC236}">
                <a16:creationId xmlns:a16="http://schemas.microsoft.com/office/drawing/2014/main" id="{BE4267E5-A2E6-42A2-9FC2-E1AD0E6D1C50}"/>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24</xdr:col>
      <xdr:colOff>564761</xdr:colOff>
      <xdr:row>10</xdr:row>
      <xdr:rowOff>3716</xdr:rowOff>
    </xdr:from>
    <xdr:to>
      <xdr:col>25</xdr:col>
      <xdr:colOff>390523</xdr:colOff>
      <xdr:row>11</xdr:row>
      <xdr:rowOff>177954</xdr:rowOff>
    </xdr:to>
    <xdr:grpSp>
      <xdr:nvGrpSpPr>
        <xdr:cNvPr id="650" name="Group 649">
          <a:extLst>
            <a:ext uri="{FF2B5EF4-FFF2-40B4-BE49-F238E27FC236}">
              <a16:creationId xmlns:a16="http://schemas.microsoft.com/office/drawing/2014/main" id="{7AF968BA-075E-4EF9-BC9C-CC18DF3FEFA6}"/>
            </a:ext>
          </a:extLst>
        </xdr:cNvPr>
        <xdr:cNvGrpSpPr/>
      </xdr:nvGrpSpPr>
      <xdr:grpSpPr>
        <a:xfrm>
          <a:off x="15195161" y="1908716"/>
          <a:ext cx="435362" cy="364738"/>
          <a:chOff x="7649737" y="3171128"/>
          <a:chExt cx="429787" cy="360091"/>
        </a:xfrm>
      </xdr:grpSpPr>
      <xdr:sp macro="" textlink="'pivot tables'!BG10">
        <xdr:nvSpPr>
          <xdr:cNvPr id="651" name="TextBox 650">
            <a:extLst>
              <a:ext uri="{FF2B5EF4-FFF2-40B4-BE49-F238E27FC236}">
                <a16:creationId xmlns:a16="http://schemas.microsoft.com/office/drawing/2014/main" id="{BEF5A1E0-AF65-43D3-902C-1B014AB38323}"/>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52" name="TextBox 651">
            <a:extLst>
              <a:ext uri="{FF2B5EF4-FFF2-40B4-BE49-F238E27FC236}">
                <a16:creationId xmlns:a16="http://schemas.microsoft.com/office/drawing/2014/main" id="{CE25331A-AC94-4D8B-BAB6-53F8BB6E1F8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24</xdr:col>
      <xdr:colOff>508076</xdr:colOff>
      <xdr:row>8</xdr:row>
      <xdr:rowOff>16726</xdr:rowOff>
    </xdr:from>
    <xdr:to>
      <xdr:col>25</xdr:col>
      <xdr:colOff>333838</xdr:colOff>
      <xdr:row>10</xdr:row>
      <xdr:rowOff>5109</xdr:rowOff>
    </xdr:to>
    <xdr:grpSp>
      <xdr:nvGrpSpPr>
        <xdr:cNvPr id="653" name="Group 652">
          <a:extLst>
            <a:ext uri="{FF2B5EF4-FFF2-40B4-BE49-F238E27FC236}">
              <a16:creationId xmlns:a16="http://schemas.microsoft.com/office/drawing/2014/main" id="{F348E063-8BF6-4132-B3EF-A019DABA7307}"/>
            </a:ext>
          </a:extLst>
        </xdr:cNvPr>
        <xdr:cNvGrpSpPr/>
      </xdr:nvGrpSpPr>
      <xdr:grpSpPr>
        <a:xfrm>
          <a:off x="15138476" y="1540726"/>
          <a:ext cx="435362" cy="369383"/>
          <a:chOff x="7649737" y="3171128"/>
          <a:chExt cx="429787" cy="360091"/>
        </a:xfrm>
      </xdr:grpSpPr>
      <xdr:sp macro="" textlink="'pivot tables'!BG10">
        <xdr:nvSpPr>
          <xdr:cNvPr id="654" name="TextBox 653">
            <a:extLst>
              <a:ext uri="{FF2B5EF4-FFF2-40B4-BE49-F238E27FC236}">
                <a16:creationId xmlns:a16="http://schemas.microsoft.com/office/drawing/2014/main" id="{1A1E4E86-8EF8-4147-8CD1-978D2438692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55" name="TextBox 654">
            <a:extLst>
              <a:ext uri="{FF2B5EF4-FFF2-40B4-BE49-F238E27FC236}">
                <a16:creationId xmlns:a16="http://schemas.microsoft.com/office/drawing/2014/main" id="{241D4C5C-DE67-4D0C-BFF0-1D84F18C14E8}"/>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25</xdr:col>
      <xdr:colOff>56451</xdr:colOff>
      <xdr:row>8</xdr:row>
      <xdr:rowOff>169126</xdr:rowOff>
    </xdr:from>
    <xdr:to>
      <xdr:col>25</xdr:col>
      <xdr:colOff>486238</xdr:colOff>
      <xdr:row>10</xdr:row>
      <xdr:rowOff>157509</xdr:rowOff>
    </xdr:to>
    <xdr:grpSp>
      <xdr:nvGrpSpPr>
        <xdr:cNvPr id="656" name="Group 655">
          <a:extLst>
            <a:ext uri="{FF2B5EF4-FFF2-40B4-BE49-F238E27FC236}">
              <a16:creationId xmlns:a16="http://schemas.microsoft.com/office/drawing/2014/main" id="{5ECFF6D7-443F-4382-AC73-C640010F8107}"/>
            </a:ext>
          </a:extLst>
        </xdr:cNvPr>
        <xdr:cNvGrpSpPr/>
      </xdr:nvGrpSpPr>
      <xdr:grpSpPr>
        <a:xfrm>
          <a:off x="15296451" y="1693126"/>
          <a:ext cx="429787" cy="369383"/>
          <a:chOff x="7649737" y="3171128"/>
          <a:chExt cx="429787" cy="360091"/>
        </a:xfrm>
      </xdr:grpSpPr>
      <xdr:sp macro="" textlink="'pivot tables'!BG10">
        <xdr:nvSpPr>
          <xdr:cNvPr id="657" name="TextBox 656">
            <a:extLst>
              <a:ext uri="{FF2B5EF4-FFF2-40B4-BE49-F238E27FC236}">
                <a16:creationId xmlns:a16="http://schemas.microsoft.com/office/drawing/2014/main" id="{938B8757-11EC-40D2-B9F5-535D270EDE34}"/>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58" name="TextBox 657">
            <a:extLst>
              <a:ext uri="{FF2B5EF4-FFF2-40B4-BE49-F238E27FC236}">
                <a16:creationId xmlns:a16="http://schemas.microsoft.com/office/drawing/2014/main" id="{33E0BDCD-A2A4-424F-AC30-81E8B64156E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25</xdr:col>
      <xdr:colOff>208851</xdr:colOff>
      <xdr:row>9</xdr:row>
      <xdr:rowOff>135672</xdr:rowOff>
    </xdr:from>
    <xdr:to>
      <xdr:col>26</xdr:col>
      <xdr:colOff>34614</xdr:colOff>
      <xdr:row>11</xdr:row>
      <xdr:rowOff>124056</xdr:rowOff>
    </xdr:to>
    <xdr:grpSp>
      <xdr:nvGrpSpPr>
        <xdr:cNvPr id="659" name="Group 658">
          <a:extLst>
            <a:ext uri="{FF2B5EF4-FFF2-40B4-BE49-F238E27FC236}">
              <a16:creationId xmlns:a16="http://schemas.microsoft.com/office/drawing/2014/main" id="{9194E155-772F-40DB-BED9-282C48FCD731}"/>
            </a:ext>
          </a:extLst>
        </xdr:cNvPr>
        <xdr:cNvGrpSpPr/>
      </xdr:nvGrpSpPr>
      <xdr:grpSpPr>
        <a:xfrm>
          <a:off x="15448851" y="1850172"/>
          <a:ext cx="435363" cy="369384"/>
          <a:chOff x="7649737" y="3171128"/>
          <a:chExt cx="429787" cy="360091"/>
        </a:xfrm>
      </xdr:grpSpPr>
      <xdr:sp macro="" textlink="'pivot tables'!BG10">
        <xdr:nvSpPr>
          <xdr:cNvPr id="660" name="TextBox 659">
            <a:extLst>
              <a:ext uri="{FF2B5EF4-FFF2-40B4-BE49-F238E27FC236}">
                <a16:creationId xmlns:a16="http://schemas.microsoft.com/office/drawing/2014/main" id="{46523FDE-940D-45E0-B8B8-5F2D5A4936D9}"/>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61" name="TextBox 660">
            <a:extLst>
              <a:ext uri="{FF2B5EF4-FFF2-40B4-BE49-F238E27FC236}">
                <a16:creationId xmlns:a16="http://schemas.microsoft.com/office/drawing/2014/main" id="{84D0A7DB-B909-4427-8243-A90996B373F4}"/>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25</xdr:col>
      <xdr:colOff>187013</xdr:colOff>
      <xdr:row>8</xdr:row>
      <xdr:rowOff>78987</xdr:rowOff>
    </xdr:from>
    <xdr:to>
      <xdr:col>26</xdr:col>
      <xdr:colOff>12776</xdr:colOff>
      <xdr:row>10</xdr:row>
      <xdr:rowOff>67370</xdr:rowOff>
    </xdr:to>
    <xdr:grpSp>
      <xdr:nvGrpSpPr>
        <xdr:cNvPr id="662" name="Group 661">
          <a:extLst>
            <a:ext uri="{FF2B5EF4-FFF2-40B4-BE49-F238E27FC236}">
              <a16:creationId xmlns:a16="http://schemas.microsoft.com/office/drawing/2014/main" id="{77437DA0-8ADD-4098-AC92-2BD7E4E74AB4}"/>
            </a:ext>
          </a:extLst>
        </xdr:cNvPr>
        <xdr:cNvGrpSpPr/>
      </xdr:nvGrpSpPr>
      <xdr:grpSpPr>
        <a:xfrm>
          <a:off x="15427013" y="1602987"/>
          <a:ext cx="435363" cy="369383"/>
          <a:chOff x="7649737" y="3171128"/>
          <a:chExt cx="429787" cy="360091"/>
        </a:xfrm>
      </xdr:grpSpPr>
      <xdr:sp macro="" textlink="'pivot tables'!BG10">
        <xdr:nvSpPr>
          <xdr:cNvPr id="663" name="TextBox 662">
            <a:extLst>
              <a:ext uri="{FF2B5EF4-FFF2-40B4-BE49-F238E27FC236}">
                <a16:creationId xmlns:a16="http://schemas.microsoft.com/office/drawing/2014/main" id="{F6D449D0-FD96-4EDA-B371-EB5D8EB1E589}"/>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64" name="TextBox 663">
            <a:extLst>
              <a:ext uri="{FF2B5EF4-FFF2-40B4-BE49-F238E27FC236}">
                <a16:creationId xmlns:a16="http://schemas.microsoft.com/office/drawing/2014/main" id="{D757108F-FA80-400B-BEC0-D2CF7EF4A475}"/>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25</xdr:col>
      <xdr:colOff>339413</xdr:colOff>
      <xdr:row>9</xdr:row>
      <xdr:rowOff>45533</xdr:rowOff>
    </xdr:from>
    <xdr:to>
      <xdr:col>26</xdr:col>
      <xdr:colOff>165176</xdr:colOff>
      <xdr:row>11</xdr:row>
      <xdr:rowOff>33917</xdr:rowOff>
    </xdr:to>
    <xdr:grpSp>
      <xdr:nvGrpSpPr>
        <xdr:cNvPr id="665" name="Group 664">
          <a:extLst>
            <a:ext uri="{FF2B5EF4-FFF2-40B4-BE49-F238E27FC236}">
              <a16:creationId xmlns:a16="http://schemas.microsoft.com/office/drawing/2014/main" id="{F3CED4B5-C1B2-4F66-AC04-97398CBC5715}"/>
            </a:ext>
          </a:extLst>
        </xdr:cNvPr>
        <xdr:cNvGrpSpPr/>
      </xdr:nvGrpSpPr>
      <xdr:grpSpPr>
        <a:xfrm>
          <a:off x="15579413" y="1760033"/>
          <a:ext cx="435363" cy="369384"/>
          <a:chOff x="7649737" y="3171128"/>
          <a:chExt cx="429787" cy="360091"/>
        </a:xfrm>
      </xdr:grpSpPr>
      <xdr:sp macro="" textlink="'pivot tables'!BG10">
        <xdr:nvSpPr>
          <xdr:cNvPr id="666" name="TextBox 665">
            <a:extLst>
              <a:ext uri="{FF2B5EF4-FFF2-40B4-BE49-F238E27FC236}">
                <a16:creationId xmlns:a16="http://schemas.microsoft.com/office/drawing/2014/main" id="{119A0C3A-FEE4-49E0-8842-07684B1ACDEE}"/>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67" name="TextBox 666">
            <a:extLst>
              <a:ext uri="{FF2B5EF4-FFF2-40B4-BE49-F238E27FC236}">
                <a16:creationId xmlns:a16="http://schemas.microsoft.com/office/drawing/2014/main" id="{9F036AF0-BA54-4631-A22E-740E3A719E7F}"/>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25</xdr:col>
      <xdr:colOff>491813</xdr:colOff>
      <xdr:row>10</xdr:row>
      <xdr:rowOff>12079</xdr:rowOff>
    </xdr:from>
    <xdr:to>
      <xdr:col>26</xdr:col>
      <xdr:colOff>317576</xdr:colOff>
      <xdr:row>12</xdr:row>
      <xdr:rowOff>463</xdr:rowOff>
    </xdr:to>
    <xdr:grpSp>
      <xdr:nvGrpSpPr>
        <xdr:cNvPr id="668" name="Group 667">
          <a:extLst>
            <a:ext uri="{FF2B5EF4-FFF2-40B4-BE49-F238E27FC236}">
              <a16:creationId xmlns:a16="http://schemas.microsoft.com/office/drawing/2014/main" id="{DDC4CAEF-F30C-47E5-B0A3-A6A6293858B2}"/>
            </a:ext>
          </a:extLst>
        </xdr:cNvPr>
        <xdr:cNvGrpSpPr/>
      </xdr:nvGrpSpPr>
      <xdr:grpSpPr>
        <a:xfrm>
          <a:off x="15731813" y="1917079"/>
          <a:ext cx="435363" cy="369384"/>
          <a:chOff x="7649737" y="3171128"/>
          <a:chExt cx="429787" cy="360091"/>
        </a:xfrm>
      </xdr:grpSpPr>
      <xdr:sp macro="" textlink="'pivot tables'!BG10">
        <xdr:nvSpPr>
          <xdr:cNvPr id="669" name="TextBox 668">
            <a:extLst>
              <a:ext uri="{FF2B5EF4-FFF2-40B4-BE49-F238E27FC236}">
                <a16:creationId xmlns:a16="http://schemas.microsoft.com/office/drawing/2014/main" id="{F5ABA0C3-453F-434C-A1AA-1D4B00C6A4D7}"/>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70" name="TextBox 669">
            <a:extLst>
              <a:ext uri="{FF2B5EF4-FFF2-40B4-BE49-F238E27FC236}">
                <a16:creationId xmlns:a16="http://schemas.microsoft.com/office/drawing/2014/main" id="{949F2B38-5BAB-4D73-B91F-63755A43039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25</xdr:col>
      <xdr:colOff>493207</xdr:colOff>
      <xdr:row>8</xdr:row>
      <xdr:rowOff>129632</xdr:rowOff>
    </xdr:from>
    <xdr:to>
      <xdr:col>26</xdr:col>
      <xdr:colOff>318970</xdr:colOff>
      <xdr:row>10</xdr:row>
      <xdr:rowOff>118015</xdr:rowOff>
    </xdr:to>
    <xdr:grpSp>
      <xdr:nvGrpSpPr>
        <xdr:cNvPr id="671" name="Group 670">
          <a:extLst>
            <a:ext uri="{FF2B5EF4-FFF2-40B4-BE49-F238E27FC236}">
              <a16:creationId xmlns:a16="http://schemas.microsoft.com/office/drawing/2014/main" id="{2C15EE0B-73CD-4AD9-9A64-27EB52661EBE}"/>
            </a:ext>
          </a:extLst>
        </xdr:cNvPr>
        <xdr:cNvGrpSpPr/>
      </xdr:nvGrpSpPr>
      <xdr:grpSpPr>
        <a:xfrm>
          <a:off x="15733207" y="1653632"/>
          <a:ext cx="435363" cy="369383"/>
          <a:chOff x="7649737" y="3171128"/>
          <a:chExt cx="429787" cy="360091"/>
        </a:xfrm>
      </xdr:grpSpPr>
      <xdr:sp macro="" textlink="'pivot tables'!BG10">
        <xdr:nvSpPr>
          <xdr:cNvPr id="672" name="TextBox 671">
            <a:extLst>
              <a:ext uri="{FF2B5EF4-FFF2-40B4-BE49-F238E27FC236}">
                <a16:creationId xmlns:a16="http://schemas.microsoft.com/office/drawing/2014/main" id="{135EAA83-B6B4-4132-B99C-084CF65D001A}"/>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73" name="TextBox 672">
            <a:extLst>
              <a:ext uri="{FF2B5EF4-FFF2-40B4-BE49-F238E27FC236}">
                <a16:creationId xmlns:a16="http://schemas.microsoft.com/office/drawing/2014/main" id="{9B17C439-5BF0-4C2D-BA6E-8ECE24AAE125}"/>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26</xdr:col>
      <xdr:colOff>41583</xdr:colOff>
      <xdr:row>9</xdr:row>
      <xdr:rowOff>96178</xdr:rowOff>
    </xdr:from>
    <xdr:to>
      <xdr:col>26</xdr:col>
      <xdr:colOff>471370</xdr:colOff>
      <xdr:row>11</xdr:row>
      <xdr:rowOff>84562</xdr:rowOff>
    </xdr:to>
    <xdr:grpSp>
      <xdr:nvGrpSpPr>
        <xdr:cNvPr id="674" name="Group 673">
          <a:extLst>
            <a:ext uri="{FF2B5EF4-FFF2-40B4-BE49-F238E27FC236}">
              <a16:creationId xmlns:a16="http://schemas.microsoft.com/office/drawing/2014/main" id="{BCC8978C-199F-4B26-ADF6-934C095F0C7B}"/>
            </a:ext>
          </a:extLst>
        </xdr:cNvPr>
        <xdr:cNvGrpSpPr/>
      </xdr:nvGrpSpPr>
      <xdr:grpSpPr>
        <a:xfrm>
          <a:off x="15891183" y="1810678"/>
          <a:ext cx="429787" cy="369384"/>
          <a:chOff x="7649737" y="3171128"/>
          <a:chExt cx="429787" cy="360091"/>
        </a:xfrm>
      </xdr:grpSpPr>
      <xdr:sp macro="" textlink="'pivot tables'!BG10">
        <xdr:nvSpPr>
          <xdr:cNvPr id="675" name="TextBox 674">
            <a:extLst>
              <a:ext uri="{FF2B5EF4-FFF2-40B4-BE49-F238E27FC236}">
                <a16:creationId xmlns:a16="http://schemas.microsoft.com/office/drawing/2014/main" id="{7BF8DA50-0D07-44D0-B0AD-F26B59690E6E}"/>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76" name="TextBox 675">
            <a:extLst>
              <a:ext uri="{FF2B5EF4-FFF2-40B4-BE49-F238E27FC236}">
                <a16:creationId xmlns:a16="http://schemas.microsoft.com/office/drawing/2014/main" id="{03C85E30-8485-49BD-96DC-B950ECD77A0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26</xdr:col>
      <xdr:colOff>135904</xdr:colOff>
      <xdr:row>9</xdr:row>
      <xdr:rowOff>4645</xdr:rowOff>
    </xdr:from>
    <xdr:to>
      <xdr:col>26</xdr:col>
      <xdr:colOff>565691</xdr:colOff>
      <xdr:row>10</xdr:row>
      <xdr:rowOff>178882</xdr:rowOff>
    </xdr:to>
    <xdr:grpSp>
      <xdr:nvGrpSpPr>
        <xdr:cNvPr id="677" name="Group 676">
          <a:extLst>
            <a:ext uri="{FF2B5EF4-FFF2-40B4-BE49-F238E27FC236}">
              <a16:creationId xmlns:a16="http://schemas.microsoft.com/office/drawing/2014/main" id="{FCDE06B1-527F-49F7-A1C1-823F4BC0C7C7}"/>
            </a:ext>
          </a:extLst>
        </xdr:cNvPr>
        <xdr:cNvGrpSpPr/>
      </xdr:nvGrpSpPr>
      <xdr:grpSpPr>
        <a:xfrm>
          <a:off x="15985504" y="1719145"/>
          <a:ext cx="429787" cy="364737"/>
          <a:chOff x="7649737" y="3171128"/>
          <a:chExt cx="429787" cy="360091"/>
        </a:xfrm>
      </xdr:grpSpPr>
      <xdr:sp macro="" textlink="'pivot tables'!BG10">
        <xdr:nvSpPr>
          <xdr:cNvPr id="678" name="TextBox 677">
            <a:extLst>
              <a:ext uri="{FF2B5EF4-FFF2-40B4-BE49-F238E27FC236}">
                <a16:creationId xmlns:a16="http://schemas.microsoft.com/office/drawing/2014/main" id="{F4412065-51E0-4E00-95A8-5C1F8E2D3D6E}"/>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79" name="TextBox 678">
            <a:extLst>
              <a:ext uri="{FF2B5EF4-FFF2-40B4-BE49-F238E27FC236}">
                <a16:creationId xmlns:a16="http://schemas.microsoft.com/office/drawing/2014/main" id="{36F5B808-5F91-461F-BF04-A55EA8FE7CF5}"/>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26</xdr:col>
      <xdr:colOff>288304</xdr:colOff>
      <xdr:row>9</xdr:row>
      <xdr:rowOff>157045</xdr:rowOff>
    </xdr:from>
    <xdr:to>
      <xdr:col>27</xdr:col>
      <xdr:colOff>114066</xdr:colOff>
      <xdr:row>11</xdr:row>
      <xdr:rowOff>145429</xdr:rowOff>
    </xdr:to>
    <xdr:grpSp>
      <xdr:nvGrpSpPr>
        <xdr:cNvPr id="680" name="Group 679">
          <a:extLst>
            <a:ext uri="{FF2B5EF4-FFF2-40B4-BE49-F238E27FC236}">
              <a16:creationId xmlns:a16="http://schemas.microsoft.com/office/drawing/2014/main" id="{4DA9FE8D-A47A-4FF6-B2F4-1B5989DB8A44}"/>
            </a:ext>
          </a:extLst>
        </xdr:cNvPr>
        <xdr:cNvGrpSpPr/>
      </xdr:nvGrpSpPr>
      <xdr:grpSpPr>
        <a:xfrm>
          <a:off x="16137904" y="1871545"/>
          <a:ext cx="435362" cy="369384"/>
          <a:chOff x="7649737" y="3171128"/>
          <a:chExt cx="429787" cy="360091"/>
        </a:xfrm>
      </xdr:grpSpPr>
      <xdr:sp macro="" textlink="'pivot tables'!BG10">
        <xdr:nvSpPr>
          <xdr:cNvPr id="681" name="TextBox 680">
            <a:extLst>
              <a:ext uri="{FF2B5EF4-FFF2-40B4-BE49-F238E27FC236}">
                <a16:creationId xmlns:a16="http://schemas.microsoft.com/office/drawing/2014/main" id="{29872005-8499-4E4B-A5ED-5604F91A5CF7}"/>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82" name="TextBox 681">
            <a:extLst>
              <a:ext uri="{FF2B5EF4-FFF2-40B4-BE49-F238E27FC236}">
                <a16:creationId xmlns:a16="http://schemas.microsoft.com/office/drawing/2014/main" id="{39E0A27B-0796-4625-A560-D347624C0C1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26</xdr:col>
      <xdr:colOff>347778</xdr:colOff>
      <xdr:row>8</xdr:row>
      <xdr:rowOff>19049</xdr:rowOff>
    </xdr:from>
    <xdr:to>
      <xdr:col>27</xdr:col>
      <xdr:colOff>173540</xdr:colOff>
      <xdr:row>10</xdr:row>
      <xdr:rowOff>7432</xdr:rowOff>
    </xdr:to>
    <xdr:grpSp>
      <xdr:nvGrpSpPr>
        <xdr:cNvPr id="683" name="Group 682">
          <a:extLst>
            <a:ext uri="{FF2B5EF4-FFF2-40B4-BE49-F238E27FC236}">
              <a16:creationId xmlns:a16="http://schemas.microsoft.com/office/drawing/2014/main" id="{58D1B45C-994E-40AE-BF2B-FFDC09A0BEA8}"/>
            </a:ext>
          </a:extLst>
        </xdr:cNvPr>
        <xdr:cNvGrpSpPr/>
      </xdr:nvGrpSpPr>
      <xdr:grpSpPr>
        <a:xfrm>
          <a:off x="16197378" y="1543049"/>
          <a:ext cx="435362" cy="369383"/>
          <a:chOff x="7649737" y="3171128"/>
          <a:chExt cx="429787" cy="360091"/>
        </a:xfrm>
      </xdr:grpSpPr>
      <xdr:sp macro="" textlink="'pivot tables'!BG10">
        <xdr:nvSpPr>
          <xdr:cNvPr id="684" name="TextBox 683">
            <a:extLst>
              <a:ext uri="{FF2B5EF4-FFF2-40B4-BE49-F238E27FC236}">
                <a16:creationId xmlns:a16="http://schemas.microsoft.com/office/drawing/2014/main" id="{7906CB8E-D4C9-4B27-93F0-5A2517035CEB}"/>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85" name="TextBox 684">
            <a:extLst>
              <a:ext uri="{FF2B5EF4-FFF2-40B4-BE49-F238E27FC236}">
                <a16:creationId xmlns:a16="http://schemas.microsoft.com/office/drawing/2014/main" id="{3E547573-4222-4A28-9377-CD3FC21E24AF}"/>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26</xdr:col>
      <xdr:colOff>500178</xdr:colOff>
      <xdr:row>8</xdr:row>
      <xdr:rowOff>171449</xdr:rowOff>
    </xdr:from>
    <xdr:to>
      <xdr:col>27</xdr:col>
      <xdr:colOff>325940</xdr:colOff>
      <xdr:row>10</xdr:row>
      <xdr:rowOff>159832</xdr:rowOff>
    </xdr:to>
    <xdr:grpSp>
      <xdr:nvGrpSpPr>
        <xdr:cNvPr id="686" name="Group 685">
          <a:extLst>
            <a:ext uri="{FF2B5EF4-FFF2-40B4-BE49-F238E27FC236}">
              <a16:creationId xmlns:a16="http://schemas.microsoft.com/office/drawing/2014/main" id="{2163DEF1-4066-4648-B9E9-C82291E71CF7}"/>
            </a:ext>
          </a:extLst>
        </xdr:cNvPr>
        <xdr:cNvGrpSpPr/>
      </xdr:nvGrpSpPr>
      <xdr:grpSpPr>
        <a:xfrm>
          <a:off x="16349778" y="1695449"/>
          <a:ext cx="435362" cy="369383"/>
          <a:chOff x="7649737" y="3171128"/>
          <a:chExt cx="429787" cy="360091"/>
        </a:xfrm>
      </xdr:grpSpPr>
      <xdr:sp macro="" textlink="'pivot tables'!BG10">
        <xdr:nvSpPr>
          <xdr:cNvPr id="687" name="TextBox 686">
            <a:extLst>
              <a:ext uri="{FF2B5EF4-FFF2-40B4-BE49-F238E27FC236}">
                <a16:creationId xmlns:a16="http://schemas.microsoft.com/office/drawing/2014/main" id="{76CF8B1A-7982-4FFF-AB19-1E2ACCD1E20C}"/>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88" name="TextBox 687">
            <a:extLst>
              <a:ext uri="{FF2B5EF4-FFF2-40B4-BE49-F238E27FC236}">
                <a16:creationId xmlns:a16="http://schemas.microsoft.com/office/drawing/2014/main" id="{4202C66F-C113-4741-92E0-7C9FD45CAE74}"/>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580793</xdr:colOff>
      <xdr:row>26</xdr:row>
      <xdr:rowOff>151007</xdr:rowOff>
    </xdr:from>
    <xdr:to>
      <xdr:col>15</xdr:col>
      <xdr:colOff>406555</xdr:colOff>
      <xdr:row>28</xdr:row>
      <xdr:rowOff>139391</xdr:rowOff>
    </xdr:to>
    <xdr:grpSp>
      <xdr:nvGrpSpPr>
        <xdr:cNvPr id="689" name="Group 688">
          <a:extLst>
            <a:ext uri="{FF2B5EF4-FFF2-40B4-BE49-F238E27FC236}">
              <a16:creationId xmlns:a16="http://schemas.microsoft.com/office/drawing/2014/main" id="{8E492C8E-B52C-4714-94D5-8EC0BAFDF6C9}"/>
            </a:ext>
          </a:extLst>
        </xdr:cNvPr>
        <xdr:cNvGrpSpPr/>
      </xdr:nvGrpSpPr>
      <xdr:grpSpPr>
        <a:xfrm>
          <a:off x="9115193" y="5104007"/>
          <a:ext cx="435362" cy="369384"/>
          <a:chOff x="7649737" y="3171128"/>
          <a:chExt cx="429787" cy="360091"/>
        </a:xfrm>
      </xdr:grpSpPr>
      <xdr:sp macro="" textlink="'pivot tables'!BG10">
        <xdr:nvSpPr>
          <xdr:cNvPr id="690" name="TextBox 689">
            <a:extLst>
              <a:ext uri="{FF2B5EF4-FFF2-40B4-BE49-F238E27FC236}">
                <a16:creationId xmlns:a16="http://schemas.microsoft.com/office/drawing/2014/main" id="{297FC35C-20DA-45B2-A5BD-7A39DB9C9B7F}"/>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91" name="TextBox 690">
            <a:extLst>
              <a:ext uri="{FF2B5EF4-FFF2-40B4-BE49-F238E27FC236}">
                <a16:creationId xmlns:a16="http://schemas.microsoft.com/office/drawing/2014/main" id="{53ECB4EB-7E74-46FF-8E23-BFAC8B0E19C8}"/>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15</xdr:col>
      <xdr:colOff>129168</xdr:colOff>
      <xdr:row>27</xdr:row>
      <xdr:rowOff>117553</xdr:rowOff>
    </xdr:from>
    <xdr:to>
      <xdr:col>15</xdr:col>
      <xdr:colOff>558955</xdr:colOff>
      <xdr:row>29</xdr:row>
      <xdr:rowOff>105937</xdr:rowOff>
    </xdr:to>
    <xdr:grpSp>
      <xdr:nvGrpSpPr>
        <xdr:cNvPr id="692" name="Group 691">
          <a:extLst>
            <a:ext uri="{FF2B5EF4-FFF2-40B4-BE49-F238E27FC236}">
              <a16:creationId xmlns:a16="http://schemas.microsoft.com/office/drawing/2014/main" id="{B7FCA90A-0082-4D74-80AB-166EA2BE4C88}"/>
            </a:ext>
          </a:extLst>
        </xdr:cNvPr>
        <xdr:cNvGrpSpPr/>
      </xdr:nvGrpSpPr>
      <xdr:grpSpPr>
        <a:xfrm>
          <a:off x="9273168" y="5261053"/>
          <a:ext cx="429787" cy="369384"/>
          <a:chOff x="7649737" y="3171128"/>
          <a:chExt cx="429787" cy="360091"/>
        </a:xfrm>
      </xdr:grpSpPr>
      <xdr:sp macro="" textlink="'pivot tables'!BG10">
        <xdr:nvSpPr>
          <xdr:cNvPr id="693" name="TextBox 692">
            <a:extLst>
              <a:ext uri="{FF2B5EF4-FFF2-40B4-BE49-F238E27FC236}">
                <a16:creationId xmlns:a16="http://schemas.microsoft.com/office/drawing/2014/main" id="{DEE10D6D-6C05-4AD5-836B-E2A756870F3F}"/>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94" name="TextBox 693">
            <a:extLst>
              <a:ext uri="{FF2B5EF4-FFF2-40B4-BE49-F238E27FC236}">
                <a16:creationId xmlns:a16="http://schemas.microsoft.com/office/drawing/2014/main" id="{A4412F4F-545A-48AC-B112-D5570CDA56F9}"/>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15</xdr:col>
      <xdr:colOff>281568</xdr:colOff>
      <xdr:row>28</xdr:row>
      <xdr:rowOff>84100</xdr:rowOff>
    </xdr:from>
    <xdr:to>
      <xdr:col>16</xdr:col>
      <xdr:colOff>107331</xdr:colOff>
      <xdr:row>30</xdr:row>
      <xdr:rowOff>72483</xdr:rowOff>
    </xdr:to>
    <xdr:grpSp>
      <xdr:nvGrpSpPr>
        <xdr:cNvPr id="695" name="Group 694">
          <a:extLst>
            <a:ext uri="{FF2B5EF4-FFF2-40B4-BE49-F238E27FC236}">
              <a16:creationId xmlns:a16="http://schemas.microsoft.com/office/drawing/2014/main" id="{6EE10AB3-1288-47B4-AA72-4701F1863A59}"/>
            </a:ext>
          </a:extLst>
        </xdr:cNvPr>
        <xdr:cNvGrpSpPr/>
      </xdr:nvGrpSpPr>
      <xdr:grpSpPr>
        <a:xfrm>
          <a:off x="9425568" y="5418100"/>
          <a:ext cx="435363" cy="369383"/>
          <a:chOff x="7649737" y="3171128"/>
          <a:chExt cx="429787" cy="360091"/>
        </a:xfrm>
      </xdr:grpSpPr>
      <xdr:sp macro="" textlink="'pivot tables'!BG10">
        <xdr:nvSpPr>
          <xdr:cNvPr id="696" name="TextBox 695">
            <a:extLst>
              <a:ext uri="{FF2B5EF4-FFF2-40B4-BE49-F238E27FC236}">
                <a16:creationId xmlns:a16="http://schemas.microsoft.com/office/drawing/2014/main" id="{01E62F11-5333-4F5E-B8C1-967EC63117DD}"/>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697" name="TextBox 696">
            <a:extLst>
              <a:ext uri="{FF2B5EF4-FFF2-40B4-BE49-F238E27FC236}">
                <a16:creationId xmlns:a16="http://schemas.microsoft.com/office/drawing/2014/main" id="{02DBC97A-EB73-460F-84D0-6D62008CC7F1}"/>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14</xdr:col>
      <xdr:colOff>561743</xdr:colOff>
      <xdr:row>28</xdr:row>
      <xdr:rowOff>4182</xdr:rowOff>
    </xdr:from>
    <xdr:to>
      <xdr:col>15</xdr:col>
      <xdr:colOff>387505</xdr:colOff>
      <xdr:row>29</xdr:row>
      <xdr:rowOff>178419</xdr:rowOff>
    </xdr:to>
    <xdr:grpSp>
      <xdr:nvGrpSpPr>
        <xdr:cNvPr id="698" name="Group 697">
          <a:extLst>
            <a:ext uri="{FF2B5EF4-FFF2-40B4-BE49-F238E27FC236}">
              <a16:creationId xmlns:a16="http://schemas.microsoft.com/office/drawing/2014/main" id="{D4EFC4D2-86C9-4C6D-8C1B-CE9BB1BB41A4}"/>
            </a:ext>
          </a:extLst>
        </xdr:cNvPr>
        <xdr:cNvGrpSpPr/>
      </xdr:nvGrpSpPr>
      <xdr:grpSpPr>
        <a:xfrm>
          <a:off x="9096143" y="5338182"/>
          <a:ext cx="435362" cy="364737"/>
          <a:chOff x="7649737" y="3171128"/>
          <a:chExt cx="429787" cy="360091"/>
        </a:xfrm>
      </xdr:grpSpPr>
      <xdr:sp macro="" textlink="'pivot tables'!BG10">
        <xdr:nvSpPr>
          <xdr:cNvPr id="699" name="TextBox 698">
            <a:extLst>
              <a:ext uri="{FF2B5EF4-FFF2-40B4-BE49-F238E27FC236}">
                <a16:creationId xmlns:a16="http://schemas.microsoft.com/office/drawing/2014/main" id="{CC5BF5BF-EDB2-4440-B023-D9057ECA4BA4}"/>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00" name="TextBox 699">
            <a:extLst>
              <a:ext uri="{FF2B5EF4-FFF2-40B4-BE49-F238E27FC236}">
                <a16:creationId xmlns:a16="http://schemas.microsoft.com/office/drawing/2014/main" id="{2C349BBD-6406-476E-95DB-F2A64A1D0DE7}"/>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15</xdr:col>
      <xdr:colOff>110118</xdr:colOff>
      <xdr:row>28</xdr:row>
      <xdr:rowOff>156582</xdr:rowOff>
    </xdr:from>
    <xdr:to>
      <xdr:col>15</xdr:col>
      <xdr:colOff>539905</xdr:colOff>
      <xdr:row>30</xdr:row>
      <xdr:rowOff>144965</xdr:rowOff>
    </xdr:to>
    <xdr:grpSp>
      <xdr:nvGrpSpPr>
        <xdr:cNvPr id="701" name="Group 700">
          <a:extLst>
            <a:ext uri="{FF2B5EF4-FFF2-40B4-BE49-F238E27FC236}">
              <a16:creationId xmlns:a16="http://schemas.microsoft.com/office/drawing/2014/main" id="{63A21C17-E616-4737-A3D4-A0EB0962E468}"/>
            </a:ext>
          </a:extLst>
        </xdr:cNvPr>
        <xdr:cNvGrpSpPr/>
      </xdr:nvGrpSpPr>
      <xdr:grpSpPr>
        <a:xfrm>
          <a:off x="9254118" y="5490582"/>
          <a:ext cx="429787" cy="369383"/>
          <a:chOff x="7649737" y="3171128"/>
          <a:chExt cx="429787" cy="360091"/>
        </a:xfrm>
      </xdr:grpSpPr>
      <xdr:sp macro="" textlink="'pivot tables'!BG10">
        <xdr:nvSpPr>
          <xdr:cNvPr id="702" name="TextBox 701">
            <a:extLst>
              <a:ext uri="{FF2B5EF4-FFF2-40B4-BE49-F238E27FC236}">
                <a16:creationId xmlns:a16="http://schemas.microsoft.com/office/drawing/2014/main" id="{6FDE3979-CCC2-4354-A197-618ED7F3222C}"/>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03" name="TextBox 702">
            <a:extLst>
              <a:ext uri="{FF2B5EF4-FFF2-40B4-BE49-F238E27FC236}">
                <a16:creationId xmlns:a16="http://schemas.microsoft.com/office/drawing/2014/main" id="{4CB4447C-3CA9-4D7F-B761-14E8E7E199A6}"/>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15</xdr:col>
      <xdr:colOff>285750</xdr:colOff>
      <xdr:row>26</xdr:row>
      <xdr:rowOff>53433</xdr:rowOff>
    </xdr:from>
    <xdr:to>
      <xdr:col>16</xdr:col>
      <xdr:colOff>111513</xdr:colOff>
      <xdr:row>28</xdr:row>
      <xdr:rowOff>41817</xdr:rowOff>
    </xdr:to>
    <xdr:grpSp>
      <xdr:nvGrpSpPr>
        <xdr:cNvPr id="704" name="Group 703">
          <a:extLst>
            <a:ext uri="{FF2B5EF4-FFF2-40B4-BE49-F238E27FC236}">
              <a16:creationId xmlns:a16="http://schemas.microsoft.com/office/drawing/2014/main" id="{2D535778-74C5-4C76-9934-86A1C1D01A61}"/>
            </a:ext>
          </a:extLst>
        </xdr:cNvPr>
        <xdr:cNvGrpSpPr/>
      </xdr:nvGrpSpPr>
      <xdr:grpSpPr>
        <a:xfrm>
          <a:off x="9429750" y="5006433"/>
          <a:ext cx="435363" cy="369384"/>
          <a:chOff x="7649737" y="3171128"/>
          <a:chExt cx="429787" cy="360091"/>
        </a:xfrm>
      </xdr:grpSpPr>
      <xdr:sp macro="" textlink="'pivot tables'!BG10">
        <xdr:nvSpPr>
          <xdr:cNvPr id="705" name="TextBox 704">
            <a:extLst>
              <a:ext uri="{FF2B5EF4-FFF2-40B4-BE49-F238E27FC236}">
                <a16:creationId xmlns:a16="http://schemas.microsoft.com/office/drawing/2014/main" id="{04C31B7F-E53B-4D21-9B9A-56665A3D3895}"/>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06" name="TextBox 705">
            <a:extLst>
              <a:ext uri="{FF2B5EF4-FFF2-40B4-BE49-F238E27FC236}">
                <a16:creationId xmlns:a16="http://schemas.microsoft.com/office/drawing/2014/main" id="{37394472-C274-420A-B4B0-F44F9CDC2A5B}"/>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15</xdr:col>
      <xdr:colOff>438150</xdr:colOff>
      <xdr:row>27</xdr:row>
      <xdr:rowOff>19979</xdr:rowOff>
    </xdr:from>
    <xdr:to>
      <xdr:col>16</xdr:col>
      <xdr:colOff>263913</xdr:colOff>
      <xdr:row>29</xdr:row>
      <xdr:rowOff>8363</xdr:rowOff>
    </xdr:to>
    <xdr:grpSp>
      <xdr:nvGrpSpPr>
        <xdr:cNvPr id="707" name="Group 706">
          <a:extLst>
            <a:ext uri="{FF2B5EF4-FFF2-40B4-BE49-F238E27FC236}">
              <a16:creationId xmlns:a16="http://schemas.microsoft.com/office/drawing/2014/main" id="{B44930AB-AA4E-40C5-BA33-443056931AD3}"/>
            </a:ext>
          </a:extLst>
        </xdr:cNvPr>
        <xdr:cNvGrpSpPr/>
      </xdr:nvGrpSpPr>
      <xdr:grpSpPr>
        <a:xfrm>
          <a:off x="9582150" y="5163479"/>
          <a:ext cx="435363" cy="369384"/>
          <a:chOff x="7649737" y="3171128"/>
          <a:chExt cx="429787" cy="360091"/>
        </a:xfrm>
      </xdr:grpSpPr>
      <xdr:sp macro="" textlink="'pivot tables'!BG10">
        <xdr:nvSpPr>
          <xdr:cNvPr id="708" name="TextBox 707">
            <a:extLst>
              <a:ext uri="{FF2B5EF4-FFF2-40B4-BE49-F238E27FC236}">
                <a16:creationId xmlns:a16="http://schemas.microsoft.com/office/drawing/2014/main" id="{84AF11A1-E432-422A-8A4F-B302D9660B28}"/>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09" name="TextBox 708">
            <a:extLst>
              <a:ext uri="{FF2B5EF4-FFF2-40B4-BE49-F238E27FC236}">
                <a16:creationId xmlns:a16="http://schemas.microsoft.com/office/drawing/2014/main" id="{370B6BA1-2A85-441E-A39B-0DE9DA219CEC}"/>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16</xdr:col>
      <xdr:colOff>21374</xdr:colOff>
      <xdr:row>26</xdr:row>
      <xdr:rowOff>9758</xdr:rowOff>
    </xdr:from>
    <xdr:to>
      <xdr:col>16</xdr:col>
      <xdr:colOff>451161</xdr:colOff>
      <xdr:row>27</xdr:row>
      <xdr:rowOff>183995</xdr:rowOff>
    </xdr:to>
    <xdr:grpSp>
      <xdr:nvGrpSpPr>
        <xdr:cNvPr id="710" name="Group 709">
          <a:extLst>
            <a:ext uri="{FF2B5EF4-FFF2-40B4-BE49-F238E27FC236}">
              <a16:creationId xmlns:a16="http://schemas.microsoft.com/office/drawing/2014/main" id="{A55892E6-7424-4620-8540-770420FCC28C}"/>
            </a:ext>
          </a:extLst>
        </xdr:cNvPr>
        <xdr:cNvGrpSpPr/>
      </xdr:nvGrpSpPr>
      <xdr:grpSpPr>
        <a:xfrm>
          <a:off x="9774974" y="4962758"/>
          <a:ext cx="429787" cy="364737"/>
          <a:chOff x="7649737" y="3171128"/>
          <a:chExt cx="429787" cy="360091"/>
        </a:xfrm>
      </xdr:grpSpPr>
      <xdr:sp macro="" textlink="'pivot tables'!BG10">
        <xdr:nvSpPr>
          <xdr:cNvPr id="711" name="TextBox 710">
            <a:extLst>
              <a:ext uri="{FF2B5EF4-FFF2-40B4-BE49-F238E27FC236}">
                <a16:creationId xmlns:a16="http://schemas.microsoft.com/office/drawing/2014/main" id="{92206136-48C9-4D0F-AE7D-B8CE7C6820A7}"/>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12" name="TextBox 711">
            <a:extLst>
              <a:ext uri="{FF2B5EF4-FFF2-40B4-BE49-F238E27FC236}">
                <a16:creationId xmlns:a16="http://schemas.microsoft.com/office/drawing/2014/main" id="{9BD021D9-F6D7-46DB-BDAE-BC12B7C03B9C}"/>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16</xdr:col>
      <xdr:colOff>173774</xdr:colOff>
      <xdr:row>26</xdr:row>
      <xdr:rowOff>162158</xdr:rowOff>
    </xdr:from>
    <xdr:to>
      <xdr:col>16</xdr:col>
      <xdr:colOff>603561</xdr:colOff>
      <xdr:row>28</xdr:row>
      <xdr:rowOff>150542</xdr:rowOff>
    </xdr:to>
    <xdr:grpSp>
      <xdr:nvGrpSpPr>
        <xdr:cNvPr id="713" name="Group 712">
          <a:extLst>
            <a:ext uri="{FF2B5EF4-FFF2-40B4-BE49-F238E27FC236}">
              <a16:creationId xmlns:a16="http://schemas.microsoft.com/office/drawing/2014/main" id="{DCF5A507-BC4F-440B-A46C-3343FE618A0D}"/>
            </a:ext>
          </a:extLst>
        </xdr:cNvPr>
        <xdr:cNvGrpSpPr/>
      </xdr:nvGrpSpPr>
      <xdr:grpSpPr>
        <a:xfrm>
          <a:off x="9927374" y="5115158"/>
          <a:ext cx="429787" cy="369384"/>
          <a:chOff x="7649737" y="3171128"/>
          <a:chExt cx="429787" cy="360091"/>
        </a:xfrm>
      </xdr:grpSpPr>
      <xdr:sp macro="" textlink="'pivot tables'!BG10">
        <xdr:nvSpPr>
          <xdr:cNvPr id="714" name="TextBox 713">
            <a:extLst>
              <a:ext uri="{FF2B5EF4-FFF2-40B4-BE49-F238E27FC236}">
                <a16:creationId xmlns:a16="http://schemas.microsoft.com/office/drawing/2014/main" id="{51FFC339-6473-41A7-A0B5-77143D710935}"/>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15" name="TextBox 714">
            <a:extLst>
              <a:ext uri="{FF2B5EF4-FFF2-40B4-BE49-F238E27FC236}">
                <a16:creationId xmlns:a16="http://schemas.microsoft.com/office/drawing/2014/main" id="{4E685016-8DEF-4008-82A0-AFE08A832207}"/>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16</xdr:col>
      <xdr:colOff>326174</xdr:colOff>
      <xdr:row>27</xdr:row>
      <xdr:rowOff>128704</xdr:rowOff>
    </xdr:from>
    <xdr:to>
      <xdr:col>17</xdr:col>
      <xdr:colOff>151936</xdr:colOff>
      <xdr:row>29</xdr:row>
      <xdr:rowOff>117088</xdr:rowOff>
    </xdr:to>
    <xdr:grpSp>
      <xdr:nvGrpSpPr>
        <xdr:cNvPr id="716" name="Group 715">
          <a:extLst>
            <a:ext uri="{FF2B5EF4-FFF2-40B4-BE49-F238E27FC236}">
              <a16:creationId xmlns:a16="http://schemas.microsoft.com/office/drawing/2014/main" id="{51072F56-7233-4DBC-B23D-82648EC04ECD}"/>
            </a:ext>
          </a:extLst>
        </xdr:cNvPr>
        <xdr:cNvGrpSpPr/>
      </xdr:nvGrpSpPr>
      <xdr:grpSpPr>
        <a:xfrm>
          <a:off x="10079774" y="5272204"/>
          <a:ext cx="435362" cy="369384"/>
          <a:chOff x="7649737" y="3171128"/>
          <a:chExt cx="429787" cy="360091"/>
        </a:xfrm>
      </xdr:grpSpPr>
      <xdr:sp macro="" textlink="'pivot tables'!BG10">
        <xdr:nvSpPr>
          <xdr:cNvPr id="717" name="TextBox 716">
            <a:extLst>
              <a:ext uri="{FF2B5EF4-FFF2-40B4-BE49-F238E27FC236}">
                <a16:creationId xmlns:a16="http://schemas.microsoft.com/office/drawing/2014/main" id="{7C1DF4CD-9BCC-407F-91EB-B5BDBC313ED5}"/>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18" name="TextBox 717">
            <a:extLst>
              <a:ext uri="{FF2B5EF4-FFF2-40B4-BE49-F238E27FC236}">
                <a16:creationId xmlns:a16="http://schemas.microsoft.com/office/drawing/2014/main" id="{D7659880-6ED3-423E-ABC5-ECAF75968C64}"/>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16</xdr:col>
      <xdr:colOff>443727</xdr:colOff>
      <xdr:row>27</xdr:row>
      <xdr:rowOff>72018</xdr:rowOff>
    </xdr:from>
    <xdr:to>
      <xdr:col>17</xdr:col>
      <xdr:colOff>269489</xdr:colOff>
      <xdr:row>29</xdr:row>
      <xdr:rowOff>60402</xdr:rowOff>
    </xdr:to>
    <xdr:grpSp>
      <xdr:nvGrpSpPr>
        <xdr:cNvPr id="719" name="Group 718">
          <a:extLst>
            <a:ext uri="{FF2B5EF4-FFF2-40B4-BE49-F238E27FC236}">
              <a16:creationId xmlns:a16="http://schemas.microsoft.com/office/drawing/2014/main" id="{25DB4DCC-5D41-4487-A8BE-213338319073}"/>
            </a:ext>
          </a:extLst>
        </xdr:cNvPr>
        <xdr:cNvGrpSpPr/>
      </xdr:nvGrpSpPr>
      <xdr:grpSpPr>
        <a:xfrm>
          <a:off x="10197327" y="5215518"/>
          <a:ext cx="435362" cy="369384"/>
          <a:chOff x="7649737" y="3171128"/>
          <a:chExt cx="429787" cy="360091"/>
        </a:xfrm>
      </xdr:grpSpPr>
      <xdr:sp macro="" textlink="'pivot tables'!BG10">
        <xdr:nvSpPr>
          <xdr:cNvPr id="720" name="TextBox 719">
            <a:extLst>
              <a:ext uri="{FF2B5EF4-FFF2-40B4-BE49-F238E27FC236}">
                <a16:creationId xmlns:a16="http://schemas.microsoft.com/office/drawing/2014/main" id="{D770A8B1-6028-4244-8211-5824A6135942}"/>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21" name="TextBox 720">
            <a:extLst>
              <a:ext uri="{FF2B5EF4-FFF2-40B4-BE49-F238E27FC236}">
                <a16:creationId xmlns:a16="http://schemas.microsoft.com/office/drawing/2014/main" id="{1F15E5BE-B80D-4043-8253-DDC5BD3A20B2}"/>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16</xdr:col>
      <xdr:colOff>596127</xdr:colOff>
      <xdr:row>28</xdr:row>
      <xdr:rowOff>38565</xdr:rowOff>
    </xdr:from>
    <xdr:to>
      <xdr:col>17</xdr:col>
      <xdr:colOff>421889</xdr:colOff>
      <xdr:row>30</xdr:row>
      <xdr:rowOff>26948</xdr:rowOff>
    </xdr:to>
    <xdr:grpSp>
      <xdr:nvGrpSpPr>
        <xdr:cNvPr id="722" name="Group 721">
          <a:extLst>
            <a:ext uri="{FF2B5EF4-FFF2-40B4-BE49-F238E27FC236}">
              <a16:creationId xmlns:a16="http://schemas.microsoft.com/office/drawing/2014/main" id="{BB4E6B89-4C36-4038-BCC7-9C5D2C11EB5D}"/>
            </a:ext>
          </a:extLst>
        </xdr:cNvPr>
        <xdr:cNvGrpSpPr/>
      </xdr:nvGrpSpPr>
      <xdr:grpSpPr>
        <a:xfrm>
          <a:off x="10349727" y="5372565"/>
          <a:ext cx="435362" cy="369383"/>
          <a:chOff x="7649737" y="3171128"/>
          <a:chExt cx="429787" cy="360091"/>
        </a:xfrm>
      </xdr:grpSpPr>
      <xdr:sp macro="" textlink="'pivot tables'!BG10">
        <xdr:nvSpPr>
          <xdr:cNvPr id="723" name="TextBox 722">
            <a:extLst>
              <a:ext uri="{FF2B5EF4-FFF2-40B4-BE49-F238E27FC236}">
                <a16:creationId xmlns:a16="http://schemas.microsoft.com/office/drawing/2014/main" id="{D5122A72-8B1E-4D73-97C4-1BC2A368B608}"/>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24" name="TextBox 723">
            <a:extLst>
              <a:ext uri="{FF2B5EF4-FFF2-40B4-BE49-F238E27FC236}">
                <a16:creationId xmlns:a16="http://schemas.microsoft.com/office/drawing/2014/main" id="{6E54267E-3990-4790-A1D0-C263C6E9457A}"/>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16</xdr:col>
      <xdr:colOff>98039</xdr:colOff>
      <xdr:row>28</xdr:row>
      <xdr:rowOff>16727</xdr:rowOff>
    </xdr:from>
    <xdr:to>
      <xdr:col>16</xdr:col>
      <xdr:colOff>527826</xdr:colOff>
      <xdr:row>30</xdr:row>
      <xdr:rowOff>5110</xdr:rowOff>
    </xdr:to>
    <xdr:grpSp>
      <xdr:nvGrpSpPr>
        <xdr:cNvPr id="725" name="Group 724">
          <a:extLst>
            <a:ext uri="{FF2B5EF4-FFF2-40B4-BE49-F238E27FC236}">
              <a16:creationId xmlns:a16="http://schemas.microsoft.com/office/drawing/2014/main" id="{510CDBAD-C2A1-46F7-8FE5-17FFC314E1A8}"/>
            </a:ext>
          </a:extLst>
        </xdr:cNvPr>
        <xdr:cNvGrpSpPr/>
      </xdr:nvGrpSpPr>
      <xdr:grpSpPr>
        <a:xfrm>
          <a:off x="9851639" y="5350727"/>
          <a:ext cx="429787" cy="369383"/>
          <a:chOff x="7649737" y="3171128"/>
          <a:chExt cx="429787" cy="360091"/>
        </a:xfrm>
      </xdr:grpSpPr>
      <xdr:sp macro="" textlink="'pivot tables'!BG10">
        <xdr:nvSpPr>
          <xdr:cNvPr id="726" name="TextBox 725">
            <a:extLst>
              <a:ext uri="{FF2B5EF4-FFF2-40B4-BE49-F238E27FC236}">
                <a16:creationId xmlns:a16="http://schemas.microsoft.com/office/drawing/2014/main" id="{1191D1BC-136C-4EE6-99DD-6BEEDE86104A}"/>
              </a:ext>
            </a:extLst>
          </xdr:cNvPr>
          <xdr:cNvSpPr txBox="1"/>
        </xdr:nvSpPr>
        <xdr:spPr>
          <a:xfrm>
            <a:off x="7649737" y="3171128"/>
            <a:ext cx="429787" cy="360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FEDDD-B7DF-41A7-B69D-EC98CB61CD7D}" type="TxLink">
              <a:rPr lang="en-US" sz="1600" b="0" i="0" u="none" strike="noStrike">
                <a:solidFill>
                  <a:srgbClr val="C240D8"/>
                </a:solidFill>
                <a:latin typeface="Arial"/>
                <a:cs typeface="Arial"/>
              </a:rPr>
              <a:pPr algn="ctr"/>
              <a:t>•</a:t>
            </a:fld>
            <a:endParaRPr lang="en-IN" sz="1100"/>
          </a:p>
        </xdr:txBody>
      </xdr:sp>
      <xdr:sp macro="" textlink="'pivot tables'!BI10">
        <xdr:nvSpPr>
          <xdr:cNvPr id="727" name="TextBox 726">
            <a:extLst>
              <a:ext uri="{FF2B5EF4-FFF2-40B4-BE49-F238E27FC236}">
                <a16:creationId xmlns:a16="http://schemas.microsoft.com/office/drawing/2014/main" id="{44971DF0-27E1-49FB-BA34-31058D3AEDCD}"/>
              </a:ext>
            </a:extLst>
          </xdr:cNvPr>
          <xdr:cNvSpPr txBox="1"/>
        </xdr:nvSpPr>
        <xdr:spPr>
          <a:xfrm>
            <a:off x="7684585" y="3188552"/>
            <a:ext cx="360091" cy="325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185EFC-F43F-4EBD-A2C7-3238BA845B3C}" type="TxLink">
              <a:rPr lang="en-US" sz="1600" b="0" i="0" u="none" strike="noStrike">
                <a:solidFill>
                  <a:srgbClr val="0F11A7"/>
                </a:solidFill>
                <a:latin typeface="Arial"/>
                <a:cs typeface="Arial"/>
              </a:rPr>
              <a:pPr algn="ctr"/>
              <a:t> </a:t>
            </a:fld>
            <a:endParaRPr lang="en-IN" sz="1100"/>
          </a:p>
        </xdr:txBody>
      </xdr:sp>
    </xdr:grpSp>
    <xdr:clientData/>
  </xdr:twoCellAnchor>
  <xdr:twoCellAnchor>
    <xdr:from>
      <xdr:col>15</xdr:col>
      <xdr:colOff>419100</xdr:colOff>
      <xdr:row>40</xdr:row>
      <xdr:rowOff>57151</xdr:rowOff>
    </xdr:from>
    <xdr:to>
      <xdr:col>24</xdr:col>
      <xdr:colOff>469900</xdr:colOff>
      <xdr:row>44</xdr:row>
      <xdr:rowOff>70084</xdr:rowOff>
    </xdr:to>
    <xdr:grpSp>
      <xdr:nvGrpSpPr>
        <xdr:cNvPr id="67" name="Group 66">
          <a:extLst>
            <a:ext uri="{FF2B5EF4-FFF2-40B4-BE49-F238E27FC236}">
              <a16:creationId xmlns:a16="http://schemas.microsoft.com/office/drawing/2014/main" id="{1C49D0B3-E9F6-43EC-BDAC-2883B832F2B8}"/>
            </a:ext>
          </a:extLst>
        </xdr:cNvPr>
        <xdr:cNvGrpSpPr/>
      </xdr:nvGrpSpPr>
      <xdr:grpSpPr>
        <a:xfrm>
          <a:off x="9563100" y="7677151"/>
          <a:ext cx="5537200" cy="774933"/>
          <a:chOff x="9321800" y="7194551"/>
          <a:chExt cx="5537200" cy="774933"/>
        </a:xfrm>
      </xdr:grpSpPr>
      <xdr:grpSp>
        <xdr:nvGrpSpPr>
          <xdr:cNvPr id="66" name="Group 65">
            <a:extLst>
              <a:ext uri="{FF2B5EF4-FFF2-40B4-BE49-F238E27FC236}">
                <a16:creationId xmlns:a16="http://schemas.microsoft.com/office/drawing/2014/main" id="{64A2013D-7795-428F-B1CF-C96C7E945ADE}"/>
              </a:ext>
            </a:extLst>
          </xdr:cNvPr>
          <xdr:cNvGrpSpPr/>
        </xdr:nvGrpSpPr>
        <xdr:grpSpPr>
          <a:xfrm>
            <a:off x="10617200" y="7194551"/>
            <a:ext cx="1536700" cy="774933"/>
            <a:chOff x="10617200" y="7061201"/>
            <a:chExt cx="1536700" cy="774933"/>
          </a:xfrm>
        </xdr:grpSpPr>
        <xdr:sp macro="" textlink="'pivot tables'!CE5">
          <xdr:nvSpPr>
            <xdr:cNvPr id="728" name="TextBox 727">
              <a:extLst>
                <a:ext uri="{FF2B5EF4-FFF2-40B4-BE49-F238E27FC236}">
                  <a16:creationId xmlns:a16="http://schemas.microsoft.com/office/drawing/2014/main" id="{359CB49D-AFFF-4DA2-A703-912E418AD802}"/>
                </a:ext>
              </a:extLst>
            </xdr:cNvPr>
            <xdr:cNvSpPr txBox="1"/>
          </xdr:nvSpPr>
          <xdr:spPr>
            <a:xfrm>
              <a:off x="10731303" y="7616809"/>
              <a:ext cx="905267" cy="219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E251A4EE-37CE-4AB2-A173-E736C6893C8D}" type="TxLink">
                <a:rPr lang="en-US" sz="1400" b="0" i="0" u="none" strike="noStrike">
                  <a:solidFill>
                    <a:schemeClr val="bg1"/>
                  </a:solidFill>
                  <a:latin typeface="Arial"/>
                  <a:cs typeface="Arial"/>
                </a:rPr>
                <a:pPr algn="l"/>
                <a:t>9.2%</a:t>
              </a:fld>
              <a:endParaRPr lang="en-IN" sz="3200" b="0" i="0" u="none" strike="noStrike">
                <a:solidFill>
                  <a:schemeClr val="bg1"/>
                </a:solidFill>
                <a:latin typeface="Berlin Sans FB" panose="020E0602020502020306" pitchFamily="34" charset="0"/>
                <a:cs typeface="Arial"/>
              </a:endParaRPr>
            </a:p>
          </xdr:txBody>
        </xdr:sp>
        <xdr:sp macro="" textlink="'pivot tables'!CE6">
          <xdr:nvSpPr>
            <xdr:cNvPr id="729" name="TextBox 728">
              <a:extLst>
                <a:ext uri="{FF2B5EF4-FFF2-40B4-BE49-F238E27FC236}">
                  <a16:creationId xmlns:a16="http://schemas.microsoft.com/office/drawing/2014/main" id="{10868287-1BED-4229-A6C6-47C7B8818BF5}"/>
                </a:ext>
              </a:extLst>
            </xdr:cNvPr>
            <xdr:cNvSpPr txBox="1"/>
          </xdr:nvSpPr>
          <xdr:spPr>
            <a:xfrm>
              <a:off x="10636250" y="7299309"/>
              <a:ext cx="1250950" cy="3079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6F7DE7F4-0454-40A9-99FE-896E98A97365}" type="TxLink">
                <a:rPr lang="en-US" sz="1800" b="0" i="0" u="none" strike="noStrike">
                  <a:solidFill>
                    <a:schemeClr val="bg1"/>
                  </a:solidFill>
                  <a:latin typeface="Arial"/>
                  <a:cs typeface="Arial"/>
                </a:rPr>
                <a:pPr algn="l"/>
                <a:t>$76,088</a:t>
              </a:fld>
              <a:endParaRPr lang="en-IN" sz="4400" b="0" i="0" u="none" strike="noStrike">
                <a:solidFill>
                  <a:schemeClr val="bg1"/>
                </a:solidFill>
                <a:latin typeface="Berlin Sans FB" panose="020E0602020502020306" pitchFamily="34" charset="0"/>
                <a:cs typeface="Arial"/>
              </a:endParaRPr>
            </a:p>
          </xdr:txBody>
        </xdr:sp>
        <xdr:sp macro="" textlink="'pivot tables'!CE4">
          <xdr:nvSpPr>
            <xdr:cNvPr id="730" name="TextBox 729">
              <a:extLst>
                <a:ext uri="{FF2B5EF4-FFF2-40B4-BE49-F238E27FC236}">
                  <a16:creationId xmlns:a16="http://schemas.microsoft.com/office/drawing/2014/main" id="{AC161C45-65A9-48D8-A6D4-0F82BE249069}"/>
                </a:ext>
              </a:extLst>
            </xdr:cNvPr>
            <xdr:cNvSpPr txBox="1"/>
          </xdr:nvSpPr>
          <xdr:spPr>
            <a:xfrm>
              <a:off x="10617200" y="7061201"/>
              <a:ext cx="1536700" cy="279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F3112C8A-F513-4E0A-B038-6D6E962C3044}" type="TxLink">
                <a:rPr lang="en-US" sz="1200" b="0" i="0" u="none" strike="noStrike">
                  <a:solidFill>
                    <a:srgbClr val="FFFFFF"/>
                  </a:solidFill>
                  <a:latin typeface="Arial"/>
                  <a:cs typeface="Arial"/>
                </a:rPr>
                <a:pPr algn="l"/>
                <a:t>Payroll taxes</a:t>
              </a:fld>
              <a:endParaRPr lang="en-IN" sz="3600" b="0" i="0" u="none" strike="noStrike">
                <a:solidFill>
                  <a:schemeClr val="bg1"/>
                </a:solidFill>
                <a:latin typeface="Berlin Sans FB" panose="020E0602020502020306" pitchFamily="34" charset="0"/>
                <a:cs typeface="Arial"/>
              </a:endParaRPr>
            </a:p>
          </xdr:txBody>
        </xdr:sp>
      </xdr:grpSp>
      <xdr:grpSp>
        <xdr:nvGrpSpPr>
          <xdr:cNvPr id="731" name="Group 730">
            <a:extLst>
              <a:ext uri="{FF2B5EF4-FFF2-40B4-BE49-F238E27FC236}">
                <a16:creationId xmlns:a16="http://schemas.microsoft.com/office/drawing/2014/main" id="{B8EB2A75-6538-4A9B-A895-E5FCFBCE54CE}"/>
              </a:ext>
            </a:extLst>
          </xdr:cNvPr>
          <xdr:cNvGrpSpPr/>
        </xdr:nvGrpSpPr>
        <xdr:grpSpPr>
          <a:xfrm>
            <a:off x="11938000" y="7194551"/>
            <a:ext cx="1536700" cy="774933"/>
            <a:chOff x="10617200" y="7061201"/>
            <a:chExt cx="1536700" cy="774933"/>
          </a:xfrm>
        </xdr:grpSpPr>
        <xdr:sp macro="" textlink="'pivot tables'!CF5">
          <xdr:nvSpPr>
            <xdr:cNvPr id="732" name="TextBox 731">
              <a:extLst>
                <a:ext uri="{FF2B5EF4-FFF2-40B4-BE49-F238E27FC236}">
                  <a16:creationId xmlns:a16="http://schemas.microsoft.com/office/drawing/2014/main" id="{7AFAD93E-E196-4D28-9DBA-C626C360E101}"/>
                </a:ext>
              </a:extLst>
            </xdr:cNvPr>
            <xdr:cNvSpPr txBox="1"/>
          </xdr:nvSpPr>
          <xdr:spPr>
            <a:xfrm>
              <a:off x="10636250" y="7616809"/>
              <a:ext cx="1095373" cy="219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FB926919-A353-4E6A-981E-0456187A0DE2}" type="TxLink">
                <a:rPr lang="en-US" sz="1200" b="0" i="0" u="none" strike="noStrike">
                  <a:solidFill>
                    <a:schemeClr val="bg1"/>
                  </a:solidFill>
                  <a:latin typeface="Arial"/>
                  <a:cs typeface="Arial"/>
                </a:rPr>
                <a:pPr algn="l"/>
                <a:t>7.4%</a:t>
              </a:fld>
              <a:endParaRPr lang="en-IN" sz="3200" b="0" i="0" u="none" strike="noStrike">
                <a:solidFill>
                  <a:schemeClr val="bg1"/>
                </a:solidFill>
                <a:latin typeface="Berlin Sans FB" panose="020E0602020502020306" pitchFamily="34" charset="0"/>
                <a:cs typeface="Arial"/>
              </a:endParaRPr>
            </a:p>
          </xdr:txBody>
        </xdr:sp>
        <xdr:sp macro="" textlink="'pivot tables'!CF6">
          <xdr:nvSpPr>
            <xdr:cNvPr id="733" name="TextBox 732">
              <a:extLst>
                <a:ext uri="{FF2B5EF4-FFF2-40B4-BE49-F238E27FC236}">
                  <a16:creationId xmlns:a16="http://schemas.microsoft.com/office/drawing/2014/main" id="{8C09959F-D2E6-4DAC-83A4-5D6DC310E132}"/>
                </a:ext>
              </a:extLst>
            </xdr:cNvPr>
            <xdr:cNvSpPr txBox="1"/>
          </xdr:nvSpPr>
          <xdr:spPr>
            <a:xfrm>
              <a:off x="10636250" y="7299309"/>
              <a:ext cx="1250950" cy="3079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6ECD77B5-C132-440C-998E-C77BFF905DD1}" type="TxLink">
                <a:rPr lang="en-US" sz="1600" b="0" i="0" u="none" strike="noStrike">
                  <a:solidFill>
                    <a:schemeClr val="bg1"/>
                  </a:solidFill>
                  <a:latin typeface="Arial"/>
                  <a:cs typeface="Arial"/>
                </a:rPr>
                <a:pPr algn="l"/>
                <a:t>$61,201</a:t>
              </a:fld>
              <a:endParaRPr lang="en-IN" sz="4400" b="0" i="0" u="none" strike="noStrike">
                <a:solidFill>
                  <a:schemeClr val="bg1"/>
                </a:solidFill>
                <a:latin typeface="Berlin Sans FB" panose="020E0602020502020306" pitchFamily="34" charset="0"/>
                <a:cs typeface="Arial"/>
              </a:endParaRPr>
            </a:p>
          </xdr:txBody>
        </xdr:sp>
        <xdr:sp macro="" textlink="'pivot tables'!CF4">
          <xdr:nvSpPr>
            <xdr:cNvPr id="734" name="TextBox 733">
              <a:extLst>
                <a:ext uri="{FF2B5EF4-FFF2-40B4-BE49-F238E27FC236}">
                  <a16:creationId xmlns:a16="http://schemas.microsoft.com/office/drawing/2014/main" id="{F5BED2FA-5A43-4A2E-A91E-38F0718CDCEB}"/>
                </a:ext>
              </a:extLst>
            </xdr:cNvPr>
            <xdr:cNvSpPr txBox="1"/>
          </xdr:nvSpPr>
          <xdr:spPr>
            <a:xfrm>
              <a:off x="10617200" y="7061201"/>
              <a:ext cx="1536700" cy="279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B83C77E-26F0-46FA-885C-21AC2C1965CE}" type="TxLink">
                <a:rPr lang="en-US" sz="1100" b="1" i="0" u="none" strike="noStrike">
                  <a:solidFill>
                    <a:srgbClr val="FFFFFF"/>
                  </a:solidFill>
                  <a:latin typeface="Arial"/>
                  <a:cs typeface="Arial"/>
                </a:rPr>
                <a:pPr algn="l"/>
                <a:t>Property Taxes</a:t>
              </a:fld>
              <a:endParaRPr lang="en-IN" sz="3600" b="0" i="0" u="none" strike="noStrike">
                <a:solidFill>
                  <a:schemeClr val="bg1"/>
                </a:solidFill>
                <a:latin typeface="Berlin Sans FB" panose="020E0602020502020306" pitchFamily="34" charset="0"/>
                <a:cs typeface="Arial"/>
              </a:endParaRPr>
            </a:p>
          </xdr:txBody>
        </xdr:sp>
      </xdr:grpSp>
      <xdr:grpSp>
        <xdr:nvGrpSpPr>
          <xdr:cNvPr id="735" name="Group 734">
            <a:extLst>
              <a:ext uri="{FF2B5EF4-FFF2-40B4-BE49-F238E27FC236}">
                <a16:creationId xmlns:a16="http://schemas.microsoft.com/office/drawing/2014/main" id="{ECC8C60D-6716-4458-BBFE-B8ACF0C1FA6C}"/>
              </a:ext>
            </a:extLst>
          </xdr:cNvPr>
          <xdr:cNvGrpSpPr/>
        </xdr:nvGrpSpPr>
        <xdr:grpSpPr>
          <a:xfrm>
            <a:off x="13322300" y="7194551"/>
            <a:ext cx="1536700" cy="774933"/>
            <a:chOff x="10617200" y="7061201"/>
            <a:chExt cx="1536700" cy="774933"/>
          </a:xfrm>
        </xdr:grpSpPr>
        <xdr:sp macro="" textlink="'pivot tables'!CG5">
          <xdr:nvSpPr>
            <xdr:cNvPr id="736" name="TextBox 735">
              <a:extLst>
                <a:ext uri="{FF2B5EF4-FFF2-40B4-BE49-F238E27FC236}">
                  <a16:creationId xmlns:a16="http://schemas.microsoft.com/office/drawing/2014/main" id="{50FA3D46-6F8D-43CA-8C79-86569ACEDFF7}"/>
                </a:ext>
              </a:extLst>
            </xdr:cNvPr>
            <xdr:cNvSpPr txBox="1"/>
          </xdr:nvSpPr>
          <xdr:spPr>
            <a:xfrm>
              <a:off x="10636250" y="7616809"/>
              <a:ext cx="1095373" cy="219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47BDDFA5-8D10-48B2-88CD-B0773265BBC6}" type="TxLink">
                <a:rPr lang="en-US" sz="1200" b="0" i="0" u="none" strike="noStrike">
                  <a:solidFill>
                    <a:schemeClr val="bg1"/>
                  </a:solidFill>
                  <a:latin typeface="Arial"/>
                  <a:cs typeface="Arial"/>
                </a:rPr>
                <a:pPr algn="l"/>
                <a:t>6.2%</a:t>
              </a:fld>
              <a:endParaRPr lang="en-IN" sz="3200" b="0" i="0" u="none" strike="noStrike">
                <a:solidFill>
                  <a:schemeClr val="bg1"/>
                </a:solidFill>
                <a:latin typeface="Berlin Sans FB" panose="020E0602020502020306" pitchFamily="34" charset="0"/>
                <a:cs typeface="Arial"/>
              </a:endParaRPr>
            </a:p>
          </xdr:txBody>
        </xdr:sp>
        <xdr:sp macro="" textlink="'pivot tables'!CG6">
          <xdr:nvSpPr>
            <xdr:cNvPr id="737" name="TextBox 736">
              <a:extLst>
                <a:ext uri="{FF2B5EF4-FFF2-40B4-BE49-F238E27FC236}">
                  <a16:creationId xmlns:a16="http://schemas.microsoft.com/office/drawing/2014/main" id="{11C76196-CAB2-4ACA-A03C-3B88EBEC392C}"/>
                </a:ext>
              </a:extLst>
            </xdr:cNvPr>
            <xdr:cNvSpPr txBox="1"/>
          </xdr:nvSpPr>
          <xdr:spPr>
            <a:xfrm>
              <a:off x="10636250" y="7299309"/>
              <a:ext cx="1250950" cy="3079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00F3D4E0-774E-4D8B-B0F2-EEBDE806E1D5}" type="TxLink">
                <a:rPr lang="en-US" sz="1600" b="0" i="0" u="none" strike="noStrike">
                  <a:solidFill>
                    <a:schemeClr val="bg1"/>
                  </a:solidFill>
                  <a:latin typeface="Arial"/>
                  <a:cs typeface="Arial"/>
                </a:rPr>
                <a:pPr algn="l"/>
                <a:t>$51,277</a:t>
              </a:fld>
              <a:endParaRPr lang="en-IN" sz="4400" b="0" i="0" u="none" strike="noStrike">
                <a:solidFill>
                  <a:schemeClr val="bg1"/>
                </a:solidFill>
                <a:latin typeface="Berlin Sans FB" panose="020E0602020502020306" pitchFamily="34" charset="0"/>
                <a:cs typeface="Arial"/>
              </a:endParaRPr>
            </a:p>
          </xdr:txBody>
        </xdr:sp>
        <xdr:sp macro="" textlink="'pivot tables'!CG4">
          <xdr:nvSpPr>
            <xdr:cNvPr id="738" name="TextBox 737">
              <a:extLst>
                <a:ext uri="{FF2B5EF4-FFF2-40B4-BE49-F238E27FC236}">
                  <a16:creationId xmlns:a16="http://schemas.microsoft.com/office/drawing/2014/main" id="{C672E64B-C3F9-4A5C-9C65-C16B8EA95C80}"/>
                </a:ext>
              </a:extLst>
            </xdr:cNvPr>
            <xdr:cNvSpPr txBox="1"/>
          </xdr:nvSpPr>
          <xdr:spPr>
            <a:xfrm>
              <a:off x="10617200" y="7061201"/>
              <a:ext cx="1536700" cy="279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16948234-C24D-436E-8EEB-C05E922C37D0}" type="TxLink">
                <a:rPr lang="en-US" sz="1100" b="1" i="0" u="none" strike="noStrike">
                  <a:solidFill>
                    <a:srgbClr val="FFFFFF"/>
                  </a:solidFill>
                  <a:latin typeface="Arial"/>
                  <a:cs typeface="Arial"/>
                </a:rPr>
                <a:pPr algn="l"/>
                <a:t>Excise Taxes</a:t>
              </a:fld>
              <a:endParaRPr lang="en-IN" sz="3600" b="0" i="0" u="none" strike="noStrike">
                <a:solidFill>
                  <a:schemeClr val="bg1"/>
                </a:solidFill>
                <a:latin typeface="Berlin Sans FB" panose="020E0602020502020306" pitchFamily="34" charset="0"/>
                <a:cs typeface="Arial"/>
              </a:endParaRPr>
            </a:p>
          </xdr:txBody>
        </xdr:sp>
      </xdr:grpSp>
      <xdr:grpSp>
        <xdr:nvGrpSpPr>
          <xdr:cNvPr id="743" name="Group 742">
            <a:extLst>
              <a:ext uri="{FF2B5EF4-FFF2-40B4-BE49-F238E27FC236}">
                <a16:creationId xmlns:a16="http://schemas.microsoft.com/office/drawing/2014/main" id="{31F5C6A4-0367-4C66-8897-0ECCB85E626F}"/>
              </a:ext>
            </a:extLst>
          </xdr:cNvPr>
          <xdr:cNvGrpSpPr/>
        </xdr:nvGrpSpPr>
        <xdr:grpSpPr>
          <a:xfrm>
            <a:off x="9321800" y="7194551"/>
            <a:ext cx="1536700" cy="774933"/>
            <a:chOff x="10617200" y="7061201"/>
            <a:chExt cx="1536700" cy="774933"/>
          </a:xfrm>
        </xdr:grpSpPr>
        <xdr:sp macro="" textlink="'pivot tables'!CH5">
          <xdr:nvSpPr>
            <xdr:cNvPr id="744" name="TextBox 743">
              <a:extLst>
                <a:ext uri="{FF2B5EF4-FFF2-40B4-BE49-F238E27FC236}">
                  <a16:creationId xmlns:a16="http://schemas.microsoft.com/office/drawing/2014/main" id="{F25FC478-38C0-4F34-BD71-727C83D05884}"/>
                </a:ext>
              </a:extLst>
            </xdr:cNvPr>
            <xdr:cNvSpPr txBox="1"/>
          </xdr:nvSpPr>
          <xdr:spPr>
            <a:xfrm>
              <a:off x="10636250" y="7616809"/>
              <a:ext cx="1095373" cy="219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9514D0B8-3738-40D3-93DC-F43BAFC08123}" type="TxLink">
                <a:rPr lang="en-US" sz="1200" b="0" i="0" u="none" strike="noStrike">
                  <a:solidFill>
                    <a:schemeClr val="bg1"/>
                  </a:solidFill>
                  <a:latin typeface="Arial"/>
                  <a:cs typeface="Arial"/>
                </a:rPr>
                <a:pPr algn="l"/>
                <a:t>22.8%</a:t>
              </a:fld>
              <a:endParaRPr lang="en-IN" sz="3200" b="0" i="0" u="none" strike="noStrike">
                <a:solidFill>
                  <a:schemeClr val="bg1"/>
                </a:solidFill>
                <a:latin typeface="Berlin Sans FB" panose="020E0602020502020306" pitchFamily="34" charset="0"/>
                <a:cs typeface="Arial"/>
              </a:endParaRPr>
            </a:p>
          </xdr:txBody>
        </xdr:sp>
        <xdr:sp macro="" textlink="'pivot tables'!CH6">
          <xdr:nvSpPr>
            <xdr:cNvPr id="745" name="TextBox 744">
              <a:extLst>
                <a:ext uri="{FF2B5EF4-FFF2-40B4-BE49-F238E27FC236}">
                  <a16:creationId xmlns:a16="http://schemas.microsoft.com/office/drawing/2014/main" id="{E864DBB2-D9C6-448F-A256-B2CABE32F3D0}"/>
                </a:ext>
              </a:extLst>
            </xdr:cNvPr>
            <xdr:cNvSpPr txBox="1"/>
          </xdr:nvSpPr>
          <xdr:spPr>
            <a:xfrm>
              <a:off x="10636250" y="7299309"/>
              <a:ext cx="1250950" cy="3079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DF5ED4D7-0C71-467D-B749-176985AF4A9B}" type="TxLink">
                <a:rPr lang="en-US" sz="1800" b="0" i="0" u="none" strike="noStrike">
                  <a:solidFill>
                    <a:schemeClr val="bg1"/>
                  </a:solidFill>
                  <a:latin typeface="Arial"/>
                  <a:cs typeface="Arial"/>
                </a:rPr>
                <a:pPr algn="l"/>
                <a:t>$1,88,566</a:t>
              </a:fld>
              <a:endParaRPr lang="en-IN" sz="4400" b="0" i="0" u="none" strike="noStrike">
                <a:solidFill>
                  <a:schemeClr val="bg1"/>
                </a:solidFill>
                <a:latin typeface="Berlin Sans FB" panose="020E0602020502020306" pitchFamily="34" charset="0"/>
                <a:cs typeface="Arial"/>
              </a:endParaRPr>
            </a:p>
          </xdr:txBody>
        </xdr:sp>
        <xdr:sp macro="" textlink="'pivot tables'!CH4">
          <xdr:nvSpPr>
            <xdr:cNvPr id="746" name="TextBox 745">
              <a:extLst>
                <a:ext uri="{FF2B5EF4-FFF2-40B4-BE49-F238E27FC236}">
                  <a16:creationId xmlns:a16="http://schemas.microsoft.com/office/drawing/2014/main" id="{166927AC-00C2-4722-86B6-77737FE8AF05}"/>
                </a:ext>
              </a:extLst>
            </xdr:cNvPr>
            <xdr:cNvSpPr txBox="1"/>
          </xdr:nvSpPr>
          <xdr:spPr>
            <a:xfrm>
              <a:off x="10617200" y="7061201"/>
              <a:ext cx="1536700" cy="2794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fld id="{50876868-7116-4105-B4FC-41D084C57778}" type="TxLink">
                <a:rPr lang="en-US" sz="1100" b="1" i="0" u="none" strike="noStrike">
                  <a:solidFill>
                    <a:srgbClr val="FFFFFF"/>
                  </a:solidFill>
                  <a:latin typeface="Arial"/>
                  <a:cs typeface="Arial"/>
                </a:rPr>
                <a:pPr algn="l"/>
                <a:t>Total taxes</a:t>
              </a:fld>
              <a:endParaRPr lang="en-IN" sz="3600" b="0" i="0" u="none" strike="noStrike">
                <a:solidFill>
                  <a:schemeClr val="bg1"/>
                </a:solidFill>
                <a:latin typeface="Berlin Sans FB" panose="020E0602020502020306" pitchFamily="34" charset="0"/>
                <a:cs typeface="Arial"/>
              </a:endParaRPr>
            </a:p>
          </xdr:txBody>
        </xdr:sp>
      </xdr:grpSp>
    </xdr:grpSp>
    <xdr:clientData/>
  </xdr:twoCellAnchor>
  <xdr:twoCellAnchor>
    <xdr:from>
      <xdr:col>17</xdr:col>
      <xdr:colOff>177800</xdr:colOff>
      <xdr:row>36</xdr:row>
      <xdr:rowOff>50800</xdr:rowOff>
    </xdr:from>
    <xdr:to>
      <xdr:col>18</xdr:col>
      <xdr:colOff>86759</xdr:colOff>
      <xdr:row>45</xdr:row>
      <xdr:rowOff>45164</xdr:rowOff>
    </xdr:to>
    <xdr:graphicFrame macro="">
      <xdr:nvGraphicFramePr>
        <xdr:cNvPr id="747" name="Chart 746">
          <a:extLst>
            <a:ext uri="{FF2B5EF4-FFF2-40B4-BE49-F238E27FC236}">
              <a16:creationId xmlns:a16="http://schemas.microsoft.com/office/drawing/2014/main" id="{5691AAC3-8111-4214-AC82-3442196694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537573</xdr:colOff>
      <xdr:row>2</xdr:row>
      <xdr:rowOff>140544</xdr:rowOff>
    </xdr:from>
    <xdr:to>
      <xdr:col>9</xdr:col>
      <xdr:colOff>104619</xdr:colOff>
      <xdr:row>3</xdr:row>
      <xdr:rowOff>157862</xdr:rowOff>
    </xdr:to>
    <xdr:sp macro="[0]!Canada" textlink="">
      <xdr:nvSpPr>
        <xdr:cNvPr id="68" name="Rectangle: Rounded Corners 67">
          <a:extLst>
            <a:ext uri="{FF2B5EF4-FFF2-40B4-BE49-F238E27FC236}">
              <a16:creationId xmlns:a16="http://schemas.microsoft.com/office/drawing/2014/main" id="{DDA1FA59-82AE-4FAC-A399-14910D21016F}"/>
            </a:ext>
          </a:extLst>
        </xdr:cNvPr>
        <xdr:cNvSpPr/>
      </xdr:nvSpPr>
      <xdr:spPr>
        <a:xfrm>
          <a:off x="4201035" y="531313"/>
          <a:ext cx="1398776" cy="21270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latin typeface="Arial" panose="020B0604020202020204" pitchFamily="34" charset="0"/>
              <a:cs typeface="Arial" panose="020B0604020202020204" pitchFamily="34" charset="0"/>
            </a:rPr>
            <a:t>Canada</a:t>
          </a:r>
          <a:endParaRPr lang="en-IN"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537573</xdr:colOff>
      <xdr:row>4</xdr:row>
      <xdr:rowOff>97364</xdr:rowOff>
    </xdr:from>
    <xdr:to>
      <xdr:col>9</xdr:col>
      <xdr:colOff>104619</xdr:colOff>
      <xdr:row>5</xdr:row>
      <xdr:rowOff>114682</xdr:rowOff>
    </xdr:to>
    <xdr:sp macro="[0]!Usa" textlink="">
      <xdr:nvSpPr>
        <xdr:cNvPr id="783" name="Rectangle: Rounded Corners 782">
          <a:extLst>
            <a:ext uri="{FF2B5EF4-FFF2-40B4-BE49-F238E27FC236}">
              <a16:creationId xmlns:a16="http://schemas.microsoft.com/office/drawing/2014/main" id="{5640E8E9-1315-4A91-BCB5-17A6E9075BCD}"/>
            </a:ext>
          </a:extLst>
        </xdr:cNvPr>
        <xdr:cNvSpPr/>
      </xdr:nvSpPr>
      <xdr:spPr>
        <a:xfrm>
          <a:off x="4201035" y="878902"/>
          <a:ext cx="1398776" cy="212703"/>
        </a:xfrm>
        <a:prstGeom prst="roundRect">
          <a:avLst/>
        </a:prstGeom>
        <a:solidFill>
          <a:srgbClr val="C240D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latin typeface="Arial" panose="020B0604020202020204" pitchFamily="34" charset="0"/>
              <a:cs typeface="Arial" panose="020B0604020202020204" pitchFamily="34" charset="0"/>
            </a:rPr>
            <a:t>USA</a:t>
          </a:r>
        </a:p>
      </xdr:txBody>
    </xdr:sp>
    <xdr:clientData/>
  </xdr:twoCellAnchor>
  <xdr:twoCellAnchor>
    <xdr:from>
      <xdr:col>6</xdr:col>
      <xdr:colOff>537573</xdr:colOff>
      <xdr:row>6</xdr:row>
      <xdr:rowOff>54183</xdr:rowOff>
    </xdr:from>
    <xdr:to>
      <xdr:col>9</xdr:col>
      <xdr:colOff>104619</xdr:colOff>
      <xdr:row>7</xdr:row>
      <xdr:rowOff>71502</xdr:rowOff>
    </xdr:to>
    <xdr:sp macro="[0]!Brazil" textlink="">
      <xdr:nvSpPr>
        <xdr:cNvPr id="784" name="Rectangle: Rounded Corners 783">
          <a:extLst>
            <a:ext uri="{FF2B5EF4-FFF2-40B4-BE49-F238E27FC236}">
              <a16:creationId xmlns:a16="http://schemas.microsoft.com/office/drawing/2014/main" id="{3831F6FE-CBF0-4619-B009-42DD0660E608}"/>
            </a:ext>
          </a:extLst>
        </xdr:cNvPr>
        <xdr:cNvSpPr/>
      </xdr:nvSpPr>
      <xdr:spPr>
        <a:xfrm>
          <a:off x="4201035" y="1226491"/>
          <a:ext cx="1398776" cy="212703"/>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latin typeface="Arial" panose="020B0604020202020204" pitchFamily="34" charset="0"/>
              <a:cs typeface="Arial" panose="020B0604020202020204" pitchFamily="34" charset="0"/>
            </a:rPr>
            <a:t>Brazil</a:t>
          </a:r>
          <a:endParaRPr lang="en-IN"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537573</xdr:colOff>
      <xdr:row>8</xdr:row>
      <xdr:rowOff>11003</xdr:rowOff>
    </xdr:from>
    <xdr:to>
      <xdr:col>9</xdr:col>
      <xdr:colOff>104619</xdr:colOff>
      <xdr:row>9</xdr:row>
      <xdr:rowOff>28321</xdr:rowOff>
    </xdr:to>
    <xdr:sp macro="[0]!Egypt" textlink="">
      <xdr:nvSpPr>
        <xdr:cNvPr id="785" name="Rectangle: Rounded Corners 784">
          <a:extLst>
            <a:ext uri="{FF2B5EF4-FFF2-40B4-BE49-F238E27FC236}">
              <a16:creationId xmlns:a16="http://schemas.microsoft.com/office/drawing/2014/main" id="{74D440F5-8D07-4118-92BE-BC75971FAB8D}"/>
            </a:ext>
          </a:extLst>
        </xdr:cNvPr>
        <xdr:cNvSpPr/>
      </xdr:nvSpPr>
      <xdr:spPr>
        <a:xfrm>
          <a:off x="4201035" y="1574080"/>
          <a:ext cx="1398776" cy="212703"/>
        </a:xfrm>
        <a:prstGeom prst="round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latin typeface="Arial" panose="020B0604020202020204" pitchFamily="34" charset="0"/>
              <a:cs typeface="Arial" panose="020B0604020202020204" pitchFamily="34" charset="0"/>
            </a:rPr>
            <a:t>Egypt</a:t>
          </a:r>
          <a:endParaRPr lang="en-IN"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537573</xdr:colOff>
      <xdr:row>9</xdr:row>
      <xdr:rowOff>163207</xdr:rowOff>
    </xdr:from>
    <xdr:to>
      <xdr:col>9</xdr:col>
      <xdr:colOff>104619</xdr:colOff>
      <xdr:row>10</xdr:row>
      <xdr:rowOff>180526</xdr:rowOff>
    </xdr:to>
    <xdr:sp macro="[0]!Uk" textlink="">
      <xdr:nvSpPr>
        <xdr:cNvPr id="786" name="Rectangle: Rounded Corners 785">
          <a:extLst>
            <a:ext uri="{FF2B5EF4-FFF2-40B4-BE49-F238E27FC236}">
              <a16:creationId xmlns:a16="http://schemas.microsoft.com/office/drawing/2014/main" id="{4834E80C-5869-48A1-9A1D-A746A8295F67}"/>
            </a:ext>
          </a:extLst>
        </xdr:cNvPr>
        <xdr:cNvSpPr/>
      </xdr:nvSpPr>
      <xdr:spPr>
        <a:xfrm>
          <a:off x="4201035" y="1921669"/>
          <a:ext cx="1398776" cy="212703"/>
        </a:xfrm>
        <a:prstGeom prst="roundRect">
          <a:avLst/>
        </a:prstGeom>
        <a:solidFill>
          <a:srgbClr val="0F11A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latin typeface="Arial" panose="020B0604020202020204" pitchFamily="34" charset="0"/>
              <a:cs typeface="Arial" panose="020B0604020202020204" pitchFamily="34" charset="0"/>
            </a:rPr>
            <a:t>UK</a:t>
          </a:r>
          <a:endParaRPr lang="en-IN"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537573</xdr:colOff>
      <xdr:row>11</xdr:row>
      <xdr:rowOff>120028</xdr:rowOff>
    </xdr:from>
    <xdr:to>
      <xdr:col>9</xdr:col>
      <xdr:colOff>104619</xdr:colOff>
      <xdr:row>12</xdr:row>
      <xdr:rowOff>137347</xdr:rowOff>
    </xdr:to>
    <xdr:sp macro="[0]!Russia" textlink="">
      <xdr:nvSpPr>
        <xdr:cNvPr id="787" name="Rectangle: Rounded Corners 786">
          <a:extLst>
            <a:ext uri="{FF2B5EF4-FFF2-40B4-BE49-F238E27FC236}">
              <a16:creationId xmlns:a16="http://schemas.microsoft.com/office/drawing/2014/main" id="{A76D2413-6DD0-40E1-8616-72FC3FFBC5A4}"/>
            </a:ext>
          </a:extLst>
        </xdr:cNvPr>
        <xdr:cNvSpPr/>
      </xdr:nvSpPr>
      <xdr:spPr>
        <a:xfrm>
          <a:off x="4201035" y="2269259"/>
          <a:ext cx="1398776" cy="212703"/>
        </a:xfrm>
        <a:prstGeom prst="roundRect">
          <a:avLst/>
        </a:prstGeom>
        <a:solidFill>
          <a:srgbClr val="00F1D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latin typeface="Arial" panose="020B0604020202020204" pitchFamily="34" charset="0"/>
              <a:cs typeface="Arial" panose="020B0604020202020204" pitchFamily="34" charset="0"/>
            </a:rPr>
            <a:t>Russia</a:t>
          </a:r>
          <a:endParaRPr lang="en-IN" sz="1100" b="1">
            <a:solidFill>
              <a:schemeClr val="bg1"/>
            </a:solidFill>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571500</xdr:colOff>
      <xdr:row>1</xdr:row>
      <xdr:rowOff>76199</xdr:rowOff>
    </xdr:from>
    <xdr:to>
      <xdr:col>17</xdr:col>
      <xdr:colOff>504825</xdr:colOff>
      <xdr:row>7</xdr:row>
      <xdr:rowOff>76200</xdr:rowOff>
    </xdr:to>
    <xdr:sp macro="" textlink="">
      <xdr:nvSpPr>
        <xdr:cNvPr id="2" name="TextBox 1">
          <a:extLst>
            <a:ext uri="{FF2B5EF4-FFF2-40B4-BE49-F238E27FC236}">
              <a16:creationId xmlns:a16="http://schemas.microsoft.com/office/drawing/2014/main" id="{7FD466E6-69DE-4ED7-9D36-98C6E79B7351}"/>
            </a:ext>
          </a:extLst>
        </xdr:cNvPr>
        <xdr:cNvSpPr txBox="1"/>
      </xdr:nvSpPr>
      <xdr:spPr>
        <a:xfrm>
          <a:off x="2400300" y="266699"/>
          <a:ext cx="8467725" cy="11430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5A097C"/>
              </a:solidFill>
              <a:latin typeface="Arial" panose="020B0604020202020204" pitchFamily="34" charset="0"/>
              <a:cs typeface="Arial" panose="020B0604020202020204" pitchFamily="34" charset="0"/>
            </a:rPr>
            <a:t>OBJECTIVE-</a:t>
          </a:r>
        </a:p>
        <a:p>
          <a:r>
            <a:rPr lang="en-IN" sz="1400">
              <a:latin typeface="Arial" panose="020B0604020202020204" pitchFamily="34" charset="0"/>
              <a:cs typeface="Arial" panose="020B0604020202020204" pitchFamily="34" charset="0"/>
            </a:rPr>
            <a:t>Objective</a:t>
          </a:r>
          <a:r>
            <a:rPr lang="en-IN" sz="1400" baseline="0">
              <a:latin typeface="Arial" panose="020B0604020202020204" pitchFamily="34" charset="0"/>
              <a:cs typeface="Arial" panose="020B0604020202020204" pitchFamily="34" charset="0"/>
            </a:rPr>
            <a:t> of the above dashboard is to show the use of financial statistics, on how it is used to collect data from income, its' profits and geographical distribution of income sources and which country is profitable from the financial statistical pov.</a:t>
          </a:r>
          <a:endParaRPr lang="en-IN" sz="1400">
            <a:latin typeface="Arial" panose="020B0604020202020204" pitchFamily="34" charset="0"/>
            <a:cs typeface="Arial" panose="020B0604020202020204" pitchFamily="34" charset="0"/>
          </a:endParaRPr>
        </a:p>
      </xdr:txBody>
    </xdr:sp>
    <xdr:clientData/>
  </xdr:twoCellAnchor>
  <xdr:twoCellAnchor>
    <xdr:from>
      <xdr:col>4</xdr:col>
      <xdr:colOff>19049</xdr:colOff>
      <xdr:row>10</xdr:row>
      <xdr:rowOff>28574</xdr:rowOff>
    </xdr:from>
    <xdr:to>
      <xdr:col>18</xdr:col>
      <xdr:colOff>238125</xdr:colOff>
      <xdr:row>26</xdr:row>
      <xdr:rowOff>152400</xdr:rowOff>
    </xdr:to>
    <xdr:sp macro="" textlink="">
      <xdr:nvSpPr>
        <xdr:cNvPr id="3" name="TextBox 2">
          <a:extLst>
            <a:ext uri="{FF2B5EF4-FFF2-40B4-BE49-F238E27FC236}">
              <a16:creationId xmlns:a16="http://schemas.microsoft.com/office/drawing/2014/main" id="{FF3840A9-2BE2-4C95-9CA9-A12D72165CAB}"/>
            </a:ext>
          </a:extLst>
        </xdr:cNvPr>
        <xdr:cNvSpPr txBox="1"/>
      </xdr:nvSpPr>
      <xdr:spPr>
        <a:xfrm>
          <a:off x="2457449" y="1933574"/>
          <a:ext cx="8753476" cy="31718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a:latin typeface="Arial" panose="020B0604020202020204" pitchFamily="34" charset="0"/>
              <a:cs typeface="Arial" panose="020B0604020202020204" pitchFamily="34" charset="0"/>
            </a:rPr>
            <a:t>Unit 1-</a:t>
          </a:r>
        </a:p>
        <a:p>
          <a:pPr algn="l"/>
          <a:r>
            <a:rPr lang="en-IN" sz="1200">
              <a:latin typeface="Arial" panose="020B0604020202020204" pitchFamily="34" charset="0"/>
              <a:cs typeface="Arial" panose="020B0604020202020204" pitchFamily="34" charset="0"/>
            </a:rPr>
            <a:t>From the unit 1, I have used all the formulas including vlookup, sum(), iferror() etc +basics of formatting in both the dashboards.</a:t>
          </a:r>
        </a:p>
        <a:p>
          <a:pPr algn="l"/>
          <a:r>
            <a:rPr lang="en-IN" sz="1200">
              <a:latin typeface="Arial" panose="020B0604020202020204" pitchFamily="34" charset="0"/>
              <a:cs typeface="Arial" panose="020B0604020202020204" pitchFamily="34" charset="0"/>
            </a:rPr>
            <a:t>Unit 2- </a:t>
          </a:r>
        </a:p>
        <a:p>
          <a:pPr algn="l"/>
          <a:r>
            <a:rPr lang="en-IN" sz="1200">
              <a:latin typeface="Arial" panose="020B0604020202020204" pitchFamily="34" charset="0"/>
              <a:cs typeface="Arial" panose="020B0604020202020204" pitchFamily="34" charset="0"/>
            </a:rPr>
            <a:t>Correct use of filters and pivot tables in the dashboard.</a:t>
          </a:r>
        </a:p>
        <a:p>
          <a:pPr algn="l"/>
          <a:r>
            <a:rPr lang="en-IN" sz="1200">
              <a:latin typeface="Arial" panose="020B0604020202020204" pitchFamily="34" charset="0"/>
              <a:cs typeface="Arial" panose="020B0604020202020204" pitchFamily="34" charset="0"/>
            </a:rPr>
            <a:t>Unit 3-</a:t>
          </a:r>
        </a:p>
        <a:p>
          <a:pPr algn="l"/>
          <a:r>
            <a:rPr lang="en-IN" sz="1200">
              <a:latin typeface="Arial" panose="020B0604020202020204" pitchFamily="34" charset="0"/>
              <a:cs typeface="Arial" panose="020B0604020202020204" pitchFamily="34" charset="0"/>
            </a:rPr>
            <a:t>Charts, combo</a:t>
          </a:r>
          <a:r>
            <a:rPr lang="en-IN" sz="1200" baseline="0">
              <a:latin typeface="Arial" panose="020B0604020202020204" pitchFamily="34" charset="0"/>
              <a:cs typeface="Arial" panose="020B0604020202020204" pitchFamily="34" charset="0"/>
            </a:rPr>
            <a:t> charts including scatter chart and </a:t>
          </a:r>
          <a:r>
            <a:rPr lang="en-IN" sz="1200">
              <a:latin typeface="Arial" panose="020B0604020202020204" pitchFamily="34" charset="0"/>
              <a:cs typeface="Arial" panose="020B0604020202020204" pitchFamily="34" charset="0"/>
            </a:rPr>
            <a:t>Protecting sheet using protect sheet.</a:t>
          </a:r>
        </a:p>
        <a:p>
          <a:pPr algn="l"/>
          <a:r>
            <a:rPr lang="en-IN" sz="1200">
              <a:latin typeface="Arial" panose="020B0604020202020204" pitchFamily="34" charset="0"/>
              <a:cs typeface="Arial" panose="020B0604020202020204" pitchFamily="34" charset="0"/>
            </a:rPr>
            <a:t>Unit 4- </a:t>
          </a:r>
        </a:p>
        <a:p>
          <a:pPr algn="l"/>
          <a:r>
            <a:rPr lang="en-IN" sz="1200">
              <a:latin typeface="Arial" panose="020B0604020202020204" pitchFamily="34" charset="0"/>
              <a:cs typeface="Arial" panose="020B0604020202020204" pitchFamily="34" charset="0"/>
            </a:rPr>
            <a:t>Data validation</a:t>
          </a:r>
          <a:r>
            <a:rPr lang="en-IN" sz="1200" baseline="0">
              <a:latin typeface="Arial" panose="020B0604020202020204" pitchFamily="34" charset="0"/>
              <a:cs typeface="Arial" panose="020B0604020202020204" pitchFamily="34" charset="0"/>
            </a:rPr>
            <a:t> usage .</a:t>
          </a:r>
          <a:endParaRPr lang="en-IN" sz="1200">
            <a:latin typeface="Arial" panose="020B0604020202020204" pitchFamily="34" charset="0"/>
            <a:cs typeface="Arial" panose="020B0604020202020204" pitchFamily="34" charset="0"/>
          </a:endParaRPr>
        </a:p>
        <a:p>
          <a:pPr algn="l"/>
          <a:r>
            <a:rPr lang="en-IN" sz="1200">
              <a:latin typeface="Arial" panose="020B0604020202020204" pitchFamily="34" charset="0"/>
              <a:cs typeface="Arial" panose="020B0604020202020204" pitchFamily="34" charset="0"/>
            </a:rPr>
            <a:t>Unit 5- </a:t>
          </a:r>
        </a:p>
        <a:p>
          <a:pPr algn="l"/>
          <a:r>
            <a:rPr lang="en-IN" sz="1200">
              <a:latin typeface="Arial" panose="020B0604020202020204" pitchFamily="34" charset="0"/>
              <a:cs typeface="Arial" panose="020B0604020202020204" pitchFamily="34" charset="0"/>
            </a:rPr>
            <a:t>Use</a:t>
          </a:r>
          <a:r>
            <a:rPr lang="en-IN" sz="1200" baseline="0">
              <a:latin typeface="Arial" panose="020B0604020202020204" pitchFamily="34" charset="0"/>
              <a:cs typeface="Arial" panose="020B0604020202020204" pitchFamily="34" charset="0"/>
            </a:rPr>
            <a:t> of </a:t>
          </a:r>
          <a:r>
            <a:rPr lang="en-IN" sz="1200">
              <a:latin typeface="Arial" panose="020B0604020202020204" pitchFamily="34" charset="0"/>
              <a:cs typeface="Arial" panose="020B0604020202020204" pitchFamily="34" charset="0"/>
            </a:rPr>
            <a:t>vba buttons in the dashboard.</a:t>
          </a:r>
        </a:p>
        <a:p>
          <a:pPr algn="l"/>
          <a:r>
            <a:rPr lang="en-IN" sz="1200">
              <a:latin typeface="Arial" panose="020B0604020202020204" pitchFamily="34" charset="0"/>
              <a:cs typeface="Arial" panose="020B0604020202020204" pitchFamily="34" charset="0"/>
            </a:rPr>
            <a:t>Unit 6- </a:t>
          </a:r>
        </a:p>
        <a:p>
          <a:pPr algn="l"/>
          <a:r>
            <a:rPr lang="en-IN" sz="1200">
              <a:latin typeface="Arial" panose="020B0604020202020204" pitchFamily="34" charset="0"/>
              <a:cs typeface="Arial" panose="020B0604020202020204" pitchFamily="34" charset="0"/>
            </a:rPr>
            <a:t>Correct</a:t>
          </a:r>
          <a:r>
            <a:rPr lang="en-IN" sz="1200" baseline="0">
              <a:latin typeface="Arial" panose="020B0604020202020204" pitchFamily="34" charset="0"/>
              <a:cs typeface="Arial" panose="020B0604020202020204" pitchFamily="34" charset="0"/>
            </a:rPr>
            <a:t> use of </a:t>
          </a:r>
          <a:r>
            <a:rPr lang="en-IN" sz="1200">
              <a:latin typeface="Arial" panose="020B0604020202020204" pitchFamily="34" charset="0"/>
              <a:cs typeface="Arial" panose="020B0604020202020204" pitchFamily="34" charset="0"/>
            </a:rPr>
            <a:t>Slicer</a:t>
          </a:r>
          <a:r>
            <a:rPr lang="en-IN" sz="1200" baseline="0">
              <a:latin typeface="Arial" panose="020B0604020202020204" pitchFamily="34" charset="0"/>
              <a:cs typeface="Arial" panose="020B0604020202020204" pitchFamily="34" charset="0"/>
            </a:rPr>
            <a:t> and </a:t>
          </a:r>
          <a:r>
            <a:rPr lang="en-IN" sz="1200">
              <a:latin typeface="Arial" panose="020B0604020202020204" pitchFamily="34" charset="0"/>
              <a:cs typeface="Arial" panose="020B0604020202020204" pitchFamily="34" charset="0"/>
            </a:rPr>
            <a:t>hyperlinks.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m" refreshedDate="45261.386032754628" createdVersion="7" refreshedVersion="7" minRefreshableVersion="3" recordCount="900" xr:uid="{3DCD4320-FAF7-49A8-A776-D33511BD1B8A}">
  <cacheSource type="worksheet">
    <worksheetSource name="Table3"/>
  </cacheSource>
  <cacheFields count="9">
    <cacheField name="Year" numFmtId="0">
      <sharedItems containsSemiMixedTypes="0" containsString="0" containsNumber="1" containsInteger="1" minValue="2020" maxValue="2024" count="5">
        <n v="2020"/>
        <n v="2021"/>
        <n v="2022"/>
        <n v="2023"/>
        <n v="2024"/>
      </sharedItems>
    </cacheField>
    <cacheField name="Month" numFmtId="0">
      <sharedItems count="12">
        <s v="Jan"/>
        <s v="Feb"/>
        <s v="Mar"/>
        <s v="Apr"/>
        <s v="May"/>
        <s v="Jun"/>
        <s v="Jul"/>
        <s v="Aug"/>
        <s v="Sep"/>
        <s v="Oct"/>
        <s v="Nov"/>
        <s v="Dec"/>
      </sharedItems>
    </cacheField>
    <cacheField name="Income sources" numFmtId="0">
      <sharedItems count="6">
        <s v="Licensing"/>
        <s v="Renting"/>
        <s v="Subscription"/>
        <s v="Usage fees"/>
        <s v="Advertising"/>
        <s v="Asset sale"/>
      </sharedItems>
    </cacheField>
    <cacheField name="Income Breakdowns" numFmtId="0">
      <sharedItems/>
    </cacheField>
    <cacheField name="Counts" numFmtId="165">
      <sharedItems containsSemiMixedTypes="0" containsString="0" containsNumber="1" minValue="2" maxValue="10368.4"/>
    </cacheField>
    <cacheField name="Income" numFmtId="165">
      <sharedItems containsSemiMixedTypes="0" containsString="0" containsNumber="1" minValue="100" maxValue="22000"/>
    </cacheField>
    <cacheField name="Target Income" numFmtId="165">
      <sharedItems containsSemiMixedTypes="0" containsString="0" containsNumber="1" minValue="112" maxValue="12480"/>
    </cacheField>
    <cacheField name="operating profit" numFmtId="165">
      <sharedItems containsSemiMixedTypes="0" containsString="0" containsNumber="1" minValue="20" maxValue="4400"/>
    </cacheField>
    <cacheField name="Marketing Strategies" numFmtId="165">
      <sharedItems count="2">
        <s v="B2B"/>
        <s v="B2C"/>
      </sharedItems>
    </cacheField>
  </cacheFields>
  <extLst>
    <ext xmlns:x14="http://schemas.microsoft.com/office/spreadsheetml/2009/9/main" uri="{725AE2AE-9491-48be-B2B4-4EB974FC3084}">
      <x14:pivotCacheDefinition pivotCacheId="180271863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m" refreshedDate="45265.182824074072" createdVersion="7" refreshedVersion="7" minRefreshableVersion="3" recordCount="30" xr:uid="{E57EF519-173C-4CA0-8FB1-411330C8750E}">
  <cacheSource type="worksheet">
    <worksheetSource name="Map"/>
  </cacheSource>
  <cacheFields count="4">
    <cacheField name="Year" numFmtId="0">
      <sharedItems containsSemiMixedTypes="0" containsString="0" containsNumber="1" containsInteger="1" minValue="2020" maxValue="2024" count="5">
        <n v="2020"/>
        <n v="2021"/>
        <n v="2022"/>
        <n v="2023"/>
        <n v="2024"/>
      </sharedItems>
    </cacheField>
    <cacheField name="Country" numFmtId="0">
      <sharedItems count="6">
        <s v="Egypt"/>
        <s v="USA"/>
        <s v="Russia"/>
        <s v="United Kingdom"/>
        <s v="Brazil"/>
        <s v="Canada"/>
      </sharedItems>
    </cacheField>
    <cacheField name="Amount" numFmtId="1">
      <sharedItems containsSemiMixedTypes="0" containsString="0" containsNumber="1" containsInteger="1" minValue="62240" maxValue="387584"/>
    </cacheField>
    <cacheField name="Target" numFmtId="1">
      <sharedItems containsSemiMixedTypes="0" containsString="0" containsNumber="1" minValue="90151.200000000041" maxValue="700000"/>
    </cacheField>
  </cacheFields>
  <extLst>
    <ext xmlns:x14="http://schemas.microsoft.com/office/spreadsheetml/2009/9/main" uri="{725AE2AE-9491-48be-B2B4-4EB974FC3084}">
      <x14:pivotCacheDefinition pivotCacheId="20034796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0">
  <r>
    <x v="0"/>
    <x v="0"/>
    <x v="0"/>
    <s v="Software Metered License"/>
    <n v="3566"/>
    <n v="5492.76"/>
    <n v="5126.576"/>
    <n v="1098.5520000000001"/>
    <x v="0"/>
  </r>
  <r>
    <x v="0"/>
    <x v="0"/>
    <x v="0"/>
    <s v="Floating License"/>
    <n v="2498"/>
    <n v="9600"/>
    <n v="8960"/>
    <n v="1920"/>
    <x v="0"/>
  </r>
  <r>
    <x v="0"/>
    <x v="0"/>
    <x v="1"/>
    <s v="Equipments"/>
    <n v="1245"/>
    <n v="5492.6399999999994"/>
    <n v="5126.4639999999999"/>
    <n v="1098.528"/>
    <x v="0"/>
  </r>
  <r>
    <x v="0"/>
    <x v="0"/>
    <x v="2"/>
    <s v="Prime"/>
    <n v="644"/>
    <n v="6892.2"/>
    <n v="6432.72"/>
    <n v="1378.44"/>
    <x v="0"/>
  </r>
  <r>
    <x v="0"/>
    <x v="0"/>
    <x v="3"/>
    <s v="Renewal"/>
    <n v="643"/>
    <n v="7700"/>
    <n v="7840"/>
    <n v="1540"/>
    <x v="0"/>
  </r>
  <r>
    <x v="0"/>
    <x v="0"/>
    <x v="2"/>
    <s v="Premium"/>
    <n v="455"/>
    <n v="5265.39"/>
    <n v="5128.0320000000002"/>
    <n v="1053.0780000000002"/>
    <x v="0"/>
  </r>
  <r>
    <x v="0"/>
    <x v="0"/>
    <x v="3"/>
    <s v="New "/>
    <n v="345"/>
    <n v="9016"/>
    <n v="7840"/>
    <n v="1803.2"/>
    <x v="0"/>
  </r>
  <r>
    <x v="0"/>
    <x v="0"/>
    <x v="1"/>
    <s v="Offices"/>
    <n v="122"/>
    <n v="2696.75"/>
    <n v="112"/>
    <n v="539.35"/>
    <x v="0"/>
  </r>
  <r>
    <x v="0"/>
    <x v="0"/>
    <x v="4"/>
    <s v="Facebook Page"/>
    <n v="78"/>
    <n v="5492.6399999999994"/>
    <n v="5126.4639999999999"/>
    <n v="1098.528"/>
    <x v="0"/>
  </r>
  <r>
    <x v="0"/>
    <x v="0"/>
    <x v="4"/>
    <s v="Google Ad"/>
    <n v="76"/>
    <n v="5492.28"/>
    <n v="5126.1279999999997"/>
    <n v="1098.4559999999999"/>
    <x v="0"/>
  </r>
  <r>
    <x v="0"/>
    <x v="0"/>
    <x v="4"/>
    <s v="Company Website"/>
    <n v="46"/>
    <n v="240"/>
    <n v="224"/>
    <n v="48"/>
    <x v="0"/>
  </r>
  <r>
    <x v="0"/>
    <x v="0"/>
    <x v="4"/>
    <s v="Youtube Channel"/>
    <n v="34"/>
    <n v="5492.16"/>
    <n v="5126.0160000000005"/>
    <n v="1098.432"/>
    <x v="0"/>
  </r>
  <r>
    <x v="0"/>
    <x v="0"/>
    <x v="1"/>
    <s v="Lands"/>
    <n v="7"/>
    <n v="3666.3"/>
    <n v="224"/>
    <n v="733.2600000000001"/>
    <x v="0"/>
  </r>
  <r>
    <x v="0"/>
    <x v="0"/>
    <x v="5"/>
    <s v="Asset sale"/>
    <n v="3"/>
    <n v="7260"/>
    <n v="7392"/>
    <n v="1452"/>
    <x v="0"/>
  </r>
  <r>
    <x v="0"/>
    <x v="0"/>
    <x v="4"/>
    <s v="Television Ad"/>
    <n v="3"/>
    <n v="5035.0300000000007"/>
    <n v="5126.576"/>
    <n v="1007.0060000000002"/>
    <x v="0"/>
  </r>
  <r>
    <x v="0"/>
    <x v="1"/>
    <x v="0"/>
    <s v="Software Metered License"/>
    <n v="3566"/>
    <n v="5035.0300000000007"/>
    <n v="5126.576"/>
    <n v="1007.0060000000002"/>
    <x v="0"/>
  </r>
  <r>
    <x v="0"/>
    <x v="1"/>
    <x v="0"/>
    <s v="Floating License"/>
    <n v="2498"/>
    <n v="8800"/>
    <n v="8960"/>
    <n v="1760"/>
    <x v="0"/>
  </r>
  <r>
    <x v="0"/>
    <x v="1"/>
    <x v="1"/>
    <s v="Equipments"/>
    <n v="1245"/>
    <n v="5034.92"/>
    <n v="5126.4639999999999"/>
    <n v="1006.984"/>
    <x v="0"/>
  </r>
  <r>
    <x v="0"/>
    <x v="1"/>
    <x v="2"/>
    <s v="Prime"/>
    <n v="644"/>
    <n v="6317.85"/>
    <n v="6432.72"/>
    <n v="1263.5700000000002"/>
    <x v="0"/>
  </r>
  <r>
    <x v="0"/>
    <x v="1"/>
    <x v="3"/>
    <s v="Renewal"/>
    <n v="643"/>
    <n v="7000"/>
    <n v="7840"/>
    <n v="1400"/>
    <x v="0"/>
  </r>
  <r>
    <x v="0"/>
    <x v="1"/>
    <x v="2"/>
    <s v="Premium"/>
    <n v="455"/>
    <n v="4578.6000000000004"/>
    <n v="5128.0320000000002"/>
    <n v="915.72000000000014"/>
    <x v="0"/>
  </r>
  <r>
    <x v="0"/>
    <x v="1"/>
    <x v="3"/>
    <s v="New "/>
    <n v="345"/>
    <n v="7000"/>
    <n v="7840"/>
    <n v="1400"/>
    <x v="0"/>
  </r>
  <r>
    <x v="0"/>
    <x v="1"/>
    <x v="1"/>
    <s v="Offices"/>
    <n v="122"/>
    <n v="100"/>
    <n v="112"/>
    <n v="20"/>
    <x v="0"/>
  </r>
  <r>
    <x v="0"/>
    <x v="1"/>
    <x v="4"/>
    <s v="Facebook Page"/>
    <n v="78"/>
    <n v="4577.2"/>
    <n v="5126.4639999999999"/>
    <n v="915.44"/>
    <x v="0"/>
  </r>
  <r>
    <x v="0"/>
    <x v="1"/>
    <x v="4"/>
    <s v="Google Ad"/>
    <n v="76"/>
    <n v="4576.8999999999996"/>
    <n v="5126.1279999999997"/>
    <n v="915.38"/>
    <x v="0"/>
  </r>
  <r>
    <x v="0"/>
    <x v="1"/>
    <x v="4"/>
    <s v="Company Website"/>
    <n v="46"/>
    <n v="200"/>
    <n v="224"/>
    <n v="40"/>
    <x v="0"/>
  </r>
  <r>
    <x v="0"/>
    <x v="1"/>
    <x v="4"/>
    <s v="Youtube Channel"/>
    <n v="34"/>
    <n v="4576.8"/>
    <n v="5126.0160000000005"/>
    <n v="915.36000000000013"/>
    <x v="0"/>
  </r>
  <r>
    <x v="0"/>
    <x v="1"/>
    <x v="1"/>
    <s v="Lands"/>
    <n v="7"/>
    <n v="200"/>
    <n v="224"/>
    <n v="40"/>
    <x v="0"/>
  </r>
  <r>
    <x v="0"/>
    <x v="1"/>
    <x v="4"/>
    <s v="Television Ad"/>
    <n v="3"/>
    <n v="4577.3"/>
    <n v="5126.576"/>
    <n v="915.46"/>
    <x v="0"/>
  </r>
  <r>
    <x v="0"/>
    <x v="1"/>
    <x v="5"/>
    <s v="Asset sale"/>
    <n v="2"/>
    <n v="6600"/>
    <n v="7392"/>
    <n v="1320"/>
    <x v="0"/>
  </r>
  <r>
    <x v="0"/>
    <x v="2"/>
    <x v="0"/>
    <s v="Software Metered License"/>
    <n v="3566"/>
    <n v="4577.3"/>
    <n v="5126.576"/>
    <n v="915.46"/>
    <x v="0"/>
  </r>
  <r>
    <x v="0"/>
    <x v="2"/>
    <x v="0"/>
    <s v="Floating License"/>
    <n v="2498"/>
    <n v="8000"/>
    <n v="8960"/>
    <n v="1600"/>
    <x v="0"/>
  </r>
  <r>
    <x v="0"/>
    <x v="2"/>
    <x v="1"/>
    <s v="Equipments"/>
    <n v="1245"/>
    <n v="4577.2"/>
    <n v="5126.4639999999999"/>
    <n v="915.44"/>
    <x v="0"/>
  </r>
  <r>
    <x v="0"/>
    <x v="2"/>
    <x v="2"/>
    <s v="Prime"/>
    <n v="644"/>
    <n v="5743.5"/>
    <n v="6432.72"/>
    <n v="1148.7"/>
    <x v="0"/>
  </r>
  <r>
    <x v="0"/>
    <x v="2"/>
    <x v="3"/>
    <s v="Renewal"/>
    <n v="643"/>
    <n v="7000"/>
    <n v="7840"/>
    <n v="1400"/>
    <x v="0"/>
  </r>
  <r>
    <x v="0"/>
    <x v="2"/>
    <x v="2"/>
    <s v="Premium"/>
    <n v="455"/>
    <n v="4578.6000000000004"/>
    <n v="5128.0320000000002"/>
    <n v="915.72000000000014"/>
    <x v="0"/>
  </r>
  <r>
    <x v="0"/>
    <x v="2"/>
    <x v="3"/>
    <s v="New "/>
    <n v="345"/>
    <n v="7000"/>
    <n v="7840"/>
    <n v="1400"/>
    <x v="0"/>
  </r>
  <r>
    <x v="0"/>
    <x v="2"/>
    <x v="1"/>
    <s v="Offices"/>
    <n v="122"/>
    <n v="100"/>
    <n v="112"/>
    <n v="20"/>
    <x v="0"/>
  </r>
  <r>
    <x v="0"/>
    <x v="2"/>
    <x v="4"/>
    <s v="Facebook Page"/>
    <n v="78"/>
    <n v="4577.2"/>
    <n v="5126.4639999999999"/>
    <n v="915.44"/>
    <x v="0"/>
  </r>
  <r>
    <x v="0"/>
    <x v="2"/>
    <x v="4"/>
    <s v="Google Ad"/>
    <n v="76"/>
    <n v="4576.8999999999996"/>
    <n v="5126.1279999999997"/>
    <n v="915.38"/>
    <x v="0"/>
  </r>
  <r>
    <x v="0"/>
    <x v="2"/>
    <x v="4"/>
    <s v="Company Website"/>
    <n v="46"/>
    <n v="200"/>
    <n v="224"/>
    <n v="40"/>
    <x v="0"/>
  </r>
  <r>
    <x v="0"/>
    <x v="2"/>
    <x v="4"/>
    <s v="Youtube Channel"/>
    <n v="34"/>
    <n v="4576.8"/>
    <n v="5126.0160000000005"/>
    <n v="915.36000000000013"/>
    <x v="1"/>
  </r>
  <r>
    <x v="0"/>
    <x v="2"/>
    <x v="1"/>
    <s v="Lands"/>
    <n v="7"/>
    <n v="200"/>
    <n v="224"/>
    <n v="40"/>
    <x v="1"/>
  </r>
  <r>
    <x v="0"/>
    <x v="2"/>
    <x v="4"/>
    <s v="Television Ad"/>
    <n v="3"/>
    <n v="3333"/>
    <n v="5126.576"/>
    <n v="666.6"/>
    <x v="1"/>
  </r>
  <r>
    <x v="0"/>
    <x v="2"/>
    <x v="5"/>
    <s v="Asset sale"/>
    <n v="2"/>
    <n v="6600"/>
    <n v="7392"/>
    <n v="1320"/>
    <x v="1"/>
  </r>
  <r>
    <x v="0"/>
    <x v="3"/>
    <x v="0"/>
    <s v="Software Metered License"/>
    <n v="3566"/>
    <n v="4577.3"/>
    <n v="5126.576"/>
    <n v="915.46"/>
    <x v="1"/>
  </r>
  <r>
    <x v="0"/>
    <x v="3"/>
    <x v="0"/>
    <s v="Floating License"/>
    <n v="2498"/>
    <n v="8000"/>
    <n v="8960"/>
    <n v="1600"/>
    <x v="1"/>
  </r>
  <r>
    <x v="0"/>
    <x v="3"/>
    <x v="1"/>
    <s v="Equipments"/>
    <n v="1245"/>
    <n v="4577.2"/>
    <n v="5126.4639999999999"/>
    <n v="915.44"/>
    <x v="1"/>
  </r>
  <r>
    <x v="0"/>
    <x v="3"/>
    <x v="2"/>
    <s v="Prime"/>
    <n v="644"/>
    <n v="5743.5"/>
    <n v="6432.72"/>
    <n v="1148.7"/>
    <x v="1"/>
  </r>
  <r>
    <x v="0"/>
    <x v="3"/>
    <x v="3"/>
    <s v="Renewal"/>
    <n v="643"/>
    <n v="7000"/>
    <n v="7840"/>
    <n v="1400"/>
    <x v="1"/>
  </r>
  <r>
    <x v="0"/>
    <x v="3"/>
    <x v="2"/>
    <s v="Premium"/>
    <n v="455"/>
    <n v="4578.6000000000004"/>
    <n v="5128.0320000000002"/>
    <n v="915.72000000000014"/>
    <x v="1"/>
  </r>
  <r>
    <x v="0"/>
    <x v="3"/>
    <x v="3"/>
    <s v="New "/>
    <n v="345"/>
    <n v="7000"/>
    <n v="7840"/>
    <n v="1400"/>
    <x v="1"/>
  </r>
  <r>
    <x v="0"/>
    <x v="3"/>
    <x v="1"/>
    <s v="Offices"/>
    <n v="122"/>
    <n v="100"/>
    <n v="112"/>
    <n v="20"/>
    <x v="1"/>
  </r>
  <r>
    <x v="0"/>
    <x v="3"/>
    <x v="4"/>
    <s v="Facebook Page"/>
    <n v="78"/>
    <n v="4577.2"/>
    <n v="5126.4639999999999"/>
    <n v="915.44"/>
    <x v="1"/>
  </r>
  <r>
    <x v="0"/>
    <x v="3"/>
    <x v="4"/>
    <s v="Google Ad"/>
    <n v="76"/>
    <n v="4576.8999999999996"/>
    <n v="5126.1279999999997"/>
    <n v="915.38"/>
    <x v="1"/>
  </r>
  <r>
    <x v="0"/>
    <x v="3"/>
    <x v="4"/>
    <s v="Company Website"/>
    <n v="46"/>
    <n v="200"/>
    <n v="224"/>
    <n v="40"/>
    <x v="1"/>
  </r>
  <r>
    <x v="0"/>
    <x v="3"/>
    <x v="4"/>
    <s v="Youtube Channel"/>
    <n v="34"/>
    <n v="4576.8"/>
    <n v="5126.0160000000005"/>
    <n v="915.36000000000013"/>
    <x v="1"/>
  </r>
  <r>
    <x v="0"/>
    <x v="3"/>
    <x v="1"/>
    <s v="Lands"/>
    <n v="7"/>
    <n v="200"/>
    <n v="224"/>
    <n v="40"/>
    <x v="1"/>
  </r>
  <r>
    <x v="0"/>
    <x v="3"/>
    <x v="4"/>
    <s v="Television Ad"/>
    <n v="3"/>
    <n v="4577.3"/>
    <n v="5126.576"/>
    <n v="915.46"/>
    <x v="1"/>
  </r>
  <r>
    <x v="0"/>
    <x v="3"/>
    <x v="5"/>
    <s v="Asset sale"/>
    <n v="2"/>
    <n v="6600"/>
    <n v="7392"/>
    <n v="1320"/>
    <x v="1"/>
  </r>
  <r>
    <x v="0"/>
    <x v="4"/>
    <x v="0"/>
    <s v="Software Metered License"/>
    <n v="3566"/>
    <n v="4577.3"/>
    <n v="5126.576"/>
    <n v="915.46"/>
    <x v="1"/>
  </r>
  <r>
    <x v="0"/>
    <x v="4"/>
    <x v="0"/>
    <s v="Floating License"/>
    <n v="2498"/>
    <n v="8000"/>
    <n v="8960"/>
    <n v="1600"/>
    <x v="1"/>
  </r>
  <r>
    <x v="0"/>
    <x v="4"/>
    <x v="1"/>
    <s v="Equipments"/>
    <n v="1245"/>
    <n v="4577.2"/>
    <n v="5126.4639999999999"/>
    <n v="915.44"/>
    <x v="1"/>
  </r>
  <r>
    <x v="0"/>
    <x v="4"/>
    <x v="2"/>
    <s v="Prime"/>
    <n v="644"/>
    <n v="5743.5"/>
    <n v="6432.72"/>
    <n v="1148.7"/>
    <x v="1"/>
  </r>
  <r>
    <x v="0"/>
    <x v="4"/>
    <x v="3"/>
    <s v="Renewal"/>
    <n v="643"/>
    <n v="7000"/>
    <n v="7840"/>
    <n v="1400"/>
    <x v="0"/>
  </r>
  <r>
    <x v="0"/>
    <x v="4"/>
    <x v="2"/>
    <s v="Premium"/>
    <n v="455"/>
    <n v="4578.6000000000004"/>
    <n v="5128.0320000000002"/>
    <n v="915.72000000000014"/>
    <x v="0"/>
  </r>
  <r>
    <x v="0"/>
    <x v="4"/>
    <x v="3"/>
    <s v="New "/>
    <n v="345"/>
    <n v="7000"/>
    <n v="7840"/>
    <n v="1400"/>
    <x v="0"/>
  </r>
  <r>
    <x v="0"/>
    <x v="4"/>
    <x v="1"/>
    <s v="Offices"/>
    <n v="122"/>
    <n v="100"/>
    <n v="112"/>
    <n v="20"/>
    <x v="0"/>
  </r>
  <r>
    <x v="0"/>
    <x v="4"/>
    <x v="4"/>
    <s v="Facebook Page"/>
    <n v="78"/>
    <n v="4577.2"/>
    <n v="5126.4639999999999"/>
    <n v="915.44"/>
    <x v="0"/>
  </r>
  <r>
    <x v="0"/>
    <x v="4"/>
    <x v="4"/>
    <s v="Google Ad"/>
    <n v="76"/>
    <n v="4576.8999999999996"/>
    <n v="5126.1279999999997"/>
    <n v="915.38"/>
    <x v="0"/>
  </r>
  <r>
    <x v="0"/>
    <x v="4"/>
    <x v="4"/>
    <s v="Company Website"/>
    <n v="46"/>
    <n v="200"/>
    <n v="224"/>
    <n v="40"/>
    <x v="0"/>
  </r>
  <r>
    <x v="0"/>
    <x v="4"/>
    <x v="4"/>
    <s v="Youtube Channel"/>
    <n v="34"/>
    <n v="4576.8"/>
    <n v="5126.0160000000005"/>
    <n v="915.36000000000013"/>
    <x v="0"/>
  </r>
  <r>
    <x v="0"/>
    <x v="4"/>
    <x v="1"/>
    <s v="Lands"/>
    <n v="7"/>
    <n v="200"/>
    <n v="224"/>
    <n v="40"/>
    <x v="0"/>
  </r>
  <r>
    <x v="0"/>
    <x v="4"/>
    <x v="4"/>
    <s v="Television Ad"/>
    <n v="3"/>
    <n v="4577.3"/>
    <n v="5126.576"/>
    <n v="915.46"/>
    <x v="0"/>
  </r>
  <r>
    <x v="0"/>
    <x v="4"/>
    <x v="5"/>
    <s v="Asset sale"/>
    <n v="2"/>
    <n v="6600"/>
    <n v="7392"/>
    <n v="1320"/>
    <x v="0"/>
  </r>
  <r>
    <x v="0"/>
    <x v="5"/>
    <x v="0"/>
    <s v="Software Metered License"/>
    <n v="3566"/>
    <n v="4577.3"/>
    <n v="5126.576"/>
    <n v="915.46"/>
    <x v="0"/>
  </r>
  <r>
    <x v="0"/>
    <x v="5"/>
    <x v="0"/>
    <s v="Floating License"/>
    <n v="2498"/>
    <n v="8000"/>
    <n v="8960"/>
    <n v="1600"/>
    <x v="0"/>
  </r>
  <r>
    <x v="0"/>
    <x v="5"/>
    <x v="1"/>
    <s v="Equipments"/>
    <n v="1245"/>
    <n v="4577.2"/>
    <n v="5126.4639999999999"/>
    <n v="915.44"/>
    <x v="0"/>
  </r>
  <r>
    <x v="0"/>
    <x v="5"/>
    <x v="2"/>
    <s v="Prime"/>
    <n v="644"/>
    <n v="5743.5"/>
    <n v="6432.72"/>
    <n v="1148.7"/>
    <x v="0"/>
  </r>
  <r>
    <x v="0"/>
    <x v="5"/>
    <x v="3"/>
    <s v="Renewal"/>
    <n v="643"/>
    <n v="7000"/>
    <n v="7840"/>
    <n v="1400"/>
    <x v="0"/>
  </r>
  <r>
    <x v="0"/>
    <x v="5"/>
    <x v="2"/>
    <s v="Premium"/>
    <n v="455"/>
    <n v="4578.6000000000004"/>
    <n v="5128.0320000000002"/>
    <n v="915.72000000000014"/>
    <x v="0"/>
  </r>
  <r>
    <x v="0"/>
    <x v="5"/>
    <x v="3"/>
    <s v="New "/>
    <n v="345"/>
    <n v="7000"/>
    <n v="7840"/>
    <n v="1400"/>
    <x v="0"/>
  </r>
  <r>
    <x v="0"/>
    <x v="5"/>
    <x v="1"/>
    <s v="Offices"/>
    <n v="122"/>
    <n v="100"/>
    <n v="112"/>
    <n v="20"/>
    <x v="0"/>
  </r>
  <r>
    <x v="0"/>
    <x v="5"/>
    <x v="4"/>
    <s v="Facebook Page"/>
    <n v="78"/>
    <n v="4577.2"/>
    <n v="5126.4639999999999"/>
    <n v="915.44"/>
    <x v="0"/>
  </r>
  <r>
    <x v="0"/>
    <x v="5"/>
    <x v="4"/>
    <s v="Google Ad"/>
    <n v="76"/>
    <n v="4576.8999999999996"/>
    <n v="5126.1279999999997"/>
    <n v="915.38"/>
    <x v="0"/>
  </r>
  <r>
    <x v="0"/>
    <x v="5"/>
    <x v="4"/>
    <s v="Company Website"/>
    <n v="46"/>
    <n v="200"/>
    <n v="224"/>
    <n v="40"/>
    <x v="0"/>
  </r>
  <r>
    <x v="0"/>
    <x v="5"/>
    <x v="4"/>
    <s v="Youtube Channel"/>
    <n v="34"/>
    <n v="4576.8"/>
    <n v="5126.0160000000005"/>
    <n v="915.36000000000013"/>
    <x v="0"/>
  </r>
  <r>
    <x v="0"/>
    <x v="5"/>
    <x v="1"/>
    <s v="Lands"/>
    <n v="7"/>
    <n v="200"/>
    <n v="224"/>
    <n v="40"/>
    <x v="0"/>
  </r>
  <r>
    <x v="0"/>
    <x v="5"/>
    <x v="5"/>
    <s v="Asset sale"/>
    <n v="3"/>
    <n v="6600"/>
    <n v="7392"/>
    <n v="1320"/>
    <x v="0"/>
  </r>
  <r>
    <x v="0"/>
    <x v="5"/>
    <x v="4"/>
    <s v="Television Ad"/>
    <n v="3"/>
    <n v="4577.3"/>
    <n v="5126.576"/>
    <n v="915.46"/>
    <x v="0"/>
  </r>
  <r>
    <x v="0"/>
    <x v="6"/>
    <x v="0"/>
    <s v="Software Metered License"/>
    <n v="3566"/>
    <n v="4577.3"/>
    <n v="5126.576"/>
    <n v="915.46"/>
    <x v="0"/>
  </r>
  <r>
    <x v="0"/>
    <x v="6"/>
    <x v="0"/>
    <s v="Floating License"/>
    <n v="2498"/>
    <n v="8000"/>
    <n v="8960"/>
    <n v="1600"/>
    <x v="0"/>
  </r>
  <r>
    <x v="0"/>
    <x v="6"/>
    <x v="1"/>
    <s v="Equipments"/>
    <n v="1245"/>
    <n v="4577.2"/>
    <n v="5126.4639999999999"/>
    <n v="915.44"/>
    <x v="0"/>
  </r>
  <r>
    <x v="0"/>
    <x v="6"/>
    <x v="2"/>
    <s v="Prime"/>
    <n v="644"/>
    <n v="5743.5"/>
    <n v="6432.72"/>
    <n v="1148.7"/>
    <x v="0"/>
  </r>
  <r>
    <x v="0"/>
    <x v="6"/>
    <x v="3"/>
    <s v="Renewal"/>
    <n v="643"/>
    <n v="7000"/>
    <n v="7840"/>
    <n v="1400"/>
    <x v="0"/>
  </r>
  <r>
    <x v="0"/>
    <x v="6"/>
    <x v="2"/>
    <s v="Premium"/>
    <n v="455"/>
    <n v="4578.6000000000004"/>
    <n v="5128.0320000000002"/>
    <n v="915.72000000000014"/>
    <x v="0"/>
  </r>
  <r>
    <x v="0"/>
    <x v="6"/>
    <x v="3"/>
    <s v="New "/>
    <n v="345"/>
    <n v="7000"/>
    <n v="7840"/>
    <n v="1400"/>
    <x v="0"/>
  </r>
  <r>
    <x v="0"/>
    <x v="6"/>
    <x v="1"/>
    <s v="Offices"/>
    <n v="122"/>
    <n v="100"/>
    <n v="112"/>
    <n v="20"/>
    <x v="0"/>
  </r>
  <r>
    <x v="0"/>
    <x v="6"/>
    <x v="4"/>
    <s v="Facebook Page"/>
    <n v="78"/>
    <n v="4577.2"/>
    <n v="5126.4639999999999"/>
    <n v="915.44"/>
    <x v="0"/>
  </r>
  <r>
    <x v="0"/>
    <x v="6"/>
    <x v="4"/>
    <s v="Google Ad"/>
    <n v="76"/>
    <n v="4576.8999999999996"/>
    <n v="5126.1279999999997"/>
    <n v="915.38"/>
    <x v="0"/>
  </r>
  <r>
    <x v="0"/>
    <x v="6"/>
    <x v="4"/>
    <s v="Company Website"/>
    <n v="46"/>
    <n v="200"/>
    <n v="224"/>
    <n v="40"/>
    <x v="0"/>
  </r>
  <r>
    <x v="0"/>
    <x v="6"/>
    <x v="4"/>
    <s v="Youtube Channel"/>
    <n v="34"/>
    <n v="4576.8"/>
    <n v="5126.0160000000005"/>
    <n v="915.36000000000013"/>
    <x v="0"/>
  </r>
  <r>
    <x v="0"/>
    <x v="6"/>
    <x v="1"/>
    <s v="Lands"/>
    <n v="7"/>
    <n v="200"/>
    <n v="224"/>
    <n v="40"/>
    <x v="0"/>
  </r>
  <r>
    <x v="0"/>
    <x v="6"/>
    <x v="4"/>
    <s v="Television Ad"/>
    <n v="3"/>
    <n v="4577.3"/>
    <n v="5126.576"/>
    <n v="915.46"/>
    <x v="0"/>
  </r>
  <r>
    <x v="0"/>
    <x v="6"/>
    <x v="5"/>
    <s v="Asset sale"/>
    <n v="2"/>
    <n v="6600"/>
    <n v="7392"/>
    <n v="1320"/>
    <x v="0"/>
  </r>
  <r>
    <x v="0"/>
    <x v="7"/>
    <x v="0"/>
    <s v="Software Metered License"/>
    <n v="3566"/>
    <n v="4577.3"/>
    <n v="5126.576"/>
    <n v="915.46"/>
    <x v="0"/>
  </r>
  <r>
    <x v="0"/>
    <x v="7"/>
    <x v="0"/>
    <s v="Floating License"/>
    <n v="2498"/>
    <n v="8000"/>
    <n v="8960"/>
    <n v="1600"/>
    <x v="1"/>
  </r>
  <r>
    <x v="0"/>
    <x v="7"/>
    <x v="1"/>
    <s v="Equipments"/>
    <n v="1245"/>
    <n v="4577.2"/>
    <n v="5126.4639999999999"/>
    <n v="915.44"/>
    <x v="1"/>
  </r>
  <r>
    <x v="0"/>
    <x v="7"/>
    <x v="2"/>
    <s v="Prime"/>
    <n v="644"/>
    <n v="5743.5"/>
    <n v="6432.72"/>
    <n v="1148.7"/>
    <x v="1"/>
  </r>
  <r>
    <x v="0"/>
    <x v="7"/>
    <x v="3"/>
    <s v="Renewal"/>
    <n v="643"/>
    <n v="7000"/>
    <n v="7840"/>
    <n v="1400"/>
    <x v="1"/>
  </r>
  <r>
    <x v="0"/>
    <x v="7"/>
    <x v="2"/>
    <s v="Premium"/>
    <n v="455"/>
    <n v="4578.6000000000004"/>
    <n v="5128.0320000000002"/>
    <n v="915.72000000000014"/>
    <x v="1"/>
  </r>
  <r>
    <x v="0"/>
    <x v="7"/>
    <x v="3"/>
    <s v="New "/>
    <n v="345"/>
    <n v="7000"/>
    <n v="7840"/>
    <n v="1400"/>
    <x v="1"/>
  </r>
  <r>
    <x v="0"/>
    <x v="7"/>
    <x v="1"/>
    <s v="Offices"/>
    <n v="122"/>
    <n v="100"/>
    <n v="112"/>
    <n v="20"/>
    <x v="1"/>
  </r>
  <r>
    <x v="0"/>
    <x v="7"/>
    <x v="4"/>
    <s v="Facebook Page"/>
    <n v="78"/>
    <n v="4577.2"/>
    <n v="5126.4639999999999"/>
    <n v="915.44"/>
    <x v="1"/>
  </r>
  <r>
    <x v="0"/>
    <x v="7"/>
    <x v="4"/>
    <s v="Google Ad"/>
    <n v="76"/>
    <n v="4576.8999999999996"/>
    <n v="5126.1279999999997"/>
    <n v="915.38"/>
    <x v="1"/>
  </r>
  <r>
    <x v="0"/>
    <x v="7"/>
    <x v="4"/>
    <s v="Company Website"/>
    <n v="46"/>
    <n v="200"/>
    <n v="224"/>
    <n v="40"/>
    <x v="1"/>
  </r>
  <r>
    <x v="0"/>
    <x v="7"/>
    <x v="4"/>
    <s v="Youtube Channel"/>
    <n v="34"/>
    <n v="4576.8"/>
    <n v="5126.0160000000005"/>
    <n v="915.36000000000013"/>
    <x v="1"/>
  </r>
  <r>
    <x v="0"/>
    <x v="7"/>
    <x v="1"/>
    <s v="Lands"/>
    <n v="7"/>
    <n v="200"/>
    <n v="224"/>
    <n v="40"/>
    <x v="1"/>
  </r>
  <r>
    <x v="0"/>
    <x v="7"/>
    <x v="4"/>
    <s v="Television Ad"/>
    <n v="3"/>
    <n v="4577.3"/>
    <n v="5126.576"/>
    <n v="915.46"/>
    <x v="1"/>
  </r>
  <r>
    <x v="0"/>
    <x v="7"/>
    <x v="5"/>
    <s v="Asset sale"/>
    <n v="2"/>
    <n v="6600"/>
    <n v="7392"/>
    <n v="1320"/>
    <x v="1"/>
  </r>
  <r>
    <x v="0"/>
    <x v="8"/>
    <x v="0"/>
    <s v="Software Metered License"/>
    <n v="3566"/>
    <n v="4577.3"/>
    <n v="5126.576"/>
    <n v="915.46"/>
    <x v="1"/>
  </r>
  <r>
    <x v="0"/>
    <x v="8"/>
    <x v="0"/>
    <s v="Floating License"/>
    <n v="2498"/>
    <n v="8000"/>
    <n v="8960"/>
    <n v="1600"/>
    <x v="1"/>
  </r>
  <r>
    <x v="0"/>
    <x v="8"/>
    <x v="1"/>
    <s v="Equipments"/>
    <n v="1245"/>
    <n v="4577.2"/>
    <n v="5126.4639999999999"/>
    <n v="915.44"/>
    <x v="1"/>
  </r>
  <r>
    <x v="0"/>
    <x v="8"/>
    <x v="2"/>
    <s v="Prime"/>
    <n v="644"/>
    <n v="5743.5"/>
    <n v="6432.72"/>
    <n v="1148.7"/>
    <x v="1"/>
  </r>
  <r>
    <x v="0"/>
    <x v="8"/>
    <x v="3"/>
    <s v="Renewal"/>
    <n v="643"/>
    <n v="7000"/>
    <n v="7840"/>
    <n v="1400"/>
    <x v="1"/>
  </r>
  <r>
    <x v="0"/>
    <x v="8"/>
    <x v="2"/>
    <s v="Premium"/>
    <n v="455"/>
    <n v="4578.6000000000004"/>
    <n v="5128.0320000000002"/>
    <n v="915.72000000000014"/>
    <x v="1"/>
  </r>
  <r>
    <x v="0"/>
    <x v="8"/>
    <x v="3"/>
    <s v="New "/>
    <n v="345"/>
    <n v="7000"/>
    <n v="7840"/>
    <n v="1400"/>
    <x v="1"/>
  </r>
  <r>
    <x v="0"/>
    <x v="8"/>
    <x v="1"/>
    <s v="Offices"/>
    <n v="122"/>
    <n v="100"/>
    <n v="112"/>
    <n v="20"/>
    <x v="1"/>
  </r>
  <r>
    <x v="0"/>
    <x v="8"/>
    <x v="4"/>
    <s v="Facebook Page"/>
    <n v="78"/>
    <n v="4577.2"/>
    <n v="5126.4639999999999"/>
    <n v="915.44"/>
    <x v="1"/>
  </r>
  <r>
    <x v="0"/>
    <x v="8"/>
    <x v="4"/>
    <s v="Google Ad"/>
    <n v="76"/>
    <n v="4576.8999999999996"/>
    <n v="5126.1279999999997"/>
    <n v="915.38"/>
    <x v="1"/>
  </r>
  <r>
    <x v="0"/>
    <x v="8"/>
    <x v="4"/>
    <s v="Company Website"/>
    <n v="46"/>
    <n v="200"/>
    <n v="224"/>
    <n v="40"/>
    <x v="1"/>
  </r>
  <r>
    <x v="0"/>
    <x v="8"/>
    <x v="4"/>
    <s v="Youtube Channel"/>
    <n v="34"/>
    <n v="4576.8"/>
    <n v="5126.0160000000005"/>
    <n v="915.36000000000013"/>
    <x v="0"/>
  </r>
  <r>
    <x v="0"/>
    <x v="8"/>
    <x v="1"/>
    <s v="Lands"/>
    <n v="7"/>
    <n v="200"/>
    <n v="224"/>
    <n v="40"/>
    <x v="0"/>
  </r>
  <r>
    <x v="0"/>
    <x v="8"/>
    <x v="4"/>
    <s v="Television Ad"/>
    <n v="3"/>
    <n v="4577.3"/>
    <n v="5126.576"/>
    <n v="915.46"/>
    <x v="0"/>
  </r>
  <r>
    <x v="0"/>
    <x v="8"/>
    <x v="5"/>
    <s v="Asset sale"/>
    <n v="2"/>
    <n v="6600"/>
    <n v="7392"/>
    <n v="1320"/>
    <x v="0"/>
  </r>
  <r>
    <x v="0"/>
    <x v="9"/>
    <x v="0"/>
    <s v="Software Metered License"/>
    <n v="3566"/>
    <n v="4577.3"/>
    <n v="5126.576"/>
    <n v="915.46"/>
    <x v="0"/>
  </r>
  <r>
    <x v="0"/>
    <x v="9"/>
    <x v="0"/>
    <s v="Floating License"/>
    <n v="2498"/>
    <n v="8000"/>
    <n v="8960"/>
    <n v="1600"/>
    <x v="0"/>
  </r>
  <r>
    <x v="0"/>
    <x v="9"/>
    <x v="1"/>
    <s v="Equipments"/>
    <n v="1245"/>
    <n v="4577.2"/>
    <n v="5126.4639999999999"/>
    <n v="915.44"/>
    <x v="0"/>
  </r>
  <r>
    <x v="0"/>
    <x v="9"/>
    <x v="2"/>
    <s v="Prime"/>
    <n v="644"/>
    <n v="5743.5"/>
    <n v="6432.72"/>
    <n v="1148.7"/>
    <x v="0"/>
  </r>
  <r>
    <x v="0"/>
    <x v="9"/>
    <x v="3"/>
    <s v="Renewal"/>
    <n v="643"/>
    <n v="7000"/>
    <n v="7840"/>
    <n v="1400"/>
    <x v="0"/>
  </r>
  <r>
    <x v="0"/>
    <x v="9"/>
    <x v="2"/>
    <s v="Premium"/>
    <n v="455"/>
    <n v="4578.6000000000004"/>
    <n v="5128.0320000000002"/>
    <n v="915.72000000000014"/>
    <x v="0"/>
  </r>
  <r>
    <x v="0"/>
    <x v="9"/>
    <x v="3"/>
    <s v="New "/>
    <n v="345"/>
    <n v="7000"/>
    <n v="7840"/>
    <n v="1400"/>
    <x v="0"/>
  </r>
  <r>
    <x v="0"/>
    <x v="9"/>
    <x v="1"/>
    <s v="Offices"/>
    <n v="122"/>
    <n v="100"/>
    <n v="112"/>
    <n v="20"/>
    <x v="0"/>
  </r>
  <r>
    <x v="0"/>
    <x v="9"/>
    <x v="4"/>
    <s v="Facebook Page"/>
    <n v="78"/>
    <n v="4577.2"/>
    <n v="5126.4639999999999"/>
    <n v="915.44"/>
    <x v="0"/>
  </r>
  <r>
    <x v="0"/>
    <x v="9"/>
    <x v="4"/>
    <s v="Google Ad"/>
    <n v="76"/>
    <n v="4576.8999999999996"/>
    <n v="5126.1279999999997"/>
    <n v="915.38"/>
    <x v="0"/>
  </r>
  <r>
    <x v="0"/>
    <x v="9"/>
    <x v="4"/>
    <s v="Company Website"/>
    <n v="46"/>
    <n v="200"/>
    <n v="224"/>
    <n v="40"/>
    <x v="0"/>
  </r>
  <r>
    <x v="0"/>
    <x v="9"/>
    <x v="4"/>
    <s v="Youtube Channel"/>
    <n v="34"/>
    <n v="4576.8"/>
    <n v="5126.0160000000005"/>
    <n v="915.36000000000013"/>
    <x v="0"/>
  </r>
  <r>
    <x v="0"/>
    <x v="9"/>
    <x v="1"/>
    <s v="Lands"/>
    <n v="7"/>
    <n v="200"/>
    <n v="224"/>
    <n v="40"/>
    <x v="0"/>
  </r>
  <r>
    <x v="0"/>
    <x v="9"/>
    <x v="4"/>
    <s v="Television Ad"/>
    <n v="3"/>
    <n v="4577.3"/>
    <n v="5126.576"/>
    <n v="915.46"/>
    <x v="1"/>
  </r>
  <r>
    <x v="0"/>
    <x v="9"/>
    <x v="5"/>
    <s v="Asset sale"/>
    <n v="2"/>
    <n v="6600"/>
    <n v="7392"/>
    <n v="1320"/>
    <x v="1"/>
  </r>
  <r>
    <x v="0"/>
    <x v="10"/>
    <x v="0"/>
    <s v="Software Metered License"/>
    <n v="3566"/>
    <n v="4577.3"/>
    <n v="5126.576"/>
    <n v="915.46"/>
    <x v="1"/>
  </r>
  <r>
    <x v="0"/>
    <x v="10"/>
    <x v="0"/>
    <s v="Floating License"/>
    <n v="2498"/>
    <n v="8000"/>
    <n v="8960"/>
    <n v="1600"/>
    <x v="1"/>
  </r>
  <r>
    <x v="0"/>
    <x v="10"/>
    <x v="1"/>
    <s v="Equipments"/>
    <n v="1245"/>
    <n v="4577.2"/>
    <n v="5126.4639999999999"/>
    <n v="915.44"/>
    <x v="1"/>
  </r>
  <r>
    <x v="0"/>
    <x v="10"/>
    <x v="2"/>
    <s v="Prime"/>
    <n v="644"/>
    <n v="5743.5"/>
    <n v="6432.72"/>
    <n v="1148.7"/>
    <x v="1"/>
  </r>
  <r>
    <x v="0"/>
    <x v="10"/>
    <x v="3"/>
    <s v="Renewal"/>
    <n v="643"/>
    <n v="7000"/>
    <n v="7840"/>
    <n v="1400"/>
    <x v="1"/>
  </r>
  <r>
    <x v="0"/>
    <x v="10"/>
    <x v="2"/>
    <s v="Premium"/>
    <n v="455"/>
    <n v="4578.6000000000004"/>
    <n v="5128.0320000000002"/>
    <n v="915.72000000000014"/>
    <x v="1"/>
  </r>
  <r>
    <x v="0"/>
    <x v="10"/>
    <x v="3"/>
    <s v="New "/>
    <n v="345"/>
    <n v="7000"/>
    <n v="7840"/>
    <n v="1400"/>
    <x v="1"/>
  </r>
  <r>
    <x v="0"/>
    <x v="10"/>
    <x v="1"/>
    <s v="Offices"/>
    <n v="122"/>
    <n v="100"/>
    <n v="112"/>
    <n v="20"/>
    <x v="1"/>
  </r>
  <r>
    <x v="0"/>
    <x v="10"/>
    <x v="4"/>
    <s v="Facebook Page"/>
    <n v="78"/>
    <n v="4577.2"/>
    <n v="5126.4639999999999"/>
    <n v="915.44"/>
    <x v="1"/>
  </r>
  <r>
    <x v="0"/>
    <x v="10"/>
    <x v="4"/>
    <s v="Google Ad"/>
    <n v="76"/>
    <n v="4576.8999999999996"/>
    <n v="5126.1279999999997"/>
    <n v="915.38"/>
    <x v="1"/>
  </r>
  <r>
    <x v="0"/>
    <x v="10"/>
    <x v="4"/>
    <s v="Company Website"/>
    <n v="46"/>
    <n v="200"/>
    <n v="224"/>
    <n v="40"/>
    <x v="1"/>
  </r>
  <r>
    <x v="0"/>
    <x v="10"/>
    <x v="4"/>
    <s v="Youtube Channel"/>
    <n v="34"/>
    <n v="4576.8"/>
    <n v="5126.0160000000005"/>
    <n v="915.36000000000013"/>
    <x v="1"/>
  </r>
  <r>
    <x v="0"/>
    <x v="10"/>
    <x v="1"/>
    <s v="Lands"/>
    <n v="7"/>
    <n v="200"/>
    <n v="224"/>
    <n v="40"/>
    <x v="1"/>
  </r>
  <r>
    <x v="0"/>
    <x v="10"/>
    <x v="4"/>
    <s v="Television Ad"/>
    <n v="3"/>
    <n v="4577.3"/>
    <n v="5126.576"/>
    <n v="915.46"/>
    <x v="1"/>
  </r>
  <r>
    <x v="0"/>
    <x v="10"/>
    <x v="5"/>
    <s v="Asset sale"/>
    <n v="2"/>
    <n v="6600"/>
    <n v="7392"/>
    <n v="1320"/>
    <x v="0"/>
  </r>
  <r>
    <x v="0"/>
    <x v="11"/>
    <x v="0"/>
    <s v="Software Metered License"/>
    <n v="3566"/>
    <n v="4577.3"/>
    <n v="5126.576"/>
    <n v="915.46"/>
    <x v="0"/>
  </r>
  <r>
    <x v="0"/>
    <x v="11"/>
    <x v="0"/>
    <s v="Floating License"/>
    <n v="2498"/>
    <n v="8000"/>
    <n v="8960"/>
    <n v="1600"/>
    <x v="0"/>
  </r>
  <r>
    <x v="0"/>
    <x v="11"/>
    <x v="1"/>
    <s v="Equipments"/>
    <n v="1245"/>
    <n v="4577.2"/>
    <n v="5126.4639999999999"/>
    <n v="915.44"/>
    <x v="0"/>
  </r>
  <r>
    <x v="0"/>
    <x v="11"/>
    <x v="2"/>
    <s v="Prime"/>
    <n v="644"/>
    <n v="5743.5"/>
    <n v="6432.72"/>
    <n v="1148.7"/>
    <x v="0"/>
  </r>
  <r>
    <x v="0"/>
    <x v="11"/>
    <x v="3"/>
    <s v="Renewal"/>
    <n v="643"/>
    <n v="7000"/>
    <n v="7840"/>
    <n v="1400"/>
    <x v="1"/>
  </r>
  <r>
    <x v="0"/>
    <x v="11"/>
    <x v="2"/>
    <s v="Premium"/>
    <n v="455"/>
    <n v="4578.6000000000004"/>
    <n v="5128.0320000000002"/>
    <n v="915.72000000000014"/>
    <x v="1"/>
  </r>
  <r>
    <x v="0"/>
    <x v="11"/>
    <x v="3"/>
    <s v="New "/>
    <n v="345"/>
    <n v="7000"/>
    <n v="7840"/>
    <n v="1400"/>
    <x v="1"/>
  </r>
  <r>
    <x v="0"/>
    <x v="11"/>
    <x v="1"/>
    <s v="Offices"/>
    <n v="122"/>
    <n v="100"/>
    <n v="112"/>
    <n v="20"/>
    <x v="1"/>
  </r>
  <r>
    <x v="0"/>
    <x v="11"/>
    <x v="4"/>
    <s v="Facebook Page"/>
    <n v="78"/>
    <n v="4577.2"/>
    <n v="5126.4639999999999"/>
    <n v="915.44"/>
    <x v="1"/>
  </r>
  <r>
    <x v="0"/>
    <x v="11"/>
    <x v="4"/>
    <s v="Google Ad"/>
    <n v="76"/>
    <n v="4576.8999999999996"/>
    <n v="5126.1279999999997"/>
    <n v="915.38"/>
    <x v="1"/>
  </r>
  <r>
    <x v="0"/>
    <x v="11"/>
    <x v="4"/>
    <s v="Company Website"/>
    <n v="46"/>
    <n v="200"/>
    <n v="224"/>
    <n v="40"/>
    <x v="1"/>
  </r>
  <r>
    <x v="0"/>
    <x v="11"/>
    <x v="4"/>
    <s v="Youtube Channel"/>
    <n v="34"/>
    <n v="4576.8"/>
    <n v="5126.0160000000005"/>
    <n v="915.36000000000013"/>
    <x v="1"/>
  </r>
  <r>
    <x v="0"/>
    <x v="11"/>
    <x v="1"/>
    <s v="Lands"/>
    <n v="7"/>
    <n v="200"/>
    <n v="224"/>
    <n v="40"/>
    <x v="1"/>
  </r>
  <r>
    <x v="0"/>
    <x v="11"/>
    <x v="4"/>
    <s v="Television Ad"/>
    <n v="3"/>
    <n v="4577.3"/>
    <n v="5126.576"/>
    <n v="915.46"/>
    <x v="0"/>
  </r>
  <r>
    <x v="0"/>
    <x v="11"/>
    <x v="5"/>
    <s v="Asset sale"/>
    <n v="2"/>
    <n v="6600"/>
    <n v="7392"/>
    <n v="1320"/>
    <x v="1"/>
  </r>
  <r>
    <x v="1"/>
    <x v="0"/>
    <x v="0"/>
    <s v="Software Metered License"/>
    <n v="6591.1679999999997"/>
    <n v="4577.3"/>
    <n v="5126.576"/>
    <n v="915.46"/>
    <x v="0"/>
  </r>
  <r>
    <x v="1"/>
    <x v="0"/>
    <x v="0"/>
    <s v="Floating License"/>
    <n v="8270.64"/>
    <n v="8800"/>
    <n v="8960"/>
    <n v="1760"/>
    <x v="0"/>
  </r>
  <r>
    <x v="1"/>
    <x v="0"/>
    <x v="1"/>
    <s v="Equipments"/>
    <n v="8470"/>
    <n v="5034.92"/>
    <n v="5126.4639999999999"/>
    <n v="1006.984"/>
    <x v="0"/>
  </r>
  <r>
    <x v="1"/>
    <x v="0"/>
    <x v="2"/>
    <s v="Prime"/>
    <n v="6055.1985000000004"/>
    <n v="6317.85"/>
    <n v="6432.72"/>
    <n v="1263.5700000000002"/>
    <x v="0"/>
  </r>
  <r>
    <x v="1"/>
    <x v="0"/>
    <x v="3"/>
    <s v="Renewal"/>
    <n v="10368.4"/>
    <n v="7700"/>
    <n v="7840"/>
    <n v="1540"/>
    <x v="0"/>
  </r>
  <r>
    <x v="1"/>
    <x v="0"/>
    <x v="2"/>
    <s v="Premium"/>
    <n v="3101.2624999999998"/>
    <n v="5036.46"/>
    <n v="5128.0320000000002"/>
    <n v="1007.292"/>
    <x v="0"/>
  </r>
  <r>
    <x v="1"/>
    <x v="0"/>
    <x v="3"/>
    <s v="New "/>
    <n v="6591.1679999999997"/>
    <n v="7700"/>
    <n v="7840"/>
    <n v="1540"/>
    <x v="0"/>
  </r>
  <r>
    <x v="1"/>
    <x v="0"/>
    <x v="1"/>
    <s v="Offices"/>
    <n v="6590.7359999999999"/>
    <n v="110"/>
    <n v="112"/>
    <n v="22"/>
    <x v="0"/>
  </r>
  <r>
    <x v="1"/>
    <x v="0"/>
    <x v="4"/>
    <s v="Facebook Page"/>
    <n v="288"/>
    <n v="5034.92"/>
    <n v="5126.4639999999999"/>
    <n v="1006.984"/>
    <x v="0"/>
  </r>
  <r>
    <x v="1"/>
    <x v="0"/>
    <x v="4"/>
    <s v="Google Ad"/>
    <n v="6590.5919999999996"/>
    <n v="4576.8999999999996"/>
    <n v="5126.1279999999997"/>
    <n v="915.38"/>
    <x v="0"/>
  </r>
  <r>
    <x v="1"/>
    <x v="0"/>
    <x v="4"/>
    <s v="Company Website"/>
    <n v="4032.9300000000003"/>
    <n v="200"/>
    <n v="224"/>
    <n v="40"/>
    <x v="0"/>
  </r>
  <r>
    <x v="1"/>
    <x v="0"/>
    <x v="4"/>
    <s v="Youtube Channel"/>
    <n v="7986"/>
    <n v="4576.8"/>
    <n v="5126.0160000000005"/>
    <n v="915.36000000000013"/>
    <x v="0"/>
  </r>
  <r>
    <x v="1"/>
    <x v="0"/>
    <x v="1"/>
    <s v="Lands"/>
    <n v="5538.5330000000004"/>
    <n v="200"/>
    <n v="224"/>
    <n v="40"/>
    <x v="0"/>
  </r>
  <r>
    <x v="1"/>
    <x v="0"/>
    <x v="5"/>
    <s v="Asset sale"/>
    <n v="3"/>
    <n v="6600"/>
    <n v="7392"/>
    <n v="1320"/>
    <x v="0"/>
  </r>
  <r>
    <x v="1"/>
    <x v="0"/>
    <x v="4"/>
    <s v="Television Ad"/>
    <n v="3"/>
    <n v="4577.3"/>
    <n v="5126.576"/>
    <n v="915.46"/>
    <x v="0"/>
  </r>
  <r>
    <x v="1"/>
    <x v="1"/>
    <x v="0"/>
    <s v="Software Metered License"/>
    <n v="3566"/>
    <n v="4577.3"/>
    <n v="5126.576"/>
    <n v="915.46"/>
    <x v="0"/>
  </r>
  <r>
    <x v="1"/>
    <x v="1"/>
    <x v="0"/>
    <s v="Floating License"/>
    <n v="2498"/>
    <n v="8000"/>
    <n v="8960"/>
    <n v="1600"/>
    <x v="0"/>
  </r>
  <r>
    <x v="1"/>
    <x v="1"/>
    <x v="1"/>
    <s v="Equipments"/>
    <n v="1245"/>
    <n v="4577.2"/>
    <n v="5126.4639999999999"/>
    <n v="915.44"/>
    <x v="0"/>
  </r>
  <r>
    <x v="1"/>
    <x v="1"/>
    <x v="2"/>
    <s v="Prime"/>
    <n v="644"/>
    <n v="5743.5"/>
    <n v="6432.72"/>
    <n v="1148.7"/>
    <x v="0"/>
  </r>
  <r>
    <x v="1"/>
    <x v="1"/>
    <x v="3"/>
    <s v="Renewal"/>
    <n v="643"/>
    <n v="7000"/>
    <n v="7840"/>
    <n v="1400"/>
    <x v="0"/>
  </r>
  <r>
    <x v="1"/>
    <x v="1"/>
    <x v="2"/>
    <s v="Premium"/>
    <n v="455"/>
    <n v="4578.6000000000004"/>
    <n v="5128.0320000000002"/>
    <n v="915.72000000000014"/>
    <x v="0"/>
  </r>
  <r>
    <x v="1"/>
    <x v="1"/>
    <x v="3"/>
    <s v="New "/>
    <n v="345"/>
    <n v="7000"/>
    <n v="7840"/>
    <n v="1400"/>
    <x v="0"/>
  </r>
  <r>
    <x v="1"/>
    <x v="1"/>
    <x v="1"/>
    <s v="Offices"/>
    <n v="122"/>
    <n v="100"/>
    <n v="112"/>
    <n v="20"/>
    <x v="0"/>
  </r>
  <r>
    <x v="1"/>
    <x v="1"/>
    <x v="4"/>
    <s v="Facebook Page"/>
    <n v="78"/>
    <n v="4577.2"/>
    <n v="5126.4639999999999"/>
    <n v="915.44"/>
    <x v="0"/>
  </r>
  <r>
    <x v="1"/>
    <x v="1"/>
    <x v="4"/>
    <s v="Google Ad"/>
    <n v="240"/>
    <n v="4576.8999999999996"/>
    <n v="5126.1279999999997"/>
    <n v="915.38"/>
    <x v="0"/>
  </r>
  <r>
    <x v="1"/>
    <x v="1"/>
    <x v="4"/>
    <s v="Company Website"/>
    <n v="5492.16"/>
    <n v="200"/>
    <n v="224"/>
    <n v="40"/>
    <x v="0"/>
  </r>
  <r>
    <x v="1"/>
    <x v="1"/>
    <x v="4"/>
    <s v="Youtube Channel"/>
    <n v="240"/>
    <n v="4576.8"/>
    <n v="5126.0160000000005"/>
    <n v="915.36000000000013"/>
    <x v="0"/>
  </r>
  <r>
    <x v="1"/>
    <x v="1"/>
    <x v="1"/>
    <s v="Lands"/>
    <n v="5492.76"/>
    <n v="200"/>
    <n v="224"/>
    <n v="40"/>
    <x v="0"/>
  </r>
  <r>
    <x v="1"/>
    <x v="1"/>
    <x v="4"/>
    <s v="Television Ad"/>
    <n v="7920"/>
    <n v="4577.3"/>
    <n v="5126.576"/>
    <n v="915.46"/>
    <x v="0"/>
  </r>
  <r>
    <x v="1"/>
    <x v="1"/>
    <x v="5"/>
    <s v="Asset sale"/>
    <n v="5492.76"/>
    <n v="6600"/>
    <n v="7392"/>
    <n v="1320"/>
    <x v="0"/>
  </r>
  <r>
    <x v="1"/>
    <x v="2"/>
    <x v="0"/>
    <s v="Software Metered License"/>
    <n v="9600"/>
    <n v="4577.3"/>
    <n v="5126.576"/>
    <n v="915.46"/>
    <x v="0"/>
  </r>
  <r>
    <x v="1"/>
    <x v="2"/>
    <x v="0"/>
    <s v="Floating License"/>
    <n v="5492.6399999999994"/>
    <n v="8000"/>
    <n v="8960"/>
    <n v="1600"/>
    <x v="0"/>
  </r>
  <r>
    <x v="1"/>
    <x v="2"/>
    <x v="1"/>
    <s v="Equipments"/>
    <n v="6892.2"/>
    <n v="4577.2"/>
    <n v="5126.4639999999999"/>
    <n v="915.44"/>
    <x v="0"/>
  </r>
  <r>
    <x v="1"/>
    <x v="2"/>
    <x v="2"/>
    <s v="Prime"/>
    <n v="644"/>
    <n v="5743.5"/>
    <n v="6432.72"/>
    <n v="1148.7"/>
    <x v="0"/>
  </r>
  <r>
    <x v="1"/>
    <x v="2"/>
    <x v="3"/>
    <s v="Renewal"/>
    <n v="643"/>
    <n v="7000"/>
    <n v="7840"/>
    <n v="1400"/>
    <x v="0"/>
  </r>
  <r>
    <x v="1"/>
    <x v="2"/>
    <x v="2"/>
    <s v="Premium"/>
    <n v="455"/>
    <n v="4578.6000000000004"/>
    <n v="5128.0320000000002"/>
    <n v="915.72000000000014"/>
    <x v="0"/>
  </r>
  <r>
    <x v="1"/>
    <x v="2"/>
    <x v="3"/>
    <s v="New "/>
    <n v="345"/>
    <n v="7000"/>
    <n v="7840"/>
    <n v="1400"/>
    <x v="0"/>
  </r>
  <r>
    <x v="1"/>
    <x v="2"/>
    <x v="1"/>
    <s v="Offices"/>
    <n v="122"/>
    <n v="100"/>
    <n v="112"/>
    <n v="20"/>
    <x v="0"/>
  </r>
  <r>
    <x v="1"/>
    <x v="2"/>
    <x v="4"/>
    <s v="Facebook Page"/>
    <n v="78"/>
    <n v="4577.2"/>
    <n v="5126.4639999999999"/>
    <n v="915.44"/>
    <x v="0"/>
  </r>
  <r>
    <x v="1"/>
    <x v="2"/>
    <x v="4"/>
    <s v="Google Ad"/>
    <n v="76"/>
    <n v="4576.8999999999996"/>
    <n v="5126.1279999999997"/>
    <n v="915.38"/>
    <x v="0"/>
  </r>
  <r>
    <x v="1"/>
    <x v="2"/>
    <x v="4"/>
    <s v="Company Website"/>
    <n v="46"/>
    <n v="200"/>
    <n v="224"/>
    <n v="40"/>
    <x v="0"/>
  </r>
  <r>
    <x v="1"/>
    <x v="2"/>
    <x v="4"/>
    <s v="Youtube Channel"/>
    <n v="34"/>
    <n v="4576.8"/>
    <n v="5126.0160000000005"/>
    <n v="915.36000000000013"/>
    <x v="0"/>
  </r>
  <r>
    <x v="1"/>
    <x v="2"/>
    <x v="1"/>
    <s v="Lands"/>
    <n v="7"/>
    <n v="200"/>
    <n v="224"/>
    <n v="40"/>
    <x v="0"/>
  </r>
  <r>
    <x v="1"/>
    <x v="2"/>
    <x v="4"/>
    <s v="Television Ad"/>
    <n v="3"/>
    <n v="4577.3"/>
    <n v="5126.576"/>
    <n v="915.46"/>
    <x v="0"/>
  </r>
  <r>
    <x v="1"/>
    <x v="2"/>
    <x v="5"/>
    <s v="Asset sale"/>
    <n v="2"/>
    <n v="6600"/>
    <n v="7392"/>
    <n v="1320"/>
    <x v="0"/>
  </r>
  <r>
    <x v="1"/>
    <x v="3"/>
    <x v="0"/>
    <s v="Software Metered License"/>
    <n v="3566"/>
    <n v="4577.3"/>
    <n v="5126.576"/>
    <n v="915.46"/>
    <x v="0"/>
  </r>
  <r>
    <x v="1"/>
    <x v="3"/>
    <x v="0"/>
    <s v="Floating License"/>
    <n v="2498"/>
    <n v="8000"/>
    <n v="8960"/>
    <n v="1600"/>
    <x v="0"/>
  </r>
  <r>
    <x v="1"/>
    <x v="3"/>
    <x v="1"/>
    <s v="Equipments"/>
    <n v="1245"/>
    <n v="4577.2"/>
    <n v="5126.4639999999999"/>
    <n v="915.44"/>
    <x v="0"/>
  </r>
  <r>
    <x v="1"/>
    <x v="3"/>
    <x v="2"/>
    <s v="Prime"/>
    <n v="644"/>
    <n v="5743.5"/>
    <n v="6432.72"/>
    <n v="1148.7"/>
    <x v="0"/>
  </r>
  <r>
    <x v="1"/>
    <x v="3"/>
    <x v="3"/>
    <s v="Renewal"/>
    <n v="643"/>
    <n v="7000"/>
    <n v="7840"/>
    <n v="1400"/>
    <x v="0"/>
  </r>
  <r>
    <x v="1"/>
    <x v="3"/>
    <x v="2"/>
    <s v="Premium"/>
    <n v="455"/>
    <n v="4578.6000000000004"/>
    <n v="5128.0320000000002"/>
    <n v="915.72000000000014"/>
    <x v="0"/>
  </r>
  <r>
    <x v="1"/>
    <x v="3"/>
    <x v="3"/>
    <s v="New "/>
    <n v="345"/>
    <n v="7000"/>
    <n v="7840"/>
    <n v="1400"/>
    <x v="0"/>
  </r>
  <r>
    <x v="1"/>
    <x v="3"/>
    <x v="1"/>
    <s v="Offices"/>
    <n v="122"/>
    <n v="100"/>
    <n v="112"/>
    <n v="20"/>
    <x v="0"/>
  </r>
  <r>
    <x v="1"/>
    <x v="3"/>
    <x v="4"/>
    <s v="Facebook Page"/>
    <n v="78"/>
    <n v="4577.2"/>
    <n v="5126.4639999999999"/>
    <n v="915.44"/>
    <x v="0"/>
  </r>
  <r>
    <x v="1"/>
    <x v="3"/>
    <x v="4"/>
    <s v="Google Ad"/>
    <n v="76"/>
    <n v="4576.8999999999996"/>
    <n v="5126.1279999999997"/>
    <n v="915.38"/>
    <x v="0"/>
  </r>
  <r>
    <x v="1"/>
    <x v="3"/>
    <x v="4"/>
    <s v="Company Website"/>
    <n v="46"/>
    <n v="200"/>
    <n v="224"/>
    <n v="40"/>
    <x v="0"/>
  </r>
  <r>
    <x v="1"/>
    <x v="3"/>
    <x v="4"/>
    <s v="Youtube Channel"/>
    <n v="34"/>
    <n v="4576.8"/>
    <n v="5126.0160000000005"/>
    <n v="915.36000000000013"/>
    <x v="0"/>
  </r>
  <r>
    <x v="1"/>
    <x v="3"/>
    <x v="1"/>
    <s v="Lands"/>
    <n v="7"/>
    <n v="200"/>
    <n v="224"/>
    <n v="40"/>
    <x v="0"/>
  </r>
  <r>
    <x v="1"/>
    <x v="3"/>
    <x v="4"/>
    <s v="Television Ad"/>
    <n v="3"/>
    <n v="4577.3"/>
    <n v="5126.576"/>
    <n v="915.46"/>
    <x v="0"/>
  </r>
  <r>
    <x v="1"/>
    <x v="3"/>
    <x v="5"/>
    <s v="Asset sale"/>
    <n v="2"/>
    <n v="7920"/>
    <n v="10296"/>
    <n v="1584"/>
    <x v="0"/>
  </r>
  <r>
    <x v="1"/>
    <x v="4"/>
    <x v="0"/>
    <s v="Software Metered License"/>
    <n v="3566"/>
    <n v="5492.76"/>
    <n v="7140.5879999999997"/>
    <n v="1098.5520000000001"/>
    <x v="0"/>
  </r>
  <r>
    <x v="1"/>
    <x v="4"/>
    <x v="0"/>
    <s v="Floating License"/>
    <n v="2498"/>
    <n v="9600"/>
    <n v="12480"/>
    <n v="1920"/>
    <x v="0"/>
  </r>
  <r>
    <x v="1"/>
    <x v="4"/>
    <x v="1"/>
    <s v="Equipments"/>
    <n v="1245"/>
    <n v="5492.6399999999994"/>
    <n v="7140.4319999999989"/>
    <n v="1098.528"/>
    <x v="0"/>
  </r>
  <r>
    <x v="1"/>
    <x v="4"/>
    <x v="2"/>
    <s v="Prime"/>
    <n v="644"/>
    <n v="6892.2"/>
    <n v="8959.86"/>
    <n v="1378.44"/>
    <x v="0"/>
  </r>
  <r>
    <x v="1"/>
    <x v="4"/>
    <x v="3"/>
    <s v="Renewal"/>
    <n v="643"/>
    <n v="8400"/>
    <n v="10920"/>
    <n v="1680"/>
    <x v="0"/>
  </r>
  <r>
    <x v="1"/>
    <x v="4"/>
    <x v="2"/>
    <s v="Premium"/>
    <n v="455"/>
    <n v="5494.3200000000006"/>
    <n v="7142.6160000000009"/>
    <n v="1098.8640000000003"/>
    <x v="0"/>
  </r>
  <r>
    <x v="1"/>
    <x v="4"/>
    <x v="3"/>
    <s v="New "/>
    <n v="345"/>
    <n v="8400"/>
    <n v="10920"/>
    <n v="1680"/>
    <x v="0"/>
  </r>
  <r>
    <x v="1"/>
    <x v="4"/>
    <x v="1"/>
    <s v="Offices"/>
    <n v="122"/>
    <n v="120"/>
    <n v="156"/>
    <n v="24"/>
    <x v="0"/>
  </r>
  <r>
    <x v="1"/>
    <x v="4"/>
    <x v="4"/>
    <s v="Facebook Page"/>
    <n v="78"/>
    <n v="4577.2"/>
    <n v="5126.4639999999999"/>
    <n v="915.44"/>
    <x v="0"/>
  </r>
  <r>
    <x v="1"/>
    <x v="4"/>
    <x v="4"/>
    <s v="Google Ad"/>
    <n v="76"/>
    <n v="4576.8999999999996"/>
    <n v="5126.1279999999997"/>
    <n v="915.38"/>
    <x v="0"/>
  </r>
  <r>
    <x v="1"/>
    <x v="4"/>
    <x v="4"/>
    <s v="Company Website"/>
    <n v="46"/>
    <n v="200"/>
    <n v="224"/>
    <n v="40"/>
    <x v="0"/>
  </r>
  <r>
    <x v="1"/>
    <x v="4"/>
    <x v="4"/>
    <s v="Youtube Channel"/>
    <n v="34"/>
    <n v="4576.8"/>
    <n v="5126.0160000000005"/>
    <n v="915.36000000000013"/>
    <x v="0"/>
  </r>
  <r>
    <x v="1"/>
    <x v="4"/>
    <x v="1"/>
    <s v="Lands"/>
    <n v="7"/>
    <n v="200"/>
    <n v="224"/>
    <n v="40"/>
    <x v="0"/>
  </r>
  <r>
    <x v="1"/>
    <x v="4"/>
    <x v="4"/>
    <s v="Television Ad"/>
    <n v="3"/>
    <n v="4577.3"/>
    <n v="5126.576"/>
    <n v="915.46"/>
    <x v="0"/>
  </r>
  <r>
    <x v="1"/>
    <x v="4"/>
    <x v="5"/>
    <s v="Asset sale"/>
    <n v="2"/>
    <n v="6600"/>
    <n v="7392"/>
    <n v="1320"/>
    <x v="0"/>
  </r>
  <r>
    <x v="1"/>
    <x v="5"/>
    <x v="0"/>
    <s v="Software Metered License"/>
    <n v="3566"/>
    <n v="4577.3"/>
    <n v="5126.576"/>
    <n v="915.46"/>
    <x v="0"/>
  </r>
  <r>
    <x v="1"/>
    <x v="5"/>
    <x v="0"/>
    <s v="Floating License"/>
    <n v="2498"/>
    <n v="8000"/>
    <n v="8960"/>
    <n v="1600"/>
    <x v="0"/>
  </r>
  <r>
    <x v="1"/>
    <x v="5"/>
    <x v="1"/>
    <s v="Equipments"/>
    <n v="1245"/>
    <n v="4577.2"/>
    <n v="5126.4639999999999"/>
    <n v="915.44"/>
    <x v="0"/>
  </r>
  <r>
    <x v="1"/>
    <x v="5"/>
    <x v="2"/>
    <s v="Prime"/>
    <n v="644"/>
    <n v="5743.5"/>
    <n v="6432.72"/>
    <n v="1148.7"/>
    <x v="0"/>
  </r>
  <r>
    <x v="1"/>
    <x v="5"/>
    <x v="3"/>
    <s v="Renewal"/>
    <n v="643"/>
    <n v="7000"/>
    <n v="7840"/>
    <n v="1400"/>
    <x v="0"/>
  </r>
  <r>
    <x v="1"/>
    <x v="5"/>
    <x v="2"/>
    <s v="Premium"/>
    <n v="455"/>
    <n v="4578.6000000000004"/>
    <n v="5128.0320000000002"/>
    <n v="915.72000000000014"/>
    <x v="0"/>
  </r>
  <r>
    <x v="1"/>
    <x v="5"/>
    <x v="3"/>
    <s v="New "/>
    <n v="345"/>
    <n v="7000"/>
    <n v="7840"/>
    <n v="1400"/>
    <x v="0"/>
  </r>
  <r>
    <x v="1"/>
    <x v="5"/>
    <x v="1"/>
    <s v="Offices"/>
    <n v="122"/>
    <n v="100"/>
    <n v="112"/>
    <n v="20"/>
    <x v="0"/>
  </r>
  <r>
    <x v="1"/>
    <x v="5"/>
    <x v="4"/>
    <s v="Facebook Page"/>
    <n v="78"/>
    <n v="4577.2"/>
    <n v="5126.4639999999999"/>
    <n v="915.44"/>
    <x v="0"/>
  </r>
  <r>
    <x v="1"/>
    <x v="5"/>
    <x v="4"/>
    <s v="Google Ad"/>
    <n v="5034.5899999999992"/>
    <n v="4576.8999999999996"/>
    <n v="5126.1279999999997"/>
    <n v="915.38"/>
    <x v="0"/>
  </r>
  <r>
    <x v="1"/>
    <x v="5"/>
    <x v="4"/>
    <s v="Company Website"/>
    <n v="220"/>
    <n v="200"/>
    <n v="224"/>
    <n v="40"/>
    <x v="0"/>
  </r>
  <r>
    <x v="1"/>
    <x v="5"/>
    <x v="4"/>
    <s v="Youtube Channel"/>
    <n v="5034.4800000000005"/>
    <n v="4576.8"/>
    <n v="5126.0160000000005"/>
    <n v="915.36000000000013"/>
    <x v="0"/>
  </r>
  <r>
    <x v="1"/>
    <x v="5"/>
    <x v="1"/>
    <s v="Lands"/>
    <n v="220"/>
    <n v="200"/>
    <n v="224"/>
    <n v="40"/>
    <x v="0"/>
  </r>
  <r>
    <x v="1"/>
    <x v="5"/>
    <x v="5"/>
    <s v="Asset sale"/>
    <n v="7260"/>
    <n v="6600"/>
    <n v="7392"/>
    <n v="1320"/>
    <x v="0"/>
  </r>
  <r>
    <x v="1"/>
    <x v="5"/>
    <x v="4"/>
    <s v="Television Ad"/>
    <n v="5035.0300000000007"/>
    <n v="4577.3"/>
    <n v="5126.576"/>
    <n v="915.46"/>
    <x v="0"/>
  </r>
  <r>
    <x v="1"/>
    <x v="6"/>
    <x v="0"/>
    <s v="Software Metered License"/>
    <n v="5035.0300000000007"/>
    <n v="4577.3"/>
    <n v="5126.576"/>
    <n v="915.46"/>
    <x v="0"/>
  </r>
  <r>
    <x v="1"/>
    <x v="6"/>
    <x v="0"/>
    <s v="Floating License"/>
    <n v="8800"/>
    <n v="8000"/>
    <n v="8960"/>
    <n v="1600"/>
    <x v="0"/>
  </r>
  <r>
    <x v="1"/>
    <x v="6"/>
    <x v="1"/>
    <s v="Equipments"/>
    <n v="5034.92"/>
    <n v="4577.2"/>
    <n v="5126.4639999999999"/>
    <n v="915.44"/>
    <x v="0"/>
  </r>
  <r>
    <x v="1"/>
    <x v="6"/>
    <x v="2"/>
    <s v="Prime"/>
    <n v="644"/>
    <n v="5743.5"/>
    <n v="6432.72"/>
    <n v="1148.7"/>
    <x v="0"/>
  </r>
  <r>
    <x v="1"/>
    <x v="6"/>
    <x v="3"/>
    <s v="Renewal"/>
    <n v="643"/>
    <n v="7000"/>
    <n v="7840"/>
    <n v="1400"/>
    <x v="0"/>
  </r>
  <r>
    <x v="1"/>
    <x v="6"/>
    <x v="2"/>
    <s v="Premium"/>
    <n v="455"/>
    <n v="4578.6000000000004"/>
    <n v="5128.0320000000002"/>
    <n v="915.72000000000014"/>
    <x v="0"/>
  </r>
  <r>
    <x v="1"/>
    <x v="6"/>
    <x v="3"/>
    <s v="New "/>
    <n v="345"/>
    <n v="7000"/>
    <n v="7840"/>
    <n v="1400"/>
    <x v="0"/>
  </r>
  <r>
    <x v="1"/>
    <x v="6"/>
    <x v="1"/>
    <s v="Offices"/>
    <n v="122"/>
    <n v="100"/>
    <n v="112"/>
    <n v="20"/>
    <x v="0"/>
  </r>
  <r>
    <x v="1"/>
    <x v="6"/>
    <x v="4"/>
    <s v="Facebook Page"/>
    <n v="78"/>
    <n v="4577.2"/>
    <n v="5126.4639999999999"/>
    <n v="915.44"/>
    <x v="0"/>
  </r>
  <r>
    <x v="1"/>
    <x v="6"/>
    <x v="4"/>
    <s v="Google Ad"/>
    <n v="76"/>
    <n v="4576.8999999999996"/>
    <n v="5126.1279999999997"/>
    <n v="915.38"/>
    <x v="0"/>
  </r>
  <r>
    <x v="1"/>
    <x v="6"/>
    <x v="4"/>
    <s v="Company Website"/>
    <n v="46"/>
    <n v="200"/>
    <n v="224"/>
    <n v="40"/>
    <x v="0"/>
  </r>
  <r>
    <x v="1"/>
    <x v="6"/>
    <x v="4"/>
    <s v="Youtube Channel"/>
    <n v="34"/>
    <n v="4576.8"/>
    <n v="5126.0160000000005"/>
    <n v="915.36000000000013"/>
    <x v="0"/>
  </r>
  <r>
    <x v="1"/>
    <x v="6"/>
    <x v="1"/>
    <s v="Lands"/>
    <n v="7"/>
    <n v="200"/>
    <n v="224"/>
    <n v="40"/>
    <x v="0"/>
  </r>
  <r>
    <x v="1"/>
    <x v="6"/>
    <x v="4"/>
    <s v="Television Ad"/>
    <n v="3"/>
    <n v="4577.3"/>
    <n v="5126.576"/>
    <n v="915.46"/>
    <x v="0"/>
  </r>
  <r>
    <x v="1"/>
    <x v="6"/>
    <x v="5"/>
    <s v="Asset sale"/>
    <n v="2"/>
    <n v="6600"/>
    <n v="7392"/>
    <n v="1320"/>
    <x v="0"/>
  </r>
  <r>
    <x v="1"/>
    <x v="7"/>
    <x v="0"/>
    <s v="Software Metered License"/>
    <n v="3566"/>
    <n v="4577.3"/>
    <n v="5126.576"/>
    <n v="915.46"/>
    <x v="0"/>
  </r>
  <r>
    <x v="1"/>
    <x v="7"/>
    <x v="0"/>
    <s v="Floating License"/>
    <n v="2498"/>
    <n v="8000"/>
    <n v="8960"/>
    <n v="1600"/>
    <x v="0"/>
  </r>
  <r>
    <x v="1"/>
    <x v="7"/>
    <x v="1"/>
    <s v="Equipments"/>
    <n v="1245"/>
    <n v="4577.2"/>
    <n v="5126.4639999999999"/>
    <n v="915.44"/>
    <x v="0"/>
  </r>
  <r>
    <x v="1"/>
    <x v="7"/>
    <x v="2"/>
    <s v="Prime"/>
    <n v="644"/>
    <n v="5743.5"/>
    <n v="6432.72"/>
    <n v="1148.7"/>
    <x v="0"/>
  </r>
  <r>
    <x v="1"/>
    <x v="7"/>
    <x v="3"/>
    <s v="Renewal"/>
    <n v="643"/>
    <n v="7000"/>
    <n v="7840"/>
    <n v="1400"/>
    <x v="0"/>
  </r>
  <r>
    <x v="1"/>
    <x v="7"/>
    <x v="2"/>
    <s v="Premium"/>
    <n v="455"/>
    <n v="5036.46"/>
    <n v="5128.0320000000002"/>
    <n v="1007.292"/>
    <x v="0"/>
  </r>
  <r>
    <x v="1"/>
    <x v="7"/>
    <x v="3"/>
    <s v="New "/>
    <n v="345"/>
    <n v="7700"/>
    <n v="7840"/>
    <n v="1540"/>
    <x v="0"/>
  </r>
  <r>
    <x v="1"/>
    <x v="7"/>
    <x v="1"/>
    <s v="Offices"/>
    <n v="122"/>
    <n v="110"/>
    <n v="112"/>
    <n v="22"/>
    <x v="0"/>
  </r>
  <r>
    <x v="1"/>
    <x v="7"/>
    <x v="4"/>
    <s v="Facebook Page"/>
    <n v="78"/>
    <n v="5034.92"/>
    <n v="5126.4639999999999"/>
    <n v="1006.984"/>
    <x v="0"/>
  </r>
  <r>
    <x v="1"/>
    <x v="7"/>
    <x v="4"/>
    <s v="Google Ad"/>
    <n v="76"/>
    <n v="5034.5899999999992"/>
    <n v="5126.1279999999997"/>
    <n v="1006.9179999999999"/>
    <x v="0"/>
  </r>
  <r>
    <x v="1"/>
    <x v="7"/>
    <x v="4"/>
    <s v="Company Website"/>
    <n v="46"/>
    <n v="230"/>
    <n v="224"/>
    <n v="46"/>
    <x v="0"/>
  </r>
  <r>
    <x v="1"/>
    <x v="7"/>
    <x v="4"/>
    <s v="Youtube Channel"/>
    <n v="34"/>
    <n v="5263.32"/>
    <n v="5126.0160000000005"/>
    <n v="1052.664"/>
    <x v="0"/>
  </r>
  <r>
    <x v="1"/>
    <x v="7"/>
    <x v="1"/>
    <s v="Lands"/>
    <n v="7"/>
    <n v="230"/>
    <n v="224"/>
    <n v="46"/>
    <x v="1"/>
  </r>
  <r>
    <x v="1"/>
    <x v="7"/>
    <x v="4"/>
    <s v="Television Ad"/>
    <n v="3"/>
    <n v="5263.8950000000004"/>
    <n v="5126.576"/>
    <n v="1052.7790000000002"/>
    <x v="1"/>
  </r>
  <r>
    <x v="1"/>
    <x v="7"/>
    <x v="5"/>
    <s v="Asset sale"/>
    <n v="2"/>
    <n v="7590"/>
    <n v="7392"/>
    <n v="1518"/>
    <x v="1"/>
  </r>
  <r>
    <x v="1"/>
    <x v="8"/>
    <x v="0"/>
    <s v="Software Metered License"/>
    <n v="3566"/>
    <n v="5263.8950000000004"/>
    <n v="5126.576"/>
    <n v="1052.7790000000002"/>
    <x v="1"/>
  </r>
  <r>
    <x v="1"/>
    <x v="8"/>
    <x v="0"/>
    <s v="Floating License"/>
    <n v="2498"/>
    <n v="8800"/>
    <n v="8960"/>
    <n v="1760"/>
    <x v="1"/>
  </r>
  <r>
    <x v="1"/>
    <x v="8"/>
    <x v="1"/>
    <s v="Equipments"/>
    <n v="1245"/>
    <n v="5034.92"/>
    <n v="5126.4639999999999"/>
    <n v="1006.984"/>
    <x v="1"/>
  </r>
  <r>
    <x v="1"/>
    <x v="8"/>
    <x v="2"/>
    <s v="Prime"/>
    <n v="644"/>
    <n v="6317.85"/>
    <n v="6432.72"/>
    <n v="1263.5700000000002"/>
    <x v="1"/>
  </r>
  <r>
    <x v="1"/>
    <x v="8"/>
    <x v="3"/>
    <s v="Renewal"/>
    <n v="643"/>
    <n v="7700"/>
    <n v="7840"/>
    <n v="1540"/>
    <x v="1"/>
  </r>
  <r>
    <x v="1"/>
    <x v="8"/>
    <x v="2"/>
    <s v="Premium"/>
    <n v="455"/>
    <n v="5036.46"/>
    <n v="5128.0320000000002"/>
    <n v="1007.292"/>
    <x v="1"/>
  </r>
  <r>
    <x v="1"/>
    <x v="8"/>
    <x v="3"/>
    <s v="New "/>
    <n v="345"/>
    <n v="7700"/>
    <n v="7840"/>
    <n v="1540"/>
    <x v="1"/>
  </r>
  <r>
    <x v="1"/>
    <x v="8"/>
    <x v="1"/>
    <s v="Offices"/>
    <n v="122"/>
    <n v="110"/>
    <n v="112"/>
    <n v="22"/>
    <x v="1"/>
  </r>
  <r>
    <x v="1"/>
    <x v="8"/>
    <x v="4"/>
    <s v="Facebook Page"/>
    <n v="78"/>
    <n v="5034.92"/>
    <n v="5126.4639999999999"/>
    <n v="1006.984"/>
    <x v="1"/>
  </r>
  <r>
    <x v="1"/>
    <x v="8"/>
    <x v="4"/>
    <s v="Google Ad"/>
    <n v="76"/>
    <n v="4576.8999999999996"/>
    <n v="5126.1279999999997"/>
    <n v="915.38"/>
    <x v="1"/>
  </r>
  <r>
    <x v="1"/>
    <x v="8"/>
    <x v="4"/>
    <s v="Company Website"/>
    <n v="46"/>
    <n v="200"/>
    <n v="224"/>
    <n v="40"/>
    <x v="1"/>
  </r>
  <r>
    <x v="1"/>
    <x v="8"/>
    <x v="4"/>
    <s v="Youtube Channel"/>
    <n v="34"/>
    <n v="4576.8"/>
    <n v="5126.0160000000005"/>
    <n v="915.36000000000013"/>
    <x v="1"/>
  </r>
  <r>
    <x v="1"/>
    <x v="8"/>
    <x v="1"/>
    <s v="Lands"/>
    <n v="7"/>
    <n v="200"/>
    <n v="224"/>
    <n v="40"/>
    <x v="1"/>
  </r>
  <r>
    <x v="1"/>
    <x v="8"/>
    <x v="4"/>
    <s v="Television Ad"/>
    <n v="3"/>
    <n v="4577.3"/>
    <n v="5126.576"/>
    <n v="915.46"/>
    <x v="1"/>
  </r>
  <r>
    <x v="1"/>
    <x v="8"/>
    <x v="5"/>
    <s v="Asset sale"/>
    <n v="2"/>
    <n v="6600"/>
    <n v="7392"/>
    <n v="1320"/>
    <x v="1"/>
  </r>
  <r>
    <x v="1"/>
    <x v="9"/>
    <x v="0"/>
    <s v="Software Metered License"/>
    <n v="3566"/>
    <n v="4577.3"/>
    <n v="5126.576"/>
    <n v="915.46"/>
    <x v="1"/>
  </r>
  <r>
    <x v="1"/>
    <x v="9"/>
    <x v="0"/>
    <s v="Floating License"/>
    <n v="2498"/>
    <n v="8000"/>
    <n v="8960"/>
    <n v="1600"/>
    <x v="1"/>
  </r>
  <r>
    <x v="1"/>
    <x v="9"/>
    <x v="1"/>
    <s v="Equipments"/>
    <n v="1245"/>
    <n v="4577.2"/>
    <n v="5126.4639999999999"/>
    <n v="915.44"/>
    <x v="1"/>
  </r>
  <r>
    <x v="1"/>
    <x v="9"/>
    <x v="2"/>
    <s v="Prime"/>
    <n v="644"/>
    <n v="5743.5"/>
    <n v="6432.72"/>
    <n v="1148.7"/>
    <x v="1"/>
  </r>
  <r>
    <x v="1"/>
    <x v="9"/>
    <x v="3"/>
    <s v="Renewal"/>
    <n v="643"/>
    <n v="7000"/>
    <n v="7840"/>
    <n v="1400"/>
    <x v="1"/>
  </r>
  <r>
    <x v="1"/>
    <x v="9"/>
    <x v="2"/>
    <s v="Premium"/>
    <n v="455"/>
    <n v="4578.6000000000004"/>
    <n v="5128.0320000000002"/>
    <n v="915.72000000000014"/>
    <x v="0"/>
  </r>
  <r>
    <x v="1"/>
    <x v="9"/>
    <x v="3"/>
    <s v="New "/>
    <n v="345"/>
    <n v="7000"/>
    <n v="7840"/>
    <n v="1400"/>
    <x v="0"/>
  </r>
  <r>
    <x v="1"/>
    <x v="9"/>
    <x v="1"/>
    <s v="Offices"/>
    <n v="122"/>
    <n v="100"/>
    <n v="112"/>
    <n v="20"/>
    <x v="0"/>
  </r>
  <r>
    <x v="1"/>
    <x v="9"/>
    <x v="4"/>
    <s v="Facebook Page"/>
    <n v="78"/>
    <n v="4577.2"/>
    <n v="5126.4639999999999"/>
    <n v="915.44"/>
    <x v="0"/>
  </r>
  <r>
    <x v="1"/>
    <x v="9"/>
    <x v="4"/>
    <s v="Google Ad"/>
    <n v="76"/>
    <n v="4576.8999999999996"/>
    <n v="5126.1279999999997"/>
    <n v="915.38"/>
    <x v="0"/>
  </r>
  <r>
    <x v="1"/>
    <x v="9"/>
    <x v="4"/>
    <s v="Company Website"/>
    <n v="46"/>
    <n v="200"/>
    <n v="224"/>
    <n v="40"/>
    <x v="0"/>
  </r>
  <r>
    <x v="1"/>
    <x v="9"/>
    <x v="4"/>
    <s v="Youtube Channel"/>
    <n v="34"/>
    <n v="4576.8"/>
    <n v="5126.0160000000005"/>
    <n v="915.36000000000013"/>
    <x v="0"/>
  </r>
  <r>
    <x v="1"/>
    <x v="9"/>
    <x v="1"/>
    <s v="Lands"/>
    <n v="7"/>
    <n v="200"/>
    <n v="224"/>
    <n v="40"/>
    <x v="0"/>
  </r>
  <r>
    <x v="1"/>
    <x v="9"/>
    <x v="4"/>
    <s v="Television Ad"/>
    <n v="3"/>
    <n v="4577.3"/>
    <n v="5126.576"/>
    <n v="915.46"/>
    <x v="0"/>
  </r>
  <r>
    <x v="1"/>
    <x v="9"/>
    <x v="5"/>
    <s v="Asset sale"/>
    <n v="2"/>
    <n v="6600"/>
    <n v="7392"/>
    <n v="1320"/>
    <x v="0"/>
  </r>
  <r>
    <x v="1"/>
    <x v="10"/>
    <x v="0"/>
    <s v="Software Metered License"/>
    <n v="3566"/>
    <n v="4577.3"/>
    <n v="5126.576"/>
    <n v="915.46"/>
    <x v="0"/>
  </r>
  <r>
    <x v="1"/>
    <x v="10"/>
    <x v="0"/>
    <s v="Floating License"/>
    <n v="2498"/>
    <n v="8000"/>
    <n v="8960"/>
    <n v="1600"/>
    <x v="0"/>
  </r>
  <r>
    <x v="1"/>
    <x v="10"/>
    <x v="1"/>
    <s v="Equipments"/>
    <n v="1245"/>
    <n v="4577.2"/>
    <n v="5126.4639999999999"/>
    <n v="915.44"/>
    <x v="0"/>
  </r>
  <r>
    <x v="1"/>
    <x v="10"/>
    <x v="2"/>
    <s v="Prime"/>
    <n v="644"/>
    <n v="5743.5"/>
    <n v="6432.72"/>
    <n v="1148.7"/>
    <x v="0"/>
  </r>
  <r>
    <x v="1"/>
    <x v="10"/>
    <x v="3"/>
    <s v="Renewal"/>
    <n v="643"/>
    <n v="7000"/>
    <n v="7840"/>
    <n v="1400"/>
    <x v="0"/>
  </r>
  <r>
    <x v="1"/>
    <x v="10"/>
    <x v="2"/>
    <s v="Premium"/>
    <n v="455"/>
    <n v="4578.6000000000004"/>
    <n v="5128.0320000000002"/>
    <n v="915.72000000000014"/>
    <x v="0"/>
  </r>
  <r>
    <x v="1"/>
    <x v="10"/>
    <x v="3"/>
    <s v="New "/>
    <n v="345"/>
    <n v="7000"/>
    <n v="7840"/>
    <n v="1400"/>
    <x v="0"/>
  </r>
  <r>
    <x v="1"/>
    <x v="10"/>
    <x v="1"/>
    <s v="Offices"/>
    <n v="122"/>
    <n v="100"/>
    <n v="112"/>
    <n v="20"/>
    <x v="0"/>
  </r>
  <r>
    <x v="1"/>
    <x v="10"/>
    <x v="4"/>
    <s v="Facebook Page"/>
    <n v="78"/>
    <n v="4577.2"/>
    <n v="5126.4639999999999"/>
    <n v="915.44"/>
    <x v="0"/>
  </r>
  <r>
    <x v="1"/>
    <x v="10"/>
    <x v="4"/>
    <s v="Google Ad"/>
    <n v="76"/>
    <n v="4576.8999999999996"/>
    <n v="5126.1279999999997"/>
    <n v="915.38"/>
    <x v="0"/>
  </r>
  <r>
    <x v="1"/>
    <x v="10"/>
    <x v="4"/>
    <s v="Company Website"/>
    <n v="46"/>
    <n v="200"/>
    <n v="224"/>
    <n v="40"/>
    <x v="0"/>
  </r>
  <r>
    <x v="1"/>
    <x v="10"/>
    <x v="4"/>
    <s v="Youtube Channel"/>
    <n v="34"/>
    <n v="5492.16"/>
    <n v="5126.0160000000005"/>
    <n v="1098.432"/>
    <x v="0"/>
  </r>
  <r>
    <x v="1"/>
    <x v="10"/>
    <x v="1"/>
    <s v="Lands"/>
    <n v="7"/>
    <n v="240"/>
    <n v="224"/>
    <n v="48"/>
    <x v="0"/>
  </r>
  <r>
    <x v="1"/>
    <x v="10"/>
    <x v="4"/>
    <s v="Television Ad"/>
    <n v="3"/>
    <n v="5492.76"/>
    <n v="5126.576"/>
    <n v="1098.5520000000001"/>
    <x v="0"/>
  </r>
  <r>
    <x v="1"/>
    <x v="10"/>
    <x v="5"/>
    <s v="Asset sale"/>
    <n v="2"/>
    <n v="7920"/>
    <n v="7392"/>
    <n v="1584"/>
    <x v="0"/>
  </r>
  <r>
    <x v="1"/>
    <x v="11"/>
    <x v="0"/>
    <s v="Software Metered License"/>
    <n v="3566"/>
    <n v="4577.3"/>
    <n v="5126.576"/>
    <n v="915.46"/>
    <x v="0"/>
  </r>
  <r>
    <x v="1"/>
    <x v="11"/>
    <x v="0"/>
    <s v="Floating License"/>
    <n v="2498"/>
    <n v="8000"/>
    <n v="8960"/>
    <n v="1600"/>
    <x v="0"/>
  </r>
  <r>
    <x v="1"/>
    <x v="11"/>
    <x v="1"/>
    <s v="Equipments"/>
    <n v="1245"/>
    <n v="4577.2"/>
    <n v="5126.4639999999999"/>
    <n v="915.44"/>
    <x v="0"/>
  </r>
  <r>
    <x v="1"/>
    <x v="11"/>
    <x v="2"/>
    <s v="Prime"/>
    <n v="644"/>
    <n v="5743.5"/>
    <n v="6432.72"/>
    <n v="1148.7"/>
    <x v="0"/>
  </r>
  <r>
    <x v="1"/>
    <x v="11"/>
    <x v="3"/>
    <s v="Renewal"/>
    <n v="643"/>
    <n v="7000"/>
    <n v="7840"/>
    <n v="1400"/>
    <x v="0"/>
  </r>
  <r>
    <x v="1"/>
    <x v="11"/>
    <x v="2"/>
    <s v="Premium"/>
    <n v="455"/>
    <n v="4578.6000000000004"/>
    <n v="5128.0320000000002"/>
    <n v="915.72000000000014"/>
    <x v="0"/>
  </r>
  <r>
    <x v="1"/>
    <x v="11"/>
    <x v="3"/>
    <s v="New "/>
    <n v="345"/>
    <n v="7000"/>
    <n v="7840"/>
    <n v="1400"/>
    <x v="0"/>
  </r>
  <r>
    <x v="1"/>
    <x v="11"/>
    <x v="1"/>
    <s v="Offices"/>
    <n v="122"/>
    <n v="100"/>
    <n v="112"/>
    <n v="20"/>
    <x v="0"/>
  </r>
  <r>
    <x v="1"/>
    <x v="11"/>
    <x v="4"/>
    <s v="Facebook Page"/>
    <n v="78"/>
    <n v="4577.2"/>
    <n v="5126.4639999999999"/>
    <n v="915.44"/>
    <x v="0"/>
  </r>
  <r>
    <x v="1"/>
    <x v="11"/>
    <x v="4"/>
    <s v="Google Ad"/>
    <n v="76"/>
    <n v="4576.8999999999996"/>
    <n v="5126.1279999999997"/>
    <n v="915.38"/>
    <x v="0"/>
  </r>
  <r>
    <x v="1"/>
    <x v="11"/>
    <x v="4"/>
    <s v="Company Website"/>
    <n v="46"/>
    <n v="200"/>
    <n v="224"/>
    <n v="40"/>
    <x v="0"/>
  </r>
  <r>
    <x v="1"/>
    <x v="11"/>
    <x v="4"/>
    <s v="Youtube Channel"/>
    <n v="34"/>
    <n v="4576.8"/>
    <n v="5126.0160000000005"/>
    <n v="915.36000000000013"/>
    <x v="0"/>
  </r>
  <r>
    <x v="1"/>
    <x v="11"/>
    <x v="1"/>
    <s v="Lands"/>
    <n v="7"/>
    <n v="200"/>
    <n v="224"/>
    <n v="40"/>
    <x v="0"/>
  </r>
  <r>
    <x v="1"/>
    <x v="11"/>
    <x v="4"/>
    <s v="Television Ad"/>
    <n v="3"/>
    <n v="4577.3"/>
    <n v="5126.576"/>
    <n v="915.46"/>
    <x v="0"/>
  </r>
  <r>
    <x v="1"/>
    <x v="11"/>
    <x v="5"/>
    <s v="Asset sale"/>
    <n v="2"/>
    <n v="6600"/>
    <n v="7392"/>
    <n v="1320"/>
    <x v="0"/>
  </r>
  <r>
    <x v="2"/>
    <x v="0"/>
    <x v="0"/>
    <s v="Software Metered License"/>
    <n v="3566"/>
    <n v="5492.76"/>
    <n v="5126.576"/>
    <n v="1098.5520000000001"/>
    <x v="0"/>
  </r>
  <r>
    <x v="2"/>
    <x v="0"/>
    <x v="0"/>
    <s v="Floating License"/>
    <n v="2498"/>
    <n v="9600"/>
    <n v="8960"/>
    <n v="1920"/>
    <x v="0"/>
  </r>
  <r>
    <x v="2"/>
    <x v="0"/>
    <x v="1"/>
    <s v="Equipments"/>
    <n v="1245"/>
    <n v="5492.6399999999994"/>
    <n v="5126.4639999999999"/>
    <n v="1098.528"/>
    <x v="1"/>
  </r>
  <r>
    <x v="2"/>
    <x v="0"/>
    <x v="2"/>
    <s v="Prime"/>
    <n v="644"/>
    <n v="6892.2"/>
    <n v="6432.72"/>
    <n v="1378.44"/>
    <x v="1"/>
  </r>
  <r>
    <x v="2"/>
    <x v="0"/>
    <x v="3"/>
    <s v="Renewal"/>
    <n v="643"/>
    <n v="8400"/>
    <n v="7840"/>
    <n v="1680"/>
    <x v="1"/>
  </r>
  <r>
    <x v="2"/>
    <x v="0"/>
    <x v="2"/>
    <s v="Premium"/>
    <n v="455"/>
    <n v="5494.3200000000006"/>
    <n v="5128.0320000000002"/>
    <n v="1098.8640000000003"/>
    <x v="1"/>
  </r>
  <r>
    <x v="2"/>
    <x v="0"/>
    <x v="3"/>
    <s v="New "/>
    <n v="345"/>
    <n v="8400"/>
    <n v="7840"/>
    <n v="1680"/>
    <x v="1"/>
  </r>
  <r>
    <x v="2"/>
    <x v="0"/>
    <x v="1"/>
    <s v="Offices"/>
    <n v="122"/>
    <n v="120"/>
    <n v="112"/>
    <n v="24"/>
    <x v="1"/>
  </r>
  <r>
    <x v="2"/>
    <x v="0"/>
    <x v="4"/>
    <s v="Facebook Page"/>
    <n v="78"/>
    <n v="2288.6"/>
    <n v="5126.4639999999999"/>
    <n v="457.72"/>
    <x v="1"/>
  </r>
  <r>
    <x v="2"/>
    <x v="0"/>
    <x v="4"/>
    <s v="Google Ad"/>
    <n v="76"/>
    <n v="2288.4499999999998"/>
    <n v="5126.1279999999997"/>
    <n v="457.69"/>
    <x v="1"/>
  </r>
  <r>
    <x v="2"/>
    <x v="0"/>
    <x v="4"/>
    <s v="Company Website"/>
    <n v="46"/>
    <n v="100"/>
    <n v="224"/>
    <n v="20"/>
    <x v="1"/>
  </r>
  <r>
    <x v="2"/>
    <x v="0"/>
    <x v="4"/>
    <s v="Youtube Channel"/>
    <n v="34"/>
    <n v="2288.4"/>
    <n v="5126.0160000000005"/>
    <n v="457.68000000000006"/>
    <x v="1"/>
  </r>
  <r>
    <x v="2"/>
    <x v="0"/>
    <x v="1"/>
    <s v="Lands"/>
    <n v="7"/>
    <n v="200"/>
    <n v="224"/>
    <n v="40"/>
    <x v="1"/>
  </r>
  <r>
    <x v="2"/>
    <x v="0"/>
    <x v="5"/>
    <s v="Asset sale"/>
    <n v="3"/>
    <n v="4577.3"/>
    <n v="7392"/>
    <n v="915.46"/>
    <x v="1"/>
  </r>
  <r>
    <x v="2"/>
    <x v="0"/>
    <x v="4"/>
    <s v="Television Ad"/>
    <n v="3"/>
    <n v="3300"/>
    <n v="5126.576"/>
    <n v="660"/>
    <x v="1"/>
  </r>
  <r>
    <x v="2"/>
    <x v="1"/>
    <x v="0"/>
    <s v="Software Metered License"/>
    <n v="3566"/>
    <n v="4577.3"/>
    <n v="5126.576"/>
    <n v="915.46"/>
    <x v="1"/>
  </r>
  <r>
    <x v="2"/>
    <x v="1"/>
    <x v="0"/>
    <s v="Floating License"/>
    <n v="2498"/>
    <n v="8000"/>
    <n v="8960"/>
    <n v="1600"/>
    <x v="1"/>
  </r>
  <r>
    <x v="2"/>
    <x v="1"/>
    <x v="1"/>
    <s v="Equipments"/>
    <n v="1245"/>
    <n v="4577.2"/>
    <n v="5126.4639999999999"/>
    <n v="915.44"/>
    <x v="1"/>
  </r>
  <r>
    <x v="2"/>
    <x v="1"/>
    <x v="2"/>
    <s v="Prime"/>
    <n v="644"/>
    <n v="5743.5"/>
    <n v="6432.72"/>
    <n v="1148.7"/>
    <x v="1"/>
  </r>
  <r>
    <x v="2"/>
    <x v="1"/>
    <x v="3"/>
    <s v="Renewal"/>
    <n v="643"/>
    <n v="7000"/>
    <n v="7840"/>
    <n v="1400"/>
    <x v="1"/>
  </r>
  <r>
    <x v="2"/>
    <x v="1"/>
    <x v="2"/>
    <s v="Premium"/>
    <n v="455"/>
    <n v="4578.6000000000004"/>
    <n v="5128.0320000000002"/>
    <n v="915.72000000000014"/>
    <x v="1"/>
  </r>
  <r>
    <x v="2"/>
    <x v="1"/>
    <x v="3"/>
    <s v="New "/>
    <n v="345"/>
    <n v="7000"/>
    <n v="7840"/>
    <n v="1400"/>
    <x v="1"/>
  </r>
  <r>
    <x v="2"/>
    <x v="1"/>
    <x v="1"/>
    <s v="Offices"/>
    <n v="122"/>
    <n v="100"/>
    <n v="112"/>
    <n v="20"/>
    <x v="1"/>
  </r>
  <r>
    <x v="2"/>
    <x v="1"/>
    <x v="4"/>
    <s v="Facebook Page"/>
    <n v="78"/>
    <n v="2288.6"/>
    <n v="5126.4639999999999"/>
    <n v="457.72"/>
    <x v="1"/>
  </r>
  <r>
    <x v="2"/>
    <x v="1"/>
    <x v="4"/>
    <s v="Google Ad"/>
    <n v="76"/>
    <n v="2288.4499999999998"/>
    <n v="5126.1279999999997"/>
    <n v="457.69"/>
    <x v="1"/>
  </r>
  <r>
    <x v="2"/>
    <x v="1"/>
    <x v="4"/>
    <s v="Company Website"/>
    <n v="46"/>
    <n v="100"/>
    <n v="224"/>
    <n v="20"/>
    <x v="1"/>
  </r>
  <r>
    <x v="2"/>
    <x v="1"/>
    <x v="4"/>
    <s v="Youtube Channel"/>
    <n v="34"/>
    <n v="2288.4"/>
    <n v="5126.0160000000005"/>
    <n v="457.68000000000006"/>
    <x v="1"/>
  </r>
  <r>
    <x v="2"/>
    <x v="1"/>
    <x v="1"/>
    <s v="Lands"/>
    <n v="7"/>
    <n v="200"/>
    <n v="224"/>
    <n v="40"/>
    <x v="0"/>
  </r>
  <r>
    <x v="2"/>
    <x v="1"/>
    <x v="4"/>
    <s v="Television Ad"/>
    <n v="3"/>
    <n v="3300"/>
    <n v="5126.576"/>
    <n v="660"/>
    <x v="0"/>
  </r>
  <r>
    <x v="2"/>
    <x v="1"/>
    <x v="5"/>
    <s v="Asset sale"/>
    <n v="2"/>
    <n v="6600"/>
    <n v="7392"/>
    <n v="1320"/>
    <x v="0"/>
  </r>
  <r>
    <x v="2"/>
    <x v="2"/>
    <x v="0"/>
    <s v="Software Metered License"/>
    <n v="3566"/>
    <n v="4577.3"/>
    <n v="5126.576"/>
    <n v="915.46"/>
    <x v="0"/>
  </r>
  <r>
    <x v="2"/>
    <x v="2"/>
    <x v="0"/>
    <s v="Floating License"/>
    <n v="2498"/>
    <n v="8000"/>
    <n v="8960"/>
    <n v="1600"/>
    <x v="0"/>
  </r>
  <r>
    <x v="2"/>
    <x v="2"/>
    <x v="1"/>
    <s v="Equipments"/>
    <n v="1245"/>
    <n v="4577.2"/>
    <n v="5126.4639999999999"/>
    <n v="915.44"/>
    <x v="0"/>
  </r>
  <r>
    <x v="2"/>
    <x v="2"/>
    <x v="2"/>
    <s v="Prime"/>
    <n v="644"/>
    <n v="5743.5"/>
    <n v="6432.72"/>
    <n v="1148.7"/>
    <x v="0"/>
  </r>
  <r>
    <x v="2"/>
    <x v="2"/>
    <x v="3"/>
    <s v="Renewal"/>
    <n v="643"/>
    <n v="7000"/>
    <n v="7840"/>
    <n v="1400"/>
    <x v="0"/>
  </r>
  <r>
    <x v="2"/>
    <x v="2"/>
    <x v="2"/>
    <s v="Premium"/>
    <n v="455"/>
    <n v="4578.6000000000004"/>
    <n v="5128.0320000000002"/>
    <n v="915.72000000000014"/>
    <x v="0"/>
  </r>
  <r>
    <x v="2"/>
    <x v="2"/>
    <x v="3"/>
    <s v="New "/>
    <n v="345"/>
    <n v="7000"/>
    <n v="7840"/>
    <n v="1400"/>
    <x v="0"/>
  </r>
  <r>
    <x v="2"/>
    <x v="2"/>
    <x v="1"/>
    <s v="Offices"/>
    <n v="122"/>
    <n v="100"/>
    <n v="112"/>
    <n v="20"/>
    <x v="0"/>
  </r>
  <r>
    <x v="2"/>
    <x v="2"/>
    <x v="4"/>
    <s v="Facebook Page"/>
    <n v="78"/>
    <n v="2288.6"/>
    <n v="5126.4639999999999"/>
    <n v="457.72"/>
    <x v="0"/>
  </r>
  <r>
    <x v="2"/>
    <x v="2"/>
    <x v="4"/>
    <s v="Google Ad"/>
    <n v="76"/>
    <n v="2288.4499999999998"/>
    <n v="5126.1279999999997"/>
    <n v="457.69"/>
    <x v="0"/>
  </r>
  <r>
    <x v="2"/>
    <x v="2"/>
    <x v="4"/>
    <s v="Company Website"/>
    <n v="46"/>
    <n v="100"/>
    <n v="224"/>
    <n v="20"/>
    <x v="0"/>
  </r>
  <r>
    <x v="2"/>
    <x v="2"/>
    <x v="4"/>
    <s v="Youtube Channel"/>
    <n v="34"/>
    <n v="2288.4"/>
    <n v="5126.0160000000005"/>
    <n v="457.68000000000006"/>
    <x v="0"/>
  </r>
  <r>
    <x v="2"/>
    <x v="2"/>
    <x v="1"/>
    <s v="Lands"/>
    <n v="7"/>
    <n v="200"/>
    <n v="224"/>
    <n v="40"/>
    <x v="0"/>
  </r>
  <r>
    <x v="2"/>
    <x v="2"/>
    <x v="4"/>
    <s v="Television Ad"/>
    <n v="3"/>
    <n v="2288.65"/>
    <n v="5126.576"/>
    <n v="457.73"/>
    <x v="0"/>
  </r>
  <r>
    <x v="2"/>
    <x v="2"/>
    <x v="5"/>
    <s v="Asset sale"/>
    <n v="2"/>
    <n v="6600"/>
    <n v="7392"/>
    <n v="1320"/>
    <x v="1"/>
  </r>
  <r>
    <x v="2"/>
    <x v="3"/>
    <x v="0"/>
    <s v="Software Metered License"/>
    <n v="3566"/>
    <n v="4577.3"/>
    <n v="5126.576"/>
    <n v="915.46"/>
    <x v="1"/>
  </r>
  <r>
    <x v="2"/>
    <x v="3"/>
    <x v="0"/>
    <s v="Floating License"/>
    <n v="2498"/>
    <n v="8000"/>
    <n v="8960"/>
    <n v="1600"/>
    <x v="1"/>
  </r>
  <r>
    <x v="2"/>
    <x v="3"/>
    <x v="1"/>
    <s v="Equipments"/>
    <n v="1245"/>
    <n v="4577.2"/>
    <n v="5126.4639999999999"/>
    <n v="915.44"/>
    <x v="1"/>
  </r>
  <r>
    <x v="2"/>
    <x v="3"/>
    <x v="2"/>
    <s v="Prime"/>
    <n v="644"/>
    <n v="5743.5"/>
    <n v="6432.72"/>
    <n v="1148.7"/>
    <x v="1"/>
  </r>
  <r>
    <x v="2"/>
    <x v="3"/>
    <x v="3"/>
    <s v="Renewal"/>
    <n v="643"/>
    <n v="7000"/>
    <n v="7840"/>
    <n v="1400"/>
    <x v="1"/>
  </r>
  <r>
    <x v="2"/>
    <x v="3"/>
    <x v="2"/>
    <s v="Premium"/>
    <n v="455"/>
    <n v="4578.6000000000004"/>
    <n v="5128.0320000000002"/>
    <n v="915.72000000000014"/>
    <x v="1"/>
  </r>
  <r>
    <x v="2"/>
    <x v="3"/>
    <x v="3"/>
    <s v="New "/>
    <n v="345"/>
    <n v="7000"/>
    <n v="7840"/>
    <n v="1400"/>
    <x v="1"/>
  </r>
  <r>
    <x v="2"/>
    <x v="3"/>
    <x v="1"/>
    <s v="Offices"/>
    <n v="122"/>
    <n v="100"/>
    <n v="112"/>
    <n v="20"/>
    <x v="1"/>
  </r>
  <r>
    <x v="2"/>
    <x v="3"/>
    <x v="4"/>
    <s v="Facebook Page"/>
    <n v="78"/>
    <n v="2288.6"/>
    <n v="5126.4639999999999"/>
    <n v="457.72"/>
    <x v="1"/>
  </r>
  <r>
    <x v="2"/>
    <x v="3"/>
    <x v="4"/>
    <s v="Google Ad"/>
    <n v="76"/>
    <n v="2288.4499999999998"/>
    <n v="5126.1279999999997"/>
    <n v="457.69"/>
    <x v="1"/>
  </r>
  <r>
    <x v="2"/>
    <x v="3"/>
    <x v="4"/>
    <s v="Company Website"/>
    <n v="46"/>
    <n v="100"/>
    <n v="224"/>
    <n v="20"/>
    <x v="1"/>
  </r>
  <r>
    <x v="2"/>
    <x v="3"/>
    <x v="4"/>
    <s v="Youtube Channel"/>
    <n v="34"/>
    <n v="2288.4"/>
    <n v="5126.0160000000005"/>
    <n v="457.68000000000006"/>
    <x v="1"/>
  </r>
  <r>
    <x v="2"/>
    <x v="3"/>
    <x v="1"/>
    <s v="Lands"/>
    <n v="7"/>
    <n v="200"/>
    <n v="224"/>
    <n v="40"/>
    <x v="1"/>
  </r>
  <r>
    <x v="2"/>
    <x v="3"/>
    <x v="4"/>
    <s v="Television Ad"/>
    <n v="3"/>
    <n v="2288.65"/>
    <n v="5126.576"/>
    <n v="457.73"/>
    <x v="1"/>
  </r>
  <r>
    <x v="2"/>
    <x v="3"/>
    <x v="5"/>
    <s v="Asset sale"/>
    <n v="2"/>
    <n v="7920"/>
    <n v="7392"/>
    <n v="1584"/>
    <x v="1"/>
  </r>
  <r>
    <x v="2"/>
    <x v="4"/>
    <x v="0"/>
    <s v="Software Metered License"/>
    <n v="3566"/>
    <n v="4577.3"/>
    <n v="5126.576"/>
    <n v="915.46"/>
    <x v="0"/>
  </r>
  <r>
    <x v="2"/>
    <x v="4"/>
    <x v="0"/>
    <s v="Floating License"/>
    <n v="2498"/>
    <n v="8800"/>
    <n v="8960"/>
    <n v="1760"/>
    <x v="0"/>
  </r>
  <r>
    <x v="2"/>
    <x v="4"/>
    <x v="1"/>
    <s v="Equipments"/>
    <n v="1245"/>
    <n v="5034.92"/>
    <n v="5126.4639999999999"/>
    <n v="1006.984"/>
    <x v="0"/>
  </r>
  <r>
    <x v="2"/>
    <x v="4"/>
    <x v="2"/>
    <s v="Prime"/>
    <n v="644"/>
    <n v="6317.85"/>
    <n v="6432.72"/>
    <n v="1263.5700000000002"/>
    <x v="0"/>
  </r>
  <r>
    <x v="2"/>
    <x v="4"/>
    <x v="3"/>
    <s v="Renewal"/>
    <n v="643"/>
    <n v="7700"/>
    <n v="7840"/>
    <n v="1540"/>
    <x v="0"/>
  </r>
  <r>
    <x v="2"/>
    <x v="4"/>
    <x v="2"/>
    <s v="Premium"/>
    <n v="455"/>
    <n v="5036.46"/>
    <n v="5128.0320000000002"/>
    <n v="1007.292"/>
    <x v="1"/>
  </r>
  <r>
    <x v="2"/>
    <x v="4"/>
    <x v="3"/>
    <s v="New "/>
    <n v="345"/>
    <n v="7700"/>
    <n v="7840"/>
    <n v="1540"/>
    <x v="1"/>
  </r>
  <r>
    <x v="2"/>
    <x v="4"/>
    <x v="1"/>
    <s v="Offices"/>
    <n v="122"/>
    <n v="110"/>
    <n v="112"/>
    <n v="22"/>
    <x v="1"/>
  </r>
  <r>
    <x v="2"/>
    <x v="4"/>
    <x v="4"/>
    <s v="Facebook Page"/>
    <n v="78"/>
    <n v="2517.46"/>
    <n v="5126.4639999999999"/>
    <n v="503.49200000000002"/>
    <x v="1"/>
  </r>
  <r>
    <x v="2"/>
    <x v="4"/>
    <x v="4"/>
    <s v="Google Ad"/>
    <n v="76"/>
    <n v="2288.4499999999998"/>
    <n v="5126.1279999999997"/>
    <n v="457.69"/>
    <x v="1"/>
  </r>
  <r>
    <x v="2"/>
    <x v="4"/>
    <x v="4"/>
    <s v="Company Website"/>
    <n v="46"/>
    <n v="100"/>
    <n v="224"/>
    <n v="20"/>
    <x v="1"/>
  </r>
  <r>
    <x v="2"/>
    <x v="4"/>
    <x v="4"/>
    <s v="Youtube Channel"/>
    <n v="34"/>
    <n v="2288.4"/>
    <n v="5126.0160000000005"/>
    <n v="457.68000000000006"/>
    <x v="1"/>
  </r>
  <r>
    <x v="2"/>
    <x v="4"/>
    <x v="1"/>
    <s v="Lands"/>
    <n v="7"/>
    <n v="200"/>
    <n v="224"/>
    <n v="40"/>
    <x v="1"/>
  </r>
  <r>
    <x v="2"/>
    <x v="4"/>
    <x v="4"/>
    <s v="Television Ad"/>
    <n v="3"/>
    <n v="3300"/>
    <n v="5126.576"/>
    <n v="660"/>
    <x v="1"/>
  </r>
  <r>
    <x v="2"/>
    <x v="4"/>
    <x v="5"/>
    <s v="Asset sale"/>
    <n v="2"/>
    <n v="4577.3"/>
    <n v="7392"/>
    <n v="915.46"/>
    <x v="0"/>
  </r>
  <r>
    <x v="2"/>
    <x v="5"/>
    <x v="0"/>
    <s v="Software Metered License"/>
    <n v="3566"/>
    <n v="4577.3"/>
    <n v="5126.576"/>
    <n v="915.46"/>
    <x v="1"/>
  </r>
  <r>
    <x v="2"/>
    <x v="5"/>
    <x v="0"/>
    <s v="Floating License"/>
    <n v="2498"/>
    <n v="8000"/>
    <n v="8960"/>
    <n v="1600"/>
    <x v="0"/>
  </r>
  <r>
    <x v="2"/>
    <x v="5"/>
    <x v="1"/>
    <s v="Equipments"/>
    <n v="1245"/>
    <n v="4577.2"/>
    <n v="5126.4639999999999"/>
    <n v="915.44"/>
    <x v="0"/>
  </r>
  <r>
    <x v="2"/>
    <x v="5"/>
    <x v="2"/>
    <s v="Prime"/>
    <n v="644"/>
    <n v="5743.5"/>
    <n v="6432.72"/>
    <n v="1148.7"/>
    <x v="0"/>
  </r>
  <r>
    <x v="2"/>
    <x v="5"/>
    <x v="3"/>
    <s v="Renewal"/>
    <n v="643"/>
    <n v="7000"/>
    <n v="7840"/>
    <n v="1400"/>
    <x v="0"/>
  </r>
  <r>
    <x v="2"/>
    <x v="5"/>
    <x v="2"/>
    <s v="Premium"/>
    <n v="455"/>
    <n v="4578.6000000000004"/>
    <n v="5128.0320000000002"/>
    <n v="915.72000000000014"/>
    <x v="0"/>
  </r>
  <r>
    <x v="2"/>
    <x v="5"/>
    <x v="3"/>
    <s v="New "/>
    <n v="345"/>
    <n v="7000"/>
    <n v="7840"/>
    <n v="1400"/>
    <x v="0"/>
  </r>
  <r>
    <x v="2"/>
    <x v="5"/>
    <x v="1"/>
    <s v="Offices"/>
    <n v="122"/>
    <n v="100"/>
    <n v="112"/>
    <n v="20"/>
    <x v="0"/>
  </r>
  <r>
    <x v="2"/>
    <x v="5"/>
    <x v="4"/>
    <s v="Facebook Page"/>
    <n v="78"/>
    <n v="2288.6"/>
    <n v="5126.4639999999999"/>
    <n v="457.72"/>
    <x v="0"/>
  </r>
  <r>
    <x v="2"/>
    <x v="5"/>
    <x v="4"/>
    <s v="Google Ad"/>
    <n v="76"/>
    <n v="2288.4499999999998"/>
    <n v="5126.1279999999997"/>
    <n v="457.69"/>
    <x v="0"/>
  </r>
  <r>
    <x v="2"/>
    <x v="5"/>
    <x v="4"/>
    <s v="Company Website"/>
    <n v="46"/>
    <n v="100"/>
    <n v="224"/>
    <n v="20"/>
    <x v="0"/>
  </r>
  <r>
    <x v="2"/>
    <x v="5"/>
    <x v="4"/>
    <s v="Youtube Channel"/>
    <n v="34"/>
    <n v="2288.4"/>
    <n v="5126.0160000000005"/>
    <n v="457.68000000000006"/>
    <x v="0"/>
  </r>
  <r>
    <x v="2"/>
    <x v="5"/>
    <x v="1"/>
    <s v="Lands"/>
    <n v="7"/>
    <n v="200"/>
    <n v="224"/>
    <n v="40"/>
    <x v="0"/>
  </r>
  <r>
    <x v="2"/>
    <x v="5"/>
    <x v="5"/>
    <s v="Asset sale"/>
    <n v="3"/>
    <n v="4577.3"/>
    <n v="7392"/>
    <n v="915.46"/>
    <x v="0"/>
  </r>
  <r>
    <x v="2"/>
    <x v="5"/>
    <x v="4"/>
    <s v="Television Ad"/>
    <n v="3"/>
    <n v="2288.65"/>
    <n v="5126.576"/>
    <n v="457.73"/>
    <x v="0"/>
  </r>
  <r>
    <x v="2"/>
    <x v="6"/>
    <x v="0"/>
    <s v="Software Metered License"/>
    <n v="3566"/>
    <n v="4577.3"/>
    <n v="5126.576"/>
    <n v="915.46"/>
    <x v="0"/>
  </r>
  <r>
    <x v="2"/>
    <x v="6"/>
    <x v="0"/>
    <s v="Floating License"/>
    <n v="2498"/>
    <n v="8000"/>
    <n v="8960"/>
    <n v="1600"/>
    <x v="0"/>
  </r>
  <r>
    <x v="2"/>
    <x v="6"/>
    <x v="1"/>
    <s v="Equipments"/>
    <n v="1245"/>
    <n v="4577.2"/>
    <n v="5126.4639999999999"/>
    <n v="915.44"/>
    <x v="0"/>
  </r>
  <r>
    <x v="2"/>
    <x v="6"/>
    <x v="2"/>
    <s v="Prime"/>
    <n v="644"/>
    <n v="5743.5"/>
    <n v="6432.72"/>
    <n v="1148.7"/>
    <x v="0"/>
  </r>
  <r>
    <x v="2"/>
    <x v="6"/>
    <x v="3"/>
    <s v="Renewal"/>
    <n v="643"/>
    <n v="7000"/>
    <n v="7840"/>
    <n v="1400"/>
    <x v="0"/>
  </r>
  <r>
    <x v="2"/>
    <x v="6"/>
    <x v="2"/>
    <s v="Premium"/>
    <n v="455"/>
    <n v="4578.6000000000004"/>
    <n v="5128.0320000000002"/>
    <n v="915.72000000000014"/>
    <x v="0"/>
  </r>
  <r>
    <x v="2"/>
    <x v="6"/>
    <x v="3"/>
    <s v="New "/>
    <n v="345"/>
    <n v="7000"/>
    <n v="7840"/>
    <n v="1400"/>
    <x v="0"/>
  </r>
  <r>
    <x v="2"/>
    <x v="6"/>
    <x v="1"/>
    <s v="Offices"/>
    <n v="122"/>
    <n v="100"/>
    <n v="112"/>
    <n v="20"/>
    <x v="0"/>
  </r>
  <r>
    <x v="2"/>
    <x v="6"/>
    <x v="4"/>
    <s v="Facebook Page"/>
    <n v="78"/>
    <n v="2288.6"/>
    <n v="5126.4639999999999"/>
    <n v="457.72"/>
    <x v="0"/>
  </r>
  <r>
    <x v="2"/>
    <x v="6"/>
    <x v="4"/>
    <s v="Google Ad"/>
    <n v="76"/>
    <n v="2288.4499999999998"/>
    <n v="5126.1279999999997"/>
    <n v="457.69"/>
    <x v="0"/>
  </r>
  <r>
    <x v="2"/>
    <x v="6"/>
    <x v="4"/>
    <s v="Company Website"/>
    <n v="46"/>
    <n v="100"/>
    <n v="224"/>
    <n v="20"/>
    <x v="0"/>
  </r>
  <r>
    <x v="2"/>
    <x v="6"/>
    <x v="4"/>
    <s v="Youtube Channel"/>
    <n v="34"/>
    <n v="2288.4"/>
    <n v="5126.0160000000005"/>
    <n v="457.68000000000006"/>
    <x v="0"/>
  </r>
  <r>
    <x v="2"/>
    <x v="6"/>
    <x v="1"/>
    <s v="Lands"/>
    <n v="7"/>
    <n v="200"/>
    <n v="224"/>
    <n v="40"/>
    <x v="0"/>
  </r>
  <r>
    <x v="2"/>
    <x v="6"/>
    <x v="4"/>
    <s v="Television Ad"/>
    <n v="3"/>
    <n v="2288.65"/>
    <n v="5126.576"/>
    <n v="457.73"/>
    <x v="0"/>
  </r>
  <r>
    <x v="2"/>
    <x v="6"/>
    <x v="5"/>
    <s v="Asset sale"/>
    <n v="2"/>
    <n v="6600"/>
    <n v="7392"/>
    <n v="1320"/>
    <x v="0"/>
  </r>
  <r>
    <x v="2"/>
    <x v="7"/>
    <x v="0"/>
    <s v="Software Metered License"/>
    <n v="3566"/>
    <n v="4577.3"/>
    <n v="5126.576"/>
    <n v="915.46"/>
    <x v="0"/>
  </r>
  <r>
    <x v="2"/>
    <x v="7"/>
    <x v="0"/>
    <s v="Floating License"/>
    <n v="2498"/>
    <n v="8000"/>
    <n v="8960"/>
    <n v="1600"/>
    <x v="0"/>
  </r>
  <r>
    <x v="2"/>
    <x v="7"/>
    <x v="1"/>
    <s v="Equipments"/>
    <n v="1245"/>
    <n v="4577.2"/>
    <n v="5126.4639999999999"/>
    <n v="915.44"/>
    <x v="0"/>
  </r>
  <r>
    <x v="2"/>
    <x v="7"/>
    <x v="2"/>
    <s v="Prime"/>
    <n v="644"/>
    <n v="5743.5"/>
    <n v="6432.72"/>
    <n v="1148.7"/>
    <x v="0"/>
  </r>
  <r>
    <x v="2"/>
    <x v="7"/>
    <x v="3"/>
    <s v="Renewal"/>
    <n v="643"/>
    <n v="7000"/>
    <n v="7840"/>
    <n v="1400"/>
    <x v="0"/>
  </r>
  <r>
    <x v="2"/>
    <x v="7"/>
    <x v="2"/>
    <s v="Premium"/>
    <n v="455"/>
    <n v="5036.46"/>
    <n v="5128.0320000000002"/>
    <n v="1007.292"/>
    <x v="0"/>
  </r>
  <r>
    <x v="2"/>
    <x v="7"/>
    <x v="3"/>
    <s v="New "/>
    <n v="345"/>
    <n v="7700"/>
    <n v="7840"/>
    <n v="1540"/>
    <x v="0"/>
  </r>
  <r>
    <x v="2"/>
    <x v="7"/>
    <x v="1"/>
    <s v="Offices"/>
    <n v="122"/>
    <n v="110"/>
    <n v="112"/>
    <n v="22"/>
    <x v="0"/>
  </r>
  <r>
    <x v="2"/>
    <x v="7"/>
    <x v="4"/>
    <s v="Facebook Page"/>
    <n v="78"/>
    <n v="2517.46"/>
    <n v="5126.4639999999999"/>
    <n v="503.49200000000002"/>
    <x v="0"/>
  </r>
  <r>
    <x v="2"/>
    <x v="7"/>
    <x v="4"/>
    <s v="Google Ad"/>
    <n v="76"/>
    <n v="2517.2949999999996"/>
    <n v="5126.1279999999997"/>
    <n v="503.45899999999995"/>
    <x v="0"/>
  </r>
  <r>
    <x v="2"/>
    <x v="7"/>
    <x v="4"/>
    <s v="Company Website"/>
    <n v="46"/>
    <n v="115"/>
    <n v="224"/>
    <n v="23"/>
    <x v="0"/>
  </r>
  <r>
    <x v="2"/>
    <x v="7"/>
    <x v="4"/>
    <s v="Youtube Channel"/>
    <n v="34"/>
    <n v="2631.66"/>
    <n v="5126.0160000000005"/>
    <n v="526.33199999999999"/>
    <x v="0"/>
  </r>
  <r>
    <x v="2"/>
    <x v="7"/>
    <x v="1"/>
    <s v="Lands"/>
    <n v="7"/>
    <n v="230"/>
    <n v="224"/>
    <n v="46"/>
    <x v="0"/>
  </r>
  <r>
    <x v="2"/>
    <x v="7"/>
    <x v="4"/>
    <s v="Television Ad"/>
    <n v="3"/>
    <n v="2631.9475000000002"/>
    <n v="5126.576"/>
    <n v="526.38950000000011"/>
    <x v="0"/>
  </r>
  <r>
    <x v="2"/>
    <x v="7"/>
    <x v="5"/>
    <s v="Asset sale"/>
    <n v="2"/>
    <n v="7590"/>
    <n v="7392"/>
    <n v="1518"/>
    <x v="0"/>
  </r>
  <r>
    <x v="2"/>
    <x v="8"/>
    <x v="0"/>
    <s v="Software Metered License"/>
    <n v="3566"/>
    <n v="4577.3"/>
    <n v="5126.576"/>
    <n v="915.46"/>
    <x v="0"/>
  </r>
  <r>
    <x v="2"/>
    <x v="8"/>
    <x v="0"/>
    <s v="Floating License"/>
    <n v="2498"/>
    <n v="8000"/>
    <n v="8960"/>
    <n v="1600"/>
    <x v="0"/>
  </r>
  <r>
    <x v="2"/>
    <x v="8"/>
    <x v="1"/>
    <s v="Equipments"/>
    <n v="1245"/>
    <n v="4577.2"/>
    <n v="5126.4639999999999"/>
    <n v="915.44"/>
    <x v="0"/>
  </r>
  <r>
    <x v="2"/>
    <x v="8"/>
    <x v="2"/>
    <s v="Prime"/>
    <n v="644"/>
    <n v="5743.5"/>
    <n v="6432.72"/>
    <n v="1148.7"/>
    <x v="0"/>
  </r>
  <r>
    <x v="2"/>
    <x v="8"/>
    <x v="3"/>
    <s v="Renewal"/>
    <n v="643"/>
    <n v="7000"/>
    <n v="7840"/>
    <n v="1400"/>
    <x v="0"/>
  </r>
  <r>
    <x v="2"/>
    <x v="8"/>
    <x v="2"/>
    <s v="Premium"/>
    <n v="455"/>
    <n v="4578.6000000000004"/>
    <n v="5128.0320000000002"/>
    <n v="915.72000000000014"/>
    <x v="0"/>
  </r>
  <r>
    <x v="2"/>
    <x v="8"/>
    <x v="3"/>
    <s v="New "/>
    <n v="345"/>
    <n v="7000"/>
    <n v="7840"/>
    <n v="1400"/>
    <x v="0"/>
  </r>
  <r>
    <x v="2"/>
    <x v="8"/>
    <x v="1"/>
    <s v="Offices"/>
    <n v="122"/>
    <n v="100"/>
    <n v="112"/>
    <n v="20"/>
    <x v="0"/>
  </r>
  <r>
    <x v="2"/>
    <x v="8"/>
    <x v="4"/>
    <s v="Facebook Page"/>
    <n v="78"/>
    <n v="2288.6"/>
    <n v="5126.4639999999999"/>
    <n v="457.72"/>
    <x v="0"/>
  </r>
  <r>
    <x v="2"/>
    <x v="8"/>
    <x v="4"/>
    <s v="Google Ad"/>
    <n v="76"/>
    <n v="2288.4499999999998"/>
    <n v="5126.1279999999997"/>
    <n v="457.69"/>
    <x v="0"/>
  </r>
  <r>
    <x v="2"/>
    <x v="8"/>
    <x v="4"/>
    <s v="Company Website"/>
    <n v="46"/>
    <n v="100"/>
    <n v="224"/>
    <n v="20"/>
    <x v="0"/>
  </r>
  <r>
    <x v="2"/>
    <x v="8"/>
    <x v="4"/>
    <s v="Youtube Channel"/>
    <n v="34"/>
    <n v="2746.08"/>
    <n v="5126.0160000000005"/>
    <n v="549.21600000000001"/>
    <x v="0"/>
  </r>
  <r>
    <x v="2"/>
    <x v="8"/>
    <x v="1"/>
    <s v="Lands"/>
    <n v="7"/>
    <n v="240"/>
    <n v="224"/>
    <n v="48"/>
    <x v="0"/>
  </r>
  <r>
    <x v="2"/>
    <x v="8"/>
    <x v="4"/>
    <s v="Television Ad"/>
    <n v="3"/>
    <n v="2746.38"/>
    <n v="5126.576"/>
    <n v="549.27600000000007"/>
    <x v="0"/>
  </r>
  <r>
    <x v="2"/>
    <x v="8"/>
    <x v="5"/>
    <s v="Asset sale"/>
    <n v="2"/>
    <n v="7920"/>
    <n v="7392"/>
    <n v="1584"/>
    <x v="0"/>
  </r>
  <r>
    <x v="2"/>
    <x v="9"/>
    <x v="0"/>
    <s v="Software Metered License"/>
    <n v="3566"/>
    <n v="5035.0300000000007"/>
    <n v="5126.576"/>
    <n v="1007.0060000000002"/>
    <x v="0"/>
  </r>
  <r>
    <x v="2"/>
    <x v="9"/>
    <x v="0"/>
    <s v="Floating License"/>
    <n v="2498"/>
    <n v="9200"/>
    <n v="8960"/>
    <n v="1840"/>
    <x v="0"/>
  </r>
  <r>
    <x v="2"/>
    <x v="9"/>
    <x v="1"/>
    <s v="Equipments"/>
    <n v="1245"/>
    <n v="5263.78"/>
    <n v="5126.4639999999999"/>
    <n v="1052.7560000000001"/>
    <x v="0"/>
  </r>
  <r>
    <x v="2"/>
    <x v="9"/>
    <x v="2"/>
    <s v="Prime"/>
    <n v="644"/>
    <n v="6605.0249999999996"/>
    <n v="6432.72"/>
    <n v="1321.0050000000001"/>
    <x v="0"/>
  </r>
  <r>
    <x v="2"/>
    <x v="9"/>
    <x v="3"/>
    <s v="Renewal"/>
    <n v="643"/>
    <n v="8400"/>
    <n v="7840"/>
    <n v="1680"/>
    <x v="0"/>
  </r>
  <r>
    <x v="2"/>
    <x v="9"/>
    <x v="2"/>
    <s v="Premium"/>
    <n v="455"/>
    <n v="5494.3200000000006"/>
    <n v="5128.0320000000002"/>
    <n v="1098.8640000000003"/>
    <x v="0"/>
  </r>
  <r>
    <x v="2"/>
    <x v="9"/>
    <x v="3"/>
    <s v="New "/>
    <n v="345"/>
    <n v="8400"/>
    <n v="7840"/>
    <n v="1680"/>
    <x v="0"/>
  </r>
  <r>
    <x v="2"/>
    <x v="9"/>
    <x v="1"/>
    <s v="Offices"/>
    <n v="122"/>
    <n v="120"/>
    <n v="112"/>
    <n v="24"/>
    <x v="0"/>
  </r>
  <r>
    <x v="2"/>
    <x v="9"/>
    <x v="4"/>
    <s v="Facebook Page"/>
    <n v="78"/>
    <n v="2517.46"/>
    <n v="5126.4639999999999"/>
    <n v="503.49200000000002"/>
    <x v="0"/>
  </r>
  <r>
    <x v="2"/>
    <x v="9"/>
    <x v="4"/>
    <s v="Google Ad"/>
    <n v="76"/>
    <n v="2517.2949999999996"/>
    <n v="5126.1279999999997"/>
    <n v="503.45899999999995"/>
    <x v="0"/>
  </r>
  <r>
    <x v="2"/>
    <x v="9"/>
    <x v="4"/>
    <s v="Company Website"/>
    <n v="46"/>
    <n v="110"/>
    <n v="224"/>
    <n v="22"/>
    <x v="0"/>
  </r>
  <r>
    <x v="2"/>
    <x v="9"/>
    <x v="4"/>
    <s v="Youtube Channel"/>
    <n v="34"/>
    <n v="2517.2400000000002"/>
    <n v="5126.0160000000005"/>
    <n v="503.44800000000009"/>
    <x v="0"/>
  </r>
  <r>
    <x v="2"/>
    <x v="9"/>
    <x v="1"/>
    <s v="Lands"/>
    <n v="7"/>
    <n v="220"/>
    <n v="224"/>
    <n v="44"/>
    <x v="0"/>
  </r>
  <r>
    <x v="2"/>
    <x v="9"/>
    <x v="4"/>
    <s v="Television Ad"/>
    <n v="3"/>
    <n v="2517.5150000000003"/>
    <n v="5126.576"/>
    <n v="503.5030000000001"/>
    <x v="0"/>
  </r>
  <r>
    <x v="2"/>
    <x v="9"/>
    <x v="5"/>
    <s v="Asset sale"/>
    <n v="2"/>
    <n v="7260"/>
    <n v="7392"/>
    <n v="1452"/>
    <x v="0"/>
  </r>
  <r>
    <x v="2"/>
    <x v="10"/>
    <x v="0"/>
    <s v="Software Metered License"/>
    <n v="3566"/>
    <n v="5263.8950000000004"/>
    <n v="5126.576"/>
    <n v="1052.7790000000002"/>
    <x v="0"/>
  </r>
  <r>
    <x v="2"/>
    <x v="10"/>
    <x v="0"/>
    <s v="Floating License"/>
    <n v="2498"/>
    <n v="8800"/>
    <n v="8960"/>
    <n v="1760"/>
    <x v="0"/>
  </r>
  <r>
    <x v="2"/>
    <x v="10"/>
    <x v="1"/>
    <s v="Equipments"/>
    <n v="1245"/>
    <n v="5034.92"/>
    <n v="5126.4639999999999"/>
    <n v="1006.984"/>
    <x v="0"/>
  </r>
  <r>
    <x v="2"/>
    <x v="10"/>
    <x v="2"/>
    <s v="Prime"/>
    <n v="644"/>
    <n v="6317.85"/>
    <n v="6432.72"/>
    <n v="1263.5700000000002"/>
    <x v="0"/>
  </r>
  <r>
    <x v="2"/>
    <x v="10"/>
    <x v="3"/>
    <s v="Renewal"/>
    <n v="643"/>
    <n v="7700"/>
    <n v="7840"/>
    <n v="1540"/>
    <x v="0"/>
  </r>
  <r>
    <x v="2"/>
    <x v="10"/>
    <x v="2"/>
    <s v="Premium"/>
    <n v="455"/>
    <n v="5036.46"/>
    <n v="5128.0320000000002"/>
    <n v="1007.292"/>
    <x v="0"/>
  </r>
  <r>
    <x v="2"/>
    <x v="10"/>
    <x v="3"/>
    <s v="New "/>
    <n v="345"/>
    <n v="7700"/>
    <n v="7840"/>
    <n v="1540"/>
    <x v="0"/>
  </r>
  <r>
    <x v="2"/>
    <x v="10"/>
    <x v="1"/>
    <s v="Offices"/>
    <n v="122"/>
    <n v="110"/>
    <n v="112"/>
    <n v="22"/>
    <x v="0"/>
  </r>
  <r>
    <x v="2"/>
    <x v="10"/>
    <x v="4"/>
    <s v="Facebook Page"/>
    <n v="78"/>
    <n v="2517.46"/>
    <n v="5126.4639999999999"/>
    <n v="503.49200000000002"/>
    <x v="0"/>
  </r>
  <r>
    <x v="2"/>
    <x v="10"/>
    <x v="4"/>
    <s v="Google Ad"/>
    <n v="76"/>
    <n v="2288.4499999999998"/>
    <n v="5126.1279999999997"/>
    <n v="457.69"/>
    <x v="0"/>
  </r>
  <r>
    <x v="2"/>
    <x v="10"/>
    <x v="4"/>
    <s v="Company Website"/>
    <n v="46"/>
    <n v="100"/>
    <n v="224"/>
    <n v="20"/>
    <x v="0"/>
  </r>
  <r>
    <x v="2"/>
    <x v="10"/>
    <x v="4"/>
    <s v="Youtube Channel"/>
    <n v="34"/>
    <n v="2288.4"/>
    <n v="5126.0160000000005"/>
    <n v="457.68000000000006"/>
    <x v="1"/>
  </r>
  <r>
    <x v="2"/>
    <x v="10"/>
    <x v="1"/>
    <s v="Lands"/>
    <n v="7"/>
    <n v="200"/>
    <n v="224"/>
    <n v="40"/>
    <x v="1"/>
  </r>
  <r>
    <x v="2"/>
    <x v="10"/>
    <x v="4"/>
    <s v="Television Ad"/>
    <n v="3"/>
    <n v="2288.65"/>
    <n v="5126.576"/>
    <n v="457.73"/>
    <x v="1"/>
  </r>
  <r>
    <x v="2"/>
    <x v="10"/>
    <x v="5"/>
    <s v="Asset sale"/>
    <n v="2"/>
    <n v="6600"/>
    <n v="7392"/>
    <n v="1320"/>
    <x v="1"/>
  </r>
  <r>
    <x v="2"/>
    <x v="11"/>
    <x v="0"/>
    <s v="Software Metered License"/>
    <n v="3566"/>
    <n v="4577.3"/>
    <n v="5126.576"/>
    <n v="915.46"/>
    <x v="1"/>
  </r>
  <r>
    <x v="2"/>
    <x v="11"/>
    <x v="0"/>
    <s v="Floating License"/>
    <n v="2498"/>
    <n v="8000"/>
    <n v="8960"/>
    <n v="1600"/>
    <x v="1"/>
  </r>
  <r>
    <x v="2"/>
    <x v="11"/>
    <x v="1"/>
    <s v="Equipments"/>
    <n v="1245"/>
    <n v="4577.2"/>
    <n v="5126.4639999999999"/>
    <n v="915.44"/>
    <x v="1"/>
  </r>
  <r>
    <x v="2"/>
    <x v="11"/>
    <x v="2"/>
    <s v="Prime"/>
    <n v="644"/>
    <n v="5743.5"/>
    <n v="6432.72"/>
    <n v="1148.7"/>
    <x v="1"/>
  </r>
  <r>
    <x v="2"/>
    <x v="11"/>
    <x v="3"/>
    <s v="Renewal"/>
    <n v="643"/>
    <n v="7000"/>
    <n v="7840"/>
    <n v="1400"/>
    <x v="1"/>
  </r>
  <r>
    <x v="2"/>
    <x v="11"/>
    <x v="2"/>
    <s v="Premium"/>
    <n v="455"/>
    <n v="4578.6000000000004"/>
    <n v="5128.0320000000002"/>
    <n v="915.72000000000014"/>
    <x v="1"/>
  </r>
  <r>
    <x v="2"/>
    <x v="11"/>
    <x v="3"/>
    <s v="New "/>
    <n v="345"/>
    <n v="7000"/>
    <n v="7840"/>
    <n v="1400"/>
    <x v="1"/>
  </r>
  <r>
    <x v="2"/>
    <x v="11"/>
    <x v="1"/>
    <s v="Offices"/>
    <n v="122"/>
    <n v="100"/>
    <n v="112"/>
    <n v="20"/>
    <x v="1"/>
  </r>
  <r>
    <x v="2"/>
    <x v="11"/>
    <x v="4"/>
    <s v="Facebook Page"/>
    <n v="78"/>
    <n v="2288.6"/>
    <n v="5126.4639999999999"/>
    <n v="457.72"/>
    <x v="1"/>
  </r>
  <r>
    <x v="2"/>
    <x v="11"/>
    <x v="4"/>
    <s v="Google Ad"/>
    <n v="76"/>
    <n v="2288.4499999999998"/>
    <n v="5126.1279999999997"/>
    <n v="457.69"/>
    <x v="1"/>
  </r>
  <r>
    <x v="2"/>
    <x v="11"/>
    <x v="4"/>
    <s v="Company Website"/>
    <n v="46"/>
    <n v="100"/>
    <n v="224"/>
    <n v="20"/>
    <x v="1"/>
  </r>
  <r>
    <x v="2"/>
    <x v="11"/>
    <x v="4"/>
    <s v="Youtube Channel"/>
    <n v="34"/>
    <n v="2288.4"/>
    <n v="5126.0160000000005"/>
    <n v="457.68000000000006"/>
    <x v="1"/>
  </r>
  <r>
    <x v="2"/>
    <x v="11"/>
    <x v="1"/>
    <s v="Lands"/>
    <n v="7"/>
    <n v="200"/>
    <n v="224"/>
    <n v="40"/>
    <x v="1"/>
  </r>
  <r>
    <x v="2"/>
    <x v="11"/>
    <x v="4"/>
    <s v="Television Ad"/>
    <n v="3"/>
    <n v="2288.65"/>
    <n v="5126.576"/>
    <n v="457.73"/>
    <x v="1"/>
  </r>
  <r>
    <x v="2"/>
    <x v="11"/>
    <x v="5"/>
    <s v="Asset sale"/>
    <n v="2"/>
    <n v="6600"/>
    <n v="7392"/>
    <n v="1320"/>
    <x v="1"/>
  </r>
  <r>
    <x v="3"/>
    <x v="0"/>
    <x v="0"/>
    <s v="Software Metered License"/>
    <n v="3566"/>
    <n v="5492.76"/>
    <n v="5126.576"/>
    <n v="1098.5520000000001"/>
    <x v="1"/>
  </r>
  <r>
    <x v="3"/>
    <x v="0"/>
    <x v="0"/>
    <s v="Floating License"/>
    <n v="2498"/>
    <n v="9600"/>
    <n v="8960"/>
    <n v="1920"/>
    <x v="1"/>
  </r>
  <r>
    <x v="3"/>
    <x v="0"/>
    <x v="1"/>
    <s v="Equipments"/>
    <n v="1245"/>
    <n v="5492.6399999999994"/>
    <n v="5126.4639999999999"/>
    <n v="1098.528"/>
    <x v="1"/>
  </r>
  <r>
    <x v="3"/>
    <x v="0"/>
    <x v="2"/>
    <s v="Prime"/>
    <n v="644"/>
    <n v="6892.2"/>
    <n v="6432.72"/>
    <n v="1378.44"/>
    <x v="1"/>
  </r>
  <r>
    <x v="3"/>
    <x v="0"/>
    <x v="3"/>
    <s v="Renewal"/>
    <n v="643"/>
    <n v="8400"/>
    <n v="7840"/>
    <n v="1680"/>
    <x v="0"/>
  </r>
  <r>
    <x v="3"/>
    <x v="0"/>
    <x v="2"/>
    <s v="Premium"/>
    <n v="455"/>
    <n v="5494.3200000000006"/>
    <n v="5128.0320000000002"/>
    <n v="1098.8640000000003"/>
    <x v="0"/>
  </r>
  <r>
    <x v="3"/>
    <x v="0"/>
    <x v="3"/>
    <s v="New "/>
    <n v="345"/>
    <n v="8400"/>
    <n v="7840"/>
    <n v="1680"/>
    <x v="0"/>
  </r>
  <r>
    <x v="3"/>
    <x v="0"/>
    <x v="1"/>
    <s v="Offices"/>
    <n v="122"/>
    <n v="120"/>
    <n v="112"/>
    <n v="24"/>
    <x v="0"/>
  </r>
  <r>
    <x v="3"/>
    <x v="0"/>
    <x v="4"/>
    <s v="Facebook Page"/>
    <n v="78"/>
    <n v="2288.6"/>
    <n v="5126.4639999999999"/>
    <n v="457.72"/>
    <x v="0"/>
  </r>
  <r>
    <x v="3"/>
    <x v="0"/>
    <x v="4"/>
    <s v="Google Ad"/>
    <n v="76"/>
    <n v="2288.4499999999998"/>
    <n v="5126.1279999999997"/>
    <n v="457.69"/>
    <x v="0"/>
  </r>
  <r>
    <x v="3"/>
    <x v="0"/>
    <x v="4"/>
    <s v="Company Website"/>
    <n v="46"/>
    <n v="100"/>
    <n v="224"/>
    <n v="20"/>
    <x v="0"/>
  </r>
  <r>
    <x v="3"/>
    <x v="0"/>
    <x v="4"/>
    <s v="Youtube Channel"/>
    <n v="34"/>
    <n v="2288.4"/>
    <n v="5126.0160000000005"/>
    <n v="457.68000000000006"/>
    <x v="0"/>
  </r>
  <r>
    <x v="3"/>
    <x v="0"/>
    <x v="1"/>
    <s v="Lands"/>
    <n v="7"/>
    <n v="200"/>
    <n v="224"/>
    <n v="40"/>
    <x v="0"/>
  </r>
  <r>
    <x v="3"/>
    <x v="0"/>
    <x v="5"/>
    <s v="Asset sale"/>
    <n v="3"/>
    <n v="4577.3"/>
    <n v="7392"/>
    <n v="915.46"/>
    <x v="0"/>
  </r>
  <r>
    <x v="3"/>
    <x v="0"/>
    <x v="4"/>
    <s v="Television Ad"/>
    <n v="3"/>
    <n v="3300"/>
    <n v="5126.576"/>
    <n v="660"/>
    <x v="0"/>
  </r>
  <r>
    <x v="3"/>
    <x v="1"/>
    <x v="0"/>
    <s v="Software Metered License"/>
    <n v="3566"/>
    <n v="4577.3"/>
    <n v="5126.576"/>
    <n v="915.46"/>
    <x v="0"/>
  </r>
  <r>
    <x v="3"/>
    <x v="1"/>
    <x v="0"/>
    <s v="Floating License"/>
    <n v="2498"/>
    <n v="8000"/>
    <n v="8960"/>
    <n v="1600"/>
    <x v="0"/>
  </r>
  <r>
    <x v="3"/>
    <x v="1"/>
    <x v="1"/>
    <s v="Equipments"/>
    <n v="1245"/>
    <n v="4577.2"/>
    <n v="5126.4639999999999"/>
    <n v="915.44"/>
    <x v="0"/>
  </r>
  <r>
    <x v="3"/>
    <x v="1"/>
    <x v="2"/>
    <s v="Prime"/>
    <n v="644"/>
    <n v="5743.5"/>
    <n v="6432.72"/>
    <n v="1148.7"/>
    <x v="0"/>
  </r>
  <r>
    <x v="3"/>
    <x v="1"/>
    <x v="3"/>
    <s v="Renewal"/>
    <n v="643"/>
    <n v="7000"/>
    <n v="7840"/>
    <n v="1400"/>
    <x v="0"/>
  </r>
  <r>
    <x v="3"/>
    <x v="1"/>
    <x v="2"/>
    <s v="Premium"/>
    <n v="455"/>
    <n v="4578.6000000000004"/>
    <n v="5128.0320000000002"/>
    <n v="915.72000000000014"/>
    <x v="0"/>
  </r>
  <r>
    <x v="3"/>
    <x v="1"/>
    <x v="3"/>
    <s v="New "/>
    <n v="345"/>
    <n v="7000"/>
    <n v="7840"/>
    <n v="1400"/>
    <x v="0"/>
  </r>
  <r>
    <x v="3"/>
    <x v="1"/>
    <x v="1"/>
    <s v="Offices"/>
    <n v="122"/>
    <n v="100"/>
    <n v="112"/>
    <n v="20"/>
    <x v="0"/>
  </r>
  <r>
    <x v="3"/>
    <x v="1"/>
    <x v="4"/>
    <s v="Facebook Page"/>
    <n v="78"/>
    <n v="2288.6"/>
    <n v="5126.4639999999999"/>
    <n v="457.72"/>
    <x v="0"/>
  </r>
  <r>
    <x v="3"/>
    <x v="1"/>
    <x v="4"/>
    <s v="Google Ad"/>
    <n v="76"/>
    <n v="2288.4499999999998"/>
    <n v="5126.1279999999997"/>
    <n v="457.69"/>
    <x v="0"/>
  </r>
  <r>
    <x v="3"/>
    <x v="1"/>
    <x v="4"/>
    <s v="Company Website"/>
    <n v="46"/>
    <n v="100"/>
    <n v="224"/>
    <n v="20"/>
    <x v="0"/>
  </r>
  <r>
    <x v="3"/>
    <x v="1"/>
    <x v="4"/>
    <s v="Youtube Channel"/>
    <n v="34"/>
    <n v="2288.4"/>
    <n v="5126.0160000000005"/>
    <n v="457.68000000000006"/>
    <x v="0"/>
  </r>
  <r>
    <x v="3"/>
    <x v="1"/>
    <x v="1"/>
    <s v="Lands"/>
    <n v="7"/>
    <n v="200"/>
    <n v="224"/>
    <n v="40"/>
    <x v="0"/>
  </r>
  <r>
    <x v="3"/>
    <x v="1"/>
    <x v="4"/>
    <s v="Television Ad"/>
    <n v="3"/>
    <n v="3300"/>
    <n v="5126.576"/>
    <n v="660"/>
    <x v="0"/>
  </r>
  <r>
    <x v="3"/>
    <x v="1"/>
    <x v="5"/>
    <s v="Asset sale"/>
    <n v="2"/>
    <n v="6600"/>
    <n v="7392"/>
    <n v="1320"/>
    <x v="0"/>
  </r>
  <r>
    <x v="3"/>
    <x v="2"/>
    <x v="0"/>
    <s v="Software Metered License"/>
    <n v="3566"/>
    <n v="4577.3"/>
    <n v="5126.576"/>
    <n v="915.46"/>
    <x v="0"/>
  </r>
  <r>
    <x v="3"/>
    <x v="2"/>
    <x v="0"/>
    <s v="Floating License"/>
    <n v="2498"/>
    <n v="8000"/>
    <n v="8960"/>
    <n v="1600"/>
    <x v="0"/>
  </r>
  <r>
    <x v="3"/>
    <x v="2"/>
    <x v="1"/>
    <s v="Equipments"/>
    <n v="1245"/>
    <n v="4577.2"/>
    <n v="5126.4639999999999"/>
    <n v="915.44"/>
    <x v="0"/>
  </r>
  <r>
    <x v="3"/>
    <x v="2"/>
    <x v="2"/>
    <s v="Prime"/>
    <n v="644"/>
    <n v="10000"/>
    <n v="6432.72"/>
    <n v="2000"/>
    <x v="0"/>
  </r>
  <r>
    <x v="3"/>
    <x v="2"/>
    <x v="3"/>
    <s v="Renewal"/>
    <n v="643"/>
    <n v="7000"/>
    <n v="7840"/>
    <n v="1400"/>
    <x v="0"/>
  </r>
  <r>
    <x v="3"/>
    <x v="2"/>
    <x v="2"/>
    <s v="Premium"/>
    <n v="455"/>
    <n v="4578.6000000000004"/>
    <n v="5128.0320000000002"/>
    <n v="915.72000000000014"/>
    <x v="0"/>
  </r>
  <r>
    <x v="3"/>
    <x v="2"/>
    <x v="3"/>
    <s v="New "/>
    <n v="345"/>
    <n v="7000"/>
    <n v="7840"/>
    <n v="1400"/>
    <x v="0"/>
  </r>
  <r>
    <x v="3"/>
    <x v="2"/>
    <x v="1"/>
    <s v="Offices"/>
    <n v="122"/>
    <n v="100"/>
    <n v="112"/>
    <n v="20"/>
    <x v="0"/>
  </r>
  <r>
    <x v="3"/>
    <x v="2"/>
    <x v="4"/>
    <s v="Facebook Page"/>
    <n v="78"/>
    <n v="2288.6"/>
    <n v="5126.4639999999999"/>
    <n v="457.72"/>
    <x v="0"/>
  </r>
  <r>
    <x v="3"/>
    <x v="2"/>
    <x v="4"/>
    <s v="Google Ad"/>
    <n v="76"/>
    <n v="2288.4499999999998"/>
    <n v="5126.1279999999997"/>
    <n v="457.69"/>
    <x v="0"/>
  </r>
  <r>
    <x v="3"/>
    <x v="2"/>
    <x v="4"/>
    <s v="Company Website"/>
    <n v="46"/>
    <n v="100"/>
    <n v="224"/>
    <n v="20"/>
    <x v="0"/>
  </r>
  <r>
    <x v="3"/>
    <x v="2"/>
    <x v="4"/>
    <s v="Youtube Channel"/>
    <n v="34"/>
    <n v="2288.4"/>
    <n v="5126.0160000000005"/>
    <n v="457.68000000000006"/>
    <x v="0"/>
  </r>
  <r>
    <x v="3"/>
    <x v="2"/>
    <x v="1"/>
    <s v="Lands"/>
    <n v="7"/>
    <n v="200"/>
    <n v="224"/>
    <n v="40"/>
    <x v="0"/>
  </r>
  <r>
    <x v="3"/>
    <x v="2"/>
    <x v="4"/>
    <s v="Television Ad"/>
    <n v="3"/>
    <n v="2288.65"/>
    <n v="5126.576"/>
    <n v="457.73"/>
    <x v="0"/>
  </r>
  <r>
    <x v="3"/>
    <x v="2"/>
    <x v="5"/>
    <s v="Asset sale"/>
    <n v="2"/>
    <n v="6600"/>
    <n v="7392"/>
    <n v="1320"/>
    <x v="0"/>
  </r>
  <r>
    <x v="3"/>
    <x v="3"/>
    <x v="0"/>
    <s v="Software Metered License"/>
    <n v="3566"/>
    <n v="4577.3"/>
    <n v="5126.576"/>
    <n v="915.46"/>
    <x v="0"/>
  </r>
  <r>
    <x v="3"/>
    <x v="3"/>
    <x v="0"/>
    <s v="Floating License"/>
    <n v="2498"/>
    <n v="8000"/>
    <n v="8960"/>
    <n v="1600"/>
    <x v="1"/>
  </r>
  <r>
    <x v="3"/>
    <x v="3"/>
    <x v="1"/>
    <s v="Equipments"/>
    <n v="1245"/>
    <n v="4577.2"/>
    <n v="5126.4639999999999"/>
    <n v="915.44"/>
    <x v="1"/>
  </r>
  <r>
    <x v="3"/>
    <x v="3"/>
    <x v="2"/>
    <s v="Prime"/>
    <n v="644"/>
    <n v="15000"/>
    <n v="6432.72"/>
    <n v="3000"/>
    <x v="1"/>
  </r>
  <r>
    <x v="3"/>
    <x v="3"/>
    <x v="3"/>
    <s v="Renewal"/>
    <n v="643"/>
    <n v="7000"/>
    <n v="7840"/>
    <n v="1400"/>
    <x v="1"/>
  </r>
  <r>
    <x v="3"/>
    <x v="3"/>
    <x v="2"/>
    <s v="Premium"/>
    <n v="455"/>
    <n v="14000"/>
    <n v="5128.0320000000002"/>
    <n v="2800"/>
    <x v="1"/>
  </r>
  <r>
    <x v="3"/>
    <x v="3"/>
    <x v="3"/>
    <s v="New "/>
    <n v="345"/>
    <n v="7000"/>
    <n v="7840"/>
    <n v="1400"/>
    <x v="1"/>
  </r>
  <r>
    <x v="3"/>
    <x v="3"/>
    <x v="1"/>
    <s v="Offices"/>
    <n v="122"/>
    <n v="100"/>
    <n v="112"/>
    <n v="20"/>
    <x v="1"/>
  </r>
  <r>
    <x v="3"/>
    <x v="3"/>
    <x v="4"/>
    <s v="Facebook Page"/>
    <n v="78"/>
    <n v="2288.6"/>
    <n v="5126.4639999999999"/>
    <n v="457.72"/>
    <x v="1"/>
  </r>
  <r>
    <x v="3"/>
    <x v="3"/>
    <x v="4"/>
    <s v="Google Ad"/>
    <n v="76"/>
    <n v="2288.4499999999998"/>
    <n v="5126.1279999999997"/>
    <n v="457.69"/>
    <x v="1"/>
  </r>
  <r>
    <x v="3"/>
    <x v="3"/>
    <x v="4"/>
    <s v="Company Website"/>
    <n v="46"/>
    <n v="100"/>
    <n v="224"/>
    <n v="20"/>
    <x v="1"/>
  </r>
  <r>
    <x v="3"/>
    <x v="3"/>
    <x v="4"/>
    <s v="Youtube Channel"/>
    <n v="34"/>
    <n v="2288.4"/>
    <n v="5126.0160000000005"/>
    <n v="457.68000000000006"/>
    <x v="1"/>
  </r>
  <r>
    <x v="3"/>
    <x v="3"/>
    <x v="1"/>
    <s v="Lands"/>
    <n v="7"/>
    <n v="200"/>
    <n v="224"/>
    <n v="40"/>
    <x v="1"/>
  </r>
  <r>
    <x v="3"/>
    <x v="3"/>
    <x v="4"/>
    <s v="Television Ad"/>
    <n v="3"/>
    <n v="2288.65"/>
    <n v="5126.576"/>
    <n v="457.73"/>
    <x v="1"/>
  </r>
  <r>
    <x v="3"/>
    <x v="3"/>
    <x v="5"/>
    <s v="Asset sale"/>
    <n v="2"/>
    <n v="7920"/>
    <n v="7392"/>
    <n v="1584"/>
    <x v="1"/>
  </r>
  <r>
    <x v="3"/>
    <x v="4"/>
    <x v="0"/>
    <s v="Software Metered License"/>
    <n v="3566"/>
    <n v="4577.3"/>
    <n v="5126.576"/>
    <n v="915.46"/>
    <x v="1"/>
  </r>
  <r>
    <x v="3"/>
    <x v="4"/>
    <x v="0"/>
    <s v="Floating License"/>
    <n v="2498"/>
    <n v="8800"/>
    <n v="8960"/>
    <n v="1760"/>
    <x v="1"/>
  </r>
  <r>
    <x v="3"/>
    <x v="4"/>
    <x v="1"/>
    <s v="Equipments"/>
    <n v="1245"/>
    <n v="5034.92"/>
    <n v="5126.4639999999999"/>
    <n v="1006.984"/>
    <x v="1"/>
  </r>
  <r>
    <x v="3"/>
    <x v="4"/>
    <x v="2"/>
    <s v="Prime"/>
    <n v="644"/>
    <n v="6317.85"/>
    <n v="6432.72"/>
    <n v="1263.5700000000002"/>
    <x v="1"/>
  </r>
  <r>
    <x v="3"/>
    <x v="4"/>
    <x v="3"/>
    <s v="Renewal"/>
    <n v="643"/>
    <n v="7700"/>
    <n v="7840"/>
    <n v="1540"/>
    <x v="1"/>
  </r>
  <r>
    <x v="3"/>
    <x v="4"/>
    <x v="2"/>
    <s v="Premium"/>
    <n v="455"/>
    <n v="5036.46"/>
    <n v="5128.0320000000002"/>
    <n v="1007.292"/>
    <x v="1"/>
  </r>
  <r>
    <x v="3"/>
    <x v="4"/>
    <x v="3"/>
    <s v="New "/>
    <n v="345"/>
    <n v="7700"/>
    <n v="7840"/>
    <n v="1540"/>
    <x v="1"/>
  </r>
  <r>
    <x v="3"/>
    <x v="4"/>
    <x v="1"/>
    <s v="Offices"/>
    <n v="122"/>
    <n v="110"/>
    <n v="112"/>
    <n v="22"/>
    <x v="1"/>
  </r>
  <r>
    <x v="3"/>
    <x v="4"/>
    <x v="4"/>
    <s v="Facebook Page"/>
    <n v="78"/>
    <n v="2517.46"/>
    <n v="5126.4639999999999"/>
    <n v="503.49200000000002"/>
    <x v="1"/>
  </r>
  <r>
    <x v="3"/>
    <x v="4"/>
    <x v="4"/>
    <s v="Google Ad"/>
    <n v="76"/>
    <n v="2288.4499999999998"/>
    <n v="5126.1279999999997"/>
    <n v="457.69"/>
    <x v="1"/>
  </r>
  <r>
    <x v="3"/>
    <x v="4"/>
    <x v="4"/>
    <s v="Company Website"/>
    <n v="46"/>
    <n v="100"/>
    <n v="224"/>
    <n v="20"/>
    <x v="1"/>
  </r>
  <r>
    <x v="3"/>
    <x v="4"/>
    <x v="4"/>
    <s v="Youtube Channel"/>
    <n v="34"/>
    <n v="2288.4"/>
    <n v="5126.0160000000005"/>
    <n v="457.68000000000006"/>
    <x v="0"/>
  </r>
  <r>
    <x v="3"/>
    <x v="4"/>
    <x v="1"/>
    <s v="Lands"/>
    <n v="7"/>
    <n v="200"/>
    <n v="224"/>
    <n v="40"/>
    <x v="0"/>
  </r>
  <r>
    <x v="3"/>
    <x v="4"/>
    <x v="4"/>
    <s v="Television Ad"/>
    <n v="3"/>
    <n v="3300"/>
    <n v="5126.576"/>
    <n v="660"/>
    <x v="0"/>
  </r>
  <r>
    <x v="3"/>
    <x v="4"/>
    <x v="5"/>
    <s v="Asset sale"/>
    <n v="2"/>
    <n v="4577.3"/>
    <n v="7392"/>
    <n v="915.46"/>
    <x v="0"/>
  </r>
  <r>
    <x v="3"/>
    <x v="5"/>
    <x v="0"/>
    <s v="Software Metered License"/>
    <n v="3566"/>
    <n v="4577.3"/>
    <n v="5126.576"/>
    <n v="915.46"/>
    <x v="0"/>
  </r>
  <r>
    <x v="3"/>
    <x v="5"/>
    <x v="0"/>
    <s v="Floating License"/>
    <n v="2498"/>
    <n v="8000"/>
    <n v="8960"/>
    <n v="1600"/>
    <x v="0"/>
  </r>
  <r>
    <x v="3"/>
    <x v="5"/>
    <x v="1"/>
    <s v="Equipments"/>
    <n v="1245"/>
    <n v="4577.2"/>
    <n v="5126.4639999999999"/>
    <n v="915.44"/>
    <x v="0"/>
  </r>
  <r>
    <x v="3"/>
    <x v="5"/>
    <x v="2"/>
    <s v="Prime"/>
    <n v="644"/>
    <n v="10000"/>
    <n v="6432.72"/>
    <n v="2000"/>
    <x v="0"/>
  </r>
  <r>
    <x v="3"/>
    <x v="5"/>
    <x v="3"/>
    <s v="Renewal"/>
    <n v="643"/>
    <n v="7000"/>
    <n v="7840"/>
    <n v="1400"/>
    <x v="0"/>
  </r>
  <r>
    <x v="3"/>
    <x v="5"/>
    <x v="2"/>
    <s v="Premium"/>
    <n v="455"/>
    <n v="8000"/>
    <n v="5128.0320000000002"/>
    <n v="1600"/>
    <x v="0"/>
  </r>
  <r>
    <x v="3"/>
    <x v="5"/>
    <x v="3"/>
    <s v="New "/>
    <n v="345"/>
    <n v="7000"/>
    <n v="7840"/>
    <n v="1400"/>
    <x v="0"/>
  </r>
  <r>
    <x v="3"/>
    <x v="5"/>
    <x v="1"/>
    <s v="Offices"/>
    <n v="122"/>
    <n v="100"/>
    <n v="112"/>
    <n v="20"/>
    <x v="0"/>
  </r>
  <r>
    <x v="3"/>
    <x v="5"/>
    <x v="4"/>
    <s v="Facebook Page"/>
    <n v="78"/>
    <n v="2288.6"/>
    <n v="5126.4639999999999"/>
    <n v="457.72"/>
    <x v="0"/>
  </r>
  <r>
    <x v="3"/>
    <x v="5"/>
    <x v="4"/>
    <s v="Google Ad"/>
    <n v="76"/>
    <n v="2288.4499999999998"/>
    <n v="5126.1279999999997"/>
    <n v="457.69"/>
    <x v="0"/>
  </r>
  <r>
    <x v="3"/>
    <x v="5"/>
    <x v="4"/>
    <s v="Company Website"/>
    <n v="46"/>
    <n v="100"/>
    <n v="224"/>
    <n v="20"/>
    <x v="0"/>
  </r>
  <r>
    <x v="3"/>
    <x v="5"/>
    <x v="4"/>
    <s v="Youtube Channel"/>
    <n v="34"/>
    <n v="2288.4"/>
    <n v="5126.0160000000005"/>
    <n v="457.68000000000006"/>
    <x v="0"/>
  </r>
  <r>
    <x v="3"/>
    <x v="5"/>
    <x v="1"/>
    <s v="Lands"/>
    <n v="7"/>
    <n v="200"/>
    <n v="224"/>
    <n v="40"/>
    <x v="0"/>
  </r>
  <r>
    <x v="3"/>
    <x v="5"/>
    <x v="5"/>
    <s v="Asset sale"/>
    <n v="3"/>
    <n v="4577.3"/>
    <n v="7392"/>
    <n v="915.46"/>
    <x v="1"/>
  </r>
  <r>
    <x v="3"/>
    <x v="5"/>
    <x v="4"/>
    <s v="Television Ad"/>
    <n v="3"/>
    <n v="2288.65"/>
    <n v="5126.576"/>
    <n v="457.73"/>
    <x v="1"/>
  </r>
  <r>
    <x v="3"/>
    <x v="6"/>
    <x v="0"/>
    <s v="Software Metered License"/>
    <n v="3566"/>
    <n v="4577.3"/>
    <n v="5126.576"/>
    <n v="915.46"/>
    <x v="1"/>
  </r>
  <r>
    <x v="3"/>
    <x v="6"/>
    <x v="0"/>
    <s v="Floating License"/>
    <n v="2498"/>
    <n v="8000"/>
    <n v="8960"/>
    <n v="1600"/>
    <x v="1"/>
  </r>
  <r>
    <x v="3"/>
    <x v="6"/>
    <x v="1"/>
    <s v="Equipments"/>
    <n v="1245"/>
    <n v="4577.2"/>
    <n v="5126.4639999999999"/>
    <n v="915.44"/>
    <x v="1"/>
  </r>
  <r>
    <x v="3"/>
    <x v="6"/>
    <x v="2"/>
    <s v="Prime"/>
    <n v="644"/>
    <n v="5743.5"/>
    <n v="6432.72"/>
    <n v="1148.7"/>
    <x v="1"/>
  </r>
  <r>
    <x v="3"/>
    <x v="6"/>
    <x v="3"/>
    <s v="Renewal"/>
    <n v="643"/>
    <n v="7000"/>
    <n v="7840"/>
    <n v="1400"/>
    <x v="1"/>
  </r>
  <r>
    <x v="3"/>
    <x v="6"/>
    <x v="2"/>
    <s v="Premium"/>
    <n v="455"/>
    <n v="4578.6000000000004"/>
    <n v="5128.0320000000002"/>
    <n v="915.72000000000014"/>
    <x v="1"/>
  </r>
  <r>
    <x v="3"/>
    <x v="6"/>
    <x v="3"/>
    <s v="New "/>
    <n v="345"/>
    <n v="7000"/>
    <n v="7840"/>
    <n v="1400"/>
    <x v="1"/>
  </r>
  <r>
    <x v="3"/>
    <x v="6"/>
    <x v="1"/>
    <s v="Offices"/>
    <n v="122"/>
    <n v="100"/>
    <n v="112"/>
    <n v="20"/>
    <x v="1"/>
  </r>
  <r>
    <x v="3"/>
    <x v="6"/>
    <x v="4"/>
    <s v="Facebook Page"/>
    <n v="78"/>
    <n v="2288.6"/>
    <n v="5126.4639999999999"/>
    <n v="457.72"/>
    <x v="1"/>
  </r>
  <r>
    <x v="3"/>
    <x v="6"/>
    <x v="4"/>
    <s v="Google Ad"/>
    <n v="76"/>
    <n v="2288.4499999999998"/>
    <n v="5126.1279999999997"/>
    <n v="457.69"/>
    <x v="1"/>
  </r>
  <r>
    <x v="3"/>
    <x v="6"/>
    <x v="4"/>
    <s v="Company Website"/>
    <n v="46"/>
    <n v="100"/>
    <n v="224"/>
    <n v="20"/>
    <x v="1"/>
  </r>
  <r>
    <x v="3"/>
    <x v="6"/>
    <x v="4"/>
    <s v="Youtube Channel"/>
    <n v="34"/>
    <n v="2288.4"/>
    <n v="5126.0160000000005"/>
    <n v="457.68000000000006"/>
    <x v="1"/>
  </r>
  <r>
    <x v="3"/>
    <x v="6"/>
    <x v="1"/>
    <s v="Lands"/>
    <n v="7"/>
    <n v="200"/>
    <n v="224"/>
    <n v="40"/>
    <x v="1"/>
  </r>
  <r>
    <x v="3"/>
    <x v="6"/>
    <x v="4"/>
    <s v="Television Ad"/>
    <n v="3"/>
    <n v="2288.65"/>
    <n v="5126.576"/>
    <n v="457.73"/>
    <x v="1"/>
  </r>
  <r>
    <x v="3"/>
    <x v="6"/>
    <x v="5"/>
    <s v="Asset sale"/>
    <n v="2"/>
    <n v="6600"/>
    <n v="7392"/>
    <n v="1320"/>
    <x v="0"/>
  </r>
  <r>
    <x v="3"/>
    <x v="7"/>
    <x v="0"/>
    <s v="Software Metered License"/>
    <n v="3566"/>
    <n v="4577.3"/>
    <n v="5126.576"/>
    <n v="915.46"/>
    <x v="0"/>
  </r>
  <r>
    <x v="3"/>
    <x v="7"/>
    <x v="0"/>
    <s v="Floating License"/>
    <n v="2498"/>
    <n v="8000"/>
    <n v="8960"/>
    <n v="1600"/>
    <x v="0"/>
  </r>
  <r>
    <x v="3"/>
    <x v="7"/>
    <x v="1"/>
    <s v="Equipments"/>
    <n v="1245"/>
    <n v="4577.2"/>
    <n v="5126.4639999999999"/>
    <n v="915.44"/>
    <x v="0"/>
  </r>
  <r>
    <x v="3"/>
    <x v="7"/>
    <x v="2"/>
    <s v="Prime"/>
    <n v="644"/>
    <n v="5743.5"/>
    <n v="6432.72"/>
    <n v="1148.7"/>
    <x v="0"/>
  </r>
  <r>
    <x v="3"/>
    <x v="7"/>
    <x v="3"/>
    <s v="Renewal"/>
    <n v="643"/>
    <n v="7000"/>
    <n v="7840"/>
    <n v="1400"/>
    <x v="1"/>
  </r>
  <r>
    <x v="3"/>
    <x v="7"/>
    <x v="2"/>
    <s v="Premium"/>
    <n v="455"/>
    <n v="5036.46"/>
    <n v="5128.0320000000002"/>
    <n v="1007.292"/>
    <x v="1"/>
  </r>
  <r>
    <x v="3"/>
    <x v="7"/>
    <x v="3"/>
    <s v="New "/>
    <n v="345"/>
    <n v="7700"/>
    <n v="7840"/>
    <n v="1540"/>
    <x v="1"/>
  </r>
  <r>
    <x v="3"/>
    <x v="7"/>
    <x v="1"/>
    <s v="Offices"/>
    <n v="122"/>
    <n v="110"/>
    <n v="112"/>
    <n v="22"/>
    <x v="1"/>
  </r>
  <r>
    <x v="3"/>
    <x v="7"/>
    <x v="4"/>
    <s v="Facebook Page"/>
    <n v="78"/>
    <n v="2517.46"/>
    <n v="5126.4639999999999"/>
    <n v="503.49200000000002"/>
    <x v="1"/>
  </r>
  <r>
    <x v="3"/>
    <x v="7"/>
    <x v="4"/>
    <s v="Google Ad"/>
    <n v="76"/>
    <n v="2517.2949999999996"/>
    <n v="5126.1279999999997"/>
    <n v="503.45899999999995"/>
    <x v="1"/>
  </r>
  <r>
    <x v="3"/>
    <x v="7"/>
    <x v="4"/>
    <s v="Company Website"/>
    <n v="46"/>
    <n v="115"/>
    <n v="224"/>
    <n v="23"/>
    <x v="1"/>
  </r>
  <r>
    <x v="3"/>
    <x v="7"/>
    <x v="4"/>
    <s v="Youtube Channel"/>
    <n v="34"/>
    <n v="2631.66"/>
    <n v="5126.0160000000005"/>
    <n v="526.33199999999999"/>
    <x v="1"/>
  </r>
  <r>
    <x v="3"/>
    <x v="7"/>
    <x v="1"/>
    <s v="Lands"/>
    <n v="7"/>
    <n v="230"/>
    <n v="224"/>
    <n v="46"/>
    <x v="1"/>
  </r>
  <r>
    <x v="3"/>
    <x v="7"/>
    <x v="4"/>
    <s v="Television Ad"/>
    <n v="3"/>
    <n v="2631.9475000000002"/>
    <n v="5126.576"/>
    <n v="526.38950000000011"/>
    <x v="0"/>
  </r>
  <r>
    <x v="3"/>
    <x v="7"/>
    <x v="5"/>
    <s v="Asset sale"/>
    <n v="2"/>
    <n v="7590"/>
    <n v="7392"/>
    <n v="1518"/>
    <x v="1"/>
  </r>
  <r>
    <x v="3"/>
    <x v="8"/>
    <x v="0"/>
    <s v="Software Metered License"/>
    <n v="3566"/>
    <n v="4577.3"/>
    <n v="5126.576"/>
    <n v="915.46"/>
    <x v="1"/>
  </r>
  <r>
    <x v="3"/>
    <x v="8"/>
    <x v="0"/>
    <s v="Floating License"/>
    <n v="2498"/>
    <n v="8000"/>
    <n v="8960"/>
    <n v="1600"/>
    <x v="1"/>
  </r>
  <r>
    <x v="3"/>
    <x v="8"/>
    <x v="1"/>
    <s v="Equipments"/>
    <n v="1245"/>
    <n v="4577.2"/>
    <n v="5126.4639999999999"/>
    <n v="915.44"/>
    <x v="1"/>
  </r>
  <r>
    <x v="3"/>
    <x v="8"/>
    <x v="2"/>
    <s v="Prime"/>
    <n v="644"/>
    <n v="5743.5"/>
    <n v="6432.72"/>
    <n v="1148.7"/>
    <x v="1"/>
  </r>
  <r>
    <x v="3"/>
    <x v="8"/>
    <x v="3"/>
    <s v="Renewal"/>
    <n v="643"/>
    <n v="7000"/>
    <n v="7840"/>
    <n v="1400"/>
    <x v="1"/>
  </r>
  <r>
    <x v="3"/>
    <x v="8"/>
    <x v="2"/>
    <s v="Premium"/>
    <n v="455"/>
    <n v="4578.6000000000004"/>
    <n v="5128.0320000000002"/>
    <n v="915.72000000000014"/>
    <x v="1"/>
  </r>
  <r>
    <x v="3"/>
    <x v="8"/>
    <x v="3"/>
    <s v="New "/>
    <n v="345"/>
    <n v="7000"/>
    <n v="7840"/>
    <n v="1400"/>
    <x v="1"/>
  </r>
  <r>
    <x v="3"/>
    <x v="8"/>
    <x v="1"/>
    <s v="Offices"/>
    <n v="122"/>
    <n v="100"/>
    <n v="112"/>
    <n v="20"/>
    <x v="1"/>
  </r>
  <r>
    <x v="3"/>
    <x v="8"/>
    <x v="4"/>
    <s v="Facebook Page"/>
    <n v="78"/>
    <n v="2288.6"/>
    <n v="5126.4639999999999"/>
    <n v="457.72"/>
    <x v="1"/>
  </r>
  <r>
    <x v="3"/>
    <x v="8"/>
    <x v="4"/>
    <s v="Google Ad"/>
    <n v="76"/>
    <n v="2288.4499999999998"/>
    <n v="5126.1279999999997"/>
    <n v="457.69"/>
    <x v="1"/>
  </r>
  <r>
    <x v="3"/>
    <x v="8"/>
    <x v="4"/>
    <s v="Company Website"/>
    <n v="46"/>
    <n v="100"/>
    <n v="224"/>
    <n v="20"/>
    <x v="1"/>
  </r>
  <r>
    <x v="3"/>
    <x v="8"/>
    <x v="4"/>
    <s v="Youtube Channel"/>
    <n v="34"/>
    <n v="2746.08"/>
    <n v="5126.0160000000005"/>
    <n v="549.21600000000001"/>
    <x v="1"/>
  </r>
  <r>
    <x v="3"/>
    <x v="8"/>
    <x v="1"/>
    <s v="Lands"/>
    <n v="7"/>
    <n v="240"/>
    <n v="224"/>
    <n v="48"/>
    <x v="1"/>
  </r>
  <r>
    <x v="3"/>
    <x v="8"/>
    <x v="4"/>
    <s v="Television Ad"/>
    <n v="3"/>
    <n v="2746.38"/>
    <n v="5126.576"/>
    <n v="549.27600000000007"/>
    <x v="1"/>
  </r>
  <r>
    <x v="3"/>
    <x v="8"/>
    <x v="5"/>
    <s v="Asset sale"/>
    <n v="2"/>
    <n v="7920"/>
    <n v="7392"/>
    <n v="1584"/>
    <x v="1"/>
  </r>
  <r>
    <x v="3"/>
    <x v="9"/>
    <x v="0"/>
    <s v="Software Metered License"/>
    <n v="3566"/>
    <n v="5035.0300000000007"/>
    <n v="5126.576"/>
    <n v="1007.0060000000002"/>
    <x v="1"/>
  </r>
  <r>
    <x v="3"/>
    <x v="9"/>
    <x v="0"/>
    <s v="Floating License"/>
    <n v="2498"/>
    <n v="9200"/>
    <n v="8960"/>
    <n v="1840"/>
    <x v="1"/>
  </r>
  <r>
    <x v="3"/>
    <x v="9"/>
    <x v="1"/>
    <s v="Equipments"/>
    <n v="1245"/>
    <n v="5263.78"/>
    <n v="5126.4639999999999"/>
    <n v="1052.7560000000001"/>
    <x v="1"/>
  </r>
  <r>
    <x v="3"/>
    <x v="9"/>
    <x v="2"/>
    <s v="Prime"/>
    <n v="644"/>
    <n v="6605.0249999999996"/>
    <n v="6432.72"/>
    <n v="1321.0050000000001"/>
    <x v="1"/>
  </r>
  <r>
    <x v="3"/>
    <x v="9"/>
    <x v="3"/>
    <s v="Renewal"/>
    <n v="643"/>
    <n v="8400"/>
    <n v="7840"/>
    <n v="1680"/>
    <x v="1"/>
  </r>
  <r>
    <x v="3"/>
    <x v="9"/>
    <x v="2"/>
    <s v="Premium"/>
    <n v="455"/>
    <n v="5494.3200000000006"/>
    <n v="5128.0320000000002"/>
    <n v="1098.8640000000003"/>
    <x v="1"/>
  </r>
  <r>
    <x v="3"/>
    <x v="9"/>
    <x v="3"/>
    <s v="New "/>
    <n v="345"/>
    <n v="8400"/>
    <n v="7840"/>
    <n v="1680"/>
    <x v="1"/>
  </r>
  <r>
    <x v="3"/>
    <x v="9"/>
    <x v="1"/>
    <s v="Offices"/>
    <n v="122"/>
    <n v="120"/>
    <n v="112"/>
    <n v="24"/>
    <x v="1"/>
  </r>
  <r>
    <x v="3"/>
    <x v="9"/>
    <x v="4"/>
    <s v="Facebook Page"/>
    <n v="78"/>
    <n v="2517.46"/>
    <n v="5126.4639999999999"/>
    <n v="503.49200000000002"/>
    <x v="1"/>
  </r>
  <r>
    <x v="3"/>
    <x v="9"/>
    <x v="4"/>
    <s v="Google Ad"/>
    <n v="76"/>
    <n v="2517.2949999999996"/>
    <n v="5126.1279999999997"/>
    <n v="503.45899999999995"/>
    <x v="1"/>
  </r>
  <r>
    <x v="3"/>
    <x v="9"/>
    <x v="4"/>
    <s v="Company Website"/>
    <n v="46"/>
    <n v="110"/>
    <n v="224"/>
    <n v="22"/>
    <x v="1"/>
  </r>
  <r>
    <x v="3"/>
    <x v="9"/>
    <x v="4"/>
    <s v="Youtube Channel"/>
    <n v="34"/>
    <n v="2517.2400000000002"/>
    <n v="5126.0160000000005"/>
    <n v="503.44800000000009"/>
    <x v="1"/>
  </r>
  <r>
    <x v="3"/>
    <x v="9"/>
    <x v="1"/>
    <s v="Lands"/>
    <n v="7"/>
    <n v="220"/>
    <n v="224"/>
    <n v="44"/>
    <x v="1"/>
  </r>
  <r>
    <x v="3"/>
    <x v="9"/>
    <x v="4"/>
    <s v="Television Ad"/>
    <n v="3"/>
    <n v="2517.5150000000003"/>
    <n v="5126.576"/>
    <n v="503.5030000000001"/>
    <x v="1"/>
  </r>
  <r>
    <x v="3"/>
    <x v="9"/>
    <x v="5"/>
    <s v="Asset sale"/>
    <n v="2"/>
    <n v="7260"/>
    <n v="7392"/>
    <n v="1452"/>
    <x v="1"/>
  </r>
  <r>
    <x v="3"/>
    <x v="10"/>
    <x v="0"/>
    <s v="Software Metered License"/>
    <n v="3566"/>
    <n v="5263.8950000000004"/>
    <n v="5126.576"/>
    <n v="1052.7790000000002"/>
    <x v="1"/>
  </r>
  <r>
    <x v="3"/>
    <x v="10"/>
    <x v="0"/>
    <s v="Floating License"/>
    <n v="2498"/>
    <n v="8800"/>
    <n v="8960"/>
    <n v="1760"/>
    <x v="1"/>
  </r>
  <r>
    <x v="3"/>
    <x v="10"/>
    <x v="1"/>
    <s v="Equipments"/>
    <n v="1245"/>
    <n v="5034.92"/>
    <n v="5126.4639999999999"/>
    <n v="1006.984"/>
    <x v="1"/>
  </r>
  <r>
    <x v="3"/>
    <x v="10"/>
    <x v="2"/>
    <s v="Prime"/>
    <n v="644"/>
    <n v="22000"/>
    <n v="6432.72"/>
    <n v="4400"/>
    <x v="1"/>
  </r>
  <r>
    <x v="3"/>
    <x v="10"/>
    <x v="3"/>
    <s v="Renewal"/>
    <n v="643"/>
    <n v="7700"/>
    <n v="7840"/>
    <n v="1540"/>
    <x v="1"/>
  </r>
  <r>
    <x v="3"/>
    <x v="10"/>
    <x v="2"/>
    <s v="Premium"/>
    <n v="455"/>
    <n v="11111"/>
    <n v="5128.0320000000002"/>
    <n v="2222.2000000000003"/>
    <x v="1"/>
  </r>
  <r>
    <x v="3"/>
    <x v="10"/>
    <x v="3"/>
    <s v="New "/>
    <n v="345"/>
    <n v="7700"/>
    <n v="7840"/>
    <n v="1540"/>
    <x v="1"/>
  </r>
  <r>
    <x v="3"/>
    <x v="10"/>
    <x v="1"/>
    <s v="Offices"/>
    <n v="122"/>
    <n v="110"/>
    <n v="112"/>
    <n v="22"/>
    <x v="1"/>
  </r>
  <r>
    <x v="3"/>
    <x v="10"/>
    <x v="4"/>
    <s v="Facebook Page"/>
    <n v="78"/>
    <n v="2517.46"/>
    <n v="5126.4639999999999"/>
    <n v="503.49200000000002"/>
    <x v="1"/>
  </r>
  <r>
    <x v="3"/>
    <x v="10"/>
    <x v="4"/>
    <s v="Google Ad"/>
    <n v="76"/>
    <n v="2288.4499999999998"/>
    <n v="5126.1279999999997"/>
    <n v="457.69"/>
    <x v="1"/>
  </r>
  <r>
    <x v="3"/>
    <x v="10"/>
    <x v="4"/>
    <s v="Company Website"/>
    <n v="46"/>
    <n v="100"/>
    <n v="224"/>
    <n v="20"/>
    <x v="1"/>
  </r>
  <r>
    <x v="3"/>
    <x v="10"/>
    <x v="4"/>
    <s v="Youtube Channel"/>
    <n v="34"/>
    <n v="2288.4"/>
    <n v="5126.0160000000005"/>
    <n v="457.68000000000006"/>
    <x v="1"/>
  </r>
  <r>
    <x v="3"/>
    <x v="10"/>
    <x v="1"/>
    <s v="Lands"/>
    <n v="7"/>
    <n v="200"/>
    <n v="224"/>
    <n v="40"/>
    <x v="1"/>
  </r>
  <r>
    <x v="3"/>
    <x v="10"/>
    <x v="4"/>
    <s v="Television Ad"/>
    <n v="3"/>
    <n v="2288.65"/>
    <n v="5126.576"/>
    <n v="457.73"/>
    <x v="1"/>
  </r>
  <r>
    <x v="3"/>
    <x v="10"/>
    <x v="5"/>
    <s v="Asset sale"/>
    <n v="2"/>
    <n v="6600"/>
    <n v="7392"/>
    <n v="1320"/>
    <x v="1"/>
  </r>
  <r>
    <x v="3"/>
    <x v="11"/>
    <x v="0"/>
    <s v="Software Metered License"/>
    <n v="3566"/>
    <n v="4577.3"/>
    <n v="5126.576"/>
    <n v="915.46"/>
    <x v="1"/>
  </r>
  <r>
    <x v="3"/>
    <x v="11"/>
    <x v="0"/>
    <s v="Floating License"/>
    <n v="2498"/>
    <n v="8000"/>
    <n v="8960"/>
    <n v="1600"/>
    <x v="1"/>
  </r>
  <r>
    <x v="3"/>
    <x v="11"/>
    <x v="1"/>
    <s v="Equipments"/>
    <n v="1245"/>
    <n v="4577.2"/>
    <n v="5126.4639999999999"/>
    <n v="915.44"/>
    <x v="1"/>
  </r>
  <r>
    <x v="3"/>
    <x v="11"/>
    <x v="2"/>
    <s v="Prime"/>
    <n v="644"/>
    <n v="5743.5"/>
    <n v="6432.72"/>
    <n v="1148.7"/>
    <x v="1"/>
  </r>
  <r>
    <x v="3"/>
    <x v="11"/>
    <x v="3"/>
    <s v="Renewal"/>
    <n v="643"/>
    <n v="7000"/>
    <n v="7840"/>
    <n v="1400"/>
    <x v="1"/>
  </r>
  <r>
    <x v="3"/>
    <x v="11"/>
    <x v="2"/>
    <s v="Premium"/>
    <n v="455"/>
    <n v="4578.6000000000004"/>
    <n v="5128.0320000000002"/>
    <n v="915.72000000000014"/>
    <x v="1"/>
  </r>
  <r>
    <x v="3"/>
    <x v="11"/>
    <x v="3"/>
    <s v="New "/>
    <n v="345"/>
    <n v="7000"/>
    <n v="7840"/>
    <n v="1400"/>
    <x v="1"/>
  </r>
  <r>
    <x v="3"/>
    <x v="11"/>
    <x v="1"/>
    <s v="Offices"/>
    <n v="122"/>
    <n v="100"/>
    <n v="112"/>
    <n v="20"/>
    <x v="1"/>
  </r>
  <r>
    <x v="3"/>
    <x v="11"/>
    <x v="4"/>
    <s v="Facebook Page"/>
    <n v="78"/>
    <n v="2288.6"/>
    <n v="5126.4639999999999"/>
    <n v="457.72"/>
    <x v="1"/>
  </r>
  <r>
    <x v="3"/>
    <x v="11"/>
    <x v="4"/>
    <s v="Google Ad"/>
    <n v="76"/>
    <n v="2288.4499999999998"/>
    <n v="5126.1279999999997"/>
    <n v="457.69"/>
    <x v="1"/>
  </r>
  <r>
    <x v="3"/>
    <x v="11"/>
    <x v="4"/>
    <s v="Company Website"/>
    <n v="46"/>
    <n v="100"/>
    <n v="224"/>
    <n v="20"/>
    <x v="1"/>
  </r>
  <r>
    <x v="3"/>
    <x v="11"/>
    <x v="4"/>
    <s v="Youtube Channel"/>
    <n v="34"/>
    <n v="2288.4"/>
    <n v="5126.0160000000005"/>
    <n v="457.68000000000006"/>
    <x v="1"/>
  </r>
  <r>
    <x v="3"/>
    <x v="11"/>
    <x v="1"/>
    <s v="Lands"/>
    <n v="7"/>
    <n v="200"/>
    <n v="224"/>
    <n v="40"/>
    <x v="1"/>
  </r>
  <r>
    <x v="3"/>
    <x v="11"/>
    <x v="4"/>
    <s v="Television Ad"/>
    <n v="3"/>
    <n v="2288.65"/>
    <n v="5126.576"/>
    <n v="457.73"/>
    <x v="1"/>
  </r>
  <r>
    <x v="3"/>
    <x v="11"/>
    <x v="5"/>
    <s v="Asset sale"/>
    <n v="2"/>
    <n v="6600"/>
    <n v="7392"/>
    <n v="1320"/>
    <x v="1"/>
  </r>
  <r>
    <x v="4"/>
    <x v="0"/>
    <x v="0"/>
    <s v="Software Metered License"/>
    <n v="3566"/>
    <n v="4577.3"/>
    <n v="5126.576"/>
    <n v="915.46"/>
    <x v="1"/>
  </r>
  <r>
    <x v="4"/>
    <x v="0"/>
    <x v="0"/>
    <s v="Floating License"/>
    <n v="2498"/>
    <n v="8000"/>
    <n v="8960"/>
    <n v="1600"/>
    <x v="1"/>
  </r>
  <r>
    <x v="4"/>
    <x v="0"/>
    <x v="1"/>
    <s v="Equipments"/>
    <n v="1245"/>
    <n v="4577.2"/>
    <n v="5126.4639999999999"/>
    <n v="915.44"/>
    <x v="1"/>
  </r>
  <r>
    <x v="4"/>
    <x v="0"/>
    <x v="2"/>
    <s v="Prime"/>
    <n v="644"/>
    <n v="5743.5"/>
    <n v="6432.72"/>
    <n v="1148.7"/>
    <x v="1"/>
  </r>
  <r>
    <x v="4"/>
    <x v="0"/>
    <x v="3"/>
    <s v="Renewal"/>
    <n v="643"/>
    <n v="7000"/>
    <n v="7840"/>
    <n v="1400"/>
    <x v="1"/>
  </r>
  <r>
    <x v="4"/>
    <x v="0"/>
    <x v="2"/>
    <s v="Premium"/>
    <n v="455"/>
    <n v="4578.6000000000004"/>
    <n v="5128.0320000000002"/>
    <n v="915.72000000000014"/>
    <x v="1"/>
  </r>
  <r>
    <x v="4"/>
    <x v="0"/>
    <x v="3"/>
    <s v="New "/>
    <n v="345"/>
    <n v="7000"/>
    <n v="7840"/>
    <n v="1400"/>
    <x v="1"/>
  </r>
  <r>
    <x v="4"/>
    <x v="0"/>
    <x v="1"/>
    <s v="Offices"/>
    <n v="122"/>
    <n v="100"/>
    <n v="112"/>
    <n v="20"/>
    <x v="1"/>
  </r>
  <r>
    <x v="4"/>
    <x v="0"/>
    <x v="4"/>
    <s v="Facebook Page"/>
    <n v="78"/>
    <n v="4577.2"/>
    <n v="5126.4639999999999"/>
    <n v="915.44"/>
    <x v="1"/>
  </r>
  <r>
    <x v="4"/>
    <x v="0"/>
    <x v="4"/>
    <s v="Google Ad"/>
    <n v="76"/>
    <n v="4576.8999999999996"/>
    <n v="5126.1279999999997"/>
    <n v="915.38"/>
    <x v="1"/>
  </r>
  <r>
    <x v="4"/>
    <x v="0"/>
    <x v="4"/>
    <s v="Company Website"/>
    <n v="46"/>
    <n v="200"/>
    <n v="224"/>
    <n v="40"/>
    <x v="1"/>
  </r>
  <r>
    <x v="4"/>
    <x v="0"/>
    <x v="4"/>
    <s v="Youtube Channel"/>
    <n v="34"/>
    <n v="4576.8"/>
    <n v="5126.0160000000005"/>
    <n v="915.36000000000013"/>
    <x v="1"/>
  </r>
  <r>
    <x v="4"/>
    <x v="0"/>
    <x v="1"/>
    <s v="Lands"/>
    <n v="7"/>
    <n v="200"/>
    <n v="224"/>
    <n v="40"/>
    <x v="1"/>
  </r>
  <r>
    <x v="4"/>
    <x v="0"/>
    <x v="5"/>
    <s v="Asset sale"/>
    <n v="3"/>
    <n v="6600"/>
    <n v="7392"/>
    <n v="1320"/>
    <x v="1"/>
  </r>
  <r>
    <x v="4"/>
    <x v="0"/>
    <x v="4"/>
    <s v="Television Ad"/>
    <n v="3"/>
    <n v="4577.3"/>
    <n v="5126.576"/>
    <n v="915.46"/>
    <x v="1"/>
  </r>
  <r>
    <x v="4"/>
    <x v="1"/>
    <x v="0"/>
    <s v="Software Metered License"/>
    <n v="3566"/>
    <n v="4577.3"/>
    <n v="5126.576"/>
    <n v="915.46"/>
    <x v="1"/>
  </r>
  <r>
    <x v="4"/>
    <x v="1"/>
    <x v="0"/>
    <s v="Floating License"/>
    <n v="2498"/>
    <n v="8000"/>
    <n v="8960"/>
    <n v="1600"/>
    <x v="1"/>
  </r>
  <r>
    <x v="4"/>
    <x v="1"/>
    <x v="1"/>
    <s v="Equipments"/>
    <n v="1245"/>
    <n v="4577.2"/>
    <n v="5126.4639999999999"/>
    <n v="915.44"/>
    <x v="1"/>
  </r>
  <r>
    <x v="4"/>
    <x v="1"/>
    <x v="2"/>
    <s v="Prime"/>
    <n v="644"/>
    <n v="5743.5"/>
    <n v="6432.72"/>
    <n v="1148.7"/>
    <x v="1"/>
  </r>
  <r>
    <x v="4"/>
    <x v="1"/>
    <x v="3"/>
    <s v="Renewal"/>
    <n v="643"/>
    <n v="7000"/>
    <n v="7840"/>
    <n v="1400"/>
    <x v="1"/>
  </r>
  <r>
    <x v="4"/>
    <x v="1"/>
    <x v="2"/>
    <s v="Premium"/>
    <n v="455"/>
    <n v="4578.6000000000004"/>
    <n v="5128.0320000000002"/>
    <n v="915.72000000000014"/>
    <x v="1"/>
  </r>
  <r>
    <x v="4"/>
    <x v="1"/>
    <x v="3"/>
    <s v="New "/>
    <n v="345"/>
    <n v="7000"/>
    <n v="7840"/>
    <n v="1400"/>
    <x v="1"/>
  </r>
  <r>
    <x v="4"/>
    <x v="1"/>
    <x v="1"/>
    <s v="Offices"/>
    <n v="122"/>
    <n v="100"/>
    <n v="112"/>
    <n v="20"/>
    <x v="1"/>
  </r>
  <r>
    <x v="4"/>
    <x v="1"/>
    <x v="4"/>
    <s v="Facebook Page"/>
    <n v="78"/>
    <n v="4577.2"/>
    <n v="5126.4639999999999"/>
    <n v="915.44"/>
    <x v="1"/>
  </r>
  <r>
    <x v="4"/>
    <x v="1"/>
    <x v="4"/>
    <s v="Google Ad"/>
    <n v="76"/>
    <n v="4576.8999999999996"/>
    <n v="5126.1279999999997"/>
    <n v="915.38"/>
    <x v="1"/>
  </r>
  <r>
    <x v="4"/>
    <x v="1"/>
    <x v="4"/>
    <s v="Company Website"/>
    <n v="46"/>
    <n v="200"/>
    <n v="224"/>
    <n v="40"/>
    <x v="1"/>
  </r>
  <r>
    <x v="4"/>
    <x v="1"/>
    <x v="4"/>
    <s v="Youtube Channel"/>
    <n v="34"/>
    <n v="4576.8"/>
    <n v="5126.0160000000005"/>
    <n v="915.36000000000013"/>
    <x v="1"/>
  </r>
  <r>
    <x v="4"/>
    <x v="1"/>
    <x v="1"/>
    <s v="Lands"/>
    <n v="7"/>
    <n v="200"/>
    <n v="224"/>
    <n v="40"/>
    <x v="1"/>
  </r>
  <r>
    <x v="4"/>
    <x v="1"/>
    <x v="4"/>
    <s v="Television Ad"/>
    <n v="3"/>
    <n v="4577.3"/>
    <n v="5126.576"/>
    <n v="915.46"/>
    <x v="1"/>
  </r>
  <r>
    <x v="4"/>
    <x v="1"/>
    <x v="5"/>
    <s v="Asset sale"/>
    <n v="2"/>
    <n v="6600"/>
    <n v="7392"/>
    <n v="1320"/>
    <x v="1"/>
  </r>
  <r>
    <x v="4"/>
    <x v="2"/>
    <x v="0"/>
    <s v="Software Metered License"/>
    <n v="3566"/>
    <n v="4577.3"/>
    <n v="5126.576"/>
    <n v="915.46"/>
    <x v="1"/>
  </r>
  <r>
    <x v="4"/>
    <x v="2"/>
    <x v="0"/>
    <s v="Floating License"/>
    <n v="2498"/>
    <n v="8000"/>
    <n v="8960"/>
    <n v="1600"/>
    <x v="1"/>
  </r>
  <r>
    <x v="4"/>
    <x v="2"/>
    <x v="1"/>
    <s v="Equipments"/>
    <n v="1245"/>
    <n v="4577.2"/>
    <n v="5126.4639999999999"/>
    <n v="915.44"/>
    <x v="1"/>
  </r>
  <r>
    <x v="4"/>
    <x v="2"/>
    <x v="2"/>
    <s v="Prime"/>
    <n v="644"/>
    <n v="5743.5"/>
    <n v="6432.72"/>
    <n v="1148.7"/>
    <x v="0"/>
  </r>
  <r>
    <x v="4"/>
    <x v="2"/>
    <x v="3"/>
    <s v="Renewal"/>
    <n v="643"/>
    <n v="7000"/>
    <n v="7840"/>
    <n v="1400"/>
    <x v="0"/>
  </r>
  <r>
    <x v="4"/>
    <x v="2"/>
    <x v="2"/>
    <s v="Premium"/>
    <n v="455"/>
    <n v="4578.6000000000004"/>
    <n v="5128.0320000000002"/>
    <n v="915.72000000000014"/>
    <x v="0"/>
  </r>
  <r>
    <x v="4"/>
    <x v="2"/>
    <x v="3"/>
    <s v="New "/>
    <n v="345"/>
    <n v="7000"/>
    <n v="7840"/>
    <n v="1400"/>
    <x v="0"/>
  </r>
  <r>
    <x v="4"/>
    <x v="2"/>
    <x v="1"/>
    <s v="Offices"/>
    <n v="122"/>
    <n v="100"/>
    <n v="112"/>
    <n v="20"/>
    <x v="0"/>
  </r>
  <r>
    <x v="4"/>
    <x v="2"/>
    <x v="4"/>
    <s v="Facebook Page"/>
    <n v="78"/>
    <n v="4577.2"/>
    <n v="5126.4639999999999"/>
    <n v="915.44"/>
    <x v="0"/>
  </r>
  <r>
    <x v="4"/>
    <x v="2"/>
    <x v="4"/>
    <s v="Google Ad"/>
    <n v="76"/>
    <n v="4576.8999999999996"/>
    <n v="5126.1279999999997"/>
    <n v="915.38"/>
    <x v="0"/>
  </r>
  <r>
    <x v="4"/>
    <x v="2"/>
    <x v="4"/>
    <s v="Company Website"/>
    <n v="46"/>
    <n v="200"/>
    <n v="224"/>
    <n v="40"/>
    <x v="0"/>
  </r>
  <r>
    <x v="4"/>
    <x v="2"/>
    <x v="4"/>
    <s v="Youtube Channel"/>
    <n v="34"/>
    <n v="4576.8"/>
    <n v="5126.0160000000005"/>
    <n v="915.36000000000013"/>
    <x v="0"/>
  </r>
  <r>
    <x v="4"/>
    <x v="2"/>
    <x v="1"/>
    <s v="Lands"/>
    <n v="7"/>
    <n v="200"/>
    <n v="224"/>
    <n v="40"/>
    <x v="0"/>
  </r>
  <r>
    <x v="4"/>
    <x v="2"/>
    <x v="4"/>
    <s v="Television Ad"/>
    <n v="3"/>
    <n v="4577.3"/>
    <n v="5126.576"/>
    <n v="915.46"/>
    <x v="0"/>
  </r>
  <r>
    <x v="4"/>
    <x v="2"/>
    <x v="5"/>
    <s v="Asset sale"/>
    <n v="2"/>
    <n v="6600"/>
    <n v="7392"/>
    <n v="1320"/>
    <x v="0"/>
  </r>
  <r>
    <x v="4"/>
    <x v="3"/>
    <x v="0"/>
    <s v="Software Metered License"/>
    <n v="3566"/>
    <n v="4577.3"/>
    <n v="5126.576"/>
    <n v="915.46"/>
    <x v="0"/>
  </r>
  <r>
    <x v="4"/>
    <x v="3"/>
    <x v="0"/>
    <s v="Floating License"/>
    <n v="2498"/>
    <n v="8000"/>
    <n v="8960"/>
    <n v="1600"/>
    <x v="0"/>
  </r>
  <r>
    <x v="4"/>
    <x v="3"/>
    <x v="1"/>
    <s v="Equipments"/>
    <n v="1245"/>
    <n v="4577.2"/>
    <n v="5126.4639999999999"/>
    <n v="915.44"/>
    <x v="0"/>
  </r>
  <r>
    <x v="4"/>
    <x v="3"/>
    <x v="2"/>
    <s v="Prime"/>
    <n v="644"/>
    <n v="5743.5"/>
    <n v="6432.72"/>
    <n v="1148.7"/>
    <x v="0"/>
  </r>
  <r>
    <x v="4"/>
    <x v="3"/>
    <x v="3"/>
    <s v="Renewal"/>
    <n v="643"/>
    <n v="7000"/>
    <n v="7840"/>
    <n v="1400"/>
    <x v="0"/>
  </r>
  <r>
    <x v="4"/>
    <x v="3"/>
    <x v="2"/>
    <s v="Premium"/>
    <n v="455"/>
    <n v="4578.6000000000004"/>
    <n v="5128.0320000000002"/>
    <n v="915.72000000000014"/>
    <x v="0"/>
  </r>
  <r>
    <x v="4"/>
    <x v="3"/>
    <x v="3"/>
    <s v="New "/>
    <n v="345"/>
    <n v="7000"/>
    <n v="7840"/>
    <n v="1400"/>
    <x v="0"/>
  </r>
  <r>
    <x v="4"/>
    <x v="3"/>
    <x v="1"/>
    <s v="Offices"/>
    <n v="122"/>
    <n v="100"/>
    <n v="112"/>
    <n v="20"/>
    <x v="0"/>
  </r>
  <r>
    <x v="4"/>
    <x v="3"/>
    <x v="4"/>
    <s v="Facebook Page"/>
    <n v="78"/>
    <n v="4577.2"/>
    <n v="5126.4639999999999"/>
    <n v="915.44"/>
    <x v="0"/>
  </r>
  <r>
    <x v="4"/>
    <x v="3"/>
    <x v="4"/>
    <s v="Google Ad"/>
    <n v="76"/>
    <n v="4576.8999999999996"/>
    <n v="5126.1279999999997"/>
    <n v="915.38"/>
    <x v="0"/>
  </r>
  <r>
    <x v="4"/>
    <x v="3"/>
    <x v="4"/>
    <s v="Company Website"/>
    <n v="46"/>
    <n v="200"/>
    <n v="224"/>
    <n v="40"/>
    <x v="0"/>
  </r>
  <r>
    <x v="4"/>
    <x v="3"/>
    <x v="4"/>
    <s v="Youtube Channel"/>
    <n v="34"/>
    <n v="4576.8"/>
    <n v="5126.0160000000005"/>
    <n v="915.36000000000013"/>
    <x v="0"/>
  </r>
  <r>
    <x v="4"/>
    <x v="3"/>
    <x v="1"/>
    <s v="Lands"/>
    <n v="7"/>
    <n v="200"/>
    <n v="224"/>
    <n v="40"/>
    <x v="0"/>
  </r>
  <r>
    <x v="4"/>
    <x v="3"/>
    <x v="4"/>
    <s v="Television Ad"/>
    <n v="3"/>
    <n v="4577.3"/>
    <n v="5126.576"/>
    <n v="915.46"/>
    <x v="0"/>
  </r>
  <r>
    <x v="4"/>
    <x v="3"/>
    <x v="5"/>
    <s v="Asset sale"/>
    <n v="2"/>
    <n v="6600"/>
    <n v="7392"/>
    <n v="1320"/>
    <x v="0"/>
  </r>
  <r>
    <x v="4"/>
    <x v="4"/>
    <x v="0"/>
    <s v="Software Metered License"/>
    <n v="3566"/>
    <n v="4577.3"/>
    <n v="5126.576"/>
    <n v="915.46"/>
    <x v="0"/>
  </r>
  <r>
    <x v="4"/>
    <x v="4"/>
    <x v="0"/>
    <s v="Floating License"/>
    <n v="2498"/>
    <n v="8000"/>
    <n v="8960"/>
    <n v="1600"/>
    <x v="0"/>
  </r>
  <r>
    <x v="4"/>
    <x v="4"/>
    <x v="1"/>
    <s v="Equipments"/>
    <n v="1245"/>
    <n v="4577.2"/>
    <n v="5126.4639999999999"/>
    <n v="915.44"/>
    <x v="0"/>
  </r>
  <r>
    <x v="4"/>
    <x v="4"/>
    <x v="2"/>
    <s v="Prime"/>
    <n v="644"/>
    <n v="5743.5"/>
    <n v="6432.72"/>
    <n v="1148.7"/>
    <x v="0"/>
  </r>
  <r>
    <x v="4"/>
    <x v="4"/>
    <x v="3"/>
    <s v="Renewal"/>
    <n v="643"/>
    <n v="7000"/>
    <n v="7840"/>
    <n v="1400"/>
    <x v="0"/>
  </r>
  <r>
    <x v="4"/>
    <x v="4"/>
    <x v="2"/>
    <s v="Premium"/>
    <n v="455"/>
    <n v="4578.6000000000004"/>
    <n v="5128.0320000000002"/>
    <n v="915.72000000000014"/>
    <x v="0"/>
  </r>
  <r>
    <x v="4"/>
    <x v="4"/>
    <x v="3"/>
    <s v="New "/>
    <n v="345"/>
    <n v="7000"/>
    <n v="7840"/>
    <n v="1400"/>
    <x v="0"/>
  </r>
  <r>
    <x v="4"/>
    <x v="4"/>
    <x v="1"/>
    <s v="Offices"/>
    <n v="122"/>
    <n v="100"/>
    <n v="112"/>
    <n v="20"/>
    <x v="0"/>
  </r>
  <r>
    <x v="4"/>
    <x v="4"/>
    <x v="4"/>
    <s v="Facebook Page"/>
    <n v="78"/>
    <n v="4577.2"/>
    <n v="5126.4639999999999"/>
    <n v="915.44"/>
    <x v="0"/>
  </r>
  <r>
    <x v="4"/>
    <x v="4"/>
    <x v="4"/>
    <s v="Google Ad"/>
    <n v="76"/>
    <n v="4576.8999999999996"/>
    <n v="5126.1279999999997"/>
    <n v="915.38"/>
    <x v="0"/>
  </r>
  <r>
    <x v="4"/>
    <x v="4"/>
    <x v="4"/>
    <s v="Company Website"/>
    <n v="46"/>
    <n v="200"/>
    <n v="224"/>
    <n v="40"/>
    <x v="0"/>
  </r>
  <r>
    <x v="4"/>
    <x v="4"/>
    <x v="4"/>
    <s v="Youtube Channel"/>
    <n v="34"/>
    <n v="4576.8"/>
    <n v="5126.0160000000005"/>
    <n v="915.36000000000013"/>
    <x v="0"/>
  </r>
  <r>
    <x v="4"/>
    <x v="4"/>
    <x v="1"/>
    <s v="Lands"/>
    <n v="7"/>
    <n v="200"/>
    <n v="224"/>
    <n v="40"/>
    <x v="0"/>
  </r>
  <r>
    <x v="4"/>
    <x v="4"/>
    <x v="4"/>
    <s v="Television Ad"/>
    <n v="3"/>
    <n v="4577.3"/>
    <n v="5126.576"/>
    <n v="915.46"/>
    <x v="0"/>
  </r>
  <r>
    <x v="4"/>
    <x v="4"/>
    <x v="5"/>
    <s v="Asset sale"/>
    <n v="2"/>
    <n v="6600"/>
    <n v="7392"/>
    <n v="1320"/>
    <x v="1"/>
  </r>
  <r>
    <x v="4"/>
    <x v="5"/>
    <x v="0"/>
    <s v="Software Metered License"/>
    <n v="3566"/>
    <n v="4577.3"/>
    <n v="5126.576"/>
    <n v="915.46"/>
    <x v="1"/>
  </r>
  <r>
    <x v="4"/>
    <x v="5"/>
    <x v="0"/>
    <s v="Floating License"/>
    <n v="2498"/>
    <n v="8000"/>
    <n v="8960"/>
    <n v="1600"/>
    <x v="1"/>
  </r>
  <r>
    <x v="4"/>
    <x v="5"/>
    <x v="1"/>
    <s v="Equipments"/>
    <n v="1245"/>
    <n v="4577.2"/>
    <n v="5126.4639999999999"/>
    <n v="915.44"/>
    <x v="1"/>
  </r>
  <r>
    <x v="4"/>
    <x v="5"/>
    <x v="2"/>
    <s v="Prime"/>
    <n v="644"/>
    <n v="5743.5"/>
    <n v="6432.72"/>
    <n v="1148.7"/>
    <x v="1"/>
  </r>
  <r>
    <x v="4"/>
    <x v="5"/>
    <x v="3"/>
    <s v="Renewal"/>
    <n v="643"/>
    <n v="7000"/>
    <n v="7840"/>
    <n v="1400"/>
    <x v="1"/>
  </r>
  <r>
    <x v="4"/>
    <x v="5"/>
    <x v="2"/>
    <s v="Premium"/>
    <n v="455"/>
    <n v="4578.6000000000004"/>
    <n v="5128.0320000000002"/>
    <n v="915.72000000000014"/>
    <x v="1"/>
  </r>
  <r>
    <x v="4"/>
    <x v="5"/>
    <x v="3"/>
    <s v="New "/>
    <n v="345"/>
    <n v="7000"/>
    <n v="7840"/>
    <n v="1400"/>
    <x v="1"/>
  </r>
  <r>
    <x v="4"/>
    <x v="5"/>
    <x v="1"/>
    <s v="Offices"/>
    <n v="122"/>
    <n v="100"/>
    <n v="112"/>
    <n v="20"/>
    <x v="1"/>
  </r>
  <r>
    <x v="4"/>
    <x v="5"/>
    <x v="4"/>
    <s v="Facebook Page"/>
    <n v="78"/>
    <n v="4577.2"/>
    <n v="5126.4639999999999"/>
    <n v="915.44"/>
    <x v="1"/>
  </r>
  <r>
    <x v="4"/>
    <x v="5"/>
    <x v="4"/>
    <s v="Google Ad"/>
    <n v="76"/>
    <n v="4576.8999999999996"/>
    <n v="5126.1279999999997"/>
    <n v="915.38"/>
    <x v="1"/>
  </r>
  <r>
    <x v="4"/>
    <x v="5"/>
    <x v="4"/>
    <s v="Company Website"/>
    <n v="46"/>
    <n v="200"/>
    <n v="224"/>
    <n v="40"/>
    <x v="1"/>
  </r>
  <r>
    <x v="4"/>
    <x v="5"/>
    <x v="4"/>
    <s v="Youtube Channel"/>
    <n v="34"/>
    <n v="4576.8"/>
    <n v="5126.0160000000005"/>
    <n v="915.36000000000013"/>
    <x v="1"/>
  </r>
  <r>
    <x v="4"/>
    <x v="5"/>
    <x v="1"/>
    <s v="Lands"/>
    <n v="7"/>
    <n v="200"/>
    <n v="224"/>
    <n v="40"/>
    <x v="1"/>
  </r>
  <r>
    <x v="4"/>
    <x v="5"/>
    <x v="5"/>
    <s v="Asset sale"/>
    <n v="3"/>
    <n v="6600"/>
    <n v="7392"/>
    <n v="1320"/>
    <x v="1"/>
  </r>
  <r>
    <x v="4"/>
    <x v="5"/>
    <x v="4"/>
    <s v="Television Ad"/>
    <n v="3"/>
    <n v="4577.3"/>
    <n v="5126.576"/>
    <n v="915.46"/>
    <x v="1"/>
  </r>
  <r>
    <x v="4"/>
    <x v="6"/>
    <x v="0"/>
    <s v="Software Metered License"/>
    <n v="3566"/>
    <n v="4577.3"/>
    <n v="5126.576"/>
    <n v="915.46"/>
    <x v="1"/>
  </r>
  <r>
    <x v="4"/>
    <x v="6"/>
    <x v="0"/>
    <s v="Floating License"/>
    <n v="2498"/>
    <n v="8000"/>
    <n v="8960"/>
    <n v="1600"/>
    <x v="1"/>
  </r>
  <r>
    <x v="4"/>
    <x v="6"/>
    <x v="1"/>
    <s v="Equipments"/>
    <n v="1245"/>
    <n v="4577.2"/>
    <n v="5126.4639999999999"/>
    <n v="915.44"/>
    <x v="1"/>
  </r>
  <r>
    <x v="4"/>
    <x v="6"/>
    <x v="2"/>
    <s v="Prime"/>
    <n v="644"/>
    <n v="5743.5"/>
    <n v="6432.72"/>
    <n v="1148.7"/>
    <x v="1"/>
  </r>
  <r>
    <x v="4"/>
    <x v="6"/>
    <x v="3"/>
    <s v="Renewal"/>
    <n v="643"/>
    <n v="7000"/>
    <n v="7840"/>
    <n v="1400"/>
    <x v="1"/>
  </r>
  <r>
    <x v="4"/>
    <x v="6"/>
    <x v="2"/>
    <s v="Premium"/>
    <n v="455"/>
    <n v="4578.6000000000004"/>
    <n v="5128.0320000000002"/>
    <n v="915.72000000000014"/>
    <x v="1"/>
  </r>
  <r>
    <x v="4"/>
    <x v="6"/>
    <x v="3"/>
    <s v="New "/>
    <n v="345"/>
    <n v="7000"/>
    <n v="7840"/>
    <n v="1400"/>
    <x v="1"/>
  </r>
  <r>
    <x v="4"/>
    <x v="6"/>
    <x v="1"/>
    <s v="Offices"/>
    <n v="122"/>
    <n v="100"/>
    <n v="112"/>
    <n v="20"/>
    <x v="0"/>
  </r>
  <r>
    <x v="4"/>
    <x v="6"/>
    <x v="4"/>
    <s v="Facebook Page"/>
    <n v="78"/>
    <n v="4577.2"/>
    <n v="5126.4639999999999"/>
    <n v="915.44"/>
    <x v="0"/>
  </r>
  <r>
    <x v="4"/>
    <x v="6"/>
    <x v="4"/>
    <s v="Google Ad"/>
    <n v="76"/>
    <n v="4576.8999999999996"/>
    <n v="5126.1279999999997"/>
    <n v="915.38"/>
    <x v="0"/>
  </r>
  <r>
    <x v="4"/>
    <x v="6"/>
    <x v="4"/>
    <s v="Company Website"/>
    <n v="46"/>
    <n v="200"/>
    <n v="224"/>
    <n v="40"/>
    <x v="0"/>
  </r>
  <r>
    <x v="4"/>
    <x v="6"/>
    <x v="4"/>
    <s v="Youtube Channel"/>
    <n v="34"/>
    <n v="4576.8"/>
    <n v="5126.0160000000005"/>
    <n v="915.36000000000013"/>
    <x v="0"/>
  </r>
  <r>
    <x v="4"/>
    <x v="6"/>
    <x v="1"/>
    <s v="Lands"/>
    <n v="7"/>
    <n v="200"/>
    <n v="224"/>
    <n v="40"/>
    <x v="0"/>
  </r>
  <r>
    <x v="4"/>
    <x v="6"/>
    <x v="4"/>
    <s v="Television Ad"/>
    <n v="3"/>
    <n v="4577.3"/>
    <n v="5126.576"/>
    <n v="915.46"/>
    <x v="0"/>
  </r>
  <r>
    <x v="4"/>
    <x v="6"/>
    <x v="5"/>
    <s v="Asset sale"/>
    <n v="2"/>
    <n v="6600"/>
    <n v="7392"/>
    <n v="1320"/>
    <x v="0"/>
  </r>
  <r>
    <x v="4"/>
    <x v="7"/>
    <x v="0"/>
    <s v="Software Metered License"/>
    <n v="3566"/>
    <n v="4577.3"/>
    <n v="5126.576"/>
    <n v="915.46"/>
    <x v="0"/>
  </r>
  <r>
    <x v="4"/>
    <x v="7"/>
    <x v="0"/>
    <s v="Floating License"/>
    <n v="2498"/>
    <n v="8000"/>
    <n v="8960"/>
    <n v="1600"/>
    <x v="0"/>
  </r>
  <r>
    <x v="4"/>
    <x v="7"/>
    <x v="1"/>
    <s v="Equipments"/>
    <n v="1245"/>
    <n v="4577.2"/>
    <n v="5126.4639999999999"/>
    <n v="915.44"/>
    <x v="0"/>
  </r>
  <r>
    <x v="4"/>
    <x v="7"/>
    <x v="2"/>
    <s v="Prime"/>
    <n v="644"/>
    <n v="5743.5"/>
    <n v="6432.72"/>
    <n v="1148.7"/>
    <x v="0"/>
  </r>
  <r>
    <x v="4"/>
    <x v="7"/>
    <x v="3"/>
    <s v="Renewal"/>
    <n v="643"/>
    <n v="7000"/>
    <n v="7840"/>
    <n v="1400"/>
    <x v="0"/>
  </r>
  <r>
    <x v="4"/>
    <x v="7"/>
    <x v="2"/>
    <s v="Premium"/>
    <n v="455"/>
    <n v="4578.6000000000004"/>
    <n v="5128.0320000000002"/>
    <n v="915.72000000000014"/>
    <x v="0"/>
  </r>
  <r>
    <x v="4"/>
    <x v="7"/>
    <x v="3"/>
    <s v="New "/>
    <n v="345"/>
    <n v="7000"/>
    <n v="7840"/>
    <n v="1400"/>
    <x v="0"/>
  </r>
  <r>
    <x v="4"/>
    <x v="7"/>
    <x v="1"/>
    <s v="Offices"/>
    <n v="122"/>
    <n v="100"/>
    <n v="112"/>
    <n v="20"/>
    <x v="0"/>
  </r>
  <r>
    <x v="4"/>
    <x v="7"/>
    <x v="4"/>
    <s v="Facebook Page"/>
    <n v="78"/>
    <n v="4577.2"/>
    <n v="5126.4639999999999"/>
    <n v="915.44"/>
    <x v="0"/>
  </r>
  <r>
    <x v="4"/>
    <x v="7"/>
    <x v="4"/>
    <s v="Google Ad"/>
    <n v="76"/>
    <n v="4576.8999999999996"/>
    <n v="5126.1279999999997"/>
    <n v="915.38"/>
    <x v="0"/>
  </r>
  <r>
    <x v="4"/>
    <x v="7"/>
    <x v="4"/>
    <s v="Company Website"/>
    <n v="46"/>
    <n v="200"/>
    <n v="224"/>
    <n v="40"/>
    <x v="0"/>
  </r>
  <r>
    <x v="4"/>
    <x v="7"/>
    <x v="4"/>
    <s v="Youtube Channel"/>
    <n v="34"/>
    <n v="4576.8"/>
    <n v="5126.0160000000005"/>
    <n v="915.36000000000013"/>
    <x v="0"/>
  </r>
  <r>
    <x v="4"/>
    <x v="7"/>
    <x v="1"/>
    <s v="Lands"/>
    <n v="7"/>
    <n v="200"/>
    <n v="224"/>
    <n v="40"/>
    <x v="0"/>
  </r>
  <r>
    <x v="4"/>
    <x v="7"/>
    <x v="4"/>
    <s v="Television Ad"/>
    <n v="3"/>
    <n v="4577.3"/>
    <n v="5126.576"/>
    <n v="915.46"/>
    <x v="0"/>
  </r>
  <r>
    <x v="4"/>
    <x v="7"/>
    <x v="5"/>
    <s v="Asset sale"/>
    <n v="2"/>
    <n v="6600"/>
    <n v="7392"/>
    <n v="1320"/>
    <x v="0"/>
  </r>
  <r>
    <x v="4"/>
    <x v="8"/>
    <x v="0"/>
    <s v="Software Metered License"/>
    <n v="3566"/>
    <n v="4577.3"/>
    <n v="5126.576"/>
    <n v="915.46"/>
    <x v="0"/>
  </r>
  <r>
    <x v="4"/>
    <x v="8"/>
    <x v="0"/>
    <s v="Floating License"/>
    <n v="2498"/>
    <n v="8000"/>
    <n v="8960"/>
    <n v="1600"/>
    <x v="0"/>
  </r>
  <r>
    <x v="4"/>
    <x v="8"/>
    <x v="1"/>
    <s v="Equipments"/>
    <n v="1245"/>
    <n v="4577.2"/>
    <n v="5126.4639999999999"/>
    <n v="915.44"/>
    <x v="0"/>
  </r>
  <r>
    <x v="4"/>
    <x v="8"/>
    <x v="2"/>
    <s v="Prime"/>
    <n v="644"/>
    <n v="5743.5"/>
    <n v="6432.72"/>
    <n v="1148.7"/>
    <x v="0"/>
  </r>
  <r>
    <x v="4"/>
    <x v="8"/>
    <x v="3"/>
    <s v="Renewal"/>
    <n v="643"/>
    <n v="7000"/>
    <n v="7840"/>
    <n v="1400"/>
    <x v="0"/>
  </r>
  <r>
    <x v="4"/>
    <x v="8"/>
    <x v="2"/>
    <s v="Premium"/>
    <n v="455"/>
    <n v="4578.6000000000004"/>
    <n v="5128.0320000000002"/>
    <n v="915.72000000000014"/>
    <x v="0"/>
  </r>
  <r>
    <x v="4"/>
    <x v="8"/>
    <x v="3"/>
    <s v="New "/>
    <n v="345"/>
    <n v="7000"/>
    <n v="7840"/>
    <n v="1400"/>
    <x v="0"/>
  </r>
  <r>
    <x v="4"/>
    <x v="8"/>
    <x v="1"/>
    <s v="Offices"/>
    <n v="122"/>
    <n v="100"/>
    <n v="112"/>
    <n v="20"/>
    <x v="0"/>
  </r>
  <r>
    <x v="4"/>
    <x v="8"/>
    <x v="4"/>
    <s v="Facebook Page"/>
    <n v="78"/>
    <n v="4577.2"/>
    <n v="5126.4639999999999"/>
    <n v="915.44"/>
    <x v="0"/>
  </r>
  <r>
    <x v="4"/>
    <x v="8"/>
    <x v="4"/>
    <s v="Google Ad"/>
    <n v="76"/>
    <n v="4576.8999999999996"/>
    <n v="5126.1279999999997"/>
    <n v="915.38"/>
    <x v="0"/>
  </r>
  <r>
    <x v="4"/>
    <x v="8"/>
    <x v="4"/>
    <s v="Company Website"/>
    <n v="46"/>
    <n v="200"/>
    <n v="224"/>
    <n v="40"/>
    <x v="0"/>
  </r>
  <r>
    <x v="4"/>
    <x v="8"/>
    <x v="4"/>
    <s v="Youtube Channel"/>
    <n v="34"/>
    <n v="4576.8"/>
    <n v="5126.0160000000005"/>
    <n v="915.36000000000013"/>
    <x v="0"/>
  </r>
  <r>
    <x v="4"/>
    <x v="8"/>
    <x v="1"/>
    <s v="Lands"/>
    <n v="7"/>
    <n v="200"/>
    <n v="224"/>
    <n v="40"/>
    <x v="0"/>
  </r>
  <r>
    <x v="4"/>
    <x v="8"/>
    <x v="4"/>
    <s v="Television Ad"/>
    <n v="3"/>
    <n v="4577.3"/>
    <n v="5126.576"/>
    <n v="915.46"/>
    <x v="0"/>
  </r>
  <r>
    <x v="4"/>
    <x v="8"/>
    <x v="5"/>
    <s v="Asset sale"/>
    <n v="2"/>
    <n v="6600"/>
    <n v="7392"/>
    <n v="1320"/>
    <x v="0"/>
  </r>
  <r>
    <x v="4"/>
    <x v="9"/>
    <x v="0"/>
    <s v="Software Metered License"/>
    <n v="3566"/>
    <n v="4577.3"/>
    <n v="5126.576"/>
    <n v="915.46"/>
    <x v="0"/>
  </r>
  <r>
    <x v="4"/>
    <x v="9"/>
    <x v="0"/>
    <s v="Floating License"/>
    <n v="2498"/>
    <n v="8000"/>
    <n v="8960"/>
    <n v="1600"/>
    <x v="0"/>
  </r>
  <r>
    <x v="4"/>
    <x v="9"/>
    <x v="1"/>
    <s v="Equipments"/>
    <n v="1245"/>
    <n v="4577.2"/>
    <n v="5126.4639999999999"/>
    <n v="915.44"/>
    <x v="0"/>
  </r>
  <r>
    <x v="4"/>
    <x v="9"/>
    <x v="2"/>
    <s v="Prime"/>
    <n v="644"/>
    <n v="5743.5"/>
    <n v="6432.72"/>
    <n v="1148.7"/>
    <x v="0"/>
  </r>
  <r>
    <x v="4"/>
    <x v="9"/>
    <x v="3"/>
    <s v="Renewal"/>
    <n v="643"/>
    <n v="7000"/>
    <n v="7840"/>
    <n v="1400"/>
    <x v="1"/>
  </r>
  <r>
    <x v="4"/>
    <x v="9"/>
    <x v="2"/>
    <s v="Premium"/>
    <n v="455"/>
    <n v="4578.6000000000004"/>
    <n v="5128.0320000000002"/>
    <n v="915.72000000000014"/>
    <x v="1"/>
  </r>
  <r>
    <x v="4"/>
    <x v="9"/>
    <x v="3"/>
    <s v="New "/>
    <n v="345"/>
    <n v="7000"/>
    <n v="7840"/>
    <n v="1400"/>
    <x v="1"/>
  </r>
  <r>
    <x v="4"/>
    <x v="9"/>
    <x v="1"/>
    <s v="Offices"/>
    <n v="122"/>
    <n v="100"/>
    <n v="112"/>
    <n v="20"/>
    <x v="1"/>
  </r>
  <r>
    <x v="4"/>
    <x v="9"/>
    <x v="4"/>
    <s v="Facebook Page"/>
    <n v="78"/>
    <n v="4577.2"/>
    <n v="5126.4639999999999"/>
    <n v="915.44"/>
    <x v="1"/>
  </r>
  <r>
    <x v="4"/>
    <x v="9"/>
    <x v="4"/>
    <s v="Google Ad"/>
    <n v="76"/>
    <n v="4576.8999999999996"/>
    <n v="5126.1279999999997"/>
    <n v="915.38"/>
    <x v="1"/>
  </r>
  <r>
    <x v="4"/>
    <x v="9"/>
    <x v="4"/>
    <s v="Company Website"/>
    <n v="46"/>
    <n v="200"/>
    <n v="224"/>
    <n v="40"/>
    <x v="1"/>
  </r>
  <r>
    <x v="4"/>
    <x v="9"/>
    <x v="4"/>
    <s v="Youtube Channel"/>
    <n v="34"/>
    <n v="4576.8"/>
    <n v="5126.0160000000005"/>
    <n v="915.36000000000013"/>
    <x v="1"/>
  </r>
  <r>
    <x v="4"/>
    <x v="9"/>
    <x v="1"/>
    <s v="Lands"/>
    <n v="7"/>
    <n v="200"/>
    <n v="224"/>
    <n v="40"/>
    <x v="1"/>
  </r>
  <r>
    <x v="4"/>
    <x v="9"/>
    <x v="4"/>
    <s v="Television Ad"/>
    <n v="3"/>
    <n v="4577.3"/>
    <n v="5126.576"/>
    <n v="915.46"/>
    <x v="1"/>
  </r>
  <r>
    <x v="4"/>
    <x v="9"/>
    <x v="5"/>
    <s v="Asset sale"/>
    <n v="2"/>
    <n v="6600"/>
    <n v="7392"/>
    <n v="1320"/>
    <x v="1"/>
  </r>
  <r>
    <x v="4"/>
    <x v="10"/>
    <x v="0"/>
    <s v="Software Metered License"/>
    <n v="3566"/>
    <n v="4577.3"/>
    <n v="5126.576"/>
    <n v="915.46"/>
    <x v="1"/>
  </r>
  <r>
    <x v="4"/>
    <x v="10"/>
    <x v="0"/>
    <s v="Floating License"/>
    <n v="2498"/>
    <n v="8000"/>
    <n v="8960"/>
    <n v="1600"/>
    <x v="1"/>
  </r>
  <r>
    <x v="4"/>
    <x v="10"/>
    <x v="1"/>
    <s v="Equipments"/>
    <n v="1245"/>
    <n v="4577.2"/>
    <n v="5126.4639999999999"/>
    <n v="915.44"/>
    <x v="1"/>
  </r>
  <r>
    <x v="4"/>
    <x v="10"/>
    <x v="2"/>
    <s v="Prime"/>
    <n v="644"/>
    <n v="5743.5"/>
    <n v="6432.72"/>
    <n v="1148.7"/>
    <x v="1"/>
  </r>
  <r>
    <x v="4"/>
    <x v="10"/>
    <x v="3"/>
    <s v="Renewal"/>
    <n v="643"/>
    <n v="7000"/>
    <n v="7840"/>
    <n v="1400"/>
    <x v="1"/>
  </r>
  <r>
    <x v="4"/>
    <x v="10"/>
    <x v="2"/>
    <s v="Premium"/>
    <n v="455"/>
    <n v="4578.6000000000004"/>
    <n v="5128.0320000000002"/>
    <n v="915.72000000000014"/>
    <x v="1"/>
  </r>
  <r>
    <x v="4"/>
    <x v="10"/>
    <x v="3"/>
    <s v="New "/>
    <n v="345"/>
    <n v="7000"/>
    <n v="7840"/>
    <n v="1400"/>
    <x v="1"/>
  </r>
  <r>
    <x v="4"/>
    <x v="10"/>
    <x v="1"/>
    <s v="Offices"/>
    <n v="122"/>
    <n v="100"/>
    <n v="112"/>
    <n v="20"/>
    <x v="1"/>
  </r>
  <r>
    <x v="4"/>
    <x v="10"/>
    <x v="4"/>
    <s v="Facebook Page"/>
    <n v="78"/>
    <n v="4577.2"/>
    <n v="5126.4639999999999"/>
    <n v="915.44"/>
    <x v="1"/>
  </r>
  <r>
    <x v="4"/>
    <x v="10"/>
    <x v="4"/>
    <s v="Google Ad"/>
    <n v="76"/>
    <n v="4576.8999999999996"/>
    <n v="5126.1279999999997"/>
    <n v="915.38"/>
    <x v="1"/>
  </r>
  <r>
    <x v="4"/>
    <x v="10"/>
    <x v="4"/>
    <s v="Company Website"/>
    <n v="46"/>
    <n v="200"/>
    <n v="224"/>
    <n v="40"/>
    <x v="1"/>
  </r>
  <r>
    <x v="4"/>
    <x v="10"/>
    <x v="4"/>
    <s v="Youtube Channel"/>
    <n v="34"/>
    <n v="4576.8"/>
    <n v="5126.0160000000005"/>
    <n v="915.36000000000013"/>
    <x v="1"/>
  </r>
  <r>
    <x v="4"/>
    <x v="10"/>
    <x v="1"/>
    <s v="Lands"/>
    <n v="7"/>
    <n v="200"/>
    <n v="224"/>
    <n v="40"/>
    <x v="1"/>
  </r>
  <r>
    <x v="4"/>
    <x v="10"/>
    <x v="4"/>
    <s v="Television Ad"/>
    <n v="3"/>
    <n v="4577.3"/>
    <n v="5126.576"/>
    <n v="915.46"/>
    <x v="1"/>
  </r>
  <r>
    <x v="4"/>
    <x v="10"/>
    <x v="5"/>
    <s v="Asset sale"/>
    <n v="2"/>
    <n v="6600"/>
    <n v="7392"/>
    <n v="1320"/>
    <x v="0"/>
  </r>
  <r>
    <x v="4"/>
    <x v="11"/>
    <x v="0"/>
    <s v="Software Metered License"/>
    <n v="3566"/>
    <n v="4577.3"/>
    <n v="5126.576"/>
    <n v="915.46"/>
    <x v="0"/>
  </r>
  <r>
    <x v="4"/>
    <x v="11"/>
    <x v="0"/>
    <s v="Floating License"/>
    <n v="2498"/>
    <n v="8000"/>
    <n v="8960"/>
    <n v="1600"/>
    <x v="0"/>
  </r>
  <r>
    <x v="4"/>
    <x v="11"/>
    <x v="1"/>
    <s v="Equipments"/>
    <n v="1245"/>
    <n v="4577.2"/>
    <n v="5126.4639999999999"/>
    <n v="915.44"/>
    <x v="0"/>
  </r>
  <r>
    <x v="4"/>
    <x v="11"/>
    <x v="2"/>
    <s v="Prime"/>
    <n v="644"/>
    <n v="5743.5"/>
    <n v="6432.72"/>
    <n v="1148.7"/>
    <x v="0"/>
  </r>
  <r>
    <x v="4"/>
    <x v="11"/>
    <x v="3"/>
    <s v="Renewal"/>
    <n v="643"/>
    <n v="7000"/>
    <n v="7840"/>
    <n v="1400"/>
    <x v="0"/>
  </r>
  <r>
    <x v="4"/>
    <x v="11"/>
    <x v="2"/>
    <s v="Premium"/>
    <n v="455"/>
    <n v="4578.6000000000004"/>
    <n v="5128.0320000000002"/>
    <n v="915.72000000000014"/>
    <x v="0"/>
  </r>
  <r>
    <x v="4"/>
    <x v="11"/>
    <x v="3"/>
    <s v="New "/>
    <n v="345"/>
    <n v="7000"/>
    <n v="7840"/>
    <n v="1400"/>
    <x v="0"/>
  </r>
  <r>
    <x v="4"/>
    <x v="11"/>
    <x v="1"/>
    <s v="Offices"/>
    <n v="122"/>
    <n v="100"/>
    <n v="112"/>
    <n v="20"/>
    <x v="0"/>
  </r>
  <r>
    <x v="4"/>
    <x v="11"/>
    <x v="4"/>
    <s v="Facebook Page"/>
    <n v="78"/>
    <n v="4577.2"/>
    <n v="5126.4639999999999"/>
    <n v="915.44"/>
    <x v="0"/>
  </r>
  <r>
    <x v="4"/>
    <x v="11"/>
    <x v="4"/>
    <s v="Google Ad"/>
    <n v="76"/>
    <n v="4576.8999999999996"/>
    <n v="5126.1279999999997"/>
    <n v="915.38"/>
    <x v="0"/>
  </r>
  <r>
    <x v="4"/>
    <x v="11"/>
    <x v="4"/>
    <s v="Company Website"/>
    <n v="46"/>
    <n v="200"/>
    <n v="224"/>
    <n v="40"/>
    <x v="0"/>
  </r>
  <r>
    <x v="4"/>
    <x v="11"/>
    <x v="4"/>
    <s v="Youtube Channel"/>
    <n v="34"/>
    <n v="4576.8"/>
    <n v="5126.0160000000005"/>
    <n v="915.36000000000013"/>
    <x v="0"/>
  </r>
  <r>
    <x v="4"/>
    <x v="11"/>
    <x v="1"/>
    <s v="Lands"/>
    <n v="7"/>
    <n v="200"/>
    <n v="224"/>
    <n v="40"/>
    <x v="0"/>
  </r>
  <r>
    <x v="4"/>
    <x v="11"/>
    <x v="4"/>
    <s v="Television Ad"/>
    <n v="3"/>
    <n v="4577.3"/>
    <n v="5126.576"/>
    <n v="915.46"/>
    <x v="0"/>
  </r>
  <r>
    <x v="4"/>
    <x v="11"/>
    <x v="5"/>
    <s v="Asset sale"/>
    <n v="2"/>
    <n v="6600"/>
    <n v="7392"/>
    <n v="132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364236"/>
    <n v="501558.1999999999"/>
  </r>
  <r>
    <x v="0"/>
    <x v="1"/>
    <n v="197480"/>
    <n v="360897.68000000005"/>
  </r>
  <r>
    <x v="0"/>
    <x v="2"/>
    <n v="187412"/>
    <n v="227490.12000000002"/>
  </r>
  <r>
    <x v="0"/>
    <x v="3"/>
    <n v="167840"/>
    <n v="281795.8000000001"/>
  </r>
  <r>
    <x v="0"/>
    <x v="4"/>
    <n v="126472"/>
    <n v="206264.59999999995"/>
  </r>
  <r>
    <x v="0"/>
    <x v="5"/>
    <n v="125960"/>
    <n v="202419.35999999975"/>
  </r>
  <r>
    <x v="1"/>
    <x v="0"/>
    <n v="342724"/>
    <n v="509978.03999999992"/>
  </r>
  <r>
    <x v="1"/>
    <x v="1"/>
    <n v="238460"/>
    <n v="280188.47999999992"/>
  </r>
  <r>
    <x v="1"/>
    <x v="2"/>
    <n v="231288"/>
    <n v="209586.52000000019"/>
  </r>
  <r>
    <x v="1"/>
    <x v="3"/>
    <n v="210228"/>
    <n v="273633.36"/>
  </r>
  <r>
    <x v="1"/>
    <x v="5"/>
    <n v="135984"/>
    <n v="204158.23999999973"/>
  </r>
  <r>
    <x v="1"/>
    <x v="4"/>
    <n v="128888"/>
    <n v="275347.0400000001"/>
  </r>
  <r>
    <x v="2"/>
    <x v="0"/>
    <n v="365892"/>
    <n v="524449.6399999999"/>
  </r>
  <r>
    <x v="2"/>
    <x v="2"/>
    <n v="188312"/>
    <n v="201424.08000000007"/>
  </r>
  <r>
    <x v="2"/>
    <x v="1"/>
    <n v="387584"/>
    <n v="700000"/>
  </r>
  <r>
    <x v="2"/>
    <x v="3"/>
    <n v="178572"/>
    <n v="255357.95999999996"/>
  </r>
  <r>
    <x v="2"/>
    <x v="4"/>
    <n v="127296"/>
    <n v="181256.00000000003"/>
  </r>
  <r>
    <x v="2"/>
    <x v="5"/>
    <n v="125136"/>
    <n v="199811.0399999998"/>
  </r>
  <r>
    <x v="3"/>
    <x v="0"/>
    <n v="204528"/>
    <n v="292475.04000000004"/>
  </r>
  <r>
    <x v="3"/>
    <x v="3"/>
    <n v="129304"/>
    <n v="184904.72"/>
  </r>
  <r>
    <x v="3"/>
    <x v="1"/>
    <n v="127904"/>
    <n v="182902.72000000003"/>
  </r>
  <r>
    <x v="3"/>
    <x v="2"/>
    <n v="219404"/>
    <n v="212626.8"/>
  </r>
  <r>
    <x v="3"/>
    <x v="5"/>
    <n v="73912"/>
    <n v="130072.80000000012"/>
  </r>
  <r>
    <x v="3"/>
    <x v="4"/>
    <n v="71992"/>
    <n v="104238.15999999999"/>
  </r>
  <r>
    <x v="4"/>
    <x v="0"/>
    <n v="190380"/>
    <n v="272243.39999999997"/>
  </r>
  <r>
    <x v="4"/>
    <x v="2"/>
    <n v="112620"/>
    <n v="107044.07999999994"/>
  </r>
  <r>
    <x v="4"/>
    <x v="1"/>
    <n v="109940"/>
    <n v="157214.20000000007"/>
  </r>
  <r>
    <x v="4"/>
    <x v="3"/>
    <n v="106948"/>
    <n v="152935.63999999998"/>
  </r>
  <r>
    <x v="4"/>
    <x v="5"/>
    <n v="62256"/>
    <n v="100660.56000000013"/>
  </r>
  <r>
    <x v="4"/>
    <x v="4"/>
    <n v="62240"/>
    <n v="90151.2000000000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3B943A-5E16-48B8-8C93-21931E55C63F}"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E6:AF19" firstHeaderRow="1" firstDataRow="1" firstDataCol="1"/>
  <pivotFields count="9">
    <pivotField showAll="0">
      <items count="6">
        <item h="1" x="0"/>
        <item h="1" x="1"/>
        <item x="2"/>
        <item h="1" x="3"/>
        <item h="1"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numFmtId="165" showAll="0"/>
    <pivotField numFmtId="165" showAll="0"/>
    <pivotField dataField="1" numFmtId="165"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operating profit" fld="7" baseField="0" baseItem="0"/>
  </dataFields>
  <formats count="11">
    <format dxfId="10">
      <pivotArea type="all" dataOnly="0" outline="0" fieldPosition="0"/>
    </format>
    <format dxfId="9">
      <pivotArea outline="0" collapsedLevelsAreSubtotals="1" fieldPosition="0"/>
    </format>
    <format dxfId="8">
      <pivotArea field="2" type="button" dataOnly="0" labelOnly="1" outline="0"/>
    </format>
    <format dxfId="7">
      <pivotArea dataOnly="0" labelOnly="1" grandRow="1" outline="0" fieldPosition="0"/>
    </format>
    <format dxfId="6">
      <pivotArea type="all" dataOnly="0" outline="0" fieldPosition="0"/>
    </format>
    <format dxfId="5">
      <pivotArea outline="0" collapsedLevelsAreSubtotals="1" fieldPosition="0"/>
    </format>
    <format dxfId="4">
      <pivotArea field="2" type="button" dataOnly="0" labelOnly="1" outline="0"/>
    </format>
    <format dxfId="3">
      <pivotArea dataOnly="0" labelOnly="1" grandRow="1" outline="0" fieldPosition="0"/>
    </format>
    <format dxfId="2">
      <pivotArea outline="0" collapsedLevelsAreSubtotals="1" fieldPosition="0"/>
    </format>
    <format dxfId="1">
      <pivotArea dataOnly="0" labelOnly="1" grandRow="1" outline="0" fieldPosition="0"/>
    </format>
    <format dxfId="0">
      <pivotArea outline="0" collapsedLevelsAreSubtotals="1" fieldPosition="0"/>
    </format>
  </formats>
  <chartFormats count="2">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5763CA-2D99-48E3-AFF9-E78EDD43B265}"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6:F13" firstHeaderRow="0" firstDataRow="1" firstDataCol="1"/>
  <pivotFields count="9">
    <pivotField showAll="0">
      <items count="6">
        <item h="1" x="0"/>
        <item h="1" x="1"/>
        <item x="2"/>
        <item h="1" x="3"/>
        <item h="1" x="4"/>
        <item t="default"/>
      </items>
    </pivotField>
    <pivotField showAll="0"/>
    <pivotField axis="axisRow" showAll="0" sortType="descending">
      <items count="7">
        <item x="3"/>
        <item x="2"/>
        <item x="1"/>
        <item x="0"/>
        <item x="5"/>
        <item x="4"/>
        <item t="default"/>
      </items>
    </pivotField>
    <pivotField showAll="0"/>
    <pivotField dataField="1" numFmtId="165" showAll="0"/>
    <pivotField dataField="1" numFmtId="165" showAll="0"/>
    <pivotField numFmtId="165" showAll="0"/>
    <pivotField numFmtId="165" showAll="0"/>
    <pivotField showAll="0"/>
  </pivotFields>
  <rowFields count="1">
    <field x="2"/>
  </rowFields>
  <rowItems count="7">
    <i>
      <x/>
    </i>
    <i>
      <x v="1"/>
    </i>
    <i>
      <x v="2"/>
    </i>
    <i>
      <x v="3"/>
    </i>
    <i>
      <x v="4"/>
    </i>
    <i>
      <x v="5"/>
    </i>
    <i t="grand">
      <x/>
    </i>
  </rowItems>
  <colFields count="1">
    <field x="-2"/>
  </colFields>
  <colItems count="3">
    <i>
      <x/>
    </i>
    <i i="1">
      <x v="1"/>
    </i>
    <i i="2">
      <x v="2"/>
    </i>
  </colItems>
  <dataFields count="3">
    <dataField name="Sum of Income" fld="5" baseField="0" baseItem="0"/>
    <dataField name="Sum of Counts" fld="4" baseField="0" baseItem="0"/>
    <dataField name="Sum of Counts2" fld="4" showDataAs="percentOfCol" baseField="2" baseItem="0" numFmtId="10"/>
  </dataFields>
  <formats count="17">
    <format dxfId="27">
      <pivotArea type="all" dataOnly="0" outline="0" fieldPosition="0"/>
    </format>
    <format dxfId="26">
      <pivotArea outline="0" collapsedLevelsAreSubtotals="1" fieldPosition="0"/>
    </format>
    <format dxfId="25">
      <pivotArea field="2" type="button" dataOnly="0" labelOnly="1" outline="0" axis="axisRow" fieldPosition="0"/>
    </format>
    <format dxfId="24">
      <pivotArea dataOnly="0" labelOnly="1" fieldPosition="0">
        <references count="1">
          <reference field="2" count="0"/>
        </references>
      </pivotArea>
    </format>
    <format dxfId="23">
      <pivotArea dataOnly="0" labelOnly="1" grandRow="1" outline="0" fieldPosition="0"/>
    </format>
    <format dxfId="22">
      <pivotArea dataOnly="0" labelOnly="1" outline="0" fieldPosition="0">
        <references count="1">
          <reference field="4294967294" count="1">
            <x v="0"/>
          </reference>
        </references>
      </pivotArea>
    </format>
    <format dxfId="21">
      <pivotArea type="all" dataOnly="0" outline="0" fieldPosition="0"/>
    </format>
    <format dxfId="20">
      <pivotArea outline="0" collapsedLevelsAreSubtotals="1" fieldPosition="0"/>
    </format>
    <format dxfId="19">
      <pivotArea field="2" type="button" dataOnly="0" labelOnly="1" outline="0" axis="axisRow" fieldPosition="0"/>
    </format>
    <format dxfId="18">
      <pivotArea dataOnly="0" labelOnly="1" fieldPosition="0">
        <references count="1">
          <reference field="2" count="0"/>
        </references>
      </pivotArea>
    </format>
    <format dxfId="17">
      <pivotArea dataOnly="0" labelOnly="1" grandRow="1" outline="0" fieldPosition="0"/>
    </format>
    <format dxfId="16">
      <pivotArea dataOnly="0" labelOnly="1" outline="0" fieldPosition="0">
        <references count="1">
          <reference field="4294967294" count="1">
            <x v="0"/>
          </reference>
        </references>
      </pivotArea>
    </format>
    <format dxfId="15">
      <pivotArea outline="0" collapsedLevelsAreSubtotals="1" fieldPosition="0"/>
    </format>
    <format dxfId="14">
      <pivotArea dataOnly="0" labelOnly="1" fieldPosition="0">
        <references count="1">
          <reference field="2" count="0"/>
        </references>
      </pivotArea>
    </format>
    <format dxfId="13">
      <pivotArea dataOnly="0" labelOnly="1" grandRow="1" outline="0" fieldPosition="0"/>
    </format>
    <format dxfId="12">
      <pivotArea collapsedLevelsAreSubtotals="1" fieldPosition="0">
        <references count="2">
          <reference field="4294967294" count="1" selected="0">
            <x v="0"/>
          </reference>
          <reference field="2" count="0"/>
        </references>
      </pivotArea>
    </format>
    <format dxfId="11">
      <pivotArea outline="0" fieldPosition="0">
        <references count="1">
          <reference field="4294967294" count="1">
            <x v="2"/>
          </reference>
        </references>
      </pivotArea>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5DF582D-A100-4000-91C4-2D1657FBF59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X6:Z19" firstHeaderRow="0" firstDataRow="1" firstDataCol="1"/>
  <pivotFields count="9">
    <pivotField showAll="0">
      <items count="6">
        <item h="1" x="0"/>
        <item h="1" x="1"/>
        <item x="2"/>
        <item h="1" x="3"/>
        <item h="1" x="4"/>
        <item t="default"/>
      </items>
    </pivotField>
    <pivotField axis="axisRow"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showAl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5" baseField="0" baseItem="0"/>
    <dataField name="Sum of Income2" fld="5" baseField="0" baseItem="0"/>
  </dataFields>
  <formats count="13">
    <format dxfId="40">
      <pivotArea type="all" dataOnly="0" outline="0" fieldPosition="0"/>
    </format>
    <format dxfId="39">
      <pivotArea outline="0" collapsedLevelsAreSubtotals="1" fieldPosition="0"/>
    </format>
    <format dxfId="38">
      <pivotArea field="2" type="button" dataOnly="0" labelOnly="1" outline="0"/>
    </format>
    <format dxfId="37">
      <pivotArea dataOnly="0" labelOnly="1" grandRow="1" outline="0" fieldPosition="0"/>
    </format>
    <format dxfId="36">
      <pivotArea dataOnly="0" labelOnly="1" outline="0" fieldPosition="0">
        <references count="1">
          <reference field="4294967294" count="1">
            <x v="0"/>
          </reference>
        </references>
      </pivotArea>
    </format>
    <format dxfId="35">
      <pivotArea type="all" dataOnly="0" outline="0" fieldPosition="0"/>
    </format>
    <format dxfId="34">
      <pivotArea outline="0" collapsedLevelsAreSubtotals="1" fieldPosition="0"/>
    </format>
    <format dxfId="33">
      <pivotArea field="2" type="button" dataOnly="0" labelOnly="1" outline="0"/>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outline="0" collapsedLevelsAreSubtotals="1" fieldPosition="0"/>
    </format>
    <format dxfId="29">
      <pivotArea dataOnly="0" labelOnly="1" grandRow="1" outline="0" fieldPosition="0"/>
    </format>
    <format dxfId="28">
      <pivotArea outline="0" collapsedLevelsAreSubtotals="1" fieldPosition="0"/>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9A740D-78C6-49D1-9873-ED305EB06D4C}" name="PivotTable9"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U4:BV5" firstHeaderRow="0" firstDataRow="1" firstDataCol="0"/>
  <pivotFields count="4">
    <pivotField showAll="0">
      <items count="6">
        <item h="1" x="0"/>
        <item h="1" x="1"/>
        <item h="1" x="2"/>
        <item x="3"/>
        <item h="1" x="4"/>
        <item t="default"/>
      </items>
    </pivotField>
    <pivotField showAll="0">
      <items count="7">
        <item x="4"/>
        <item x="5"/>
        <item x="0"/>
        <item x="2"/>
        <item x="3"/>
        <item x="1"/>
        <item t="default"/>
      </items>
    </pivotField>
    <pivotField dataField="1" numFmtId="1" showAll="0"/>
    <pivotField dataField="1" numFmtId="1" showAll="0"/>
  </pivotFields>
  <rowItems count="1">
    <i/>
  </rowItems>
  <colFields count="1">
    <field x="-2"/>
  </colFields>
  <colItems count="2">
    <i>
      <x/>
    </i>
    <i i="1">
      <x v="1"/>
    </i>
  </colItems>
  <dataFields count="2">
    <dataField name="Sum of Amount" fld="2" baseField="0" baseItem="0"/>
    <dataField name="Sum of Target" fld="3" baseField="0" baseItem="0"/>
  </dataFields>
  <formats count="10">
    <format dxfId="50">
      <pivotArea type="all" dataOnly="0" outline="0" fieldPosition="0"/>
    </format>
    <format dxfId="49">
      <pivotArea outline="0" collapsedLevelsAreSubtotals="1" fieldPosition="0"/>
    </format>
    <format dxfId="48">
      <pivotArea field="1" type="button" dataOnly="0" labelOnly="1" outline="0"/>
    </format>
    <format dxfId="47">
      <pivotArea dataOnly="0" labelOnly="1" grandRow="1" outline="0" fieldPosition="0"/>
    </format>
    <format dxfId="46">
      <pivotArea dataOnly="0" labelOnly="1" outline="0" fieldPosition="0">
        <references count="1">
          <reference field="4294967294" count="1">
            <x v="0"/>
          </reference>
        </references>
      </pivotArea>
    </format>
    <format dxfId="45">
      <pivotArea type="all" dataOnly="0" outline="0" fieldPosition="0"/>
    </format>
    <format dxfId="44">
      <pivotArea outline="0" collapsedLevelsAreSubtotals="1" fieldPosition="0"/>
    </format>
    <format dxfId="43">
      <pivotArea field="1" type="button" dataOnly="0" labelOnly="1" outline="0"/>
    </format>
    <format dxfId="42">
      <pivotArea dataOnly="0" labelOnly="1" grandRow="1" outline="0" fieldPosition="0"/>
    </format>
    <format dxfId="41">
      <pivotArea dataOnly="0" labelOnly="1" outline="0" fieldPosition="0">
        <references count="1">
          <reference field="4294967294" count="1">
            <x v="0"/>
          </reference>
        </references>
      </pivotArea>
    </format>
  </formats>
  <pivotTableStyleInfo name="PivotStyleMedium4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83670F-3EA4-41CB-92DC-A54AB5B3705F}" name="PivotTable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B4:BD11" firstHeaderRow="0" firstDataRow="1" firstDataCol="1"/>
  <pivotFields count="4">
    <pivotField showAll="0">
      <items count="6">
        <item h="1" x="0"/>
        <item h="1" x="1"/>
        <item h="1" x="2"/>
        <item x="3"/>
        <item h="1" x="4"/>
        <item t="default"/>
      </items>
    </pivotField>
    <pivotField axis="axisRow" showAll="0">
      <items count="7">
        <item x="4"/>
        <item x="5"/>
        <item x="0"/>
        <item x="2"/>
        <item x="3"/>
        <item x="1"/>
        <item t="default"/>
      </items>
    </pivotField>
    <pivotField dataField="1" numFmtId="1" showAll="0"/>
    <pivotField numFmtId="1" showAll="0"/>
  </pivotFields>
  <rowFields count="1">
    <field x="1"/>
  </rowFields>
  <rowItems count="7">
    <i>
      <x/>
    </i>
    <i>
      <x v="1"/>
    </i>
    <i>
      <x v="2"/>
    </i>
    <i>
      <x v="3"/>
    </i>
    <i>
      <x v="4"/>
    </i>
    <i>
      <x v="5"/>
    </i>
    <i t="grand">
      <x/>
    </i>
  </rowItems>
  <colFields count="1">
    <field x="-2"/>
  </colFields>
  <colItems count="2">
    <i>
      <x/>
    </i>
    <i i="1">
      <x v="1"/>
    </i>
  </colItems>
  <dataFields count="2">
    <dataField name="Sum of Amount" fld="2" baseField="0" baseItem="0"/>
    <dataField name="Sum of Amount2" fld="2" showDataAs="percentOfCol" baseField="1" baseItem="0" numFmtId="10"/>
  </dataFields>
  <formats count="12">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0"/>
        </references>
      </pivotArea>
    </format>
    <format dxfId="58">
      <pivotArea dataOnly="0" labelOnly="1" grandRow="1" outline="0" fieldPosition="0"/>
    </format>
    <format dxfId="57">
      <pivotArea dataOnly="0" labelOnly="1" outline="0" fieldPosition="0">
        <references count="1">
          <reference field="4294967294" count="2">
            <x v="0"/>
            <x v="1"/>
          </reference>
        </references>
      </pivotArea>
    </format>
    <format dxfId="56">
      <pivotArea type="all" dataOnly="0" outline="0" fieldPosition="0"/>
    </format>
    <format dxfId="55">
      <pivotArea outline="0" collapsedLevelsAreSubtotals="1" fieldPosition="0"/>
    </format>
    <format dxfId="54">
      <pivotArea field="1" type="button" dataOnly="0" labelOnly="1" outline="0" axis="axisRow" fieldPosition="0"/>
    </format>
    <format dxfId="53">
      <pivotArea dataOnly="0" labelOnly="1" fieldPosition="0">
        <references count="1">
          <reference field="1" count="0"/>
        </references>
      </pivotArea>
    </format>
    <format dxfId="52">
      <pivotArea dataOnly="0" labelOnly="1" grandRow="1" outline="0" fieldPosition="0"/>
    </format>
    <format dxfId="51">
      <pivotArea dataOnly="0" labelOnly="1" outline="0" fieldPosition="0">
        <references count="1">
          <reference field="4294967294" count="2">
            <x v="0"/>
            <x v="1"/>
          </reference>
        </references>
      </pivotArea>
    </format>
  </formats>
  <pivotTableStyleInfo name="PivotStyleMedium4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F9885A7-1FD0-47A3-962D-9E990D8C6762}"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AT6:AV9" firstHeaderRow="0" firstDataRow="1" firstDataCol="1"/>
  <pivotFields count="9">
    <pivotField showAll="0">
      <items count="6">
        <item h="1" x="0"/>
        <item h="1" x="1"/>
        <item x="2"/>
        <item h="1" x="3"/>
        <item h="1" x="4"/>
        <item t="default"/>
      </items>
    </pivotField>
    <pivotField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axis="axisRow" showAll="0">
      <items count="3">
        <item x="0"/>
        <item x="1"/>
        <item t="default"/>
      </items>
    </pivotField>
  </pivotFields>
  <rowFields count="1">
    <field x="8"/>
  </rowFields>
  <rowItems count="3">
    <i>
      <x/>
    </i>
    <i>
      <x v="1"/>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12">
    <format dxfId="74">
      <pivotArea type="all" dataOnly="0" outline="0" fieldPosition="0"/>
    </format>
    <format dxfId="73">
      <pivotArea outline="0" collapsedLevelsAreSubtotals="1" fieldPosition="0"/>
    </format>
    <format dxfId="72">
      <pivotArea field="2" type="button" dataOnly="0" labelOnly="1" outline="0"/>
    </format>
    <format dxfId="71">
      <pivotArea dataOnly="0" labelOnly="1" grandRow="1" outline="0" fieldPosition="0"/>
    </format>
    <format dxfId="70">
      <pivotArea type="all" dataOnly="0" outline="0" fieldPosition="0"/>
    </format>
    <format dxfId="69">
      <pivotArea outline="0" collapsedLevelsAreSubtotals="1" fieldPosition="0"/>
    </format>
    <format dxfId="68">
      <pivotArea field="2" type="button" dataOnly="0" labelOnly="1" outline="0"/>
    </format>
    <format dxfId="67">
      <pivotArea dataOnly="0" labelOnly="1" grandRow="1" outline="0" fieldPosition="0"/>
    </format>
    <format dxfId="66">
      <pivotArea outline="0" collapsedLevelsAreSubtotals="1" fieldPosition="0"/>
    </format>
    <format dxfId="65">
      <pivotArea dataOnly="0" labelOnly="1" grandRow="1" outline="0" fieldPosition="0"/>
    </format>
    <format dxfId="64">
      <pivotArea outline="0" collapsedLevelsAreSubtotals="1" fieldPosition="0"/>
    </format>
    <format dxfId="63">
      <pivotArea outline="0" fieldPosition="0">
        <references count="1">
          <reference field="4294967294" count="1">
            <x v="1"/>
          </reference>
        </references>
      </pivotArea>
    </format>
  </formats>
  <chartFormats count="12">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pivotArea type="data" outline="0" fieldPosition="0">
        <references count="2">
          <reference field="4294967294" count="1" selected="0">
            <x v="1"/>
          </reference>
          <reference field="8" count="1" selected="0">
            <x v="0"/>
          </reference>
        </references>
      </pivotArea>
    </chartFormat>
    <chartFormat chart="11" format="3">
      <pivotArea type="data" outline="0" fieldPosition="0">
        <references count="2">
          <reference field="4294967294" count="1" selected="0">
            <x v="0"/>
          </reference>
          <reference field="8" count="1" selected="0">
            <x v="0"/>
          </reference>
        </references>
      </pivotArea>
    </chartFormat>
    <chartFormat chart="11" format="4">
      <pivotArea type="data" outline="0" fieldPosition="0">
        <references count="2">
          <reference field="4294967294" count="1" selected="0">
            <x v="1"/>
          </reference>
          <reference field="8" count="1" selected="0">
            <x v="1"/>
          </reference>
        </references>
      </pivotArea>
    </chartFormat>
    <chartFormat chart="11" format="5">
      <pivotArea type="data" outline="0" fieldPosition="0">
        <references count="2">
          <reference field="4294967294" count="1" selected="0">
            <x v="0"/>
          </reference>
          <reference field="8" count="1" selected="0">
            <x v="1"/>
          </reference>
        </references>
      </pivotArea>
    </chartFormat>
    <chartFormat chart="13" format="12" series="1">
      <pivotArea type="data" outline="0" fieldPosition="0">
        <references count="1">
          <reference field="4294967294" count="1" selected="0">
            <x v="0"/>
          </reference>
        </references>
      </pivotArea>
    </chartFormat>
    <chartFormat chart="13" format="13">
      <pivotArea type="data" outline="0" fieldPosition="0">
        <references count="2">
          <reference field="4294967294" count="1" selected="0">
            <x v="0"/>
          </reference>
          <reference field="8" count="1" selected="0">
            <x v="0"/>
          </reference>
        </references>
      </pivotArea>
    </chartFormat>
    <chartFormat chart="13" format="14">
      <pivotArea type="data" outline="0" fieldPosition="0">
        <references count="2">
          <reference field="4294967294" count="1" selected="0">
            <x v="0"/>
          </reference>
          <reference field="8" count="1" selected="0">
            <x v="1"/>
          </reference>
        </references>
      </pivotArea>
    </chartFormat>
    <chartFormat chart="13" format="15" series="1">
      <pivotArea type="data" outline="0" fieldPosition="0">
        <references count="1">
          <reference field="4294967294" count="1" selected="0">
            <x v="1"/>
          </reference>
        </references>
      </pivotArea>
    </chartFormat>
    <chartFormat chart="13" format="16">
      <pivotArea type="data" outline="0" fieldPosition="0">
        <references count="2">
          <reference field="4294967294" count="1" selected="0">
            <x v="1"/>
          </reference>
          <reference field="8" count="1" selected="0">
            <x v="0"/>
          </reference>
        </references>
      </pivotArea>
    </chartFormat>
    <chartFormat chart="13" format="17">
      <pivotArea type="data" outline="0" fieldPosition="0">
        <references count="2">
          <reference field="4294967294" count="1" selected="0">
            <x v="1"/>
          </reference>
          <reference field="8" count="1" selected="0">
            <x v="1"/>
          </reference>
        </references>
      </pivotArea>
    </chartFormat>
  </chart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FDC482C-758E-4D79-9163-FAE707389880}"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AK6:AM9" firstHeaderRow="0" firstDataRow="1" firstDataCol="1"/>
  <pivotFields count="9">
    <pivotField showAll="0">
      <items count="6">
        <item h="1" x="0"/>
        <item h="1" x="1"/>
        <item x="2"/>
        <item h="1" x="3"/>
        <item h="1" x="4"/>
        <item t="default"/>
      </items>
    </pivotField>
    <pivotField showAll="0">
      <items count="13">
        <item x="0"/>
        <item x="1"/>
        <item x="2"/>
        <item x="3"/>
        <item x="4"/>
        <item x="5"/>
        <item x="6"/>
        <item x="7"/>
        <item x="8"/>
        <item x="9"/>
        <item x="10"/>
        <item x="11"/>
        <item t="default"/>
      </items>
    </pivotField>
    <pivotField showAll="0" sortType="descending">
      <items count="7">
        <item x="3"/>
        <item x="2"/>
        <item x="1"/>
        <item x="0"/>
        <item x="5"/>
        <item x="4"/>
        <item t="default"/>
      </items>
    </pivotField>
    <pivotField showAll="0"/>
    <pivotField numFmtId="165" showAll="0"/>
    <pivotField dataField="1" numFmtId="165" showAll="0"/>
    <pivotField numFmtId="165" showAll="0"/>
    <pivotField numFmtId="165" showAll="0"/>
    <pivotField axis="axisRow" showAll="0">
      <items count="3">
        <item x="0"/>
        <item x="1"/>
        <item t="default"/>
      </items>
    </pivotField>
  </pivotFields>
  <rowFields count="1">
    <field x="8"/>
  </rowFields>
  <rowItems count="3">
    <i>
      <x/>
    </i>
    <i>
      <x v="1"/>
    </i>
    <i t="grand">
      <x/>
    </i>
  </rowItems>
  <colFields count="1">
    <field x="-2"/>
  </colFields>
  <colItems count="2">
    <i>
      <x/>
    </i>
    <i i="1">
      <x v="1"/>
    </i>
  </colItems>
  <dataFields count="2">
    <dataField name="Sum of Income" fld="5" baseField="0" baseItem="0"/>
    <dataField name="Sum of Income2" fld="5" showDataAs="percentOfCol" baseField="8" baseItem="0" numFmtId="10"/>
  </dataFields>
  <formats count="12">
    <format dxfId="86">
      <pivotArea type="all" dataOnly="0" outline="0" fieldPosition="0"/>
    </format>
    <format dxfId="85">
      <pivotArea outline="0" collapsedLevelsAreSubtotals="1" fieldPosition="0"/>
    </format>
    <format dxfId="84">
      <pivotArea field="2" type="button" dataOnly="0" labelOnly="1" outline="0"/>
    </format>
    <format dxfId="83">
      <pivotArea dataOnly="0" labelOnly="1" grandRow="1" outline="0" fieldPosition="0"/>
    </format>
    <format dxfId="82">
      <pivotArea type="all" dataOnly="0" outline="0" fieldPosition="0"/>
    </format>
    <format dxfId="81">
      <pivotArea outline="0" collapsedLevelsAreSubtotals="1" fieldPosition="0"/>
    </format>
    <format dxfId="80">
      <pivotArea field="2" type="button" dataOnly="0" labelOnly="1" outline="0"/>
    </format>
    <format dxfId="79">
      <pivotArea dataOnly="0" labelOnly="1" grandRow="1" outline="0" fieldPosition="0"/>
    </format>
    <format dxfId="78">
      <pivotArea outline="0" collapsedLevelsAreSubtotals="1" fieldPosition="0"/>
    </format>
    <format dxfId="77">
      <pivotArea dataOnly="0" labelOnly="1" grandRow="1" outline="0" fieldPosition="0"/>
    </format>
    <format dxfId="76">
      <pivotArea outline="0" collapsedLevelsAreSubtotals="1" fieldPosition="0"/>
    </format>
    <format dxfId="75">
      <pivotArea outline="0" fieldPosition="0">
        <references count="1">
          <reference field="4294967294" count="1">
            <x v="1"/>
          </reference>
        </references>
      </pivotArea>
    </format>
  </formats>
  <chartFormats count="12">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pivotArea type="data" outline="0" fieldPosition="0">
        <references count="2">
          <reference field="4294967294" count="1" selected="0">
            <x v="1"/>
          </reference>
          <reference field="8" count="1" selected="0">
            <x v="0"/>
          </reference>
        </references>
      </pivotArea>
    </chartFormat>
    <chartFormat chart="11" format="3">
      <pivotArea type="data" outline="0" fieldPosition="0">
        <references count="2">
          <reference field="4294967294" count="1" selected="0">
            <x v="0"/>
          </reference>
          <reference field="8" count="1" selected="0">
            <x v="0"/>
          </reference>
        </references>
      </pivotArea>
    </chartFormat>
    <chartFormat chart="11" format="4">
      <pivotArea type="data" outline="0" fieldPosition="0">
        <references count="2">
          <reference field="4294967294" count="1" selected="0">
            <x v="1"/>
          </reference>
          <reference field="8" count="1" selected="0">
            <x v="1"/>
          </reference>
        </references>
      </pivotArea>
    </chartFormat>
    <chartFormat chart="11" format="5">
      <pivotArea type="data" outline="0" fieldPosition="0">
        <references count="2">
          <reference field="4294967294" count="1" selected="0">
            <x v="0"/>
          </reference>
          <reference field="8" count="1" selected="0">
            <x v="1"/>
          </reference>
        </references>
      </pivotArea>
    </chartFormat>
    <chartFormat chart="13" format="12" series="1">
      <pivotArea type="data" outline="0" fieldPosition="0">
        <references count="1">
          <reference field="4294967294" count="1" selected="0">
            <x v="0"/>
          </reference>
        </references>
      </pivotArea>
    </chartFormat>
    <chartFormat chart="13" format="13">
      <pivotArea type="data" outline="0" fieldPosition="0">
        <references count="2">
          <reference field="4294967294" count="1" selected="0">
            <x v="0"/>
          </reference>
          <reference field="8" count="1" selected="0">
            <x v="0"/>
          </reference>
        </references>
      </pivotArea>
    </chartFormat>
    <chartFormat chart="13" format="14">
      <pivotArea type="data" outline="0" fieldPosition="0">
        <references count="2">
          <reference field="4294967294" count="1" selected="0">
            <x v="0"/>
          </reference>
          <reference field="8" count="1" selected="0">
            <x v="1"/>
          </reference>
        </references>
      </pivotArea>
    </chartFormat>
    <chartFormat chart="13" format="15" series="1">
      <pivotArea type="data" outline="0" fieldPosition="0">
        <references count="1">
          <reference field="4294967294" count="1" selected="0">
            <x v="1"/>
          </reference>
        </references>
      </pivotArea>
    </chartFormat>
    <chartFormat chart="13" format="16">
      <pivotArea type="data" outline="0" fieldPosition="0">
        <references count="2">
          <reference field="4294967294" count="1" selected="0">
            <x v="1"/>
          </reference>
          <reference field="8" count="1" selected="0">
            <x v="0"/>
          </reference>
        </references>
      </pivotArea>
    </chartFormat>
    <chartFormat chart="13" format="17">
      <pivotArea type="data" outline="0" fieldPosition="0">
        <references count="2">
          <reference field="4294967294" count="1" selected="0">
            <x v="1"/>
          </reference>
          <reference field="8" count="1" selected="0">
            <x v="1"/>
          </reference>
        </references>
      </pivotArea>
    </chartFormat>
  </chart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BC23C1D-4FCB-4A1A-BC71-649CF57328CD}"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Q6:R7" firstHeaderRow="0" firstDataRow="1" firstDataCol="0"/>
  <pivotFields count="9">
    <pivotField showAll="0">
      <items count="6">
        <item h="1" x="0"/>
        <item h="1" x="1"/>
        <item x="2"/>
        <item h="1" x="3"/>
        <item h="1" x="4"/>
        <item t="default"/>
      </items>
    </pivotField>
    <pivotField showAll="0"/>
    <pivotField showAll="0" sortType="descending">
      <items count="7">
        <item x="3"/>
        <item x="2"/>
        <item x="1"/>
        <item x="0"/>
        <item x="5"/>
        <item x="4"/>
        <item t="default"/>
      </items>
    </pivotField>
    <pivotField showAll="0"/>
    <pivotField numFmtId="165" showAll="0"/>
    <pivotField dataField="1" numFmtId="165" showAll="0"/>
    <pivotField dataField="1" numFmtId="165" showAll="0"/>
    <pivotField numFmtId="165" showAll="0"/>
    <pivotField showAll="0"/>
  </pivotFields>
  <rowItems count="1">
    <i/>
  </rowItems>
  <colFields count="1">
    <field x="-2"/>
  </colFields>
  <colItems count="2">
    <i>
      <x/>
    </i>
    <i i="1">
      <x v="1"/>
    </i>
  </colItems>
  <dataFields count="2">
    <dataField name="Sum of Income" fld="5" baseField="0" baseItem="0"/>
    <dataField name="Sum of Target Income" fld="6" baseField="0" baseItem="0"/>
  </dataFields>
  <formats count="13">
    <format dxfId="99">
      <pivotArea type="all" dataOnly="0" outline="0" fieldPosition="0"/>
    </format>
    <format dxfId="98">
      <pivotArea outline="0" collapsedLevelsAreSubtotals="1" fieldPosition="0"/>
    </format>
    <format dxfId="97">
      <pivotArea field="2" type="button" dataOnly="0" labelOnly="1" outline="0"/>
    </format>
    <format dxfId="96">
      <pivotArea dataOnly="0" labelOnly="1" grandRow="1" outline="0" fieldPosition="0"/>
    </format>
    <format dxfId="95">
      <pivotArea dataOnly="0" labelOnly="1" outline="0" fieldPosition="0">
        <references count="1">
          <reference field="4294967294" count="1">
            <x v="0"/>
          </reference>
        </references>
      </pivotArea>
    </format>
    <format dxfId="94">
      <pivotArea type="all" dataOnly="0" outline="0" fieldPosition="0"/>
    </format>
    <format dxfId="93">
      <pivotArea outline="0" collapsedLevelsAreSubtotals="1" fieldPosition="0"/>
    </format>
    <format dxfId="92">
      <pivotArea field="2" type="button" dataOnly="0" labelOnly="1" outline="0"/>
    </format>
    <format dxfId="91">
      <pivotArea dataOnly="0" labelOnly="1" grandRow="1" outline="0" fieldPosition="0"/>
    </format>
    <format dxfId="90">
      <pivotArea dataOnly="0" labelOnly="1" outline="0" fieldPosition="0">
        <references count="1">
          <reference field="4294967294" count="1">
            <x v="0"/>
          </reference>
        </references>
      </pivotArea>
    </format>
    <format dxfId="89">
      <pivotArea outline="0" collapsedLevelsAreSubtotals="1" fieldPosition="0"/>
    </format>
    <format dxfId="88">
      <pivotArea dataOnly="0" labelOnly="1" grandRow="1" outline="0" fieldPosition="0"/>
    </format>
    <format dxfId="87">
      <pivotArea outline="0" collapsedLevelsAreSubtotals="1"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20B81F5-4D02-4589-BCCE-8AE4C949CD81}" sourceName="Year">
  <pivotTables>
    <pivotTable tabId="4" name="PivotTable1"/>
    <pivotTable tabId="4" name="PivotTable2"/>
    <pivotTable tabId="4" name="PivotTable3"/>
    <pivotTable tabId="4" name="PivotTable4"/>
    <pivotTable tabId="4" name="PivotTable5"/>
    <pivotTable tabId="4" name="PivotTable6"/>
  </pivotTables>
  <data>
    <tabular pivotCacheId="1802718633">
      <items count="5">
        <i x="0"/>
        <i x="1"/>
        <i x="2" s="1"/>
        <i x="3"/>
        <i x="4"/>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E83F1D72-30A1-4350-BF89-953F4F8DC8F3}" sourceName="Year">
  <pivotTables>
    <pivotTable tabId="4" name="PivotTable7"/>
    <pivotTable tabId="4" name="PivotTable9"/>
  </pivotTables>
  <data>
    <tabular pivotCacheId="2003479677">
      <items count="5">
        <i x="0"/>
        <i x="1"/>
        <i x="2"/>
        <i x="3" s="1"/>
        <i x="4"/>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2CD7BB5-3295-4266-8497-BCC2F31DD59D}" cache="Slicer_Year" caption="Year" columnCount="5" showCaption="0" style="SlicerStyleDark3 2" rowHeight="2743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3913799C-ED6A-4DD5-8AF1-D49983B79BCA}" cache="Slicer_Year1" caption="Year" columnCount="5" showCaption="0" style="SlicerStyleDark3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D28505-F379-4A7E-A508-B65DF599BA8F}" name="Table3" displayName="Table3" ref="A1:I901" totalsRowShown="0" headerRowDxfId="118" dataDxfId="116" headerRowBorderDxfId="117" tableBorderDxfId="115">
  <autoFilter ref="A1:I901" xr:uid="{10D28505-F379-4A7E-A508-B65DF599BA8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A2:I901">
    <sortCondition ref="A2:A901" customList="Jan,Feb,Mar,Apr,May,Jun,Jul,Aug,Sep,Oct,Nov,Dec"/>
  </sortState>
  <tableColumns count="9">
    <tableColumn id="1" xr3:uid="{F1B2F5AF-1872-4D88-A8AD-82C5ABEDAC5E}" name="Year" dataDxfId="114"/>
    <tableColumn id="2" xr3:uid="{A68E4C5E-63A7-44F3-94A9-B3DC035142E3}" name="Month" dataDxfId="113"/>
    <tableColumn id="3" xr3:uid="{FCFD0908-B2CD-4A82-AD2C-8F47574C7344}" name="Income sources" dataDxfId="112"/>
    <tableColumn id="4" xr3:uid="{B21922F0-2DEC-409B-A10C-800CA1A1B0C5}" name="Income Breakdowns" dataDxfId="111"/>
    <tableColumn id="5" xr3:uid="{065303FF-72C4-4F8F-BB0C-F9118DF0DFDF}" name="Counts" dataDxfId="110"/>
    <tableColumn id="6" xr3:uid="{DABCF258-4449-4DEA-86B9-64B7C52EA6A0}" name="Income" dataDxfId="109"/>
    <tableColumn id="7" xr3:uid="{21324F5C-E6CA-43C7-8626-2541ACD89257}" name="Target Income" dataDxfId="108"/>
    <tableColumn id="8" xr3:uid="{A4C67C2A-7CF2-4AF9-8525-5806E64C6993}" name="operating profit" dataDxfId="107"/>
    <tableColumn id="9" xr3:uid="{C6352437-E1F6-2340-AE38-441D5A24EB63}" name="Marketing Strategies" dataDxfId="106"/>
  </tableColumns>
  <tableStyleInfo name="TableStyleLight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0708E1-0C71-428D-A358-8301D1873898}" name="Map" displayName="Map" ref="L1:O31" totalsRowShown="0" headerRowDxfId="105" dataDxfId="104">
  <autoFilter ref="L1:O31" xr:uid="{B80708E1-0C71-428D-A358-8301D1873898}">
    <filterColumn colId="1">
      <filters>
        <filter val="USA"/>
      </filters>
    </filterColumn>
  </autoFilter>
  <sortState xmlns:xlrd2="http://schemas.microsoft.com/office/spreadsheetml/2017/richdata2" ref="L2:O31">
    <sortCondition ref="L1:L31"/>
  </sortState>
  <tableColumns count="4">
    <tableColumn id="1" xr3:uid="{CE527381-E398-43BC-B587-7C34DFC93DC5}" name="Year" dataDxfId="103"/>
    <tableColumn id="2" xr3:uid="{13761DB2-051C-4B62-A110-B90B3FD136FC}" name="Country" dataDxfId="102"/>
    <tableColumn id="3" xr3:uid="{A8CB7758-2EDD-456C-ABA3-07BBA3770150}" name="Amount" dataDxfId="101"/>
    <tableColumn id="4" xr3:uid="{0456D8A5-5059-42E2-A320-4DF2410336CD}" name="Target" dataDxfId="100"/>
  </tableColumns>
  <tableStyleInfo name="TableStyleLight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08424-827B-4859-83A0-57EE9B44D642}">
  <sheetPr codeName="Sheet3">
    <tabColor rgb="FF00B0F0"/>
  </sheetPr>
  <dimension ref="B26:F39"/>
  <sheetViews>
    <sheetView showGridLines="0" showRowColHeaders="0" topLeftCell="A13" zoomScale="60" zoomScaleNormal="60" workbookViewId="0">
      <selection activeCell="I21" sqref="I21"/>
    </sheetView>
  </sheetViews>
  <sheetFormatPr defaultRowHeight="15" x14ac:dyDescent="0.25"/>
  <cols>
    <col min="1" max="16384" width="9.140625" style="15"/>
  </cols>
  <sheetData>
    <row r="26" spans="6:6" x14ac:dyDescent="0.25">
      <c r="F26" s="22">
        <f>'pivot tables'!R7</f>
        <v>898931.71199999994</v>
      </c>
    </row>
    <row r="39" spans="2:2" ht="24.75" x14ac:dyDescent="0.3">
      <c r="B39" s="24"/>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7C432-D1F9-4632-A727-B95A562A3E15}">
  <sheetPr codeName="Sheet4">
    <tabColor rgb="FF00B0F0"/>
  </sheetPr>
  <dimension ref="J3:AE42"/>
  <sheetViews>
    <sheetView showGridLines="0" showRowColHeaders="0" zoomScale="75" zoomScaleNormal="75" workbookViewId="0"/>
  </sheetViews>
  <sheetFormatPr defaultRowHeight="15" x14ac:dyDescent="0.25"/>
  <cols>
    <col min="1" max="16384" width="9.140625" style="15"/>
  </cols>
  <sheetData>
    <row r="3" spans="10:31" x14ac:dyDescent="0.25">
      <c r="J3" s="41"/>
      <c r="K3" s="41"/>
      <c r="L3" s="41"/>
      <c r="M3" s="41"/>
      <c r="N3" s="41"/>
      <c r="O3" s="41"/>
      <c r="P3" s="41"/>
      <c r="Q3" s="41"/>
      <c r="R3" s="41"/>
      <c r="S3" s="41"/>
      <c r="T3" s="41"/>
      <c r="U3" s="41"/>
      <c r="V3" s="41"/>
      <c r="W3" s="41"/>
      <c r="X3" s="41"/>
      <c r="Y3" s="41"/>
      <c r="Z3" s="41"/>
      <c r="AA3" s="41"/>
      <c r="AB3" s="41"/>
      <c r="AC3" s="41"/>
      <c r="AD3" s="41"/>
      <c r="AE3" s="41"/>
    </row>
    <row r="4" spans="10:31" x14ac:dyDescent="0.25">
      <c r="J4" s="41"/>
      <c r="K4" s="41"/>
      <c r="L4" s="41"/>
      <c r="M4" s="41"/>
      <c r="N4" s="41"/>
      <c r="O4" s="41"/>
      <c r="P4" s="41"/>
      <c r="Q4" s="41"/>
      <c r="R4" s="41"/>
      <c r="S4" s="41"/>
      <c r="T4" s="41"/>
      <c r="U4" s="41"/>
      <c r="V4" s="41"/>
      <c r="W4" s="41"/>
      <c r="X4" s="41"/>
      <c r="Y4" s="41"/>
      <c r="Z4" s="41"/>
      <c r="AA4" s="41"/>
      <c r="AB4" s="41"/>
      <c r="AC4" s="41"/>
      <c r="AD4" s="41"/>
      <c r="AE4" s="41"/>
    </row>
    <row r="5" spans="10:31" x14ac:dyDescent="0.25">
      <c r="J5" s="41"/>
      <c r="K5" s="41"/>
      <c r="L5" s="41"/>
      <c r="M5" s="41"/>
      <c r="N5" s="41"/>
      <c r="O5" s="41"/>
      <c r="P5" s="41"/>
      <c r="Q5" s="41"/>
      <c r="R5" s="41"/>
      <c r="S5" s="41"/>
      <c r="T5" s="41"/>
      <c r="U5" s="41"/>
      <c r="V5" s="41"/>
      <c r="W5" s="41"/>
      <c r="X5" s="41"/>
      <c r="Y5" s="41"/>
      <c r="Z5" s="41"/>
      <c r="AA5" s="41"/>
      <c r="AB5" s="41"/>
      <c r="AC5" s="41"/>
      <c r="AD5" s="41"/>
      <c r="AE5" s="41"/>
    </row>
    <row r="6" spans="10:31" x14ac:dyDescent="0.25">
      <c r="J6" s="41"/>
      <c r="K6" s="41"/>
      <c r="L6" s="41"/>
      <c r="M6" s="41"/>
      <c r="N6" s="41"/>
      <c r="O6" s="41"/>
      <c r="P6" s="41"/>
      <c r="Q6" s="41"/>
      <c r="R6" s="41"/>
      <c r="S6" s="41"/>
      <c r="T6" s="41"/>
      <c r="U6" s="41"/>
      <c r="V6" s="41"/>
      <c r="W6" s="41"/>
      <c r="X6" s="41"/>
      <c r="Y6" s="41"/>
      <c r="Z6" s="41"/>
      <c r="AA6" s="41"/>
      <c r="AB6" s="41"/>
      <c r="AC6" s="41"/>
      <c r="AD6" s="41"/>
      <c r="AE6" s="41"/>
    </row>
    <row r="7" spans="10:31" x14ac:dyDescent="0.25">
      <c r="J7" s="41"/>
      <c r="K7" s="41"/>
      <c r="L7" s="41"/>
      <c r="M7" s="41"/>
      <c r="N7" s="41"/>
      <c r="O7" s="41"/>
      <c r="P7" s="41"/>
      <c r="Q7" s="41"/>
      <c r="R7" s="41"/>
      <c r="S7" s="41"/>
      <c r="T7" s="41"/>
      <c r="U7" s="41"/>
      <c r="V7" s="41"/>
      <c r="W7" s="41"/>
      <c r="X7" s="41"/>
      <c r="Y7" s="41"/>
      <c r="Z7" s="41"/>
      <c r="AA7" s="41"/>
      <c r="AB7" s="41"/>
      <c r="AC7" s="41"/>
      <c r="AD7" s="41"/>
      <c r="AE7" s="41"/>
    </row>
    <row r="8" spans="10:31" x14ac:dyDescent="0.25">
      <c r="J8" s="41"/>
      <c r="K8" s="41"/>
      <c r="L8" s="41"/>
      <c r="M8" s="41"/>
      <c r="N8" s="41"/>
      <c r="O8" s="41"/>
      <c r="P8" s="41"/>
      <c r="Q8" s="41"/>
      <c r="R8" s="41"/>
      <c r="S8" s="41"/>
      <c r="T8" s="41"/>
      <c r="U8" s="41"/>
      <c r="V8" s="41"/>
      <c r="W8" s="41"/>
      <c r="X8" s="41"/>
      <c r="Y8" s="41"/>
      <c r="Z8" s="41"/>
      <c r="AA8" s="41"/>
      <c r="AB8" s="41"/>
      <c r="AC8" s="41"/>
      <c r="AD8" s="41"/>
      <c r="AE8" s="41"/>
    </row>
    <row r="9" spans="10:31" x14ac:dyDescent="0.25">
      <c r="J9" s="41"/>
      <c r="K9" s="41"/>
      <c r="L9" s="41"/>
      <c r="M9" s="41"/>
      <c r="N9" s="41"/>
      <c r="O9" s="41"/>
      <c r="P9" s="41"/>
      <c r="Q9" s="41"/>
      <c r="R9" s="41"/>
      <c r="S9" s="41"/>
      <c r="T9" s="41"/>
      <c r="U9" s="41"/>
      <c r="V9" s="41"/>
      <c r="W9" s="41"/>
      <c r="X9" s="41"/>
      <c r="Y9" s="41"/>
      <c r="Z9" s="41"/>
      <c r="AA9" s="41"/>
      <c r="AB9" s="41"/>
      <c r="AC9" s="41"/>
      <c r="AD9" s="41"/>
      <c r="AE9" s="41"/>
    </row>
    <row r="10" spans="10:31" x14ac:dyDescent="0.25">
      <c r="J10" s="41"/>
      <c r="K10" s="41"/>
      <c r="L10" s="41"/>
      <c r="M10" s="41"/>
      <c r="N10" s="41"/>
      <c r="O10" s="41"/>
      <c r="P10" s="41"/>
      <c r="Q10" s="41"/>
      <c r="R10" s="41"/>
      <c r="S10" s="41"/>
      <c r="T10" s="41"/>
      <c r="U10" s="41"/>
      <c r="V10" s="41"/>
      <c r="W10" s="41"/>
      <c r="X10" s="41"/>
      <c r="Y10" s="41"/>
      <c r="Z10" s="41"/>
      <c r="AA10" s="41"/>
      <c r="AB10" s="41"/>
      <c r="AC10" s="41"/>
      <c r="AD10" s="41"/>
      <c r="AE10" s="41"/>
    </row>
    <row r="11" spans="10:31" x14ac:dyDescent="0.25">
      <c r="J11" s="41"/>
      <c r="K11" s="41"/>
      <c r="L11" s="41"/>
      <c r="M11" s="41"/>
      <c r="N11" s="41"/>
      <c r="O11" s="41"/>
      <c r="P11" s="41"/>
      <c r="Q11" s="41"/>
      <c r="R11" s="41"/>
      <c r="S11" s="41"/>
      <c r="T11" s="41"/>
      <c r="U11" s="41"/>
      <c r="V11" s="41"/>
      <c r="W11" s="41"/>
      <c r="X11" s="41"/>
      <c r="Y11" s="41"/>
      <c r="Z11" s="41"/>
      <c r="AA11" s="41"/>
      <c r="AB11" s="41"/>
      <c r="AC11" s="41"/>
      <c r="AD11" s="41"/>
      <c r="AE11" s="41"/>
    </row>
    <row r="12" spans="10:31" x14ac:dyDescent="0.25">
      <c r="J12" s="41"/>
      <c r="K12" s="41"/>
      <c r="L12" s="41"/>
      <c r="M12" s="41"/>
      <c r="N12" s="41"/>
      <c r="O12" s="41"/>
      <c r="P12" s="41"/>
      <c r="Q12" s="41"/>
      <c r="R12" s="41"/>
      <c r="S12" s="41"/>
      <c r="T12" s="41"/>
      <c r="U12" s="41"/>
      <c r="V12" s="41"/>
      <c r="W12" s="41"/>
      <c r="X12" s="41"/>
      <c r="Y12" s="41"/>
      <c r="Z12" s="41"/>
      <c r="AA12" s="41"/>
      <c r="AB12" s="41"/>
      <c r="AC12" s="41"/>
      <c r="AD12" s="41"/>
      <c r="AE12" s="41"/>
    </row>
    <row r="13" spans="10:31" x14ac:dyDescent="0.25">
      <c r="J13" s="41"/>
      <c r="K13" s="41"/>
      <c r="L13" s="41"/>
      <c r="M13" s="41"/>
      <c r="N13" s="41"/>
      <c r="O13" s="41"/>
      <c r="P13" s="41"/>
      <c r="Q13" s="41"/>
      <c r="R13" s="41"/>
      <c r="S13" s="41"/>
      <c r="T13" s="41"/>
      <c r="U13" s="41"/>
      <c r="V13" s="41"/>
      <c r="W13" s="41"/>
      <c r="X13" s="41"/>
      <c r="Y13" s="41"/>
      <c r="Z13" s="41"/>
      <c r="AA13" s="41"/>
      <c r="AB13" s="41"/>
      <c r="AC13" s="41"/>
      <c r="AD13" s="41"/>
      <c r="AE13" s="41"/>
    </row>
    <row r="14" spans="10:31" x14ac:dyDescent="0.25">
      <c r="J14" s="41"/>
      <c r="K14" s="41"/>
      <c r="L14" s="41"/>
      <c r="M14" s="41"/>
      <c r="N14" s="41"/>
      <c r="O14" s="41"/>
      <c r="P14" s="41"/>
      <c r="Q14" s="41"/>
      <c r="R14" s="41"/>
      <c r="S14" s="41"/>
      <c r="T14" s="41"/>
      <c r="U14" s="41"/>
      <c r="V14" s="41"/>
      <c r="W14" s="41"/>
      <c r="X14" s="41"/>
      <c r="Y14" s="41"/>
      <c r="Z14" s="41"/>
      <c r="AA14" s="41"/>
      <c r="AB14" s="41"/>
      <c r="AC14" s="41"/>
      <c r="AD14" s="41"/>
      <c r="AE14" s="41"/>
    </row>
    <row r="15" spans="10:31" x14ac:dyDescent="0.25">
      <c r="J15" s="41"/>
      <c r="K15" s="41"/>
      <c r="L15" s="41"/>
      <c r="M15" s="41"/>
      <c r="N15" s="41"/>
      <c r="O15" s="41"/>
      <c r="P15" s="41"/>
      <c r="Q15" s="41"/>
      <c r="R15" s="41"/>
      <c r="S15" s="41"/>
      <c r="T15" s="41"/>
      <c r="U15" s="41"/>
      <c r="V15" s="41"/>
      <c r="W15" s="41"/>
      <c r="X15" s="41"/>
      <c r="Y15" s="41"/>
      <c r="Z15" s="41"/>
      <c r="AA15" s="41"/>
      <c r="AB15" s="41"/>
      <c r="AC15" s="41"/>
      <c r="AD15" s="41"/>
      <c r="AE15" s="41"/>
    </row>
    <row r="16" spans="10:31" x14ac:dyDescent="0.25">
      <c r="J16" s="41"/>
      <c r="K16" s="41"/>
      <c r="L16" s="41"/>
      <c r="M16" s="41"/>
      <c r="N16" s="41"/>
      <c r="O16" s="41"/>
      <c r="P16" s="41"/>
      <c r="Q16" s="41"/>
      <c r="R16" s="41"/>
      <c r="S16" s="41"/>
      <c r="T16" s="41"/>
      <c r="U16" s="41"/>
      <c r="V16" s="41"/>
      <c r="W16" s="41"/>
      <c r="X16" s="41"/>
      <c r="Y16" s="41"/>
      <c r="Z16" s="41"/>
      <c r="AA16" s="41"/>
      <c r="AB16" s="41"/>
      <c r="AC16" s="41"/>
      <c r="AD16" s="41"/>
      <c r="AE16" s="41"/>
    </row>
    <row r="17" spans="10:31" x14ac:dyDescent="0.25">
      <c r="J17" s="41"/>
      <c r="K17" s="41"/>
      <c r="L17" s="41"/>
      <c r="M17" s="41"/>
      <c r="N17" s="41"/>
      <c r="O17" s="41"/>
      <c r="P17" s="41"/>
      <c r="Q17" s="41"/>
      <c r="R17" s="41"/>
      <c r="S17" s="41"/>
      <c r="T17" s="41"/>
      <c r="U17" s="41"/>
      <c r="V17" s="41"/>
      <c r="W17" s="41"/>
      <c r="X17" s="41"/>
      <c r="Y17" s="41"/>
      <c r="Z17" s="41"/>
      <c r="AA17" s="41"/>
      <c r="AB17" s="41"/>
      <c r="AC17" s="41"/>
      <c r="AD17" s="41"/>
      <c r="AE17" s="41"/>
    </row>
    <row r="18" spans="10:31" x14ac:dyDescent="0.25">
      <c r="J18" s="41"/>
      <c r="K18" s="41"/>
      <c r="L18" s="41"/>
      <c r="M18" s="41"/>
      <c r="N18" s="41"/>
      <c r="O18" s="41"/>
      <c r="P18" s="41"/>
      <c r="Q18" s="41"/>
      <c r="R18" s="41"/>
      <c r="S18" s="41"/>
      <c r="T18" s="41"/>
      <c r="U18" s="41"/>
      <c r="V18" s="41"/>
      <c r="W18" s="41"/>
      <c r="X18" s="41"/>
      <c r="Y18" s="41"/>
      <c r="Z18" s="41"/>
      <c r="AA18" s="41"/>
      <c r="AB18" s="41"/>
      <c r="AC18" s="41"/>
      <c r="AD18" s="41"/>
      <c r="AE18" s="41"/>
    </row>
    <row r="19" spans="10:31" x14ac:dyDescent="0.25">
      <c r="J19" s="41"/>
      <c r="K19" s="41"/>
      <c r="L19" s="41"/>
      <c r="M19" s="41"/>
      <c r="N19" s="41"/>
      <c r="O19" s="41"/>
      <c r="P19" s="41"/>
      <c r="Q19" s="41"/>
      <c r="R19" s="41"/>
      <c r="S19" s="41"/>
      <c r="T19" s="41"/>
      <c r="U19" s="41"/>
      <c r="V19" s="41"/>
      <c r="W19" s="41"/>
      <c r="X19" s="41"/>
      <c r="Y19" s="41"/>
      <c r="Z19" s="41"/>
      <c r="AA19" s="41"/>
      <c r="AB19" s="41"/>
      <c r="AC19" s="41"/>
      <c r="AD19" s="41"/>
      <c r="AE19" s="41"/>
    </row>
    <row r="20" spans="10:31" x14ac:dyDescent="0.25">
      <c r="J20" s="41"/>
      <c r="K20" s="41"/>
      <c r="L20" s="41"/>
      <c r="M20" s="41"/>
      <c r="N20" s="41"/>
      <c r="O20" s="41"/>
      <c r="P20" s="41"/>
      <c r="Q20" s="41"/>
      <c r="R20" s="41"/>
      <c r="S20" s="41"/>
      <c r="T20" s="41"/>
      <c r="U20" s="41"/>
      <c r="V20" s="41"/>
      <c r="W20" s="41"/>
      <c r="X20" s="41"/>
      <c r="Y20" s="41"/>
      <c r="Z20" s="41"/>
      <c r="AA20" s="41"/>
      <c r="AB20" s="41"/>
      <c r="AC20" s="41"/>
      <c r="AD20" s="41"/>
      <c r="AE20" s="41"/>
    </row>
    <row r="21" spans="10:31" x14ac:dyDescent="0.25">
      <c r="J21" s="41"/>
      <c r="K21" s="41"/>
      <c r="L21" s="41"/>
      <c r="M21" s="41"/>
      <c r="N21" s="41"/>
      <c r="O21" s="41"/>
      <c r="P21" s="41"/>
      <c r="Q21" s="41"/>
      <c r="R21" s="41"/>
      <c r="S21" s="41"/>
      <c r="T21" s="41"/>
      <c r="U21" s="41"/>
      <c r="V21" s="41"/>
      <c r="W21" s="41"/>
      <c r="X21" s="41"/>
      <c r="Y21" s="41"/>
      <c r="Z21" s="41"/>
      <c r="AA21" s="41"/>
      <c r="AB21" s="41"/>
      <c r="AC21" s="41"/>
      <c r="AD21" s="41"/>
      <c r="AE21" s="41"/>
    </row>
    <row r="22" spans="10:31" x14ac:dyDescent="0.25">
      <c r="J22" s="41"/>
      <c r="K22" s="41"/>
      <c r="L22" s="41"/>
      <c r="M22" s="41"/>
      <c r="N22" s="41"/>
      <c r="O22" s="41"/>
      <c r="P22" s="41"/>
      <c r="Q22" s="41"/>
      <c r="R22" s="41"/>
      <c r="S22" s="41"/>
      <c r="T22" s="41"/>
      <c r="U22" s="41"/>
      <c r="V22" s="41"/>
      <c r="W22" s="41"/>
      <c r="X22" s="41"/>
      <c r="Y22" s="41"/>
      <c r="Z22" s="41"/>
      <c r="AA22" s="41"/>
      <c r="AB22" s="41"/>
      <c r="AC22" s="41"/>
      <c r="AD22" s="41"/>
      <c r="AE22" s="41"/>
    </row>
    <row r="23" spans="10:31" x14ac:dyDescent="0.25">
      <c r="J23" s="41"/>
      <c r="K23" s="41"/>
      <c r="L23" s="41"/>
      <c r="M23" s="41"/>
      <c r="N23" s="41"/>
      <c r="O23" s="41"/>
      <c r="P23" s="41"/>
      <c r="Q23" s="41"/>
      <c r="R23" s="41"/>
      <c r="S23" s="41"/>
      <c r="T23" s="41"/>
      <c r="U23" s="41"/>
      <c r="V23" s="41"/>
      <c r="W23" s="41"/>
      <c r="X23" s="41"/>
      <c r="Y23" s="41"/>
      <c r="Z23" s="41"/>
      <c r="AA23" s="41"/>
      <c r="AB23" s="41"/>
      <c r="AC23" s="41"/>
      <c r="AD23" s="41"/>
      <c r="AE23" s="41"/>
    </row>
    <row r="24" spans="10:31" x14ac:dyDescent="0.25">
      <c r="J24" s="41"/>
      <c r="K24" s="41"/>
      <c r="L24" s="41"/>
      <c r="M24" s="41"/>
      <c r="N24" s="41"/>
      <c r="O24" s="41"/>
      <c r="P24" s="41"/>
      <c r="Q24" s="41"/>
      <c r="R24" s="41"/>
      <c r="S24" s="41"/>
      <c r="T24" s="41"/>
      <c r="U24" s="41"/>
      <c r="V24" s="41"/>
      <c r="W24" s="41"/>
      <c r="X24" s="41"/>
      <c r="Y24" s="41"/>
      <c r="Z24" s="41"/>
      <c r="AA24" s="41"/>
      <c r="AB24" s="41"/>
      <c r="AC24" s="41"/>
      <c r="AD24" s="41"/>
      <c r="AE24" s="41"/>
    </row>
    <row r="25" spans="10:31" x14ac:dyDescent="0.25">
      <c r="J25" s="41"/>
      <c r="K25" s="41"/>
      <c r="L25" s="41"/>
      <c r="M25" s="41"/>
      <c r="N25" s="41"/>
      <c r="O25" s="41"/>
      <c r="P25" s="41"/>
      <c r="Q25" s="41"/>
      <c r="R25" s="41"/>
      <c r="S25" s="41"/>
      <c r="T25" s="41"/>
      <c r="U25" s="41"/>
      <c r="V25" s="41"/>
      <c r="W25" s="41"/>
      <c r="X25" s="41"/>
      <c r="Y25" s="41"/>
      <c r="Z25" s="41"/>
      <c r="AA25" s="41"/>
      <c r="AB25" s="41"/>
      <c r="AC25" s="41"/>
      <c r="AD25" s="41"/>
      <c r="AE25" s="41"/>
    </row>
    <row r="26" spans="10:31" x14ac:dyDescent="0.25">
      <c r="J26" s="41"/>
      <c r="K26" s="41"/>
      <c r="L26" s="41"/>
      <c r="M26" s="41"/>
      <c r="N26" s="41"/>
      <c r="O26" s="41"/>
      <c r="P26" s="41"/>
      <c r="Q26" s="41"/>
      <c r="R26" s="41"/>
      <c r="S26" s="41"/>
      <c r="T26" s="41"/>
      <c r="U26" s="41"/>
      <c r="V26" s="41"/>
      <c r="W26" s="41"/>
      <c r="X26" s="41"/>
      <c r="Y26" s="41"/>
      <c r="Z26" s="41"/>
      <c r="AA26" s="41"/>
      <c r="AB26" s="41"/>
      <c r="AC26" s="41"/>
      <c r="AD26" s="41"/>
      <c r="AE26" s="41"/>
    </row>
    <row r="27" spans="10:31" x14ac:dyDescent="0.25">
      <c r="J27" s="41"/>
      <c r="K27" s="41"/>
      <c r="L27" s="41"/>
      <c r="M27" s="41"/>
      <c r="N27" s="41"/>
      <c r="O27" s="41"/>
      <c r="P27" s="41"/>
      <c r="Q27" s="41"/>
      <c r="R27" s="41"/>
      <c r="S27" s="41"/>
      <c r="T27" s="41"/>
      <c r="U27" s="41"/>
      <c r="V27" s="41"/>
      <c r="W27" s="41"/>
      <c r="X27" s="41"/>
      <c r="Y27" s="41"/>
      <c r="Z27" s="41"/>
      <c r="AA27" s="41"/>
      <c r="AB27" s="41"/>
      <c r="AC27" s="41"/>
      <c r="AD27" s="41"/>
      <c r="AE27" s="41"/>
    </row>
    <row r="28" spans="10:31" x14ac:dyDescent="0.25">
      <c r="J28" s="41"/>
      <c r="K28" s="41"/>
      <c r="L28" s="41"/>
      <c r="M28" s="41"/>
      <c r="N28" s="41"/>
      <c r="O28" s="41"/>
      <c r="P28" s="41"/>
      <c r="Q28" s="41"/>
      <c r="R28" s="41"/>
      <c r="S28" s="41"/>
      <c r="T28" s="41"/>
      <c r="U28" s="41"/>
      <c r="V28" s="41"/>
      <c r="W28" s="41"/>
      <c r="X28" s="41"/>
      <c r="Y28" s="41"/>
      <c r="Z28" s="41"/>
      <c r="AA28" s="41"/>
      <c r="AB28" s="41"/>
      <c r="AC28" s="41"/>
      <c r="AD28" s="41"/>
      <c r="AE28" s="41"/>
    </row>
    <row r="29" spans="10:31" x14ac:dyDescent="0.25">
      <c r="J29" s="41"/>
      <c r="K29" s="41"/>
      <c r="L29" s="41"/>
      <c r="M29" s="41"/>
      <c r="N29" s="41"/>
      <c r="O29" s="41"/>
      <c r="P29" s="41"/>
      <c r="Q29" s="41"/>
      <c r="R29" s="41"/>
      <c r="S29" s="41"/>
      <c r="T29" s="41"/>
      <c r="U29" s="41"/>
      <c r="V29" s="41"/>
      <c r="W29" s="41"/>
      <c r="X29" s="41"/>
      <c r="Y29" s="41"/>
      <c r="Z29" s="41"/>
      <c r="AA29" s="41"/>
      <c r="AB29" s="41"/>
      <c r="AC29" s="41"/>
      <c r="AD29" s="41"/>
      <c r="AE29" s="41"/>
    </row>
    <row r="30" spans="10:31" x14ac:dyDescent="0.25">
      <c r="J30" s="41"/>
      <c r="K30" s="42"/>
      <c r="L30" s="41"/>
      <c r="M30" s="41"/>
      <c r="N30" s="41"/>
      <c r="O30" s="41"/>
      <c r="P30" s="41"/>
      <c r="Q30" s="41"/>
      <c r="R30" s="41"/>
      <c r="S30" s="41"/>
      <c r="T30" s="41"/>
      <c r="U30" s="41"/>
      <c r="V30" s="41"/>
      <c r="W30" s="41"/>
      <c r="X30" s="41"/>
      <c r="Y30" s="41"/>
      <c r="Z30" s="41"/>
      <c r="AA30" s="41"/>
      <c r="AB30" s="41"/>
      <c r="AC30" s="41"/>
      <c r="AD30" s="41"/>
      <c r="AE30" s="41"/>
    </row>
    <row r="31" spans="10:31" x14ac:dyDescent="0.25">
      <c r="J31" s="41"/>
      <c r="K31" s="41"/>
      <c r="L31" s="41"/>
      <c r="M31" s="41"/>
      <c r="N31" s="41"/>
      <c r="O31" s="41"/>
      <c r="P31" s="41"/>
      <c r="Q31" s="41"/>
      <c r="R31" s="41"/>
      <c r="S31" s="41"/>
      <c r="T31" s="41"/>
      <c r="U31" s="41"/>
      <c r="V31" s="41"/>
      <c r="W31" s="41"/>
      <c r="X31" s="41"/>
      <c r="Y31" s="41"/>
      <c r="Z31" s="41"/>
      <c r="AA31" s="41"/>
      <c r="AB31" s="41"/>
      <c r="AC31" s="41"/>
      <c r="AD31" s="41"/>
      <c r="AE31" s="41"/>
    </row>
    <row r="32" spans="10:31" x14ac:dyDescent="0.25">
      <c r="J32" s="41"/>
      <c r="K32" s="41"/>
      <c r="L32" s="41"/>
      <c r="M32" s="41"/>
      <c r="N32" s="41"/>
      <c r="O32" s="41"/>
      <c r="P32" s="41"/>
      <c r="Q32" s="41"/>
      <c r="R32" s="41"/>
      <c r="S32" s="41"/>
      <c r="T32" s="41"/>
      <c r="U32" s="41"/>
      <c r="V32" s="41"/>
      <c r="W32" s="41"/>
      <c r="X32" s="41"/>
      <c r="Y32" s="41"/>
      <c r="Z32" s="41"/>
      <c r="AA32" s="41"/>
      <c r="AB32" s="41"/>
      <c r="AC32" s="41"/>
      <c r="AD32" s="41"/>
      <c r="AE32" s="41"/>
    </row>
    <row r="33" spans="10:31" x14ac:dyDescent="0.25">
      <c r="J33" s="41"/>
      <c r="K33" s="41"/>
      <c r="L33" s="41"/>
      <c r="M33" s="41"/>
      <c r="N33" s="41"/>
      <c r="O33" s="41"/>
      <c r="P33" s="41"/>
      <c r="Q33" s="41"/>
      <c r="R33" s="41"/>
      <c r="S33" s="41"/>
      <c r="T33" s="41"/>
      <c r="U33" s="41"/>
      <c r="V33" s="41"/>
      <c r="W33" s="41"/>
      <c r="X33" s="41"/>
      <c r="Y33" s="41"/>
      <c r="Z33" s="41"/>
      <c r="AA33" s="41"/>
      <c r="AB33" s="41"/>
      <c r="AC33" s="41"/>
      <c r="AD33" s="41"/>
      <c r="AE33" s="41"/>
    </row>
    <row r="34" spans="10:31" x14ac:dyDescent="0.25">
      <c r="J34" s="41"/>
      <c r="K34" s="41"/>
      <c r="L34" s="41"/>
      <c r="M34" s="41"/>
      <c r="N34" s="41"/>
      <c r="O34" s="41"/>
      <c r="P34" s="41"/>
      <c r="Q34" s="41"/>
      <c r="R34" s="41"/>
      <c r="S34" s="41"/>
      <c r="T34" s="41"/>
      <c r="U34" s="41"/>
      <c r="V34" s="41"/>
      <c r="W34" s="41"/>
      <c r="X34" s="41"/>
      <c r="Y34" s="41"/>
      <c r="Z34" s="41"/>
      <c r="AA34" s="41"/>
      <c r="AB34" s="41"/>
      <c r="AC34" s="41"/>
      <c r="AD34" s="41"/>
      <c r="AE34" s="41"/>
    </row>
    <row r="35" spans="10:31" x14ac:dyDescent="0.25">
      <c r="J35" s="41"/>
      <c r="K35" s="41"/>
      <c r="L35" s="41"/>
      <c r="M35" s="41"/>
      <c r="N35" s="41"/>
      <c r="O35" s="41"/>
      <c r="P35" s="41"/>
      <c r="Q35" s="41"/>
      <c r="R35" s="41"/>
      <c r="S35" s="41"/>
      <c r="T35" s="41"/>
      <c r="U35" s="41"/>
      <c r="V35" s="41"/>
      <c r="W35" s="41"/>
      <c r="X35" s="41"/>
      <c r="Y35" s="41"/>
      <c r="Z35" s="41"/>
      <c r="AA35" s="41"/>
      <c r="AB35" s="41"/>
      <c r="AC35" s="41"/>
      <c r="AD35" s="41"/>
      <c r="AE35" s="41"/>
    </row>
    <row r="36" spans="10:31" x14ac:dyDescent="0.25">
      <c r="J36" s="41"/>
      <c r="K36" s="41"/>
      <c r="L36" s="41"/>
      <c r="M36" s="41"/>
      <c r="N36" s="41"/>
      <c r="O36" s="41"/>
      <c r="P36" s="41"/>
      <c r="Q36" s="41"/>
      <c r="R36" s="41"/>
      <c r="S36" s="41"/>
      <c r="T36" s="41"/>
      <c r="U36" s="41"/>
      <c r="V36" s="41"/>
      <c r="W36" s="41"/>
      <c r="X36" s="41"/>
      <c r="Y36" s="41"/>
      <c r="Z36" s="41"/>
      <c r="AA36" s="41"/>
      <c r="AB36" s="41"/>
      <c r="AC36" s="41"/>
      <c r="AD36" s="41"/>
      <c r="AE36" s="41"/>
    </row>
    <row r="37" spans="10:31" x14ac:dyDescent="0.25">
      <c r="J37" s="41"/>
      <c r="K37" s="41"/>
      <c r="L37" s="41"/>
      <c r="M37" s="41"/>
      <c r="N37" s="41"/>
      <c r="O37" s="41"/>
      <c r="P37" s="41"/>
      <c r="Q37" s="41"/>
      <c r="R37" s="41"/>
      <c r="S37" s="41"/>
      <c r="T37" s="41"/>
      <c r="U37" s="41"/>
      <c r="V37" s="41"/>
      <c r="W37" s="41"/>
      <c r="X37" s="41"/>
      <c r="Y37" s="41"/>
      <c r="Z37" s="41"/>
      <c r="AA37" s="41"/>
      <c r="AB37" s="41"/>
      <c r="AC37" s="41"/>
      <c r="AD37" s="41"/>
      <c r="AE37" s="41"/>
    </row>
    <row r="38" spans="10:31" x14ac:dyDescent="0.25">
      <c r="J38" s="41"/>
      <c r="K38" s="41"/>
      <c r="L38" s="41"/>
      <c r="M38" s="41"/>
      <c r="N38" s="41"/>
      <c r="O38" s="41"/>
      <c r="P38" s="41"/>
      <c r="Q38" s="41"/>
      <c r="R38" s="41"/>
      <c r="S38" s="41"/>
      <c r="T38" s="41"/>
      <c r="U38" s="41"/>
      <c r="V38" s="41"/>
      <c r="W38" s="41"/>
      <c r="X38" s="41"/>
      <c r="Y38" s="41"/>
      <c r="Z38" s="41"/>
      <c r="AA38" s="41"/>
      <c r="AB38" s="41"/>
      <c r="AC38" s="41"/>
      <c r="AD38" s="41"/>
      <c r="AE38" s="41"/>
    </row>
    <row r="39" spans="10:31" x14ac:dyDescent="0.25">
      <c r="J39" s="41"/>
      <c r="K39" s="41"/>
      <c r="L39" s="41"/>
      <c r="M39" s="41"/>
      <c r="N39" s="41"/>
      <c r="O39" s="41"/>
      <c r="P39" s="41"/>
      <c r="Q39" s="41"/>
      <c r="R39" s="41"/>
      <c r="S39" s="41"/>
      <c r="T39" s="41"/>
      <c r="U39" s="41"/>
      <c r="V39" s="41"/>
      <c r="W39" s="41"/>
      <c r="X39" s="41"/>
      <c r="Y39" s="41"/>
      <c r="Z39" s="41"/>
      <c r="AA39" s="41"/>
      <c r="AB39" s="41"/>
      <c r="AC39" s="41"/>
      <c r="AD39" s="41"/>
      <c r="AE39" s="41"/>
    </row>
    <row r="40" spans="10:31" x14ac:dyDescent="0.25">
      <c r="J40" s="41"/>
      <c r="K40" s="41"/>
      <c r="L40" s="41"/>
      <c r="M40" s="41"/>
      <c r="N40" s="41"/>
      <c r="O40" s="41"/>
      <c r="P40" s="41"/>
      <c r="Q40" s="41"/>
      <c r="R40" s="41"/>
      <c r="S40" s="41"/>
      <c r="T40" s="41"/>
      <c r="U40" s="41"/>
      <c r="V40" s="41"/>
      <c r="W40" s="41"/>
      <c r="X40" s="41"/>
      <c r="Y40" s="41"/>
      <c r="Z40" s="41"/>
      <c r="AA40" s="41"/>
      <c r="AB40" s="41"/>
      <c r="AC40" s="41"/>
      <c r="AD40" s="41"/>
      <c r="AE40" s="41"/>
    </row>
    <row r="41" spans="10:31" x14ac:dyDescent="0.25">
      <c r="J41" s="41"/>
      <c r="K41" s="41"/>
      <c r="L41" s="41"/>
      <c r="M41" s="41"/>
      <c r="N41" s="41"/>
      <c r="O41" s="41"/>
      <c r="P41" s="41"/>
      <c r="Q41" s="41"/>
      <c r="R41" s="41"/>
      <c r="S41" s="41"/>
      <c r="T41" s="41"/>
      <c r="U41" s="41"/>
      <c r="V41" s="41"/>
      <c r="W41" s="41"/>
      <c r="X41" s="41"/>
      <c r="Y41" s="41"/>
      <c r="Z41" s="41"/>
      <c r="AA41" s="41"/>
      <c r="AB41" s="41"/>
      <c r="AC41" s="41"/>
      <c r="AD41" s="41"/>
      <c r="AE41" s="41"/>
    </row>
    <row r="42" spans="10:31" x14ac:dyDescent="0.25">
      <c r="J42" s="41"/>
      <c r="K42" s="41"/>
      <c r="L42" s="41"/>
      <c r="M42" s="41"/>
      <c r="N42" s="41"/>
      <c r="O42" s="41"/>
      <c r="P42" s="41"/>
      <c r="Q42" s="41"/>
      <c r="R42" s="41"/>
      <c r="S42" s="41"/>
      <c r="T42" s="41"/>
      <c r="U42" s="41"/>
      <c r="V42" s="41"/>
      <c r="W42" s="41"/>
      <c r="X42" s="41"/>
      <c r="Y42" s="41"/>
      <c r="Z42" s="41"/>
      <c r="AA42" s="41"/>
      <c r="AB42" s="41"/>
      <c r="AC42" s="41"/>
      <c r="AD42" s="41"/>
      <c r="AE42" s="4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O901"/>
  <sheetViews>
    <sheetView showGridLines="0" tabSelected="1" topLeftCell="C1" zoomScaleNormal="85" workbookViewId="0">
      <selection activeCell="F9" sqref="F9"/>
    </sheetView>
  </sheetViews>
  <sheetFormatPr defaultColWidth="8.85546875" defaultRowHeight="18" customHeight="1" x14ac:dyDescent="0.25"/>
  <cols>
    <col min="1" max="1" width="10" style="1" bestFit="1" customWidth="1"/>
    <col min="2" max="2" width="11.85546875" style="1" bestFit="1" customWidth="1"/>
    <col min="3" max="3" width="20.140625" style="1" bestFit="1" customWidth="1"/>
    <col min="4" max="4" width="24.28515625" style="1" bestFit="1" customWidth="1"/>
    <col min="5" max="6" width="12.7109375" style="1" bestFit="1" customWidth="1"/>
    <col min="7" max="7" width="18.85546875" style="1" bestFit="1" customWidth="1"/>
    <col min="8" max="8" width="20" style="1" bestFit="1" customWidth="1"/>
    <col min="9" max="9" width="24.28515625" style="1" bestFit="1" customWidth="1"/>
    <col min="10" max="16384" width="8.85546875" style="1"/>
  </cols>
  <sheetData>
    <row r="1" spans="1:15" ht="29.1" customHeight="1" x14ac:dyDescent="0.25">
      <c r="A1" s="9" t="s">
        <v>16</v>
      </c>
      <c r="B1" s="9" t="s">
        <v>17</v>
      </c>
      <c r="C1" s="9" t="s">
        <v>18</v>
      </c>
      <c r="D1" s="9" t="s">
        <v>19</v>
      </c>
      <c r="E1" s="9" t="s">
        <v>20</v>
      </c>
      <c r="F1" s="9" t="s">
        <v>21</v>
      </c>
      <c r="G1" s="9" t="s">
        <v>22</v>
      </c>
      <c r="H1" s="9" t="s">
        <v>39</v>
      </c>
      <c r="I1" s="9" t="s">
        <v>41</v>
      </c>
      <c r="L1" s="10" t="s">
        <v>16</v>
      </c>
      <c r="M1" s="11" t="s">
        <v>43</v>
      </c>
      <c r="N1" s="10" t="s">
        <v>44</v>
      </c>
      <c r="O1" s="10" t="s">
        <v>45</v>
      </c>
    </row>
    <row r="2" spans="1:15" ht="18" hidden="1" customHeight="1" x14ac:dyDescent="0.25">
      <c r="A2" s="2">
        <v>2020</v>
      </c>
      <c r="B2" s="2" t="s">
        <v>0</v>
      </c>
      <c r="C2" s="2" t="s">
        <v>14</v>
      </c>
      <c r="D2" s="3" t="s">
        <v>36</v>
      </c>
      <c r="E2" s="4">
        <v>3566</v>
      </c>
      <c r="F2" s="4">
        <v>5492.76</v>
      </c>
      <c r="G2" s="4">
        <v>5126.576</v>
      </c>
      <c r="H2" s="4">
        <v>1098.5520000000001</v>
      </c>
      <c r="I2" s="5" t="s">
        <v>40</v>
      </c>
      <c r="L2" s="12">
        <v>2020</v>
      </c>
      <c r="M2" s="12" t="s">
        <v>46</v>
      </c>
      <c r="N2" s="13">
        <v>364236</v>
      </c>
      <c r="O2" s="14">
        <v>501558.1999999999</v>
      </c>
    </row>
    <row r="3" spans="1:15" ht="18" customHeight="1" x14ac:dyDescent="0.25">
      <c r="A3" s="2">
        <v>2020</v>
      </c>
      <c r="B3" s="2" t="s">
        <v>0</v>
      </c>
      <c r="C3" s="2" t="s">
        <v>14</v>
      </c>
      <c r="D3" s="3" t="s">
        <v>37</v>
      </c>
      <c r="E3" s="4">
        <v>2498</v>
      </c>
      <c r="F3" s="4">
        <v>9600</v>
      </c>
      <c r="G3" s="4">
        <v>8960</v>
      </c>
      <c r="H3" s="4">
        <v>1920</v>
      </c>
      <c r="I3" s="5" t="s">
        <v>40</v>
      </c>
      <c r="L3" s="12">
        <v>2020</v>
      </c>
      <c r="M3" s="12" t="s">
        <v>47</v>
      </c>
      <c r="N3" s="13">
        <v>197480</v>
      </c>
      <c r="O3" s="14">
        <v>360897.68000000005</v>
      </c>
    </row>
    <row r="4" spans="1:15" ht="18" hidden="1" customHeight="1" x14ac:dyDescent="0.25">
      <c r="A4" s="2">
        <v>2020</v>
      </c>
      <c r="B4" s="2" t="s">
        <v>0</v>
      </c>
      <c r="C4" s="2" t="s">
        <v>13</v>
      </c>
      <c r="D4" s="3" t="s">
        <v>35</v>
      </c>
      <c r="E4" s="4">
        <v>1245</v>
      </c>
      <c r="F4" s="4">
        <v>5492.6399999999994</v>
      </c>
      <c r="G4" s="4">
        <v>5126.4639999999999</v>
      </c>
      <c r="H4" s="4">
        <v>1098.528</v>
      </c>
      <c r="I4" s="5" t="s">
        <v>40</v>
      </c>
      <c r="L4" s="12">
        <v>2020</v>
      </c>
      <c r="M4" s="12" t="s">
        <v>48</v>
      </c>
      <c r="N4" s="13">
        <v>187412</v>
      </c>
      <c r="O4" s="14">
        <v>227490.12000000002</v>
      </c>
    </row>
    <row r="5" spans="1:15" ht="18" hidden="1" customHeight="1" x14ac:dyDescent="0.25">
      <c r="A5" s="2">
        <v>2020</v>
      </c>
      <c r="B5" s="2" t="s">
        <v>0</v>
      </c>
      <c r="C5" s="2" t="s">
        <v>38</v>
      </c>
      <c r="D5" s="6" t="s">
        <v>30</v>
      </c>
      <c r="E5" s="7">
        <v>644</v>
      </c>
      <c r="F5" s="7">
        <v>6892.2</v>
      </c>
      <c r="G5" s="7">
        <v>6432.72</v>
      </c>
      <c r="H5" s="4">
        <v>1378.44</v>
      </c>
      <c r="I5" s="5" t="s">
        <v>40</v>
      </c>
      <c r="L5" s="12">
        <v>2020</v>
      </c>
      <c r="M5" s="12" t="s">
        <v>49</v>
      </c>
      <c r="N5" s="13">
        <v>167840</v>
      </c>
      <c r="O5" s="14">
        <v>281795.8000000001</v>
      </c>
    </row>
    <row r="6" spans="1:15" ht="18" hidden="1" customHeight="1" x14ac:dyDescent="0.25">
      <c r="A6" s="2">
        <v>2020</v>
      </c>
      <c r="B6" s="2" t="s">
        <v>0</v>
      </c>
      <c r="C6" s="2" t="s">
        <v>12</v>
      </c>
      <c r="D6" s="6" t="s">
        <v>29</v>
      </c>
      <c r="E6" s="7">
        <v>643</v>
      </c>
      <c r="F6" s="7">
        <v>7700</v>
      </c>
      <c r="G6" s="7">
        <v>7840</v>
      </c>
      <c r="H6" s="4">
        <v>1540</v>
      </c>
      <c r="I6" s="5" t="s">
        <v>40</v>
      </c>
      <c r="L6" s="12">
        <v>2020</v>
      </c>
      <c r="M6" s="12" t="s">
        <v>50</v>
      </c>
      <c r="N6" s="13">
        <v>126472</v>
      </c>
      <c r="O6" s="14">
        <v>206264.59999999995</v>
      </c>
    </row>
    <row r="7" spans="1:15" ht="18" hidden="1" customHeight="1" x14ac:dyDescent="0.25">
      <c r="A7" s="2">
        <v>2020</v>
      </c>
      <c r="B7" s="2" t="s">
        <v>0</v>
      </c>
      <c r="C7" s="2" t="s">
        <v>38</v>
      </c>
      <c r="D7" s="6" t="s">
        <v>31</v>
      </c>
      <c r="E7" s="7">
        <v>455</v>
      </c>
      <c r="F7" s="7">
        <v>5265.39</v>
      </c>
      <c r="G7" s="7">
        <v>5128.0320000000002</v>
      </c>
      <c r="H7" s="4">
        <v>1053.0780000000002</v>
      </c>
      <c r="I7" s="5" t="s">
        <v>40</v>
      </c>
      <c r="L7" s="12">
        <v>2020</v>
      </c>
      <c r="M7" s="12" t="s">
        <v>51</v>
      </c>
      <c r="N7" s="13">
        <v>125960</v>
      </c>
      <c r="O7" s="14">
        <v>202419.35999999975</v>
      </c>
    </row>
    <row r="8" spans="1:15" ht="18" hidden="1" customHeight="1" x14ac:dyDescent="0.25">
      <c r="A8" s="2">
        <v>2020</v>
      </c>
      <c r="B8" s="2" t="s">
        <v>0</v>
      </c>
      <c r="C8" s="2" t="s">
        <v>12</v>
      </c>
      <c r="D8" s="6" t="s">
        <v>28</v>
      </c>
      <c r="E8" s="8">
        <v>345</v>
      </c>
      <c r="F8" s="8">
        <v>9016</v>
      </c>
      <c r="G8" s="8">
        <v>7840</v>
      </c>
      <c r="H8" s="4">
        <v>1803.2</v>
      </c>
      <c r="I8" s="5" t="s">
        <v>40</v>
      </c>
      <c r="L8" s="12">
        <v>2021</v>
      </c>
      <c r="M8" s="12" t="s">
        <v>46</v>
      </c>
      <c r="N8" s="13">
        <v>342724</v>
      </c>
      <c r="O8" s="14">
        <v>509978.03999999992</v>
      </c>
    </row>
    <row r="9" spans="1:15" ht="18" customHeight="1" x14ac:dyDescent="0.25">
      <c r="A9" s="2">
        <v>2020</v>
      </c>
      <c r="B9" s="2" t="s">
        <v>0</v>
      </c>
      <c r="C9" s="2" t="s">
        <v>13</v>
      </c>
      <c r="D9" s="3" t="s">
        <v>33</v>
      </c>
      <c r="E9" s="4">
        <v>122</v>
      </c>
      <c r="F9" s="4">
        <v>2696.75</v>
      </c>
      <c r="G9" s="4">
        <v>112</v>
      </c>
      <c r="H9" s="4">
        <v>539.35</v>
      </c>
      <c r="I9" s="5" t="s">
        <v>40</v>
      </c>
      <c r="L9" s="12">
        <v>2021</v>
      </c>
      <c r="M9" s="12" t="s">
        <v>47</v>
      </c>
      <c r="N9" s="13">
        <v>238460</v>
      </c>
      <c r="O9" s="14">
        <v>280188.47999999992</v>
      </c>
    </row>
    <row r="10" spans="1:15" ht="18" hidden="1" customHeight="1" x14ac:dyDescent="0.25">
      <c r="A10" s="2">
        <v>2020</v>
      </c>
      <c r="B10" s="2" t="s">
        <v>0</v>
      </c>
      <c r="C10" s="2" t="s">
        <v>15</v>
      </c>
      <c r="D10" s="6" t="s">
        <v>26</v>
      </c>
      <c r="E10" s="7">
        <v>78</v>
      </c>
      <c r="F10" s="7">
        <v>5492.6399999999994</v>
      </c>
      <c r="G10" s="7">
        <v>5126.4639999999999</v>
      </c>
      <c r="H10" s="4">
        <v>1098.528</v>
      </c>
      <c r="I10" s="5" t="s">
        <v>40</v>
      </c>
      <c r="L10" s="12">
        <v>2021</v>
      </c>
      <c r="M10" s="12" t="s">
        <v>48</v>
      </c>
      <c r="N10" s="13">
        <v>231288</v>
      </c>
      <c r="O10" s="14">
        <v>209586.52000000019</v>
      </c>
    </row>
    <row r="11" spans="1:15" ht="18" hidden="1" customHeight="1" x14ac:dyDescent="0.25">
      <c r="A11" s="2">
        <v>2020</v>
      </c>
      <c r="B11" s="2" t="s">
        <v>0</v>
      </c>
      <c r="C11" s="2" t="s">
        <v>15</v>
      </c>
      <c r="D11" s="6" t="s">
        <v>24</v>
      </c>
      <c r="E11" s="7">
        <v>76</v>
      </c>
      <c r="F11" s="7">
        <v>5492.28</v>
      </c>
      <c r="G11" s="7">
        <v>5126.1279999999997</v>
      </c>
      <c r="H11" s="4">
        <v>1098.4559999999999</v>
      </c>
      <c r="I11" s="5" t="s">
        <v>40</v>
      </c>
      <c r="L11" s="12">
        <v>2021</v>
      </c>
      <c r="M11" s="12" t="s">
        <v>49</v>
      </c>
      <c r="N11" s="13">
        <v>210228</v>
      </c>
      <c r="O11" s="14">
        <v>273633.36</v>
      </c>
    </row>
    <row r="12" spans="1:15" ht="18" hidden="1" customHeight="1" x14ac:dyDescent="0.25">
      <c r="A12" s="2">
        <v>2020</v>
      </c>
      <c r="B12" s="2" t="s">
        <v>0</v>
      </c>
      <c r="C12" s="2" t="s">
        <v>15</v>
      </c>
      <c r="D12" s="6" t="s">
        <v>25</v>
      </c>
      <c r="E12" s="7">
        <v>46</v>
      </c>
      <c r="F12" s="7">
        <v>240</v>
      </c>
      <c r="G12" s="7">
        <v>224</v>
      </c>
      <c r="H12" s="4">
        <v>48</v>
      </c>
      <c r="I12" s="5" t="s">
        <v>40</v>
      </c>
      <c r="L12" s="12">
        <v>2021</v>
      </c>
      <c r="M12" s="12" t="s">
        <v>51</v>
      </c>
      <c r="N12" s="13">
        <v>135984</v>
      </c>
      <c r="O12" s="14">
        <v>204158.23999999973</v>
      </c>
    </row>
    <row r="13" spans="1:15" ht="18" hidden="1" customHeight="1" x14ac:dyDescent="0.25">
      <c r="A13" s="2">
        <v>2020</v>
      </c>
      <c r="B13" s="2" t="s">
        <v>0</v>
      </c>
      <c r="C13" s="2" t="s">
        <v>15</v>
      </c>
      <c r="D13" s="6" t="s">
        <v>23</v>
      </c>
      <c r="E13" s="7">
        <v>34</v>
      </c>
      <c r="F13" s="7">
        <v>5492.16</v>
      </c>
      <c r="G13" s="7">
        <v>5126.0160000000005</v>
      </c>
      <c r="H13" s="4">
        <v>1098.432</v>
      </c>
      <c r="I13" s="5" t="s">
        <v>40</v>
      </c>
      <c r="L13" s="12">
        <v>2021</v>
      </c>
      <c r="M13" s="12" t="s">
        <v>50</v>
      </c>
      <c r="N13" s="13">
        <v>128888</v>
      </c>
      <c r="O13" s="14">
        <v>275347.0400000001</v>
      </c>
    </row>
    <row r="14" spans="1:15" ht="18" hidden="1" customHeight="1" x14ac:dyDescent="0.25">
      <c r="A14" s="2">
        <v>2020</v>
      </c>
      <c r="B14" s="2" t="s">
        <v>0</v>
      </c>
      <c r="C14" s="2" t="s">
        <v>13</v>
      </c>
      <c r="D14" s="3" t="s">
        <v>34</v>
      </c>
      <c r="E14" s="4">
        <v>7</v>
      </c>
      <c r="F14" s="4">
        <v>3666.3</v>
      </c>
      <c r="G14" s="4">
        <v>224</v>
      </c>
      <c r="H14" s="4">
        <v>733.2600000000001</v>
      </c>
      <c r="I14" s="5" t="s">
        <v>40</v>
      </c>
      <c r="L14" s="12">
        <v>2022</v>
      </c>
      <c r="M14" s="12" t="s">
        <v>46</v>
      </c>
      <c r="N14" s="13">
        <v>365892</v>
      </c>
      <c r="O14" s="14">
        <v>524449.6399999999</v>
      </c>
    </row>
    <row r="15" spans="1:15" ht="18" hidden="1" customHeight="1" x14ac:dyDescent="0.25">
      <c r="A15" s="2">
        <v>2020</v>
      </c>
      <c r="B15" s="2" t="s">
        <v>0</v>
      </c>
      <c r="C15" s="2" t="s">
        <v>32</v>
      </c>
      <c r="D15" s="6" t="s">
        <v>32</v>
      </c>
      <c r="E15" s="7">
        <v>3</v>
      </c>
      <c r="F15" s="7">
        <v>7260</v>
      </c>
      <c r="G15" s="7">
        <v>7392</v>
      </c>
      <c r="H15" s="4">
        <v>1452</v>
      </c>
      <c r="I15" s="5" t="s">
        <v>40</v>
      </c>
      <c r="L15" s="12">
        <v>2022</v>
      </c>
      <c r="M15" s="12" t="s">
        <v>48</v>
      </c>
      <c r="N15" s="13">
        <v>188312</v>
      </c>
      <c r="O15" s="14">
        <v>201424.08000000007</v>
      </c>
    </row>
    <row r="16" spans="1:15" ht="18" customHeight="1" x14ac:dyDescent="0.25">
      <c r="A16" s="2">
        <v>2020</v>
      </c>
      <c r="B16" s="2" t="s">
        <v>0</v>
      </c>
      <c r="C16" s="2" t="s">
        <v>15</v>
      </c>
      <c r="D16" s="6" t="s">
        <v>27</v>
      </c>
      <c r="E16" s="7">
        <v>3</v>
      </c>
      <c r="F16" s="7">
        <v>5035.0300000000007</v>
      </c>
      <c r="G16" s="7">
        <v>5126.576</v>
      </c>
      <c r="H16" s="4">
        <v>1007.0060000000002</v>
      </c>
      <c r="I16" s="5" t="s">
        <v>40</v>
      </c>
      <c r="L16" s="12">
        <v>2022</v>
      </c>
      <c r="M16" s="12" t="s">
        <v>47</v>
      </c>
      <c r="N16" s="13">
        <v>387584</v>
      </c>
      <c r="O16" s="14">
        <v>700000</v>
      </c>
    </row>
    <row r="17" spans="1:15" ht="18" hidden="1" customHeight="1" x14ac:dyDescent="0.25">
      <c r="A17" s="2">
        <v>2020</v>
      </c>
      <c r="B17" s="2" t="s">
        <v>1</v>
      </c>
      <c r="C17" s="2" t="s">
        <v>14</v>
      </c>
      <c r="D17" s="3" t="s">
        <v>36</v>
      </c>
      <c r="E17" s="4">
        <v>3566</v>
      </c>
      <c r="F17" s="4">
        <v>5035.0300000000007</v>
      </c>
      <c r="G17" s="4">
        <v>5126.576</v>
      </c>
      <c r="H17" s="4">
        <v>1007.0060000000002</v>
      </c>
      <c r="I17" s="5" t="s">
        <v>40</v>
      </c>
      <c r="L17" s="12">
        <v>2022</v>
      </c>
      <c r="M17" s="12" t="s">
        <v>49</v>
      </c>
      <c r="N17" s="13">
        <v>178572</v>
      </c>
      <c r="O17" s="14">
        <v>255357.95999999996</v>
      </c>
    </row>
    <row r="18" spans="1:15" ht="18" hidden="1" customHeight="1" x14ac:dyDescent="0.25">
      <c r="A18" s="2">
        <v>2020</v>
      </c>
      <c r="B18" s="2" t="s">
        <v>1</v>
      </c>
      <c r="C18" s="2" t="s">
        <v>14</v>
      </c>
      <c r="D18" s="3" t="s">
        <v>37</v>
      </c>
      <c r="E18" s="4">
        <v>2498</v>
      </c>
      <c r="F18" s="4">
        <v>8800</v>
      </c>
      <c r="G18" s="4">
        <v>8960</v>
      </c>
      <c r="H18" s="4">
        <v>1760</v>
      </c>
      <c r="I18" s="5" t="s">
        <v>40</v>
      </c>
      <c r="L18" s="12">
        <v>2022</v>
      </c>
      <c r="M18" s="12" t="s">
        <v>50</v>
      </c>
      <c r="N18" s="13">
        <v>127296</v>
      </c>
      <c r="O18" s="14">
        <v>181256.00000000003</v>
      </c>
    </row>
    <row r="19" spans="1:15" ht="18" hidden="1" customHeight="1" x14ac:dyDescent="0.25">
      <c r="A19" s="2">
        <v>2020</v>
      </c>
      <c r="B19" s="2" t="s">
        <v>1</v>
      </c>
      <c r="C19" s="2" t="s">
        <v>13</v>
      </c>
      <c r="D19" s="3" t="s">
        <v>35</v>
      </c>
      <c r="E19" s="4">
        <v>1245</v>
      </c>
      <c r="F19" s="4">
        <v>5034.92</v>
      </c>
      <c r="G19" s="4">
        <v>5126.4639999999999</v>
      </c>
      <c r="H19" s="4">
        <v>1006.984</v>
      </c>
      <c r="I19" s="5" t="s">
        <v>40</v>
      </c>
      <c r="L19" s="12">
        <v>2022</v>
      </c>
      <c r="M19" s="12" t="s">
        <v>51</v>
      </c>
      <c r="N19" s="13">
        <v>125136</v>
      </c>
      <c r="O19" s="14">
        <v>199811.0399999998</v>
      </c>
    </row>
    <row r="20" spans="1:15" ht="18" hidden="1" customHeight="1" x14ac:dyDescent="0.25">
      <c r="A20" s="2">
        <v>2020</v>
      </c>
      <c r="B20" s="2" t="s">
        <v>1</v>
      </c>
      <c r="C20" s="2" t="s">
        <v>38</v>
      </c>
      <c r="D20" s="6" t="s">
        <v>30</v>
      </c>
      <c r="E20" s="7">
        <v>644</v>
      </c>
      <c r="F20" s="7">
        <v>6317.85</v>
      </c>
      <c r="G20" s="7">
        <v>6432.72</v>
      </c>
      <c r="H20" s="4">
        <v>1263.5700000000002</v>
      </c>
      <c r="I20" s="5" t="s">
        <v>40</v>
      </c>
      <c r="L20" s="12">
        <v>2023</v>
      </c>
      <c r="M20" s="12" t="s">
        <v>46</v>
      </c>
      <c r="N20" s="13">
        <v>204528</v>
      </c>
      <c r="O20" s="14">
        <v>292475.04000000004</v>
      </c>
    </row>
    <row r="21" spans="1:15" ht="18" hidden="1" customHeight="1" x14ac:dyDescent="0.25">
      <c r="A21" s="2">
        <v>2020</v>
      </c>
      <c r="B21" s="2" t="s">
        <v>1</v>
      </c>
      <c r="C21" s="2" t="s">
        <v>12</v>
      </c>
      <c r="D21" s="6" t="s">
        <v>29</v>
      </c>
      <c r="E21" s="7">
        <v>643</v>
      </c>
      <c r="F21" s="7">
        <v>7000</v>
      </c>
      <c r="G21" s="7">
        <v>7840</v>
      </c>
      <c r="H21" s="4">
        <v>1400</v>
      </c>
      <c r="I21" s="5" t="s">
        <v>40</v>
      </c>
      <c r="L21" s="12">
        <v>2023</v>
      </c>
      <c r="M21" s="12" t="s">
        <v>49</v>
      </c>
      <c r="N21" s="13">
        <v>129304</v>
      </c>
      <c r="O21" s="14">
        <v>184904.72</v>
      </c>
    </row>
    <row r="22" spans="1:15" ht="18" customHeight="1" x14ac:dyDescent="0.25">
      <c r="A22" s="2">
        <v>2020</v>
      </c>
      <c r="B22" s="2" t="s">
        <v>1</v>
      </c>
      <c r="C22" s="2" t="s">
        <v>38</v>
      </c>
      <c r="D22" s="6" t="s">
        <v>31</v>
      </c>
      <c r="E22" s="7">
        <v>455</v>
      </c>
      <c r="F22" s="7">
        <v>4578.6000000000004</v>
      </c>
      <c r="G22" s="7">
        <v>5128.0320000000002</v>
      </c>
      <c r="H22" s="4">
        <v>915.72000000000014</v>
      </c>
      <c r="I22" s="5" t="s">
        <v>40</v>
      </c>
      <c r="L22" s="12">
        <v>2023</v>
      </c>
      <c r="M22" s="12" t="s">
        <v>47</v>
      </c>
      <c r="N22" s="13">
        <v>127904</v>
      </c>
      <c r="O22" s="14">
        <v>182902.72000000003</v>
      </c>
    </row>
    <row r="23" spans="1:15" ht="18" hidden="1" customHeight="1" x14ac:dyDescent="0.25">
      <c r="A23" s="2">
        <v>2020</v>
      </c>
      <c r="B23" s="2" t="s">
        <v>1</v>
      </c>
      <c r="C23" s="2" t="s">
        <v>12</v>
      </c>
      <c r="D23" s="6" t="s">
        <v>28</v>
      </c>
      <c r="E23" s="8">
        <v>345</v>
      </c>
      <c r="F23" s="8">
        <v>7000</v>
      </c>
      <c r="G23" s="8">
        <v>7840</v>
      </c>
      <c r="H23" s="4">
        <v>1400</v>
      </c>
      <c r="I23" s="5" t="s">
        <v>40</v>
      </c>
      <c r="L23" s="12">
        <v>2023</v>
      </c>
      <c r="M23" s="12" t="s">
        <v>48</v>
      </c>
      <c r="N23" s="13">
        <v>219404</v>
      </c>
      <c r="O23" s="14">
        <v>212626.8</v>
      </c>
    </row>
    <row r="24" spans="1:15" ht="18" hidden="1" customHeight="1" x14ac:dyDescent="0.25">
      <c r="A24" s="2">
        <v>2020</v>
      </c>
      <c r="B24" s="2" t="s">
        <v>1</v>
      </c>
      <c r="C24" s="2" t="s">
        <v>13</v>
      </c>
      <c r="D24" s="3" t="s">
        <v>33</v>
      </c>
      <c r="E24" s="4">
        <v>122</v>
      </c>
      <c r="F24" s="4">
        <v>100</v>
      </c>
      <c r="G24" s="4">
        <v>112</v>
      </c>
      <c r="H24" s="4">
        <v>20</v>
      </c>
      <c r="I24" s="5" t="s">
        <v>40</v>
      </c>
      <c r="L24" s="12">
        <v>2023</v>
      </c>
      <c r="M24" s="12" t="s">
        <v>51</v>
      </c>
      <c r="N24" s="13">
        <v>73912</v>
      </c>
      <c r="O24" s="14">
        <v>130072.80000000012</v>
      </c>
    </row>
    <row r="25" spans="1:15" ht="18" hidden="1" customHeight="1" x14ac:dyDescent="0.25">
      <c r="A25" s="2">
        <v>2020</v>
      </c>
      <c r="B25" s="2" t="s">
        <v>1</v>
      </c>
      <c r="C25" s="2" t="s">
        <v>15</v>
      </c>
      <c r="D25" s="6" t="s">
        <v>26</v>
      </c>
      <c r="E25" s="7">
        <v>78</v>
      </c>
      <c r="F25" s="7">
        <v>4577.2</v>
      </c>
      <c r="G25" s="7">
        <v>5126.4639999999999</v>
      </c>
      <c r="H25" s="4">
        <v>915.44</v>
      </c>
      <c r="I25" s="5" t="s">
        <v>40</v>
      </c>
      <c r="L25" s="12">
        <v>2023</v>
      </c>
      <c r="M25" s="12" t="s">
        <v>50</v>
      </c>
      <c r="N25" s="13">
        <v>71992</v>
      </c>
      <c r="O25" s="14">
        <v>104238.15999999999</v>
      </c>
    </row>
    <row r="26" spans="1:15" ht="18" hidden="1" customHeight="1" x14ac:dyDescent="0.25">
      <c r="A26" s="2">
        <v>2020</v>
      </c>
      <c r="B26" s="2" t="s">
        <v>1</v>
      </c>
      <c r="C26" s="2" t="s">
        <v>15</v>
      </c>
      <c r="D26" s="6" t="s">
        <v>24</v>
      </c>
      <c r="E26" s="7">
        <v>76</v>
      </c>
      <c r="F26" s="7">
        <v>4576.8999999999996</v>
      </c>
      <c r="G26" s="7">
        <v>5126.1279999999997</v>
      </c>
      <c r="H26" s="4">
        <v>915.38</v>
      </c>
      <c r="I26" s="5" t="s">
        <v>40</v>
      </c>
      <c r="L26" s="12">
        <v>2024</v>
      </c>
      <c r="M26" s="12" t="s">
        <v>46</v>
      </c>
      <c r="N26" s="13">
        <v>190380</v>
      </c>
      <c r="O26" s="14">
        <v>272243.39999999997</v>
      </c>
    </row>
    <row r="27" spans="1:15" ht="18" hidden="1" customHeight="1" x14ac:dyDescent="0.25">
      <c r="A27" s="2">
        <v>2020</v>
      </c>
      <c r="B27" s="2" t="s">
        <v>1</v>
      </c>
      <c r="C27" s="2" t="s">
        <v>15</v>
      </c>
      <c r="D27" s="6" t="s">
        <v>25</v>
      </c>
      <c r="E27" s="7">
        <v>46</v>
      </c>
      <c r="F27" s="7">
        <v>200</v>
      </c>
      <c r="G27" s="7">
        <v>224</v>
      </c>
      <c r="H27" s="4">
        <v>40</v>
      </c>
      <c r="I27" s="5" t="s">
        <v>40</v>
      </c>
      <c r="L27" s="12">
        <v>2024</v>
      </c>
      <c r="M27" s="12" t="s">
        <v>48</v>
      </c>
      <c r="N27" s="13">
        <v>112620</v>
      </c>
      <c r="O27" s="14">
        <v>107044.07999999994</v>
      </c>
    </row>
    <row r="28" spans="1:15" ht="18" customHeight="1" x14ac:dyDescent="0.25">
      <c r="A28" s="2">
        <v>2020</v>
      </c>
      <c r="B28" s="2" t="s">
        <v>1</v>
      </c>
      <c r="C28" s="2" t="s">
        <v>15</v>
      </c>
      <c r="D28" s="6" t="s">
        <v>23</v>
      </c>
      <c r="E28" s="7">
        <v>34</v>
      </c>
      <c r="F28" s="7">
        <v>4576.8</v>
      </c>
      <c r="G28" s="7">
        <v>5126.0160000000005</v>
      </c>
      <c r="H28" s="4">
        <v>915.36000000000013</v>
      </c>
      <c r="I28" s="5" t="s">
        <v>40</v>
      </c>
      <c r="L28" s="12">
        <v>2024</v>
      </c>
      <c r="M28" s="12" t="s">
        <v>47</v>
      </c>
      <c r="N28" s="13">
        <v>109940</v>
      </c>
      <c r="O28" s="14">
        <v>157214.20000000007</v>
      </c>
    </row>
    <row r="29" spans="1:15" ht="18" hidden="1" customHeight="1" x14ac:dyDescent="0.25">
      <c r="A29" s="2">
        <v>2020</v>
      </c>
      <c r="B29" s="2" t="s">
        <v>1</v>
      </c>
      <c r="C29" s="2" t="s">
        <v>13</v>
      </c>
      <c r="D29" s="3" t="s">
        <v>34</v>
      </c>
      <c r="E29" s="4">
        <v>7</v>
      </c>
      <c r="F29" s="4">
        <v>200</v>
      </c>
      <c r="G29" s="4">
        <v>224</v>
      </c>
      <c r="H29" s="4">
        <v>40</v>
      </c>
      <c r="I29" s="5" t="s">
        <v>40</v>
      </c>
      <c r="L29" s="12">
        <v>2024</v>
      </c>
      <c r="M29" s="12" t="s">
        <v>49</v>
      </c>
      <c r="N29" s="13">
        <v>106948</v>
      </c>
      <c r="O29" s="14">
        <v>152935.63999999998</v>
      </c>
    </row>
    <row r="30" spans="1:15" ht="18" hidden="1" customHeight="1" x14ac:dyDescent="0.25">
      <c r="A30" s="2">
        <v>2020</v>
      </c>
      <c r="B30" s="2" t="s">
        <v>1</v>
      </c>
      <c r="C30" s="2" t="s">
        <v>15</v>
      </c>
      <c r="D30" s="6" t="s">
        <v>27</v>
      </c>
      <c r="E30" s="7">
        <v>3</v>
      </c>
      <c r="F30" s="7">
        <v>4577.3</v>
      </c>
      <c r="G30" s="7">
        <v>5126.576</v>
      </c>
      <c r="H30" s="4">
        <v>915.46</v>
      </c>
      <c r="I30" s="5" t="s">
        <v>40</v>
      </c>
      <c r="L30" s="12">
        <v>2024</v>
      </c>
      <c r="M30" s="12" t="s">
        <v>51</v>
      </c>
      <c r="N30" s="13">
        <v>62256</v>
      </c>
      <c r="O30" s="14">
        <v>100660.56000000013</v>
      </c>
    </row>
    <row r="31" spans="1:15" ht="18" hidden="1" customHeight="1" x14ac:dyDescent="0.25">
      <c r="A31" s="2">
        <v>2020</v>
      </c>
      <c r="B31" s="2" t="s">
        <v>1</v>
      </c>
      <c r="C31" s="2" t="s">
        <v>32</v>
      </c>
      <c r="D31" s="6" t="s">
        <v>32</v>
      </c>
      <c r="E31" s="7">
        <v>2</v>
      </c>
      <c r="F31" s="7">
        <v>6600</v>
      </c>
      <c r="G31" s="7">
        <v>7392</v>
      </c>
      <c r="H31" s="4">
        <v>1320</v>
      </c>
      <c r="I31" s="5" t="s">
        <v>40</v>
      </c>
      <c r="L31" s="12">
        <v>2024</v>
      </c>
      <c r="M31" s="12" t="s">
        <v>50</v>
      </c>
      <c r="N31" s="13">
        <v>62240</v>
      </c>
      <c r="O31" s="14">
        <v>90151.200000000041</v>
      </c>
    </row>
    <row r="32" spans="1:15" ht="18" customHeight="1" x14ac:dyDescent="0.25">
      <c r="A32" s="2">
        <v>2020</v>
      </c>
      <c r="B32" s="2" t="s">
        <v>2</v>
      </c>
      <c r="C32" s="2" t="s">
        <v>14</v>
      </c>
      <c r="D32" s="3" t="s">
        <v>36</v>
      </c>
      <c r="E32" s="4">
        <v>3566</v>
      </c>
      <c r="F32" s="4">
        <v>4577.3</v>
      </c>
      <c r="G32" s="4">
        <v>5126.576</v>
      </c>
      <c r="H32" s="4">
        <v>915.46</v>
      </c>
      <c r="I32" s="5" t="s">
        <v>40</v>
      </c>
    </row>
    <row r="33" spans="1:9" ht="18" customHeight="1" x14ac:dyDescent="0.25">
      <c r="A33" s="2">
        <v>2020</v>
      </c>
      <c r="B33" s="2" t="s">
        <v>2</v>
      </c>
      <c r="C33" s="2" t="s">
        <v>14</v>
      </c>
      <c r="D33" s="3" t="s">
        <v>37</v>
      </c>
      <c r="E33" s="4">
        <v>2498</v>
      </c>
      <c r="F33" s="4">
        <v>8000</v>
      </c>
      <c r="G33" s="4">
        <v>8960</v>
      </c>
      <c r="H33" s="4">
        <v>1600</v>
      </c>
      <c r="I33" s="5" t="s">
        <v>40</v>
      </c>
    </row>
    <row r="34" spans="1:9" ht="18" customHeight="1" x14ac:dyDescent="0.25">
      <c r="A34" s="2">
        <v>2020</v>
      </c>
      <c r="B34" s="2" t="s">
        <v>2</v>
      </c>
      <c r="C34" s="2" t="s">
        <v>13</v>
      </c>
      <c r="D34" s="3" t="s">
        <v>35</v>
      </c>
      <c r="E34" s="4">
        <v>1245</v>
      </c>
      <c r="F34" s="4">
        <v>4577.2</v>
      </c>
      <c r="G34" s="4">
        <v>5126.4639999999999</v>
      </c>
      <c r="H34" s="4">
        <v>915.44</v>
      </c>
      <c r="I34" s="5" t="s">
        <v>40</v>
      </c>
    </row>
    <row r="35" spans="1:9" ht="18" customHeight="1" x14ac:dyDescent="0.25">
      <c r="A35" s="2">
        <v>2020</v>
      </c>
      <c r="B35" s="2" t="s">
        <v>2</v>
      </c>
      <c r="C35" s="2" t="s">
        <v>38</v>
      </c>
      <c r="D35" s="6" t="s">
        <v>30</v>
      </c>
      <c r="E35" s="7">
        <v>644</v>
      </c>
      <c r="F35" s="7">
        <v>5743.5</v>
      </c>
      <c r="G35" s="7">
        <v>6432.72</v>
      </c>
      <c r="H35" s="4">
        <v>1148.7</v>
      </c>
      <c r="I35" s="5" t="s">
        <v>40</v>
      </c>
    </row>
    <row r="36" spans="1:9" ht="18" customHeight="1" x14ac:dyDescent="0.25">
      <c r="A36" s="2">
        <v>2020</v>
      </c>
      <c r="B36" s="2" t="s">
        <v>2</v>
      </c>
      <c r="C36" s="2" t="s">
        <v>12</v>
      </c>
      <c r="D36" s="6" t="s">
        <v>29</v>
      </c>
      <c r="E36" s="7">
        <v>643</v>
      </c>
      <c r="F36" s="7">
        <v>7000</v>
      </c>
      <c r="G36" s="7">
        <v>7840</v>
      </c>
      <c r="H36" s="4">
        <v>1400</v>
      </c>
      <c r="I36" s="5" t="s">
        <v>40</v>
      </c>
    </row>
    <row r="37" spans="1:9" ht="18" customHeight="1" x14ac:dyDescent="0.25">
      <c r="A37" s="2">
        <v>2020</v>
      </c>
      <c r="B37" s="2" t="s">
        <v>2</v>
      </c>
      <c r="C37" s="2" t="s">
        <v>38</v>
      </c>
      <c r="D37" s="6" t="s">
        <v>31</v>
      </c>
      <c r="E37" s="7">
        <v>455</v>
      </c>
      <c r="F37" s="7">
        <v>4578.6000000000004</v>
      </c>
      <c r="G37" s="7">
        <v>5128.0320000000002</v>
      </c>
      <c r="H37" s="4">
        <v>915.72000000000014</v>
      </c>
      <c r="I37" s="5" t="s">
        <v>40</v>
      </c>
    </row>
    <row r="38" spans="1:9" ht="18" customHeight="1" x14ac:dyDescent="0.25">
      <c r="A38" s="2">
        <v>2020</v>
      </c>
      <c r="B38" s="2" t="s">
        <v>2</v>
      </c>
      <c r="C38" s="2" t="s">
        <v>12</v>
      </c>
      <c r="D38" s="6" t="s">
        <v>28</v>
      </c>
      <c r="E38" s="8">
        <v>345</v>
      </c>
      <c r="F38" s="8">
        <v>7000</v>
      </c>
      <c r="G38" s="8">
        <v>7840</v>
      </c>
      <c r="H38" s="4">
        <v>1400</v>
      </c>
      <c r="I38" s="5" t="s">
        <v>40</v>
      </c>
    </row>
    <row r="39" spans="1:9" ht="18" customHeight="1" x14ac:dyDescent="0.25">
      <c r="A39" s="2">
        <v>2020</v>
      </c>
      <c r="B39" s="2" t="s">
        <v>2</v>
      </c>
      <c r="C39" s="2" t="s">
        <v>13</v>
      </c>
      <c r="D39" s="3" t="s">
        <v>33</v>
      </c>
      <c r="E39" s="4">
        <v>122</v>
      </c>
      <c r="F39" s="4">
        <v>100</v>
      </c>
      <c r="G39" s="4">
        <v>112</v>
      </c>
      <c r="H39" s="4">
        <v>20</v>
      </c>
      <c r="I39" s="5" t="s">
        <v>40</v>
      </c>
    </row>
    <row r="40" spans="1:9" ht="18" customHeight="1" x14ac:dyDescent="0.25">
      <c r="A40" s="2">
        <v>2020</v>
      </c>
      <c r="B40" s="2" t="s">
        <v>2</v>
      </c>
      <c r="C40" s="2" t="s">
        <v>15</v>
      </c>
      <c r="D40" s="6" t="s">
        <v>26</v>
      </c>
      <c r="E40" s="7">
        <v>78</v>
      </c>
      <c r="F40" s="7">
        <v>4577.2</v>
      </c>
      <c r="G40" s="7">
        <v>5126.4639999999999</v>
      </c>
      <c r="H40" s="4">
        <v>915.44</v>
      </c>
      <c r="I40" s="5" t="s">
        <v>40</v>
      </c>
    </row>
    <row r="41" spans="1:9" ht="18" customHeight="1" x14ac:dyDescent="0.25">
      <c r="A41" s="2">
        <v>2020</v>
      </c>
      <c r="B41" s="2" t="s">
        <v>2</v>
      </c>
      <c r="C41" s="2" t="s">
        <v>15</v>
      </c>
      <c r="D41" s="6" t="s">
        <v>24</v>
      </c>
      <c r="E41" s="7">
        <v>76</v>
      </c>
      <c r="F41" s="7">
        <v>4576.8999999999996</v>
      </c>
      <c r="G41" s="7">
        <v>5126.1279999999997</v>
      </c>
      <c r="H41" s="4">
        <v>915.38</v>
      </c>
      <c r="I41" s="5" t="s">
        <v>40</v>
      </c>
    </row>
    <row r="42" spans="1:9" ht="18" customHeight="1" x14ac:dyDescent="0.25">
      <c r="A42" s="2">
        <v>2020</v>
      </c>
      <c r="B42" s="2" t="s">
        <v>2</v>
      </c>
      <c r="C42" s="2" t="s">
        <v>15</v>
      </c>
      <c r="D42" s="6" t="s">
        <v>25</v>
      </c>
      <c r="E42" s="7">
        <v>46</v>
      </c>
      <c r="F42" s="7">
        <v>200</v>
      </c>
      <c r="G42" s="7">
        <v>224</v>
      </c>
      <c r="H42" s="4">
        <v>40</v>
      </c>
      <c r="I42" s="5" t="s">
        <v>40</v>
      </c>
    </row>
    <row r="43" spans="1:9" ht="18" customHeight="1" x14ac:dyDescent="0.25">
      <c r="A43" s="2">
        <v>2020</v>
      </c>
      <c r="B43" s="2" t="s">
        <v>2</v>
      </c>
      <c r="C43" s="2" t="s">
        <v>15</v>
      </c>
      <c r="D43" s="6" t="s">
        <v>23</v>
      </c>
      <c r="E43" s="7">
        <v>34</v>
      </c>
      <c r="F43" s="7">
        <v>4576.8</v>
      </c>
      <c r="G43" s="7">
        <v>5126.0160000000005</v>
      </c>
      <c r="H43" s="4">
        <v>915.36000000000013</v>
      </c>
      <c r="I43" s="5" t="s">
        <v>42</v>
      </c>
    </row>
    <row r="44" spans="1:9" ht="18" customHeight="1" x14ac:dyDescent="0.25">
      <c r="A44" s="2">
        <v>2020</v>
      </c>
      <c r="B44" s="2" t="s">
        <v>2</v>
      </c>
      <c r="C44" s="2" t="s">
        <v>13</v>
      </c>
      <c r="D44" s="3" t="s">
        <v>34</v>
      </c>
      <c r="E44" s="4">
        <v>7</v>
      </c>
      <c r="F44" s="4">
        <v>200</v>
      </c>
      <c r="G44" s="4">
        <v>224</v>
      </c>
      <c r="H44" s="4">
        <v>40</v>
      </c>
      <c r="I44" s="5" t="s">
        <v>42</v>
      </c>
    </row>
    <row r="45" spans="1:9" ht="18" customHeight="1" x14ac:dyDescent="0.25">
      <c r="A45" s="2">
        <v>2020</v>
      </c>
      <c r="B45" s="2" t="s">
        <v>2</v>
      </c>
      <c r="C45" s="2" t="s">
        <v>15</v>
      </c>
      <c r="D45" s="6" t="s">
        <v>27</v>
      </c>
      <c r="E45" s="7">
        <v>3</v>
      </c>
      <c r="F45" s="7">
        <v>3333</v>
      </c>
      <c r="G45" s="7">
        <v>5126.576</v>
      </c>
      <c r="H45" s="4">
        <v>666.6</v>
      </c>
      <c r="I45" s="5" t="s">
        <v>42</v>
      </c>
    </row>
    <row r="46" spans="1:9" ht="18" customHeight="1" x14ac:dyDescent="0.25">
      <c r="A46" s="2">
        <v>2020</v>
      </c>
      <c r="B46" s="2" t="s">
        <v>2</v>
      </c>
      <c r="C46" s="2" t="s">
        <v>32</v>
      </c>
      <c r="D46" s="6" t="s">
        <v>32</v>
      </c>
      <c r="E46" s="7">
        <v>2</v>
      </c>
      <c r="F46" s="7">
        <v>6600</v>
      </c>
      <c r="G46" s="7">
        <v>7392</v>
      </c>
      <c r="H46" s="4">
        <v>1320</v>
      </c>
      <c r="I46" s="5" t="s">
        <v>42</v>
      </c>
    </row>
    <row r="47" spans="1:9" ht="18" customHeight="1" x14ac:dyDescent="0.25">
      <c r="A47" s="2">
        <v>2020</v>
      </c>
      <c r="B47" s="2" t="s">
        <v>3</v>
      </c>
      <c r="C47" s="2" t="s">
        <v>14</v>
      </c>
      <c r="D47" s="3" t="s">
        <v>36</v>
      </c>
      <c r="E47" s="4">
        <v>3566</v>
      </c>
      <c r="F47" s="4">
        <v>4577.3</v>
      </c>
      <c r="G47" s="4">
        <v>5126.576</v>
      </c>
      <c r="H47" s="4">
        <v>915.46</v>
      </c>
      <c r="I47" s="5" t="s">
        <v>42</v>
      </c>
    </row>
    <row r="48" spans="1:9" ht="18" customHeight="1" x14ac:dyDescent="0.25">
      <c r="A48" s="2">
        <v>2020</v>
      </c>
      <c r="B48" s="2" t="s">
        <v>3</v>
      </c>
      <c r="C48" s="2" t="s">
        <v>14</v>
      </c>
      <c r="D48" s="3" t="s">
        <v>37</v>
      </c>
      <c r="E48" s="4">
        <v>2498</v>
      </c>
      <c r="F48" s="4">
        <v>8000</v>
      </c>
      <c r="G48" s="4">
        <v>8960</v>
      </c>
      <c r="H48" s="4">
        <v>1600</v>
      </c>
      <c r="I48" s="5" t="s">
        <v>42</v>
      </c>
    </row>
    <row r="49" spans="1:9" ht="18" customHeight="1" x14ac:dyDescent="0.25">
      <c r="A49" s="2">
        <v>2020</v>
      </c>
      <c r="B49" s="2" t="s">
        <v>3</v>
      </c>
      <c r="C49" s="2" t="s">
        <v>13</v>
      </c>
      <c r="D49" s="3" t="s">
        <v>35</v>
      </c>
      <c r="E49" s="4">
        <v>1245</v>
      </c>
      <c r="F49" s="4">
        <v>4577.2</v>
      </c>
      <c r="G49" s="4">
        <v>5126.4639999999999</v>
      </c>
      <c r="H49" s="4">
        <v>915.44</v>
      </c>
      <c r="I49" s="5" t="s">
        <v>42</v>
      </c>
    </row>
    <row r="50" spans="1:9" ht="18" customHeight="1" x14ac:dyDescent="0.25">
      <c r="A50" s="2">
        <v>2020</v>
      </c>
      <c r="B50" s="2" t="s">
        <v>3</v>
      </c>
      <c r="C50" s="2" t="s">
        <v>38</v>
      </c>
      <c r="D50" s="6" t="s">
        <v>30</v>
      </c>
      <c r="E50" s="7">
        <v>644</v>
      </c>
      <c r="F50" s="7">
        <v>5743.5</v>
      </c>
      <c r="G50" s="7">
        <v>6432.72</v>
      </c>
      <c r="H50" s="4">
        <v>1148.7</v>
      </c>
      <c r="I50" s="5" t="s">
        <v>42</v>
      </c>
    </row>
    <row r="51" spans="1:9" ht="18" customHeight="1" x14ac:dyDescent="0.25">
      <c r="A51" s="2">
        <v>2020</v>
      </c>
      <c r="B51" s="2" t="s">
        <v>3</v>
      </c>
      <c r="C51" s="2" t="s">
        <v>12</v>
      </c>
      <c r="D51" s="6" t="s">
        <v>29</v>
      </c>
      <c r="E51" s="7">
        <v>643</v>
      </c>
      <c r="F51" s="7">
        <v>7000</v>
      </c>
      <c r="G51" s="7">
        <v>7840</v>
      </c>
      <c r="H51" s="4">
        <v>1400</v>
      </c>
      <c r="I51" s="5" t="s">
        <v>42</v>
      </c>
    </row>
    <row r="52" spans="1:9" ht="18" customHeight="1" x14ac:dyDescent="0.25">
      <c r="A52" s="2">
        <v>2020</v>
      </c>
      <c r="B52" s="2" t="s">
        <v>3</v>
      </c>
      <c r="C52" s="2" t="s">
        <v>38</v>
      </c>
      <c r="D52" s="6" t="s">
        <v>31</v>
      </c>
      <c r="E52" s="7">
        <v>455</v>
      </c>
      <c r="F52" s="7">
        <v>4578.6000000000004</v>
      </c>
      <c r="G52" s="7">
        <v>5128.0320000000002</v>
      </c>
      <c r="H52" s="4">
        <v>915.72000000000014</v>
      </c>
      <c r="I52" s="5" t="s">
        <v>42</v>
      </c>
    </row>
    <row r="53" spans="1:9" ht="18" customHeight="1" x14ac:dyDescent="0.25">
      <c r="A53" s="2">
        <v>2020</v>
      </c>
      <c r="B53" s="2" t="s">
        <v>3</v>
      </c>
      <c r="C53" s="2" t="s">
        <v>12</v>
      </c>
      <c r="D53" s="6" t="s">
        <v>28</v>
      </c>
      <c r="E53" s="8">
        <v>345</v>
      </c>
      <c r="F53" s="8">
        <v>7000</v>
      </c>
      <c r="G53" s="8">
        <v>7840</v>
      </c>
      <c r="H53" s="4">
        <v>1400</v>
      </c>
      <c r="I53" s="5" t="s">
        <v>42</v>
      </c>
    </row>
    <row r="54" spans="1:9" ht="18" customHeight="1" x14ac:dyDescent="0.25">
      <c r="A54" s="2">
        <v>2020</v>
      </c>
      <c r="B54" s="2" t="s">
        <v>3</v>
      </c>
      <c r="C54" s="2" t="s">
        <v>13</v>
      </c>
      <c r="D54" s="3" t="s">
        <v>33</v>
      </c>
      <c r="E54" s="4">
        <v>122</v>
      </c>
      <c r="F54" s="4">
        <v>100</v>
      </c>
      <c r="G54" s="4">
        <v>112</v>
      </c>
      <c r="H54" s="4">
        <v>20</v>
      </c>
      <c r="I54" s="5" t="s">
        <v>42</v>
      </c>
    </row>
    <row r="55" spans="1:9" ht="18" customHeight="1" x14ac:dyDescent="0.25">
      <c r="A55" s="2">
        <v>2020</v>
      </c>
      <c r="B55" s="2" t="s">
        <v>3</v>
      </c>
      <c r="C55" s="2" t="s">
        <v>15</v>
      </c>
      <c r="D55" s="6" t="s">
        <v>26</v>
      </c>
      <c r="E55" s="7">
        <v>78</v>
      </c>
      <c r="F55" s="7">
        <v>4577.2</v>
      </c>
      <c r="G55" s="7">
        <v>5126.4639999999999</v>
      </c>
      <c r="H55" s="4">
        <v>915.44</v>
      </c>
      <c r="I55" s="5" t="s">
        <v>42</v>
      </c>
    </row>
    <row r="56" spans="1:9" ht="18" customHeight="1" x14ac:dyDescent="0.25">
      <c r="A56" s="2">
        <v>2020</v>
      </c>
      <c r="B56" s="2" t="s">
        <v>3</v>
      </c>
      <c r="C56" s="2" t="s">
        <v>15</v>
      </c>
      <c r="D56" s="6" t="s">
        <v>24</v>
      </c>
      <c r="E56" s="7">
        <v>76</v>
      </c>
      <c r="F56" s="7">
        <v>4576.8999999999996</v>
      </c>
      <c r="G56" s="7">
        <v>5126.1279999999997</v>
      </c>
      <c r="H56" s="4">
        <v>915.38</v>
      </c>
      <c r="I56" s="5" t="s">
        <v>42</v>
      </c>
    </row>
    <row r="57" spans="1:9" ht="18" customHeight="1" x14ac:dyDescent="0.25">
      <c r="A57" s="2">
        <v>2020</v>
      </c>
      <c r="B57" s="2" t="s">
        <v>3</v>
      </c>
      <c r="C57" s="2" t="s">
        <v>15</v>
      </c>
      <c r="D57" s="6" t="s">
        <v>25</v>
      </c>
      <c r="E57" s="7">
        <v>46</v>
      </c>
      <c r="F57" s="7">
        <v>200</v>
      </c>
      <c r="G57" s="7">
        <v>224</v>
      </c>
      <c r="H57" s="4">
        <v>40</v>
      </c>
      <c r="I57" s="5" t="s">
        <v>42</v>
      </c>
    </row>
    <row r="58" spans="1:9" ht="18" customHeight="1" x14ac:dyDescent="0.25">
      <c r="A58" s="2">
        <v>2020</v>
      </c>
      <c r="B58" s="2" t="s">
        <v>3</v>
      </c>
      <c r="C58" s="2" t="s">
        <v>15</v>
      </c>
      <c r="D58" s="6" t="s">
        <v>23</v>
      </c>
      <c r="E58" s="7">
        <v>34</v>
      </c>
      <c r="F58" s="7">
        <v>4576.8</v>
      </c>
      <c r="G58" s="7">
        <v>5126.0160000000005</v>
      </c>
      <c r="H58" s="4">
        <v>915.36000000000013</v>
      </c>
      <c r="I58" s="5" t="s">
        <v>42</v>
      </c>
    </row>
    <row r="59" spans="1:9" ht="18" customHeight="1" x14ac:dyDescent="0.25">
      <c r="A59" s="2">
        <v>2020</v>
      </c>
      <c r="B59" s="2" t="s">
        <v>3</v>
      </c>
      <c r="C59" s="2" t="s">
        <v>13</v>
      </c>
      <c r="D59" s="3" t="s">
        <v>34</v>
      </c>
      <c r="E59" s="4">
        <v>7</v>
      </c>
      <c r="F59" s="4">
        <v>200</v>
      </c>
      <c r="G59" s="4">
        <v>224</v>
      </c>
      <c r="H59" s="4">
        <v>40</v>
      </c>
      <c r="I59" s="5" t="s">
        <v>42</v>
      </c>
    </row>
    <row r="60" spans="1:9" ht="18" customHeight="1" x14ac:dyDescent="0.25">
      <c r="A60" s="2">
        <v>2020</v>
      </c>
      <c r="B60" s="2" t="s">
        <v>3</v>
      </c>
      <c r="C60" s="2" t="s">
        <v>15</v>
      </c>
      <c r="D60" s="6" t="s">
        <v>27</v>
      </c>
      <c r="E60" s="7">
        <v>3</v>
      </c>
      <c r="F60" s="7">
        <v>4577.3</v>
      </c>
      <c r="G60" s="7">
        <v>5126.576</v>
      </c>
      <c r="H60" s="4">
        <v>915.46</v>
      </c>
      <c r="I60" s="5" t="s">
        <v>42</v>
      </c>
    </row>
    <row r="61" spans="1:9" ht="18" customHeight="1" x14ac:dyDescent="0.25">
      <c r="A61" s="2">
        <v>2020</v>
      </c>
      <c r="B61" s="2" t="s">
        <v>3</v>
      </c>
      <c r="C61" s="2" t="s">
        <v>32</v>
      </c>
      <c r="D61" s="6" t="s">
        <v>32</v>
      </c>
      <c r="E61" s="7">
        <v>2</v>
      </c>
      <c r="F61" s="7">
        <v>6600</v>
      </c>
      <c r="G61" s="7">
        <v>7392</v>
      </c>
      <c r="H61" s="4">
        <v>1320</v>
      </c>
      <c r="I61" s="5" t="s">
        <v>42</v>
      </c>
    </row>
    <row r="62" spans="1:9" ht="18" customHeight="1" x14ac:dyDescent="0.25">
      <c r="A62" s="2">
        <v>2020</v>
      </c>
      <c r="B62" s="2" t="s">
        <v>4</v>
      </c>
      <c r="C62" s="2" t="s">
        <v>14</v>
      </c>
      <c r="D62" s="3" t="s">
        <v>36</v>
      </c>
      <c r="E62" s="4">
        <v>3566</v>
      </c>
      <c r="F62" s="4">
        <v>4577.3</v>
      </c>
      <c r="G62" s="4">
        <v>5126.576</v>
      </c>
      <c r="H62" s="4">
        <v>915.46</v>
      </c>
      <c r="I62" s="5" t="s">
        <v>42</v>
      </c>
    </row>
    <row r="63" spans="1:9" ht="18" customHeight="1" x14ac:dyDescent="0.25">
      <c r="A63" s="2">
        <v>2020</v>
      </c>
      <c r="B63" s="2" t="s">
        <v>4</v>
      </c>
      <c r="C63" s="2" t="s">
        <v>14</v>
      </c>
      <c r="D63" s="3" t="s">
        <v>37</v>
      </c>
      <c r="E63" s="4">
        <v>2498</v>
      </c>
      <c r="F63" s="4">
        <v>8000</v>
      </c>
      <c r="G63" s="4">
        <v>8960</v>
      </c>
      <c r="H63" s="4">
        <v>1600</v>
      </c>
      <c r="I63" s="5" t="s">
        <v>42</v>
      </c>
    </row>
    <row r="64" spans="1:9" ht="18" customHeight="1" x14ac:dyDescent="0.25">
      <c r="A64" s="2">
        <v>2020</v>
      </c>
      <c r="B64" s="2" t="s">
        <v>4</v>
      </c>
      <c r="C64" s="2" t="s">
        <v>13</v>
      </c>
      <c r="D64" s="3" t="s">
        <v>35</v>
      </c>
      <c r="E64" s="4">
        <v>1245</v>
      </c>
      <c r="F64" s="4">
        <v>4577.2</v>
      </c>
      <c r="G64" s="4">
        <v>5126.4639999999999</v>
      </c>
      <c r="H64" s="4">
        <v>915.44</v>
      </c>
      <c r="I64" s="5" t="s">
        <v>42</v>
      </c>
    </row>
    <row r="65" spans="1:9" ht="18" customHeight="1" x14ac:dyDescent="0.25">
      <c r="A65" s="2">
        <v>2020</v>
      </c>
      <c r="B65" s="2" t="s">
        <v>4</v>
      </c>
      <c r="C65" s="2" t="s">
        <v>38</v>
      </c>
      <c r="D65" s="6" t="s">
        <v>30</v>
      </c>
      <c r="E65" s="7">
        <v>644</v>
      </c>
      <c r="F65" s="7">
        <v>5743.5</v>
      </c>
      <c r="G65" s="7">
        <v>6432.72</v>
      </c>
      <c r="H65" s="4">
        <v>1148.7</v>
      </c>
      <c r="I65" s="5" t="s">
        <v>42</v>
      </c>
    </row>
    <row r="66" spans="1:9" ht="18" customHeight="1" x14ac:dyDescent="0.25">
      <c r="A66" s="2">
        <v>2020</v>
      </c>
      <c r="B66" s="2" t="s">
        <v>4</v>
      </c>
      <c r="C66" s="2" t="s">
        <v>12</v>
      </c>
      <c r="D66" s="6" t="s">
        <v>29</v>
      </c>
      <c r="E66" s="7">
        <v>643</v>
      </c>
      <c r="F66" s="7">
        <v>7000</v>
      </c>
      <c r="G66" s="7">
        <v>7840</v>
      </c>
      <c r="H66" s="4">
        <v>1400</v>
      </c>
      <c r="I66" s="5" t="s">
        <v>40</v>
      </c>
    </row>
    <row r="67" spans="1:9" ht="18" customHeight="1" x14ac:dyDescent="0.25">
      <c r="A67" s="2">
        <v>2020</v>
      </c>
      <c r="B67" s="2" t="s">
        <v>4</v>
      </c>
      <c r="C67" s="2" t="s">
        <v>38</v>
      </c>
      <c r="D67" s="6" t="s">
        <v>31</v>
      </c>
      <c r="E67" s="7">
        <v>455</v>
      </c>
      <c r="F67" s="7">
        <v>4578.6000000000004</v>
      </c>
      <c r="G67" s="7">
        <v>5128.0320000000002</v>
      </c>
      <c r="H67" s="4">
        <v>915.72000000000014</v>
      </c>
      <c r="I67" s="5" t="s">
        <v>40</v>
      </c>
    </row>
    <row r="68" spans="1:9" ht="18" customHeight="1" x14ac:dyDescent="0.25">
      <c r="A68" s="2">
        <v>2020</v>
      </c>
      <c r="B68" s="2" t="s">
        <v>4</v>
      </c>
      <c r="C68" s="2" t="s">
        <v>12</v>
      </c>
      <c r="D68" s="6" t="s">
        <v>28</v>
      </c>
      <c r="E68" s="8">
        <v>345</v>
      </c>
      <c r="F68" s="8">
        <v>7000</v>
      </c>
      <c r="G68" s="8">
        <v>7840</v>
      </c>
      <c r="H68" s="4">
        <v>1400</v>
      </c>
      <c r="I68" s="5" t="s">
        <v>40</v>
      </c>
    </row>
    <row r="69" spans="1:9" ht="18" customHeight="1" x14ac:dyDescent="0.25">
      <c r="A69" s="2">
        <v>2020</v>
      </c>
      <c r="B69" s="2" t="s">
        <v>4</v>
      </c>
      <c r="C69" s="2" t="s">
        <v>13</v>
      </c>
      <c r="D69" s="3" t="s">
        <v>33</v>
      </c>
      <c r="E69" s="4">
        <v>122</v>
      </c>
      <c r="F69" s="4">
        <v>100</v>
      </c>
      <c r="G69" s="4">
        <v>112</v>
      </c>
      <c r="H69" s="4">
        <v>20</v>
      </c>
      <c r="I69" s="5" t="s">
        <v>40</v>
      </c>
    </row>
    <row r="70" spans="1:9" ht="18" customHeight="1" x14ac:dyDescent="0.25">
      <c r="A70" s="2">
        <v>2020</v>
      </c>
      <c r="B70" s="2" t="s">
        <v>4</v>
      </c>
      <c r="C70" s="2" t="s">
        <v>15</v>
      </c>
      <c r="D70" s="6" t="s">
        <v>26</v>
      </c>
      <c r="E70" s="7">
        <v>78</v>
      </c>
      <c r="F70" s="7">
        <v>4577.2</v>
      </c>
      <c r="G70" s="7">
        <v>5126.4639999999999</v>
      </c>
      <c r="H70" s="4">
        <v>915.44</v>
      </c>
      <c r="I70" s="5" t="s">
        <v>40</v>
      </c>
    </row>
    <row r="71" spans="1:9" ht="18" customHeight="1" x14ac:dyDescent="0.25">
      <c r="A71" s="2">
        <v>2020</v>
      </c>
      <c r="B71" s="2" t="s">
        <v>4</v>
      </c>
      <c r="C71" s="2" t="s">
        <v>15</v>
      </c>
      <c r="D71" s="6" t="s">
        <v>24</v>
      </c>
      <c r="E71" s="7">
        <v>76</v>
      </c>
      <c r="F71" s="7">
        <v>4576.8999999999996</v>
      </c>
      <c r="G71" s="7">
        <v>5126.1279999999997</v>
      </c>
      <c r="H71" s="4">
        <v>915.38</v>
      </c>
      <c r="I71" s="5" t="s">
        <v>40</v>
      </c>
    </row>
    <row r="72" spans="1:9" ht="18" customHeight="1" x14ac:dyDescent="0.25">
      <c r="A72" s="2">
        <v>2020</v>
      </c>
      <c r="B72" s="2" t="s">
        <v>4</v>
      </c>
      <c r="C72" s="2" t="s">
        <v>15</v>
      </c>
      <c r="D72" s="6" t="s">
        <v>25</v>
      </c>
      <c r="E72" s="7">
        <v>46</v>
      </c>
      <c r="F72" s="7">
        <v>200</v>
      </c>
      <c r="G72" s="7">
        <v>224</v>
      </c>
      <c r="H72" s="4">
        <v>40</v>
      </c>
      <c r="I72" s="5" t="s">
        <v>40</v>
      </c>
    </row>
    <row r="73" spans="1:9" ht="18" customHeight="1" x14ac:dyDescent="0.25">
      <c r="A73" s="2">
        <v>2020</v>
      </c>
      <c r="B73" s="2" t="s">
        <v>4</v>
      </c>
      <c r="C73" s="2" t="s">
        <v>15</v>
      </c>
      <c r="D73" s="6" t="s">
        <v>23</v>
      </c>
      <c r="E73" s="7">
        <v>34</v>
      </c>
      <c r="F73" s="7">
        <v>4576.8</v>
      </c>
      <c r="G73" s="7">
        <v>5126.0160000000005</v>
      </c>
      <c r="H73" s="4">
        <v>915.36000000000013</v>
      </c>
      <c r="I73" s="5" t="s">
        <v>40</v>
      </c>
    </row>
    <row r="74" spans="1:9" ht="18" customHeight="1" x14ac:dyDescent="0.25">
      <c r="A74" s="2">
        <v>2020</v>
      </c>
      <c r="B74" s="2" t="s">
        <v>4</v>
      </c>
      <c r="C74" s="2" t="s">
        <v>13</v>
      </c>
      <c r="D74" s="3" t="s">
        <v>34</v>
      </c>
      <c r="E74" s="4">
        <v>7</v>
      </c>
      <c r="F74" s="4">
        <v>200</v>
      </c>
      <c r="G74" s="4">
        <v>224</v>
      </c>
      <c r="H74" s="4">
        <v>40</v>
      </c>
      <c r="I74" s="5" t="s">
        <v>40</v>
      </c>
    </row>
    <row r="75" spans="1:9" ht="18" customHeight="1" x14ac:dyDescent="0.25">
      <c r="A75" s="2">
        <v>2020</v>
      </c>
      <c r="B75" s="2" t="s">
        <v>4</v>
      </c>
      <c r="C75" s="2" t="s">
        <v>15</v>
      </c>
      <c r="D75" s="6" t="s">
        <v>27</v>
      </c>
      <c r="E75" s="7">
        <v>3</v>
      </c>
      <c r="F75" s="7">
        <v>4577.3</v>
      </c>
      <c r="G75" s="7">
        <v>5126.576</v>
      </c>
      <c r="H75" s="4">
        <v>915.46</v>
      </c>
      <c r="I75" s="5" t="s">
        <v>40</v>
      </c>
    </row>
    <row r="76" spans="1:9" ht="18" customHeight="1" x14ac:dyDescent="0.25">
      <c r="A76" s="2">
        <v>2020</v>
      </c>
      <c r="B76" s="2" t="s">
        <v>4</v>
      </c>
      <c r="C76" s="2" t="s">
        <v>32</v>
      </c>
      <c r="D76" s="6" t="s">
        <v>32</v>
      </c>
      <c r="E76" s="7">
        <v>2</v>
      </c>
      <c r="F76" s="7">
        <v>6600</v>
      </c>
      <c r="G76" s="7">
        <v>7392</v>
      </c>
      <c r="H76" s="4">
        <v>1320</v>
      </c>
      <c r="I76" s="5" t="s">
        <v>40</v>
      </c>
    </row>
    <row r="77" spans="1:9" ht="18" customHeight="1" x14ac:dyDescent="0.25">
      <c r="A77" s="2">
        <v>2020</v>
      </c>
      <c r="B77" s="2" t="s">
        <v>5</v>
      </c>
      <c r="C77" s="2" t="s">
        <v>14</v>
      </c>
      <c r="D77" s="3" t="s">
        <v>36</v>
      </c>
      <c r="E77" s="4">
        <v>3566</v>
      </c>
      <c r="F77" s="4">
        <v>4577.3</v>
      </c>
      <c r="G77" s="4">
        <v>5126.576</v>
      </c>
      <c r="H77" s="4">
        <v>915.46</v>
      </c>
      <c r="I77" s="5" t="s">
        <v>40</v>
      </c>
    </row>
    <row r="78" spans="1:9" ht="18" customHeight="1" x14ac:dyDescent="0.25">
      <c r="A78" s="2">
        <v>2020</v>
      </c>
      <c r="B78" s="2" t="s">
        <v>5</v>
      </c>
      <c r="C78" s="2" t="s">
        <v>14</v>
      </c>
      <c r="D78" s="3" t="s">
        <v>37</v>
      </c>
      <c r="E78" s="4">
        <v>2498</v>
      </c>
      <c r="F78" s="4">
        <v>8000</v>
      </c>
      <c r="G78" s="4">
        <v>8960</v>
      </c>
      <c r="H78" s="4">
        <v>1600</v>
      </c>
      <c r="I78" s="5" t="s">
        <v>40</v>
      </c>
    </row>
    <row r="79" spans="1:9" ht="18" customHeight="1" x14ac:dyDescent="0.25">
      <c r="A79" s="2">
        <v>2020</v>
      </c>
      <c r="B79" s="2" t="s">
        <v>5</v>
      </c>
      <c r="C79" s="2" t="s">
        <v>13</v>
      </c>
      <c r="D79" s="3" t="s">
        <v>35</v>
      </c>
      <c r="E79" s="4">
        <v>1245</v>
      </c>
      <c r="F79" s="4">
        <v>4577.2</v>
      </c>
      <c r="G79" s="4">
        <v>5126.4639999999999</v>
      </c>
      <c r="H79" s="4">
        <v>915.44</v>
      </c>
      <c r="I79" s="5" t="s">
        <v>40</v>
      </c>
    </row>
    <row r="80" spans="1:9" ht="18" customHeight="1" x14ac:dyDescent="0.25">
      <c r="A80" s="2">
        <v>2020</v>
      </c>
      <c r="B80" s="2" t="s">
        <v>5</v>
      </c>
      <c r="C80" s="2" t="s">
        <v>38</v>
      </c>
      <c r="D80" s="6" t="s">
        <v>30</v>
      </c>
      <c r="E80" s="7">
        <v>644</v>
      </c>
      <c r="F80" s="7">
        <v>5743.5</v>
      </c>
      <c r="G80" s="7">
        <v>6432.72</v>
      </c>
      <c r="H80" s="4">
        <v>1148.7</v>
      </c>
      <c r="I80" s="5" t="s">
        <v>40</v>
      </c>
    </row>
    <row r="81" spans="1:9" ht="18" customHeight="1" x14ac:dyDescent="0.25">
      <c r="A81" s="2">
        <v>2020</v>
      </c>
      <c r="B81" s="2" t="s">
        <v>5</v>
      </c>
      <c r="C81" s="2" t="s">
        <v>12</v>
      </c>
      <c r="D81" s="6" t="s">
        <v>29</v>
      </c>
      <c r="E81" s="7">
        <v>643</v>
      </c>
      <c r="F81" s="7">
        <v>7000</v>
      </c>
      <c r="G81" s="7">
        <v>7840</v>
      </c>
      <c r="H81" s="4">
        <v>1400</v>
      </c>
      <c r="I81" s="5" t="s">
        <v>40</v>
      </c>
    </row>
    <row r="82" spans="1:9" ht="18" customHeight="1" x14ac:dyDescent="0.25">
      <c r="A82" s="2">
        <v>2020</v>
      </c>
      <c r="B82" s="2" t="s">
        <v>5</v>
      </c>
      <c r="C82" s="2" t="s">
        <v>38</v>
      </c>
      <c r="D82" s="6" t="s">
        <v>31</v>
      </c>
      <c r="E82" s="7">
        <v>455</v>
      </c>
      <c r="F82" s="7">
        <v>4578.6000000000004</v>
      </c>
      <c r="G82" s="7">
        <v>5128.0320000000002</v>
      </c>
      <c r="H82" s="4">
        <v>915.72000000000014</v>
      </c>
      <c r="I82" s="5" t="s">
        <v>40</v>
      </c>
    </row>
    <row r="83" spans="1:9" ht="18" customHeight="1" x14ac:dyDescent="0.25">
      <c r="A83" s="2">
        <v>2020</v>
      </c>
      <c r="B83" s="2" t="s">
        <v>5</v>
      </c>
      <c r="C83" s="2" t="s">
        <v>12</v>
      </c>
      <c r="D83" s="6" t="s">
        <v>28</v>
      </c>
      <c r="E83" s="8">
        <v>345</v>
      </c>
      <c r="F83" s="8">
        <v>7000</v>
      </c>
      <c r="G83" s="8">
        <v>7840</v>
      </c>
      <c r="H83" s="4">
        <v>1400</v>
      </c>
      <c r="I83" s="5" t="s">
        <v>40</v>
      </c>
    </row>
    <row r="84" spans="1:9" ht="18" customHeight="1" x14ac:dyDescent="0.25">
      <c r="A84" s="2">
        <v>2020</v>
      </c>
      <c r="B84" s="2" t="s">
        <v>5</v>
      </c>
      <c r="C84" s="2" t="s">
        <v>13</v>
      </c>
      <c r="D84" s="3" t="s">
        <v>33</v>
      </c>
      <c r="E84" s="4">
        <v>122</v>
      </c>
      <c r="F84" s="4">
        <v>100</v>
      </c>
      <c r="G84" s="4">
        <v>112</v>
      </c>
      <c r="H84" s="4">
        <v>20</v>
      </c>
      <c r="I84" s="5" t="s">
        <v>40</v>
      </c>
    </row>
    <row r="85" spans="1:9" ht="18" customHeight="1" x14ac:dyDescent="0.25">
      <c r="A85" s="2">
        <v>2020</v>
      </c>
      <c r="B85" s="2" t="s">
        <v>5</v>
      </c>
      <c r="C85" s="2" t="s">
        <v>15</v>
      </c>
      <c r="D85" s="6" t="s">
        <v>26</v>
      </c>
      <c r="E85" s="7">
        <v>78</v>
      </c>
      <c r="F85" s="7">
        <v>4577.2</v>
      </c>
      <c r="G85" s="7">
        <v>5126.4639999999999</v>
      </c>
      <c r="H85" s="4">
        <v>915.44</v>
      </c>
      <c r="I85" s="5" t="s">
        <v>40</v>
      </c>
    </row>
    <row r="86" spans="1:9" ht="18" customHeight="1" x14ac:dyDescent="0.25">
      <c r="A86" s="2">
        <v>2020</v>
      </c>
      <c r="B86" s="2" t="s">
        <v>5</v>
      </c>
      <c r="C86" s="2" t="s">
        <v>15</v>
      </c>
      <c r="D86" s="6" t="s">
        <v>24</v>
      </c>
      <c r="E86" s="7">
        <v>76</v>
      </c>
      <c r="F86" s="7">
        <v>4576.8999999999996</v>
      </c>
      <c r="G86" s="7">
        <v>5126.1279999999997</v>
      </c>
      <c r="H86" s="4">
        <v>915.38</v>
      </c>
      <c r="I86" s="5" t="s">
        <v>40</v>
      </c>
    </row>
    <row r="87" spans="1:9" ht="18" customHeight="1" x14ac:dyDescent="0.25">
      <c r="A87" s="2">
        <v>2020</v>
      </c>
      <c r="B87" s="2" t="s">
        <v>5</v>
      </c>
      <c r="C87" s="2" t="s">
        <v>15</v>
      </c>
      <c r="D87" s="6" t="s">
        <v>25</v>
      </c>
      <c r="E87" s="7">
        <v>46</v>
      </c>
      <c r="F87" s="7">
        <v>200</v>
      </c>
      <c r="G87" s="7">
        <v>224</v>
      </c>
      <c r="H87" s="4">
        <v>40</v>
      </c>
      <c r="I87" s="5" t="s">
        <v>40</v>
      </c>
    </row>
    <row r="88" spans="1:9" ht="18" customHeight="1" x14ac:dyDescent="0.25">
      <c r="A88" s="2">
        <v>2020</v>
      </c>
      <c r="B88" s="2" t="s">
        <v>5</v>
      </c>
      <c r="C88" s="2" t="s">
        <v>15</v>
      </c>
      <c r="D88" s="6" t="s">
        <v>23</v>
      </c>
      <c r="E88" s="7">
        <v>34</v>
      </c>
      <c r="F88" s="7">
        <v>4576.8</v>
      </c>
      <c r="G88" s="7">
        <v>5126.0160000000005</v>
      </c>
      <c r="H88" s="4">
        <v>915.36000000000013</v>
      </c>
      <c r="I88" s="5" t="s">
        <v>40</v>
      </c>
    </row>
    <row r="89" spans="1:9" ht="18" customHeight="1" x14ac:dyDescent="0.25">
      <c r="A89" s="2">
        <v>2020</v>
      </c>
      <c r="B89" s="2" t="s">
        <v>5</v>
      </c>
      <c r="C89" s="2" t="s">
        <v>13</v>
      </c>
      <c r="D89" s="3" t="s">
        <v>34</v>
      </c>
      <c r="E89" s="4">
        <v>7</v>
      </c>
      <c r="F89" s="4">
        <v>200</v>
      </c>
      <c r="G89" s="4">
        <v>224</v>
      </c>
      <c r="H89" s="4">
        <v>40</v>
      </c>
      <c r="I89" s="5" t="s">
        <v>40</v>
      </c>
    </row>
    <row r="90" spans="1:9" ht="18" customHeight="1" x14ac:dyDescent="0.25">
      <c r="A90" s="2">
        <v>2020</v>
      </c>
      <c r="B90" s="2" t="s">
        <v>5</v>
      </c>
      <c r="C90" s="2" t="s">
        <v>32</v>
      </c>
      <c r="D90" s="6" t="s">
        <v>32</v>
      </c>
      <c r="E90" s="7">
        <v>3</v>
      </c>
      <c r="F90" s="7">
        <v>6600</v>
      </c>
      <c r="G90" s="7">
        <v>7392</v>
      </c>
      <c r="H90" s="4">
        <v>1320</v>
      </c>
      <c r="I90" s="5" t="s">
        <v>40</v>
      </c>
    </row>
    <row r="91" spans="1:9" ht="18" customHeight="1" x14ac:dyDescent="0.25">
      <c r="A91" s="2">
        <v>2020</v>
      </c>
      <c r="B91" s="2" t="s">
        <v>5</v>
      </c>
      <c r="C91" s="2" t="s">
        <v>15</v>
      </c>
      <c r="D91" s="6" t="s">
        <v>27</v>
      </c>
      <c r="E91" s="7">
        <v>3</v>
      </c>
      <c r="F91" s="7">
        <v>4577.3</v>
      </c>
      <c r="G91" s="7">
        <v>5126.576</v>
      </c>
      <c r="H91" s="4">
        <v>915.46</v>
      </c>
      <c r="I91" s="5" t="s">
        <v>40</v>
      </c>
    </row>
    <row r="92" spans="1:9" ht="18" customHeight="1" x14ac:dyDescent="0.25">
      <c r="A92" s="2">
        <v>2020</v>
      </c>
      <c r="B92" s="2" t="s">
        <v>6</v>
      </c>
      <c r="C92" s="2" t="s">
        <v>14</v>
      </c>
      <c r="D92" s="3" t="s">
        <v>36</v>
      </c>
      <c r="E92" s="4">
        <v>3566</v>
      </c>
      <c r="F92" s="4">
        <v>4577.3</v>
      </c>
      <c r="G92" s="4">
        <v>5126.576</v>
      </c>
      <c r="H92" s="4">
        <v>915.46</v>
      </c>
      <c r="I92" s="5" t="s">
        <v>40</v>
      </c>
    </row>
    <row r="93" spans="1:9" ht="18" customHeight="1" x14ac:dyDescent="0.25">
      <c r="A93" s="2">
        <v>2020</v>
      </c>
      <c r="B93" s="2" t="s">
        <v>6</v>
      </c>
      <c r="C93" s="2" t="s">
        <v>14</v>
      </c>
      <c r="D93" s="3" t="s">
        <v>37</v>
      </c>
      <c r="E93" s="4">
        <v>2498</v>
      </c>
      <c r="F93" s="4">
        <v>8000</v>
      </c>
      <c r="G93" s="4">
        <v>8960</v>
      </c>
      <c r="H93" s="4">
        <v>1600</v>
      </c>
      <c r="I93" s="5" t="s">
        <v>40</v>
      </c>
    </row>
    <row r="94" spans="1:9" ht="18" customHeight="1" x14ac:dyDescent="0.25">
      <c r="A94" s="2">
        <v>2020</v>
      </c>
      <c r="B94" s="2" t="s">
        <v>6</v>
      </c>
      <c r="C94" s="2" t="s">
        <v>13</v>
      </c>
      <c r="D94" s="3" t="s">
        <v>35</v>
      </c>
      <c r="E94" s="4">
        <v>1245</v>
      </c>
      <c r="F94" s="4">
        <v>4577.2</v>
      </c>
      <c r="G94" s="4">
        <v>5126.4639999999999</v>
      </c>
      <c r="H94" s="4">
        <v>915.44</v>
      </c>
      <c r="I94" s="5" t="s">
        <v>40</v>
      </c>
    </row>
    <row r="95" spans="1:9" ht="18" customHeight="1" x14ac:dyDescent="0.25">
      <c r="A95" s="2">
        <v>2020</v>
      </c>
      <c r="B95" s="2" t="s">
        <v>6</v>
      </c>
      <c r="C95" s="2" t="s">
        <v>38</v>
      </c>
      <c r="D95" s="6" t="s">
        <v>30</v>
      </c>
      <c r="E95" s="7">
        <v>644</v>
      </c>
      <c r="F95" s="7">
        <v>5743.5</v>
      </c>
      <c r="G95" s="7">
        <v>6432.72</v>
      </c>
      <c r="H95" s="4">
        <v>1148.7</v>
      </c>
      <c r="I95" s="5" t="s">
        <v>40</v>
      </c>
    </row>
    <row r="96" spans="1:9" ht="18" customHeight="1" x14ac:dyDescent="0.25">
      <c r="A96" s="2">
        <v>2020</v>
      </c>
      <c r="B96" s="2" t="s">
        <v>6</v>
      </c>
      <c r="C96" s="2" t="s">
        <v>12</v>
      </c>
      <c r="D96" s="6" t="s">
        <v>29</v>
      </c>
      <c r="E96" s="7">
        <v>643</v>
      </c>
      <c r="F96" s="7">
        <v>7000</v>
      </c>
      <c r="G96" s="7">
        <v>7840</v>
      </c>
      <c r="H96" s="4">
        <v>1400</v>
      </c>
      <c r="I96" s="5" t="s">
        <v>40</v>
      </c>
    </row>
    <row r="97" spans="1:9" ht="18" customHeight="1" x14ac:dyDescent="0.25">
      <c r="A97" s="2">
        <v>2020</v>
      </c>
      <c r="B97" s="2" t="s">
        <v>6</v>
      </c>
      <c r="C97" s="2" t="s">
        <v>38</v>
      </c>
      <c r="D97" s="6" t="s">
        <v>31</v>
      </c>
      <c r="E97" s="7">
        <v>455</v>
      </c>
      <c r="F97" s="7">
        <v>4578.6000000000004</v>
      </c>
      <c r="G97" s="7">
        <v>5128.0320000000002</v>
      </c>
      <c r="H97" s="4">
        <v>915.72000000000014</v>
      </c>
      <c r="I97" s="5" t="s">
        <v>40</v>
      </c>
    </row>
    <row r="98" spans="1:9" ht="18" customHeight="1" x14ac:dyDescent="0.25">
      <c r="A98" s="2">
        <v>2020</v>
      </c>
      <c r="B98" s="2" t="s">
        <v>6</v>
      </c>
      <c r="C98" s="2" t="s">
        <v>12</v>
      </c>
      <c r="D98" s="6" t="s">
        <v>28</v>
      </c>
      <c r="E98" s="8">
        <v>345</v>
      </c>
      <c r="F98" s="8">
        <v>7000</v>
      </c>
      <c r="G98" s="8">
        <v>7840</v>
      </c>
      <c r="H98" s="4">
        <v>1400</v>
      </c>
      <c r="I98" s="5" t="s">
        <v>40</v>
      </c>
    </row>
    <row r="99" spans="1:9" ht="18" customHeight="1" x14ac:dyDescent="0.25">
      <c r="A99" s="2">
        <v>2020</v>
      </c>
      <c r="B99" s="2" t="s">
        <v>6</v>
      </c>
      <c r="C99" s="2" t="s">
        <v>13</v>
      </c>
      <c r="D99" s="3" t="s">
        <v>33</v>
      </c>
      <c r="E99" s="4">
        <v>122</v>
      </c>
      <c r="F99" s="4">
        <v>100</v>
      </c>
      <c r="G99" s="4">
        <v>112</v>
      </c>
      <c r="H99" s="4">
        <v>20</v>
      </c>
      <c r="I99" s="5" t="s">
        <v>40</v>
      </c>
    </row>
    <row r="100" spans="1:9" ht="18" customHeight="1" x14ac:dyDescent="0.25">
      <c r="A100" s="2">
        <v>2020</v>
      </c>
      <c r="B100" s="2" t="s">
        <v>6</v>
      </c>
      <c r="C100" s="2" t="s">
        <v>15</v>
      </c>
      <c r="D100" s="6" t="s">
        <v>26</v>
      </c>
      <c r="E100" s="7">
        <v>78</v>
      </c>
      <c r="F100" s="7">
        <v>4577.2</v>
      </c>
      <c r="G100" s="7">
        <v>5126.4639999999999</v>
      </c>
      <c r="H100" s="4">
        <v>915.44</v>
      </c>
      <c r="I100" s="5" t="s">
        <v>40</v>
      </c>
    </row>
    <row r="101" spans="1:9" ht="18" customHeight="1" x14ac:dyDescent="0.25">
      <c r="A101" s="2">
        <v>2020</v>
      </c>
      <c r="B101" s="2" t="s">
        <v>6</v>
      </c>
      <c r="C101" s="2" t="s">
        <v>15</v>
      </c>
      <c r="D101" s="6" t="s">
        <v>24</v>
      </c>
      <c r="E101" s="7">
        <v>76</v>
      </c>
      <c r="F101" s="7">
        <v>4576.8999999999996</v>
      </c>
      <c r="G101" s="7">
        <v>5126.1279999999997</v>
      </c>
      <c r="H101" s="4">
        <v>915.38</v>
      </c>
      <c r="I101" s="5" t="s">
        <v>40</v>
      </c>
    </row>
    <row r="102" spans="1:9" ht="18" customHeight="1" x14ac:dyDescent="0.25">
      <c r="A102" s="2">
        <v>2020</v>
      </c>
      <c r="B102" s="2" t="s">
        <v>6</v>
      </c>
      <c r="C102" s="2" t="s">
        <v>15</v>
      </c>
      <c r="D102" s="6" t="s">
        <v>25</v>
      </c>
      <c r="E102" s="7">
        <v>46</v>
      </c>
      <c r="F102" s="7">
        <v>200</v>
      </c>
      <c r="G102" s="7">
        <v>224</v>
      </c>
      <c r="H102" s="4">
        <v>40</v>
      </c>
      <c r="I102" s="5" t="s">
        <v>40</v>
      </c>
    </row>
    <row r="103" spans="1:9" ht="18" customHeight="1" x14ac:dyDescent="0.25">
      <c r="A103" s="2">
        <v>2020</v>
      </c>
      <c r="B103" s="2" t="s">
        <v>6</v>
      </c>
      <c r="C103" s="2" t="s">
        <v>15</v>
      </c>
      <c r="D103" s="6" t="s">
        <v>23</v>
      </c>
      <c r="E103" s="7">
        <v>34</v>
      </c>
      <c r="F103" s="7">
        <v>4576.8</v>
      </c>
      <c r="G103" s="7">
        <v>5126.0160000000005</v>
      </c>
      <c r="H103" s="4">
        <v>915.36000000000013</v>
      </c>
      <c r="I103" s="5" t="s">
        <v>40</v>
      </c>
    </row>
    <row r="104" spans="1:9" ht="18" customHeight="1" x14ac:dyDescent="0.25">
      <c r="A104" s="2">
        <v>2020</v>
      </c>
      <c r="B104" s="2" t="s">
        <v>6</v>
      </c>
      <c r="C104" s="2" t="s">
        <v>13</v>
      </c>
      <c r="D104" s="3" t="s">
        <v>34</v>
      </c>
      <c r="E104" s="4">
        <v>7</v>
      </c>
      <c r="F104" s="4">
        <v>200</v>
      </c>
      <c r="G104" s="4">
        <v>224</v>
      </c>
      <c r="H104" s="4">
        <v>40</v>
      </c>
      <c r="I104" s="5" t="s">
        <v>40</v>
      </c>
    </row>
    <row r="105" spans="1:9" ht="18" customHeight="1" x14ac:dyDescent="0.25">
      <c r="A105" s="2">
        <v>2020</v>
      </c>
      <c r="B105" s="2" t="s">
        <v>6</v>
      </c>
      <c r="C105" s="2" t="s">
        <v>15</v>
      </c>
      <c r="D105" s="6" t="s">
        <v>27</v>
      </c>
      <c r="E105" s="7">
        <v>3</v>
      </c>
      <c r="F105" s="7">
        <v>4577.3</v>
      </c>
      <c r="G105" s="7">
        <v>5126.576</v>
      </c>
      <c r="H105" s="4">
        <v>915.46</v>
      </c>
      <c r="I105" s="5" t="s">
        <v>40</v>
      </c>
    </row>
    <row r="106" spans="1:9" ht="18" customHeight="1" x14ac:dyDescent="0.25">
      <c r="A106" s="2">
        <v>2020</v>
      </c>
      <c r="B106" s="2" t="s">
        <v>6</v>
      </c>
      <c r="C106" s="2" t="s">
        <v>32</v>
      </c>
      <c r="D106" s="6" t="s">
        <v>32</v>
      </c>
      <c r="E106" s="7">
        <v>2</v>
      </c>
      <c r="F106" s="7">
        <v>6600</v>
      </c>
      <c r="G106" s="7">
        <v>7392</v>
      </c>
      <c r="H106" s="4">
        <v>1320</v>
      </c>
      <c r="I106" s="5" t="s">
        <v>40</v>
      </c>
    </row>
    <row r="107" spans="1:9" ht="18" customHeight="1" x14ac:dyDescent="0.25">
      <c r="A107" s="2">
        <v>2020</v>
      </c>
      <c r="B107" s="2" t="s">
        <v>7</v>
      </c>
      <c r="C107" s="2" t="s">
        <v>14</v>
      </c>
      <c r="D107" s="3" t="s">
        <v>36</v>
      </c>
      <c r="E107" s="4">
        <v>3566</v>
      </c>
      <c r="F107" s="4">
        <v>4577.3</v>
      </c>
      <c r="G107" s="4">
        <v>5126.576</v>
      </c>
      <c r="H107" s="4">
        <v>915.46</v>
      </c>
      <c r="I107" s="5" t="s">
        <v>40</v>
      </c>
    </row>
    <row r="108" spans="1:9" ht="18" customHeight="1" x14ac:dyDescent="0.25">
      <c r="A108" s="2">
        <v>2020</v>
      </c>
      <c r="B108" s="2" t="s">
        <v>7</v>
      </c>
      <c r="C108" s="2" t="s">
        <v>14</v>
      </c>
      <c r="D108" s="3" t="s">
        <v>37</v>
      </c>
      <c r="E108" s="4">
        <v>2498</v>
      </c>
      <c r="F108" s="4">
        <v>8000</v>
      </c>
      <c r="G108" s="4">
        <v>8960</v>
      </c>
      <c r="H108" s="4">
        <v>1600</v>
      </c>
      <c r="I108" s="5" t="s">
        <v>42</v>
      </c>
    </row>
    <row r="109" spans="1:9" ht="18" customHeight="1" x14ac:dyDescent="0.25">
      <c r="A109" s="2">
        <v>2020</v>
      </c>
      <c r="B109" s="2" t="s">
        <v>7</v>
      </c>
      <c r="C109" s="2" t="s">
        <v>13</v>
      </c>
      <c r="D109" s="3" t="s">
        <v>35</v>
      </c>
      <c r="E109" s="4">
        <v>1245</v>
      </c>
      <c r="F109" s="4">
        <v>4577.2</v>
      </c>
      <c r="G109" s="4">
        <v>5126.4639999999999</v>
      </c>
      <c r="H109" s="4">
        <v>915.44</v>
      </c>
      <c r="I109" s="5" t="s">
        <v>42</v>
      </c>
    </row>
    <row r="110" spans="1:9" ht="18" customHeight="1" x14ac:dyDescent="0.25">
      <c r="A110" s="2">
        <v>2020</v>
      </c>
      <c r="B110" s="2" t="s">
        <v>7</v>
      </c>
      <c r="C110" s="2" t="s">
        <v>38</v>
      </c>
      <c r="D110" s="6" t="s">
        <v>30</v>
      </c>
      <c r="E110" s="7">
        <v>644</v>
      </c>
      <c r="F110" s="7">
        <v>5743.5</v>
      </c>
      <c r="G110" s="7">
        <v>6432.72</v>
      </c>
      <c r="H110" s="4">
        <v>1148.7</v>
      </c>
      <c r="I110" s="5" t="s">
        <v>42</v>
      </c>
    </row>
    <row r="111" spans="1:9" ht="18" customHeight="1" x14ac:dyDescent="0.25">
      <c r="A111" s="2">
        <v>2020</v>
      </c>
      <c r="B111" s="2" t="s">
        <v>7</v>
      </c>
      <c r="C111" s="2" t="s">
        <v>12</v>
      </c>
      <c r="D111" s="6" t="s">
        <v>29</v>
      </c>
      <c r="E111" s="7">
        <v>643</v>
      </c>
      <c r="F111" s="7">
        <v>7000</v>
      </c>
      <c r="G111" s="7">
        <v>7840</v>
      </c>
      <c r="H111" s="4">
        <v>1400</v>
      </c>
      <c r="I111" s="5" t="s">
        <v>42</v>
      </c>
    </row>
    <row r="112" spans="1:9" ht="18" customHeight="1" x14ac:dyDescent="0.25">
      <c r="A112" s="2">
        <v>2020</v>
      </c>
      <c r="B112" s="2" t="s">
        <v>7</v>
      </c>
      <c r="C112" s="2" t="s">
        <v>38</v>
      </c>
      <c r="D112" s="6" t="s">
        <v>31</v>
      </c>
      <c r="E112" s="7">
        <v>455</v>
      </c>
      <c r="F112" s="7">
        <v>4578.6000000000004</v>
      </c>
      <c r="G112" s="7">
        <v>5128.0320000000002</v>
      </c>
      <c r="H112" s="4">
        <v>915.72000000000014</v>
      </c>
      <c r="I112" s="5" t="s">
        <v>42</v>
      </c>
    </row>
    <row r="113" spans="1:9" ht="18" customHeight="1" x14ac:dyDescent="0.25">
      <c r="A113" s="2">
        <v>2020</v>
      </c>
      <c r="B113" s="2" t="s">
        <v>7</v>
      </c>
      <c r="C113" s="2" t="s">
        <v>12</v>
      </c>
      <c r="D113" s="6" t="s">
        <v>28</v>
      </c>
      <c r="E113" s="8">
        <v>345</v>
      </c>
      <c r="F113" s="8">
        <v>7000</v>
      </c>
      <c r="G113" s="8">
        <v>7840</v>
      </c>
      <c r="H113" s="4">
        <v>1400</v>
      </c>
      <c r="I113" s="5" t="s">
        <v>42</v>
      </c>
    </row>
    <row r="114" spans="1:9" ht="18" customHeight="1" x14ac:dyDescent="0.25">
      <c r="A114" s="2">
        <v>2020</v>
      </c>
      <c r="B114" s="2" t="s">
        <v>7</v>
      </c>
      <c r="C114" s="2" t="s">
        <v>13</v>
      </c>
      <c r="D114" s="3" t="s">
        <v>33</v>
      </c>
      <c r="E114" s="4">
        <v>122</v>
      </c>
      <c r="F114" s="4">
        <v>100</v>
      </c>
      <c r="G114" s="4">
        <v>112</v>
      </c>
      <c r="H114" s="4">
        <v>20</v>
      </c>
      <c r="I114" s="5" t="s">
        <v>42</v>
      </c>
    </row>
    <row r="115" spans="1:9" ht="18" customHeight="1" x14ac:dyDescent="0.25">
      <c r="A115" s="2">
        <v>2020</v>
      </c>
      <c r="B115" s="2" t="s">
        <v>7</v>
      </c>
      <c r="C115" s="2" t="s">
        <v>15</v>
      </c>
      <c r="D115" s="6" t="s">
        <v>26</v>
      </c>
      <c r="E115" s="7">
        <v>78</v>
      </c>
      <c r="F115" s="7">
        <v>4577.2</v>
      </c>
      <c r="G115" s="7">
        <v>5126.4639999999999</v>
      </c>
      <c r="H115" s="4">
        <v>915.44</v>
      </c>
      <c r="I115" s="5" t="s">
        <v>42</v>
      </c>
    </row>
    <row r="116" spans="1:9" ht="18" customHeight="1" x14ac:dyDescent="0.25">
      <c r="A116" s="2">
        <v>2020</v>
      </c>
      <c r="B116" s="2" t="s">
        <v>7</v>
      </c>
      <c r="C116" s="2" t="s">
        <v>15</v>
      </c>
      <c r="D116" s="6" t="s">
        <v>24</v>
      </c>
      <c r="E116" s="7">
        <v>76</v>
      </c>
      <c r="F116" s="7">
        <v>4576.8999999999996</v>
      </c>
      <c r="G116" s="7">
        <v>5126.1279999999997</v>
      </c>
      <c r="H116" s="4">
        <v>915.38</v>
      </c>
      <c r="I116" s="5" t="s">
        <v>42</v>
      </c>
    </row>
    <row r="117" spans="1:9" ht="18" customHeight="1" x14ac:dyDescent="0.25">
      <c r="A117" s="2">
        <v>2020</v>
      </c>
      <c r="B117" s="2" t="s">
        <v>7</v>
      </c>
      <c r="C117" s="2" t="s">
        <v>15</v>
      </c>
      <c r="D117" s="6" t="s">
        <v>25</v>
      </c>
      <c r="E117" s="7">
        <v>46</v>
      </c>
      <c r="F117" s="7">
        <v>200</v>
      </c>
      <c r="G117" s="7">
        <v>224</v>
      </c>
      <c r="H117" s="4">
        <v>40</v>
      </c>
      <c r="I117" s="5" t="s">
        <v>42</v>
      </c>
    </row>
    <row r="118" spans="1:9" ht="18" customHeight="1" x14ac:dyDescent="0.25">
      <c r="A118" s="2">
        <v>2020</v>
      </c>
      <c r="B118" s="2" t="s">
        <v>7</v>
      </c>
      <c r="C118" s="2" t="s">
        <v>15</v>
      </c>
      <c r="D118" s="6" t="s">
        <v>23</v>
      </c>
      <c r="E118" s="7">
        <v>34</v>
      </c>
      <c r="F118" s="7">
        <v>4576.8</v>
      </c>
      <c r="G118" s="7">
        <v>5126.0160000000005</v>
      </c>
      <c r="H118" s="4">
        <v>915.36000000000013</v>
      </c>
      <c r="I118" s="5" t="s">
        <v>42</v>
      </c>
    </row>
    <row r="119" spans="1:9" ht="18" customHeight="1" x14ac:dyDescent="0.25">
      <c r="A119" s="2">
        <v>2020</v>
      </c>
      <c r="B119" s="2" t="s">
        <v>7</v>
      </c>
      <c r="C119" s="2" t="s">
        <v>13</v>
      </c>
      <c r="D119" s="3" t="s">
        <v>34</v>
      </c>
      <c r="E119" s="4">
        <v>7</v>
      </c>
      <c r="F119" s="4">
        <v>200</v>
      </c>
      <c r="G119" s="4">
        <v>224</v>
      </c>
      <c r="H119" s="4">
        <v>40</v>
      </c>
      <c r="I119" s="5" t="s">
        <v>42</v>
      </c>
    </row>
    <row r="120" spans="1:9" ht="18" customHeight="1" x14ac:dyDescent="0.25">
      <c r="A120" s="2">
        <v>2020</v>
      </c>
      <c r="B120" s="2" t="s">
        <v>7</v>
      </c>
      <c r="C120" s="2" t="s">
        <v>15</v>
      </c>
      <c r="D120" s="6" t="s">
        <v>27</v>
      </c>
      <c r="E120" s="7">
        <v>3</v>
      </c>
      <c r="F120" s="7">
        <v>4577.3</v>
      </c>
      <c r="G120" s="7">
        <v>5126.576</v>
      </c>
      <c r="H120" s="4">
        <v>915.46</v>
      </c>
      <c r="I120" s="5" t="s">
        <v>42</v>
      </c>
    </row>
    <row r="121" spans="1:9" ht="18" customHeight="1" x14ac:dyDescent="0.25">
      <c r="A121" s="2">
        <v>2020</v>
      </c>
      <c r="B121" s="2" t="s">
        <v>7</v>
      </c>
      <c r="C121" s="2" t="s">
        <v>32</v>
      </c>
      <c r="D121" s="6" t="s">
        <v>32</v>
      </c>
      <c r="E121" s="7">
        <v>2</v>
      </c>
      <c r="F121" s="7">
        <v>6600</v>
      </c>
      <c r="G121" s="7">
        <v>7392</v>
      </c>
      <c r="H121" s="4">
        <v>1320</v>
      </c>
      <c r="I121" s="5" t="s">
        <v>42</v>
      </c>
    </row>
    <row r="122" spans="1:9" ht="18" customHeight="1" x14ac:dyDescent="0.25">
      <c r="A122" s="2">
        <v>2020</v>
      </c>
      <c r="B122" s="2" t="s">
        <v>8</v>
      </c>
      <c r="C122" s="2" t="s">
        <v>14</v>
      </c>
      <c r="D122" s="3" t="s">
        <v>36</v>
      </c>
      <c r="E122" s="4">
        <v>3566</v>
      </c>
      <c r="F122" s="4">
        <v>4577.3</v>
      </c>
      <c r="G122" s="4">
        <v>5126.576</v>
      </c>
      <c r="H122" s="4">
        <v>915.46</v>
      </c>
      <c r="I122" s="5" t="s">
        <v>42</v>
      </c>
    </row>
    <row r="123" spans="1:9" ht="18" customHeight="1" x14ac:dyDescent="0.25">
      <c r="A123" s="2">
        <v>2020</v>
      </c>
      <c r="B123" s="2" t="s">
        <v>8</v>
      </c>
      <c r="C123" s="2" t="s">
        <v>14</v>
      </c>
      <c r="D123" s="3" t="s">
        <v>37</v>
      </c>
      <c r="E123" s="4">
        <v>2498</v>
      </c>
      <c r="F123" s="4">
        <v>8000</v>
      </c>
      <c r="G123" s="4">
        <v>8960</v>
      </c>
      <c r="H123" s="4">
        <v>1600</v>
      </c>
      <c r="I123" s="5" t="s">
        <v>42</v>
      </c>
    </row>
    <row r="124" spans="1:9" ht="18" customHeight="1" x14ac:dyDescent="0.25">
      <c r="A124" s="2">
        <v>2020</v>
      </c>
      <c r="B124" s="2" t="s">
        <v>8</v>
      </c>
      <c r="C124" s="2" t="s">
        <v>13</v>
      </c>
      <c r="D124" s="3" t="s">
        <v>35</v>
      </c>
      <c r="E124" s="4">
        <v>1245</v>
      </c>
      <c r="F124" s="4">
        <v>4577.2</v>
      </c>
      <c r="G124" s="4">
        <v>5126.4639999999999</v>
      </c>
      <c r="H124" s="4">
        <v>915.44</v>
      </c>
      <c r="I124" s="5" t="s">
        <v>42</v>
      </c>
    </row>
    <row r="125" spans="1:9" ht="18" customHeight="1" x14ac:dyDescent="0.25">
      <c r="A125" s="2">
        <v>2020</v>
      </c>
      <c r="B125" s="2" t="s">
        <v>8</v>
      </c>
      <c r="C125" s="2" t="s">
        <v>38</v>
      </c>
      <c r="D125" s="6" t="s">
        <v>30</v>
      </c>
      <c r="E125" s="7">
        <v>644</v>
      </c>
      <c r="F125" s="7">
        <v>5743.5</v>
      </c>
      <c r="G125" s="7">
        <v>6432.72</v>
      </c>
      <c r="H125" s="4">
        <v>1148.7</v>
      </c>
      <c r="I125" s="5" t="s">
        <v>42</v>
      </c>
    </row>
    <row r="126" spans="1:9" ht="18" customHeight="1" x14ac:dyDescent="0.25">
      <c r="A126" s="2">
        <v>2020</v>
      </c>
      <c r="B126" s="2" t="s">
        <v>8</v>
      </c>
      <c r="C126" s="2" t="s">
        <v>12</v>
      </c>
      <c r="D126" s="6" t="s">
        <v>29</v>
      </c>
      <c r="E126" s="7">
        <v>643</v>
      </c>
      <c r="F126" s="7">
        <v>7000</v>
      </c>
      <c r="G126" s="7">
        <v>7840</v>
      </c>
      <c r="H126" s="4">
        <v>1400</v>
      </c>
      <c r="I126" s="5" t="s">
        <v>42</v>
      </c>
    </row>
    <row r="127" spans="1:9" ht="18" customHeight="1" x14ac:dyDescent="0.25">
      <c r="A127" s="2">
        <v>2020</v>
      </c>
      <c r="B127" s="2" t="s">
        <v>8</v>
      </c>
      <c r="C127" s="2" t="s">
        <v>38</v>
      </c>
      <c r="D127" s="6" t="s">
        <v>31</v>
      </c>
      <c r="E127" s="7">
        <v>455</v>
      </c>
      <c r="F127" s="7">
        <v>4578.6000000000004</v>
      </c>
      <c r="G127" s="7">
        <v>5128.0320000000002</v>
      </c>
      <c r="H127" s="4">
        <v>915.72000000000014</v>
      </c>
      <c r="I127" s="5" t="s">
        <v>42</v>
      </c>
    </row>
    <row r="128" spans="1:9" ht="18" customHeight="1" x14ac:dyDescent="0.25">
      <c r="A128" s="2">
        <v>2020</v>
      </c>
      <c r="B128" s="2" t="s">
        <v>8</v>
      </c>
      <c r="C128" s="2" t="s">
        <v>12</v>
      </c>
      <c r="D128" s="6" t="s">
        <v>28</v>
      </c>
      <c r="E128" s="8">
        <v>345</v>
      </c>
      <c r="F128" s="8">
        <v>7000</v>
      </c>
      <c r="G128" s="8">
        <v>7840</v>
      </c>
      <c r="H128" s="4">
        <v>1400</v>
      </c>
      <c r="I128" s="5" t="s">
        <v>42</v>
      </c>
    </row>
    <row r="129" spans="1:9" ht="18" customHeight="1" x14ac:dyDescent="0.25">
      <c r="A129" s="2">
        <v>2020</v>
      </c>
      <c r="B129" s="2" t="s">
        <v>8</v>
      </c>
      <c r="C129" s="2" t="s">
        <v>13</v>
      </c>
      <c r="D129" s="3" t="s">
        <v>33</v>
      </c>
      <c r="E129" s="4">
        <v>122</v>
      </c>
      <c r="F129" s="4">
        <v>100</v>
      </c>
      <c r="G129" s="4">
        <v>112</v>
      </c>
      <c r="H129" s="4">
        <v>20</v>
      </c>
      <c r="I129" s="5" t="s">
        <v>42</v>
      </c>
    </row>
    <row r="130" spans="1:9" ht="18" customHeight="1" x14ac:dyDescent="0.25">
      <c r="A130" s="2">
        <v>2020</v>
      </c>
      <c r="B130" s="2" t="s">
        <v>8</v>
      </c>
      <c r="C130" s="2" t="s">
        <v>15</v>
      </c>
      <c r="D130" s="6" t="s">
        <v>26</v>
      </c>
      <c r="E130" s="7">
        <v>78</v>
      </c>
      <c r="F130" s="7">
        <v>4577.2</v>
      </c>
      <c r="G130" s="7">
        <v>5126.4639999999999</v>
      </c>
      <c r="H130" s="4">
        <v>915.44</v>
      </c>
      <c r="I130" s="5" t="s">
        <v>42</v>
      </c>
    </row>
    <row r="131" spans="1:9" ht="18" customHeight="1" x14ac:dyDescent="0.25">
      <c r="A131" s="2">
        <v>2020</v>
      </c>
      <c r="B131" s="2" t="s">
        <v>8</v>
      </c>
      <c r="C131" s="2" t="s">
        <v>15</v>
      </c>
      <c r="D131" s="6" t="s">
        <v>24</v>
      </c>
      <c r="E131" s="7">
        <v>76</v>
      </c>
      <c r="F131" s="7">
        <v>4576.8999999999996</v>
      </c>
      <c r="G131" s="7">
        <v>5126.1279999999997</v>
      </c>
      <c r="H131" s="4">
        <v>915.38</v>
      </c>
      <c r="I131" s="5" t="s">
        <v>42</v>
      </c>
    </row>
    <row r="132" spans="1:9" ht="18" customHeight="1" x14ac:dyDescent="0.25">
      <c r="A132" s="2">
        <v>2020</v>
      </c>
      <c r="B132" s="2" t="s">
        <v>8</v>
      </c>
      <c r="C132" s="2" t="s">
        <v>15</v>
      </c>
      <c r="D132" s="6" t="s">
        <v>25</v>
      </c>
      <c r="E132" s="7">
        <v>46</v>
      </c>
      <c r="F132" s="7">
        <v>200</v>
      </c>
      <c r="G132" s="7">
        <v>224</v>
      </c>
      <c r="H132" s="4">
        <v>40</v>
      </c>
      <c r="I132" s="5" t="s">
        <v>42</v>
      </c>
    </row>
    <row r="133" spans="1:9" ht="18" customHeight="1" x14ac:dyDescent="0.25">
      <c r="A133" s="2">
        <v>2020</v>
      </c>
      <c r="B133" s="2" t="s">
        <v>8</v>
      </c>
      <c r="C133" s="2" t="s">
        <v>15</v>
      </c>
      <c r="D133" s="6" t="s">
        <v>23</v>
      </c>
      <c r="E133" s="7">
        <v>34</v>
      </c>
      <c r="F133" s="7">
        <v>4576.8</v>
      </c>
      <c r="G133" s="7">
        <v>5126.0160000000005</v>
      </c>
      <c r="H133" s="4">
        <v>915.36000000000013</v>
      </c>
      <c r="I133" s="5" t="s">
        <v>40</v>
      </c>
    </row>
    <row r="134" spans="1:9" ht="18" customHeight="1" x14ac:dyDescent="0.25">
      <c r="A134" s="2">
        <v>2020</v>
      </c>
      <c r="B134" s="2" t="s">
        <v>8</v>
      </c>
      <c r="C134" s="2" t="s">
        <v>13</v>
      </c>
      <c r="D134" s="3" t="s">
        <v>34</v>
      </c>
      <c r="E134" s="4">
        <v>7</v>
      </c>
      <c r="F134" s="4">
        <v>200</v>
      </c>
      <c r="G134" s="4">
        <v>224</v>
      </c>
      <c r="H134" s="4">
        <v>40</v>
      </c>
      <c r="I134" s="5" t="s">
        <v>40</v>
      </c>
    </row>
    <row r="135" spans="1:9" ht="18" customHeight="1" x14ac:dyDescent="0.25">
      <c r="A135" s="2">
        <v>2020</v>
      </c>
      <c r="B135" s="2" t="s">
        <v>8</v>
      </c>
      <c r="C135" s="2" t="s">
        <v>15</v>
      </c>
      <c r="D135" s="6" t="s">
        <v>27</v>
      </c>
      <c r="E135" s="7">
        <v>3</v>
      </c>
      <c r="F135" s="7">
        <v>4577.3</v>
      </c>
      <c r="G135" s="7">
        <v>5126.576</v>
      </c>
      <c r="H135" s="4">
        <v>915.46</v>
      </c>
      <c r="I135" s="5" t="s">
        <v>40</v>
      </c>
    </row>
    <row r="136" spans="1:9" ht="18" customHeight="1" x14ac:dyDescent="0.25">
      <c r="A136" s="2">
        <v>2020</v>
      </c>
      <c r="B136" s="2" t="s">
        <v>8</v>
      </c>
      <c r="C136" s="2" t="s">
        <v>32</v>
      </c>
      <c r="D136" s="6" t="s">
        <v>32</v>
      </c>
      <c r="E136" s="7">
        <v>2</v>
      </c>
      <c r="F136" s="7">
        <v>6600</v>
      </c>
      <c r="G136" s="7">
        <v>7392</v>
      </c>
      <c r="H136" s="4">
        <v>1320</v>
      </c>
      <c r="I136" s="5" t="s">
        <v>40</v>
      </c>
    </row>
    <row r="137" spans="1:9" ht="18" customHeight="1" x14ac:dyDescent="0.25">
      <c r="A137" s="2">
        <v>2020</v>
      </c>
      <c r="B137" s="2" t="s">
        <v>9</v>
      </c>
      <c r="C137" s="2" t="s">
        <v>14</v>
      </c>
      <c r="D137" s="3" t="s">
        <v>36</v>
      </c>
      <c r="E137" s="4">
        <v>3566</v>
      </c>
      <c r="F137" s="4">
        <v>4577.3</v>
      </c>
      <c r="G137" s="4">
        <v>5126.576</v>
      </c>
      <c r="H137" s="4">
        <v>915.46</v>
      </c>
      <c r="I137" s="5" t="s">
        <v>40</v>
      </c>
    </row>
    <row r="138" spans="1:9" ht="18" customHeight="1" x14ac:dyDescent="0.25">
      <c r="A138" s="2">
        <v>2020</v>
      </c>
      <c r="B138" s="2" t="s">
        <v>9</v>
      </c>
      <c r="C138" s="2" t="s">
        <v>14</v>
      </c>
      <c r="D138" s="3" t="s">
        <v>37</v>
      </c>
      <c r="E138" s="4">
        <v>2498</v>
      </c>
      <c r="F138" s="4">
        <v>8000</v>
      </c>
      <c r="G138" s="4">
        <v>8960</v>
      </c>
      <c r="H138" s="4">
        <v>1600</v>
      </c>
      <c r="I138" s="5" t="s">
        <v>40</v>
      </c>
    </row>
    <row r="139" spans="1:9" ht="18" customHeight="1" x14ac:dyDescent="0.25">
      <c r="A139" s="2">
        <v>2020</v>
      </c>
      <c r="B139" s="2" t="s">
        <v>9</v>
      </c>
      <c r="C139" s="2" t="s">
        <v>13</v>
      </c>
      <c r="D139" s="3" t="s">
        <v>35</v>
      </c>
      <c r="E139" s="4">
        <v>1245</v>
      </c>
      <c r="F139" s="4">
        <v>4577.2</v>
      </c>
      <c r="G139" s="4">
        <v>5126.4639999999999</v>
      </c>
      <c r="H139" s="4">
        <v>915.44</v>
      </c>
      <c r="I139" s="5" t="s">
        <v>40</v>
      </c>
    </row>
    <row r="140" spans="1:9" ht="18" customHeight="1" x14ac:dyDescent="0.25">
      <c r="A140" s="2">
        <v>2020</v>
      </c>
      <c r="B140" s="2" t="s">
        <v>9</v>
      </c>
      <c r="C140" s="2" t="s">
        <v>38</v>
      </c>
      <c r="D140" s="6" t="s">
        <v>30</v>
      </c>
      <c r="E140" s="7">
        <v>644</v>
      </c>
      <c r="F140" s="7">
        <v>5743.5</v>
      </c>
      <c r="G140" s="7">
        <v>6432.72</v>
      </c>
      <c r="H140" s="4">
        <v>1148.7</v>
      </c>
      <c r="I140" s="5" t="s">
        <v>40</v>
      </c>
    </row>
    <row r="141" spans="1:9" ht="18" customHeight="1" x14ac:dyDescent="0.25">
      <c r="A141" s="2">
        <v>2020</v>
      </c>
      <c r="B141" s="2" t="s">
        <v>9</v>
      </c>
      <c r="C141" s="2" t="s">
        <v>12</v>
      </c>
      <c r="D141" s="6" t="s">
        <v>29</v>
      </c>
      <c r="E141" s="7">
        <v>643</v>
      </c>
      <c r="F141" s="7">
        <v>7000</v>
      </c>
      <c r="G141" s="7">
        <v>7840</v>
      </c>
      <c r="H141" s="4">
        <v>1400</v>
      </c>
      <c r="I141" s="5" t="s">
        <v>40</v>
      </c>
    </row>
    <row r="142" spans="1:9" ht="18" customHeight="1" x14ac:dyDescent="0.25">
      <c r="A142" s="2">
        <v>2020</v>
      </c>
      <c r="B142" s="2" t="s">
        <v>9</v>
      </c>
      <c r="C142" s="2" t="s">
        <v>38</v>
      </c>
      <c r="D142" s="6" t="s">
        <v>31</v>
      </c>
      <c r="E142" s="7">
        <v>455</v>
      </c>
      <c r="F142" s="7">
        <v>4578.6000000000004</v>
      </c>
      <c r="G142" s="7">
        <v>5128.0320000000002</v>
      </c>
      <c r="H142" s="4">
        <v>915.72000000000014</v>
      </c>
      <c r="I142" s="5" t="s">
        <v>40</v>
      </c>
    </row>
    <row r="143" spans="1:9" ht="18" customHeight="1" x14ac:dyDescent="0.25">
      <c r="A143" s="2">
        <v>2020</v>
      </c>
      <c r="B143" s="2" t="s">
        <v>9</v>
      </c>
      <c r="C143" s="2" t="s">
        <v>12</v>
      </c>
      <c r="D143" s="6" t="s">
        <v>28</v>
      </c>
      <c r="E143" s="8">
        <v>345</v>
      </c>
      <c r="F143" s="8">
        <v>7000</v>
      </c>
      <c r="G143" s="8">
        <v>7840</v>
      </c>
      <c r="H143" s="4">
        <v>1400</v>
      </c>
      <c r="I143" s="5" t="s">
        <v>40</v>
      </c>
    </row>
    <row r="144" spans="1:9" ht="18" customHeight="1" x14ac:dyDescent="0.25">
      <c r="A144" s="2">
        <v>2020</v>
      </c>
      <c r="B144" s="2" t="s">
        <v>9</v>
      </c>
      <c r="C144" s="2" t="s">
        <v>13</v>
      </c>
      <c r="D144" s="3" t="s">
        <v>33</v>
      </c>
      <c r="E144" s="4">
        <v>122</v>
      </c>
      <c r="F144" s="4">
        <v>100</v>
      </c>
      <c r="G144" s="4">
        <v>112</v>
      </c>
      <c r="H144" s="4">
        <v>20</v>
      </c>
      <c r="I144" s="5" t="s">
        <v>40</v>
      </c>
    </row>
    <row r="145" spans="1:9" ht="18" customHeight="1" x14ac:dyDescent="0.25">
      <c r="A145" s="2">
        <v>2020</v>
      </c>
      <c r="B145" s="2" t="s">
        <v>9</v>
      </c>
      <c r="C145" s="2" t="s">
        <v>15</v>
      </c>
      <c r="D145" s="6" t="s">
        <v>26</v>
      </c>
      <c r="E145" s="7">
        <v>78</v>
      </c>
      <c r="F145" s="7">
        <v>4577.2</v>
      </c>
      <c r="G145" s="7">
        <v>5126.4639999999999</v>
      </c>
      <c r="H145" s="4">
        <v>915.44</v>
      </c>
      <c r="I145" s="5" t="s">
        <v>40</v>
      </c>
    </row>
    <row r="146" spans="1:9" ht="18" customHeight="1" x14ac:dyDescent="0.25">
      <c r="A146" s="2">
        <v>2020</v>
      </c>
      <c r="B146" s="2" t="s">
        <v>9</v>
      </c>
      <c r="C146" s="2" t="s">
        <v>15</v>
      </c>
      <c r="D146" s="6" t="s">
        <v>24</v>
      </c>
      <c r="E146" s="7">
        <v>76</v>
      </c>
      <c r="F146" s="7">
        <v>4576.8999999999996</v>
      </c>
      <c r="G146" s="7">
        <v>5126.1279999999997</v>
      </c>
      <c r="H146" s="4">
        <v>915.38</v>
      </c>
      <c r="I146" s="5" t="s">
        <v>40</v>
      </c>
    </row>
    <row r="147" spans="1:9" ht="18" customHeight="1" x14ac:dyDescent="0.25">
      <c r="A147" s="2">
        <v>2020</v>
      </c>
      <c r="B147" s="2" t="s">
        <v>9</v>
      </c>
      <c r="C147" s="2" t="s">
        <v>15</v>
      </c>
      <c r="D147" s="6" t="s">
        <v>25</v>
      </c>
      <c r="E147" s="7">
        <v>46</v>
      </c>
      <c r="F147" s="7">
        <v>200</v>
      </c>
      <c r="G147" s="7">
        <v>224</v>
      </c>
      <c r="H147" s="4">
        <v>40</v>
      </c>
      <c r="I147" s="5" t="s">
        <v>40</v>
      </c>
    </row>
    <row r="148" spans="1:9" ht="18" customHeight="1" x14ac:dyDescent="0.25">
      <c r="A148" s="2">
        <v>2020</v>
      </c>
      <c r="B148" s="2" t="s">
        <v>9</v>
      </c>
      <c r="C148" s="2" t="s">
        <v>15</v>
      </c>
      <c r="D148" s="6" t="s">
        <v>23</v>
      </c>
      <c r="E148" s="7">
        <v>34</v>
      </c>
      <c r="F148" s="7">
        <v>4576.8</v>
      </c>
      <c r="G148" s="7">
        <v>5126.0160000000005</v>
      </c>
      <c r="H148" s="4">
        <v>915.36000000000013</v>
      </c>
      <c r="I148" s="5" t="s">
        <v>40</v>
      </c>
    </row>
    <row r="149" spans="1:9" ht="18" customHeight="1" x14ac:dyDescent="0.25">
      <c r="A149" s="2">
        <v>2020</v>
      </c>
      <c r="B149" s="2" t="s">
        <v>9</v>
      </c>
      <c r="C149" s="2" t="s">
        <v>13</v>
      </c>
      <c r="D149" s="3" t="s">
        <v>34</v>
      </c>
      <c r="E149" s="4">
        <v>7</v>
      </c>
      <c r="F149" s="4">
        <v>200</v>
      </c>
      <c r="G149" s="4">
        <v>224</v>
      </c>
      <c r="H149" s="4">
        <v>40</v>
      </c>
      <c r="I149" s="5" t="s">
        <v>40</v>
      </c>
    </row>
    <row r="150" spans="1:9" ht="18" customHeight="1" x14ac:dyDescent="0.25">
      <c r="A150" s="2">
        <v>2020</v>
      </c>
      <c r="B150" s="2" t="s">
        <v>9</v>
      </c>
      <c r="C150" s="2" t="s">
        <v>15</v>
      </c>
      <c r="D150" s="6" t="s">
        <v>27</v>
      </c>
      <c r="E150" s="7">
        <v>3</v>
      </c>
      <c r="F150" s="7">
        <v>4577.3</v>
      </c>
      <c r="G150" s="7">
        <v>5126.576</v>
      </c>
      <c r="H150" s="4">
        <v>915.46</v>
      </c>
      <c r="I150" s="5" t="s">
        <v>42</v>
      </c>
    </row>
    <row r="151" spans="1:9" ht="18" customHeight="1" x14ac:dyDescent="0.25">
      <c r="A151" s="2">
        <v>2020</v>
      </c>
      <c r="B151" s="2" t="s">
        <v>9</v>
      </c>
      <c r="C151" s="2" t="s">
        <v>32</v>
      </c>
      <c r="D151" s="6" t="s">
        <v>32</v>
      </c>
      <c r="E151" s="7">
        <v>2</v>
      </c>
      <c r="F151" s="7">
        <v>6600</v>
      </c>
      <c r="G151" s="7">
        <v>7392</v>
      </c>
      <c r="H151" s="4">
        <v>1320</v>
      </c>
      <c r="I151" s="5" t="s">
        <v>42</v>
      </c>
    </row>
    <row r="152" spans="1:9" ht="18" customHeight="1" x14ac:dyDescent="0.25">
      <c r="A152" s="2">
        <v>2020</v>
      </c>
      <c r="B152" s="2" t="s">
        <v>10</v>
      </c>
      <c r="C152" s="2" t="s">
        <v>14</v>
      </c>
      <c r="D152" s="3" t="s">
        <v>36</v>
      </c>
      <c r="E152" s="4">
        <v>3566</v>
      </c>
      <c r="F152" s="4">
        <v>4577.3</v>
      </c>
      <c r="G152" s="4">
        <v>5126.576</v>
      </c>
      <c r="H152" s="4">
        <v>915.46</v>
      </c>
      <c r="I152" s="5" t="s">
        <v>42</v>
      </c>
    </row>
    <row r="153" spans="1:9" ht="18" customHeight="1" x14ac:dyDescent="0.25">
      <c r="A153" s="2">
        <v>2020</v>
      </c>
      <c r="B153" s="2" t="s">
        <v>10</v>
      </c>
      <c r="C153" s="2" t="s">
        <v>14</v>
      </c>
      <c r="D153" s="3" t="s">
        <v>37</v>
      </c>
      <c r="E153" s="4">
        <v>2498</v>
      </c>
      <c r="F153" s="4">
        <v>8000</v>
      </c>
      <c r="G153" s="4">
        <v>8960</v>
      </c>
      <c r="H153" s="4">
        <v>1600</v>
      </c>
      <c r="I153" s="5" t="s">
        <v>42</v>
      </c>
    </row>
    <row r="154" spans="1:9" ht="18" customHeight="1" x14ac:dyDescent="0.25">
      <c r="A154" s="2">
        <v>2020</v>
      </c>
      <c r="B154" s="2" t="s">
        <v>10</v>
      </c>
      <c r="C154" s="2" t="s">
        <v>13</v>
      </c>
      <c r="D154" s="3" t="s">
        <v>35</v>
      </c>
      <c r="E154" s="4">
        <v>1245</v>
      </c>
      <c r="F154" s="4">
        <v>4577.2</v>
      </c>
      <c r="G154" s="4">
        <v>5126.4639999999999</v>
      </c>
      <c r="H154" s="4">
        <v>915.44</v>
      </c>
      <c r="I154" s="5" t="s">
        <v>42</v>
      </c>
    </row>
    <row r="155" spans="1:9" ht="18" customHeight="1" x14ac:dyDescent="0.25">
      <c r="A155" s="2">
        <v>2020</v>
      </c>
      <c r="B155" s="2" t="s">
        <v>10</v>
      </c>
      <c r="C155" s="2" t="s">
        <v>38</v>
      </c>
      <c r="D155" s="6" t="s">
        <v>30</v>
      </c>
      <c r="E155" s="7">
        <v>644</v>
      </c>
      <c r="F155" s="7">
        <v>5743.5</v>
      </c>
      <c r="G155" s="7">
        <v>6432.72</v>
      </c>
      <c r="H155" s="4">
        <v>1148.7</v>
      </c>
      <c r="I155" s="5" t="s">
        <v>42</v>
      </c>
    </row>
    <row r="156" spans="1:9" ht="18" customHeight="1" x14ac:dyDescent="0.25">
      <c r="A156" s="2">
        <v>2020</v>
      </c>
      <c r="B156" s="2" t="s">
        <v>10</v>
      </c>
      <c r="C156" s="2" t="s">
        <v>12</v>
      </c>
      <c r="D156" s="6" t="s">
        <v>29</v>
      </c>
      <c r="E156" s="7">
        <v>643</v>
      </c>
      <c r="F156" s="7">
        <v>7000</v>
      </c>
      <c r="G156" s="7">
        <v>7840</v>
      </c>
      <c r="H156" s="4">
        <v>1400</v>
      </c>
      <c r="I156" s="5" t="s">
        <v>42</v>
      </c>
    </row>
    <row r="157" spans="1:9" ht="18" customHeight="1" x14ac:dyDescent="0.25">
      <c r="A157" s="2">
        <v>2020</v>
      </c>
      <c r="B157" s="2" t="s">
        <v>10</v>
      </c>
      <c r="C157" s="2" t="s">
        <v>38</v>
      </c>
      <c r="D157" s="6" t="s">
        <v>31</v>
      </c>
      <c r="E157" s="7">
        <v>455</v>
      </c>
      <c r="F157" s="7">
        <v>4578.6000000000004</v>
      </c>
      <c r="G157" s="7">
        <v>5128.0320000000002</v>
      </c>
      <c r="H157" s="4">
        <v>915.72000000000014</v>
      </c>
      <c r="I157" s="5" t="s">
        <v>42</v>
      </c>
    </row>
    <row r="158" spans="1:9" ht="18" customHeight="1" x14ac:dyDescent="0.25">
      <c r="A158" s="2">
        <v>2020</v>
      </c>
      <c r="B158" s="2" t="s">
        <v>10</v>
      </c>
      <c r="C158" s="2" t="s">
        <v>12</v>
      </c>
      <c r="D158" s="6" t="s">
        <v>28</v>
      </c>
      <c r="E158" s="8">
        <v>345</v>
      </c>
      <c r="F158" s="8">
        <v>7000</v>
      </c>
      <c r="G158" s="8">
        <v>7840</v>
      </c>
      <c r="H158" s="4">
        <v>1400</v>
      </c>
      <c r="I158" s="5" t="s">
        <v>42</v>
      </c>
    </row>
    <row r="159" spans="1:9" ht="18" customHeight="1" x14ac:dyDescent="0.25">
      <c r="A159" s="2">
        <v>2020</v>
      </c>
      <c r="B159" s="2" t="s">
        <v>10</v>
      </c>
      <c r="C159" s="2" t="s">
        <v>13</v>
      </c>
      <c r="D159" s="3" t="s">
        <v>33</v>
      </c>
      <c r="E159" s="4">
        <v>122</v>
      </c>
      <c r="F159" s="4">
        <v>100</v>
      </c>
      <c r="G159" s="4">
        <v>112</v>
      </c>
      <c r="H159" s="4">
        <v>20</v>
      </c>
      <c r="I159" s="5" t="s">
        <v>42</v>
      </c>
    </row>
    <row r="160" spans="1:9" ht="18" customHeight="1" x14ac:dyDescent="0.25">
      <c r="A160" s="2">
        <v>2020</v>
      </c>
      <c r="B160" s="2" t="s">
        <v>10</v>
      </c>
      <c r="C160" s="2" t="s">
        <v>15</v>
      </c>
      <c r="D160" s="6" t="s">
        <v>26</v>
      </c>
      <c r="E160" s="7">
        <v>78</v>
      </c>
      <c r="F160" s="7">
        <v>4577.2</v>
      </c>
      <c r="G160" s="7">
        <v>5126.4639999999999</v>
      </c>
      <c r="H160" s="4">
        <v>915.44</v>
      </c>
      <c r="I160" s="5" t="s">
        <v>42</v>
      </c>
    </row>
    <row r="161" spans="1:9" ht="18" customHeight="1" x14ac:dyDescent="0.25">
      <c r="A161" s="2">
        <v>2020</v>
      </c>
      <c r="B161" s="2" t="s">
        <v>10</v>
      </c>
      <c r="C161" s="2" t="s">
        <v>15</v>
      </c>
      <c r="D161" s="6" t="s">
        <v>24</v>
      </c>
      <c r="E161" s="7">
        <v>76</v>
      </c>
      <c r="F161" s="7">
        <v>4576.8999999999996</v>
      </c>
      <c r="G161" s="7">
        <v>5126.1279999999997</v>
      </c>
      <c r="H161" s="4">
        <v>915.38</v>
      </c>
      <c r="I161" s="5" t="s">
        <v>42</v>
      </c>
    </row>
    <row r="162" spans="1:9" ht="18" customHeight="1" x14ac:dyDescent="0.25">
      <c r="A162" s="2">
        <v>2020</v>
      </c>
      <c r="B162" s="2" t="s">
        <v>10</v>
      </c>
      <c r="C162" s="2" t="s">
        <v>15</v>
      </c>
      <c r="D162" s="6" t="s">
        <v>25</v>
      </c>
      <c r="E162" s="7">
        <v>46</v>
      </c>
      <c r="F162" s="7">
        <v>200</v>
      </c>
      <c r="G162" s="7">
        <v>224</v>
      </c>
      <c r="H162" s="4">
        <v>40</v>
      </c>
      <c r="I162" s="5" t="s">
        <v>42</v>
      </c>
    </row>
    <row r="163" spans="1:9" ht="18" customHeight="1" x14ac:dyDescent="0.25">
      <c r="A163" s="2">
        <v>2020</v>
      </c>
      <c r="B163" s="2" t="s">
        <v>10</v>
      </c>
      <c r="C163" s="2" t="s">
        <v>15</v>
      </c>
      <c r="D163" s="6" t="s">
        <v>23</v>
      </c>
      <c r="E163" s="7">
        <v>34</v>
      </c>
      <c r="F163" s="7">
        <v>4576.8</v>
      </c>
      <c r="G163" s="7">
        <v>5126.0160000000005</v>
      </c>
      <c r="H163" s="4">
        <v>915.36000000000013</v>
      </c>
      <c r="I163" s="5" t="s">
        <v>42</v>
      </c>
    </row>
    <row r="164" spans="1:9" ht="18" customHeight="1" x14ac:dyDescent="0.25">
      <c r="A164" s="2">
        <v>2020</v>
      </c>
      <c r="B164" s="2" t="s">
        <v>10</v>
      </c>
      <c r="C164" s="2" t="s">
        <v>13</v>
      </c>
      <c r="D164" s="3" t="s">
        <v>34</v>
      </c>
      <c r="E164" s="4">
        <v>7</v>
      </c>
      <c r="F164" s="4">
        <v>200</v>
      </c>
      <c r="G164" s="4">
        <v>224</v>
      </c>
      <c r="H164" s="4">
        <v>40</v>
      </c>
      <c r="I164" s="5" t="s">
        <v>42</v>
      </c>
    </row>
    <row r="165" spans="1:9" ht="18" customHeight="1" x14ac:dyDescent="0.25">
      <c r="A165" s="2">
        <v>2020</v>
      </c>
      <c r="B165" s="2" t="s">
        <v>10</v>
      </c>
      <c r="C165" s="2" t="s">
        <v>15</v>
      </c>
      <c r="D165" s="6" t="s">
        <v>27</v>
      </c>
      <c r="E165" s="7">
        <v>3</v>
      </c>
      <c r="F165" s="7">
        <v>4577.3</v>
      </c>
      <c r="G165" s="7">
        <v>5126.576</v>
      </c>
      <c r="H165" s="4">
        <v>915.46</v>
      </c>
      <c r="I165" s="5" t="s">
        <v>42</v>
      </c>
    </row>
    <row r="166" spans="1:9" ht="18" customHeight="1" x14ac:dyDescent="0.25">
      <c r="A166" s="2">
        <v>2020</v>
      </c>
      <c r="B166" s="2" t="s">
        <v>10</v>
      </c>
      <c r="C166" s="2" t="s">
        <v>32</v>
      </c>
      <c r="D166" s="6" t="s">
        <v>32</v>
      </c>
      <c r="E166" s="7">
        <v>2</v>
      </c>
      <c r="F166" s="7">
        <v>6600</v>
      </c>
      <c r="G166" s="7">
        <v>7392</v>
      </c>
      <c r="H166" s="4">
        <v>1320</v>
      </c>
      <c r="I166" s="5" t="s">
        <v>40</v>
      </c>
    </row>
    <row r="167" spans="1:9" ht="18" customHeight="1" x14ac:dyDescent="0.25">
      <c r="A167" s="2">
        <v>2020</v>
      </c>
      <c r="B167" s="2" t="s">
        <v>11</v>
      </c>
      <c r="C167" s="2" t="s">
        <v>14</v>
      </c>
      <c r="D167" s="3" t="s">
        <v>36</v>
      </c>
      <c r="E167" s="4">
        <v>3566</v>
      </c>
      <c r="F167" s="4">
        <v>4577.3</v>
      </c>
      <c r="G167" s="4">
        <v>5126.576</v>
      </c>
      <c r="H167" s="4">
        <v>915.46</v>
      </c>
      <c r="I167" s="5" t="s">
        <v>40</v>
      </c>
    </row>
    <row r="168" spans="1:9" ht="18" customHeight="1" x14ac:dyDescent="0.25">
      <c r="A168" s="2">
        <v>2020</v>
      </c>
      <c r="B168" s="2" t="s">
        <v>11</v>
      </c>
      <c r="C168" s="2" t="s">
        <v>14</v>
      </c>
      <c r="D168" s="3" t="s">
        <v>37</v>
      </c>
      <c r="E168" s="4">
        <v>2498</v>
      </c>
      <c r="F168" s="4">
        <v>8000</v>
      </c>
      <c r="G168" s="4">
        <v>8960</v>
      </c>
      <c r="H168" s="4">
        <v>1600</v>
      </c>
      <c r="I168" s="5" t="s">
        <v>40</v>
      </c>
    </row>
    <row r="169" spans="1:9" ht="18" customHeight="1" x14ac:dyDescent="0.25">
      <c r="A169" s="2">
        <v>2020</v>
      </c>
      <c r="B169" s="2" t="s">
        <v>11</v>
      </c>
      <c r="C169" s="2" t="s">
        <v>13</v>
      </c>
      <c r="D169" s="3" t="s">
        <v>35</v>
      </c>
      <c r="E169" s="4">
        <v>1245</v>
      </c>
      <c r="F169" s="4">
        <v>4577.2</v>
      </c>
      <c r="G169" s="4">
        <v>5126.4639999999999</v>
      </c>
      <c r="H169" s="4">
        <v>915.44</v>
      </c>
      <c r="I169" s="5" t="s">
        <v>40</v>
      </c>
    </row>
    <row r="170" spans="1:9" ht="18" customHeight="1" x14ac:dyDescent="0.25">
      <c r="A170" s="2">
        <v>2020</v>
      </c>
      <c r="B170" s="2" t="s">
        <v>11</v>
      </c>
      <c r="C170" s="2" t="s">
        <v>38</v>
      </c>
      <c r="D170" s="6" t="s">
        <v>30</v>
      </c>
      <c r="E170" s="7">
        <v>644</v>
      </c>
      <c r="F170" s="7">
        <v>5743.5</v>
      </c>
      <c r="G170" s="7">
        <v>6432.72</v>
      </c>
      <c r="H170" s="4">
        <v>1148.7</v>
      </c>
      <c r="I170" s="5" t="s">
        <v>40</v>
      </c>
    </row>
    <row r="171" spans="1:9" ht="18" customHeight="1" x14ac:dyDescent="0.25">
      <c r="A171" s="2">
        <v>2020</v>
      </c>
      <c r="B171" s="2" t="s">
        <v>11</v>
      </c>
      <c r="C171" s="2" t="s">
        <v>12</v>
      </c>
      <c r="D171" s="6" t="s">
        <v>29</v>
      </c>
      <c r="E171" s="7">
        <v>643</v>
      </c>
      <c r="F171" s="7">
        <v>7000</v>
      </c>
      <c r="G171" s="7">
        <v>7840</v>
      </c>
      <c r="H171" s="4">
        <v>1400</v>
      </c>
      <c r="I171" s="5" t="s">
        <v>42</v>
      </c>
    </row>
    <row r="172" spans="1:9" ht="18" customHeight="1" x14ac:dyDescent="0.25">
      <c r="A172" s="2">
        <v>2020</v>
      </c>
      <c r="B172" s="2" t="s">
        <v>11</v>
      </c>
      <c r="C172" s="2" t="s">
        <v>38</v>
      </c>
      <c r="D172" s="6" t="s">
        <v>31</v>
      </c>
      <c r="E172" s="7">
        <v>455</v>
      </c>
      <c r="F172" s="7">
        <v>4578.6000000000004</v>
      </c>
      <c r="G172" s="7">
        <v>5128.0320000000002</v>
      </c>
      <c r="H172" s="4">
        <v>915.72000000000014</v>
      </c>
      <c r="I172" s="5" t="s">
        <v>42</v>
      </c>
    </row>
    <row r="173" spans="1:9" ht="18" customHeight="1" x14ac:dyDescent="0.25">
      <c r="A173" s="2">
        <v>2020</v>
      </c>
      <c r="B173" s="2" t="s">
        <v>11</v>
      </c>
      <c r="C173" s="2" t="s">
        <v>12</v>
      </c>
      <c r="D173" s="6" t="s">
        <v>28</v>
      </c>
      <c r="E173" s="8">
        <v>345</v>
      </c>
      <c r="F173" s="8">
        <v>7000</v>
      </c>
      <c r="G173" s="8">
        <v>7840</v>
      </c>
      <c r="H173" s="4">
        <v>1400</v>
      </c>
      <c r="I173" s="5" t="s">
        <v>42</v>
      </c>
    </row>
    <row r="174" spans="1:9" ht="18" customHeight="1" x14ac:dyDescent="0.25">
      <c r="A174" s="2">
        <v>2020</v>
      </c>
      <c r="B174" s="2" t="s">
        <v>11</v>
      </c>
      <c r="C174" s="2" t="s">
        <v>13</v>
      </c>
      <c r="D174" s="3" t="s">
        <v>33</v>
      </c>
      <c r="E174" s="4">
        <v>122</v>
      </c>
      <c r="F174" s="4">
        <v>100</v>
      </c>
      <c r="G174" s="4">
        <v>112</v>
      </c>
      <c r="H174" s="4">
        <v>20</v>
      </c>
      <c r="I174" s="5" t="s">
        <v>42</v>
      </c>
    </row>
    <row r="175" spans="1:9" ht="18" customHeight="1" x14ac:dyDescent="0.25">
      <c r="A175" s="2">
        <v>2020</v>
      </c>
      <c r="B175" s="2" t="s">
        <v>11</v>
      </c>
      <c r="C175" s="2" t="s">
        <v>15</v>
      </c>
      <c r="D175" s="6" t="s">
        <v>26</v>
      </c>
      <c r="E175" s="7">
        <v>78</v>
      </c>
      <c r="F175" s="7">
        <v>4577.2</v>
      </c>
      <c r="G175" s="7">
        <v>5126.4639999999999</v>
      </c>
      <c r="H175" s="4">
        <v>915.44</v>
      </c>
      <c r="I175" s="5" t="s">
        <v>42</v>
      </c>
    </row>
    <row r="176" spans="1:9" ht="18" customHeight="1" x14ac:dyDescent="0.25">
      <c r="A176" s="2">
        <v>2020</v>
      </c>
      <c r="B176" s="2" t="s">
        <v>11</v>
      </c>
      <c r="C176" s="2" t="s">
        <v>15</v>
      </c>
      <c r="D176" s="6" t="s">
        <v>24</v>
      </c>
      <c r="E176" s="7">
        <v>76</v>
      </c>
      <c r="F176" s="7">
        <v>4576.8999999999996</v>
      </c>
      <c r="G176" s="7">
        <v>5126.1279999999997</v>
      </c>
      <c r="H176" s="4">
        <v>915.38</v>
      </c>
      <c r="I176" s="5" t="s">
        <v>42</v>
      </c>
    </row>
    <row r="177" spans="1:9" ht="18" customHeight="1" x14ac:dyDescent="0.25">
      <c r="A177" s="2">
        <v>2020</v>
      </c>
      <c r="B177" s="2" t="s">
        <v>11</v>
      </c>
      <c r="C177" s="2" t="s">
        <v>15</v>
      </c>
      <c r="D177" s="6" t="s">
        <v>25</v>
      </c>
      <c r="E177" s="7">
        <v>46</v>
      </c>
      <c r="F177" s="7">
        <v>200</v>
      </c>
      <c r="G177" s="7">
        <v>224</v>
      </c>
      <c r="H177" s="4">
        <v>40</v>
      </c>
      <c r="I177" s="5" t="s">
        <v>42</v>
      </c>
    </row>
    <row r="178" spans="1:9" ht="18" customHeight="1" x14ac:dyDescent="0.25">
      <c r="A178" s="2">
        <v>2020</v>
      </c>
      <c r="B178" s="2" t="s">
        <v>11</v>
      </c>
      <c r="C178" s="2" t="s">
        <v>15</v>
      </c>
      <c r="D178" s="6" t="s">
        <v>23</v>
      </c>
      <c r="E178" s="7">
        <v>34</v>
      </c>
      <c r="F178" s="7">
        <v>4576.8</v>
      </c>
      <c r="G178" s="7">
        <v>5126.0160000000005</v>
      </c>
      <c r="H178" s="4">
        <v>915.36000000000013</v>
      </c>
      <c r="I178" s="5" t="s">
        <v>42</v>
      </c>
    </row>
    <row r="179" spans="1:9" ht="18" customHeight="1" x14ac:dyDescent="0.25">
      <c r="A179" s="2">
        <v>2020</v>
      </c>
      <c r="B179" s="2" t="s">
        <v>11</v>
      </c>
      <c r="C179" s="2" t="s">
        <v>13</v>
      </c>
      <c r="D179" s="3" t="s">
        <v>34</v>
      </c>
      <c r="E179" s="4">
        <v>7</v>
      </c>
      <c r="F179" s="4">
        <v>200</v>
      </c>
      <c r="G179" s="4">
        <v>224</v>
      </c>
      <c r="H179" s="4">
        <v>40</v>
      </c>
      <c r="I179" s="5" t="s">
        <v>42</v>
      </c>
    </row>
    <row r="180" spans="1:9" ht="18" customHeight="1" x14ac:dyDescent="0.25">
      <c r="A180" s="2">
        <v>2020</v>
      </c>
      <c r="B180" s="2" t="s">
        <v>11</v>
      </c>
      <c r="C180" s="2" t="s">
        <v>15</v>
      </c>
      <c r="D180" s="6" t="s">
        <v>27</v>
      </c>
      <c r="E180" s="7">
        <v>3</v>
      </c>
      <c r="F180" s="7">
        <v>4577.3</v>
      </c>
      <c r="G180" s="7">
        <v>5126.576</v>
      </c>
      <c r="H180" s="4">
        <v>915.46</v>
      </c>
      <c r="I180" s="5" t="s">
        <v>40</v>
      </c>
    </row>
    <row r="181" spans="1:9" ht="18" customHeight="1" x14ac:dyDescent="0.25">
      <c r="A181" s="2">
        <v>2020</v>
      </c>
      <c r="B181" s="2" t="s">
        <v>11</v>
      </c>
      <c r="C181" s="2" t="s">
        <v>32</v>
      </c>
      <c r="D181" s="6" t="s">
        <v>32</v>
      </c>
      <c r="E181" s="7">
        <v>2</v>
      </c>
      <c r="F181" s="7">
        <v>6600</v>
      </c>
      <c r="G181" s="7">
        <v>7392</v>
      </c>
      <c r="H181" s="4">
        <v>1320</v>
      </c>
      <c r="I181" s="5" t="s">
        <v>42</v>
      </c>
    </row>
    <row r="182" spans="1:9" ht="18" customHeight="1" x14ac:dyDescent="0.25">
      <c r="A182" s="2">
        <v>2021</v>
      </c>
      <c r="B182" s="2" t="s">
        <v>0</v>
      </c>
      <c r="C182" s="2" t="s">
        <v>14</v>
      </c>
      <c r="D182" s="3" t="s">
        <v>36</v>
      </c>
      <c r="E182" s="4">
        <v>6591.1679999999997</v>
      </c>
      <c r="F182" s="4">
        <v>4577.3</v>
      </c>
      <c r="G182" s="4">
        <v>5126.576</v>
      </c>
      <c r="H182" s="4">
        <v>915.46</v>
      </c>
      <c r="I182" s="5" t="s">
        <v>40</v>
      </c>
    </row>
    <row r="183" spans="1:9" ht="18" customHeight="1" x14ac:dyDescent="0.25">
      <c r="A183" s="2">
        <v>2021</v>
      </c>
      <c r="B183" s="2" t="s">
        <v>0</v>
      </c>
      <c r="C183" s="2" t="s">
        <v>14</v>
      </c>
      <c r="D183" s="3" t="s">
        <v>37</v>
      </c>
      <c r="E183" s="4">
        <v>8270.64</v>
      </c>
      <c r="F183" s="4">
        <v>8800</v>
      </c>
      <c r="G183" s="4">
        <v>8960</v>
      </c>
      <c r="H183" s="4">
        <v>1760</v>
      </c>
      <c r="I183" s="5" t="s">
        <v>40</v>
      </c>
    </row>
    <row r="184" spans="1:9" ht="18" customHeight="1" x14ac:dyDescent="0.25">
      <c r="A184" s="2">
        <v>2021</v>
      </c>
      <c r="B184" s="2" t="s">
        <v>0</v>
      </c>
      <c r="C184" s="2" t="s">
        <v>13</v>
      </c>
      <c r="D184" s="3" t="s">
        <v>35</v>
      </c>
      <c r="E184" s="4">
        <v>8470</v>
      </c>
      <c r="F184" s="4">
        <v>5034.92</v>
      </c>
      <c r="G184" s="4">
        <v>5126.4639999999999</v>
      </c>
      <c r="H184" s="4">
        <v>1006.984</v>
      </c>
      <c r="I184" s="5" t="s">
        <v>40</v>
      </c>
    </row>
    <row r="185" spans="1:9" ht="18" customHeight="1" x14ac:dyDescent="0.25">
      <c r="A185" s="2">
        <v>2021</v>
      </c>
      <c r="B185" s="2" t="s">
        <v>0</v>
      </c>
      <c r="C185" s="2" t="s">
        <v>38</v>
      </c>
      <c r="D185" s="6" t="s">
        <v>30</v>
      </c>
      <c r="E185" s="7">
        <v>6055.1985000000004</v>
      </c>
      <c r="F185" s="7">
        <v>6317.85</v>
      </c>
      <c r="G185" s="7">
        <v>6432.72</v>
      </c>
      <c r="H185" s="4">
        <v>1263.5700000000002</v>
      </c>
      <c r="I185" s="5" t="s">
        <v>40</v>
      </c>
    </row>
    <row r="186" spans="1:9" ht="18" customHeight="1" x14ac:dyDescent="0.25">
      <c r="A186" s="2">
        <v>2021</v>
      </c>
      <c r="B186" s="2" t="s">
        <v>0</v>
      </c>
      <c r="C186" s="2" t="s">
        <v>12</v>
      </c>
      <c r="D186" s="6" t="s">
        <v>29</v>
      </c>
      <c r="E186" s="7">
        <v>10368.4</v>
      </c>
      <c r="F186" s="7">
        <v>7700</v>
      </c>
      <c r="G186" s="7">
        <v>7840</v>
      </c>
      <c r="H186" s="4">
        <v>1540</v>
      </c>
      <c r="I186" s="5" t="s">
        <v>40</v>
      </c>
    </row>
    <row r="187" spans="1:9" ht="18" customHeight="1" x14ac:dyDescent="0.25">
      <c r="A187" s="2">
        <v>2021</v>
      </c>
      <c r="B187" s="2" t="s">
        <v>0</v>
      </c>
      <c r="C187" s="2" t="s">
        <v>38</v>
      </c>
      <c r="D187" s="6" t="s">
        <v>31</v>
      </c>
      <c r="E187" s="7">
        <v>3101.2624999999998</v>
      </c>
      <c r="F187" s="7">
        <v>5036.46</v>
      </c>
      <c r="G187" s="7">
        <v>5128.0320000000002</v>
      </c>
      <c r="H187" s="4">
        <v>1007.292</v>
      </c>
      <c r="I187" s="5" t="s">
        <v>40</v>
      </c>
    </row>
    <row r="188" spans="1:9" ht="18" customHeight="1" x14ac:dyDescent="0.25">
      <c r="A188" s="2">
        <v>2021</v>
      </c>
      <c r="B188" s="2" t="s">
        <v>0</v>
      </c>
      <c r="C188" s="2" t="s">
        <v>12</v>
      </c>
      <c r="D188" s="6" t="s">
        <v>28</v>
      </c>
      <c r="E188" s="8">
        <v>6591.1679999999997</v>
      </c>
      <c r="F188" s="8">
        <v>7700</v>
      </c>
      <c r="G188" s="8">
        <v>7840</v>
      </c>
      <c r="H188" s="4">
        <v>1540</v>
      </c>
      <c r="I188" s="5" t="s">
        <v>40</v>
      </c>
    </row>
    <row r="189" spans="1:9" ht="18" customHeight="1" x14ac:dyDescent="0.25">
      <c r="A189" s="2">
        <v>2021</v>
      </c>
      <c r="B189" s="2" t="s">
        <v>0</v>
      </c>
      <c r="C189" s="2" t="s">
        <v>13</v>
      </c>
      <c r="D189" s="3" t="s">
        <v>33</v>
      </c>
      <c r="E189" s="4">
        <v>6590.7359999999999</v>
      </c>
      <c r="F189" s="4">
        <v>110</v>
      </c>
      <c r="G189" s="4">
        <v>112</v>
      </c>
      <c r="H189" s="4">
        <v>22</v>
      </c>
      <c r="I189" s="5" t="s">
        <v>40</v>
      </c>
    </row>
    <row r="190" spans="1:9" ht="18" customHeight="1" x14ac:dyDescent="0.25">
      <c r="A190" s="2">
        <v>2021</v>
      </c>
      <c r="B190" s="2" t="s">
        <v>0</v>
      </c>
      <c r="C190" s="2" t="s">
        <v>15</v>
      </c>
      <c r="D190" s="6" t="s">
        <v>26</v>
      </c>
      <c r="E190" s="7">
        <v>288</v>
      </c>
      <c r="F190" s="7">
        <v>5034.92</v>
      </c>
      <c r="G190" s="7">
        <v>5126.4639999999999</v>
      </c>
      <c r="H190" s="4">
        <v>1006.984</v>
      </c>
      <c r="I190" s="5" t="s">
        <v>40</v>
      </c>
    </row>
    <row r="191" spans="1:9" ht="18" customHeight="1" x14ac:dyDescent="0.25">
      <c r="A191" s="2">
        <v>2021</v>
      </c>
      <c r="B191" s="2" t="s">
        <v>0</v>
      </c>
      <c r="C191" s="2" t="s">
        <v>15</v>
      </c>
      <c r="D191" s="6" t="s">
        <v>24</v>
      </c>
      <c r="E191" s="7">
        <v>6590.5919999999996</v>
      </c>
      <c r="F191" s="7">
        <v>4576.8999999999996</v>
      </c>
      <c r="G191" s="7">
        <v>5126.1279999999997</v>
      </c>
      <c r="H191" s="4">
        <v>915.38</v>
      </c>
      <c r="I191" s="5" t="s">
        <v>40</v>
      </c>
    </row>
    <row r="192" spans="1:9" ht="18" customHeight="1" x14ac:dyDescent="0.25">
      <c r="A192" s="2">
        <v>2021</v>
      </c>
      <c r="B192" s="2" t="s">
        <v>0</v>
      </c>
      <c r="C192" s="2" t="s">
        <v>15</v>
      </c>
      <c r="D192" s="6" t="s">
        <v>25</v>
      </c>
      <c r="E192" s="7">
        <v>4032.9300000000003</v>
      </c>
      <c r="F192" s="7">
        <v>200</v>
      </c>
      <c r="G192" s="7">
        <v>224</v>
      </c>
      <c r="H192" s="4">
        <v>40</v>
      </c>
      <c r="I192" s="5" t="s">
        <v>40</v>
      </c>
    </row>
    <row r="193" spans="1:9" ht="18" customHeight="1" x14ac:dyDescent="0.25">
      <c r="A193" s="2">
        <v>2021</v>
      </c>
      <c r="B193" s="2" t="s">
        <v>0</v>
      </c>
      <c r="C193" s="2" t="s">
        <v>15</v>
      </c>
      <c r="D193" s="6" t="s">
        <v>23</v>
      </c>
      <c r="E193" s="7">
        <v>7986</v>
      </c>
      <c r="F193" s="7">
        <v>4576.8</v>
      </c>
      <c r="G193" s="7">
        <v>5126.0160000000005</v>
      </c>
      <c r="H193" s="4">
        <v>915.36000000000013</v>
      </c>
      <c r="I193" s="5" t="s">
        <v>40</v>
      </c>
    </row>
    <row r="194" spans="1:9" ht="18" customHeight="1" x14ac:dyDescent="0.25">
      <c r="A194" s="2">
        <v>2021</v>
      </c>
      <c r="B194" s="2" t="s">
        <v>0</v>
      </c>
      <c r="C194" s="2" t="s">
        <v>13</v>
      </c>
      <c r="D194" s="3" t="s">
        <v>34</v>
      </c>
      <c r="E194" s="4">
        <v>5538.5330000000004</v>
      </c>
      <c r="F194" s="4">
        <v>200</v>
      </c>
      <c r="G194" s="4">
        <v>224</v>
      </c>
      <c r="H194" s="4">
        <v>40</v>
      </c>
      <c r="I194" s="5" t="s">
        <v>40</v>
      </c>
    </row>
    <row r="195" spans="1:9" ht="18" customHeight="1" x14ac:dyDescent="0.25">
      <c r="A195" s="2">
        <v>2021</v>
      </c>
      <c r="B195" s="2" t="s">
        <v>0</v>
      </c>
      <c r="C195" s="2" t="s">
        <v>32</v>
      </c>
      <c r="D195" s="6" t="s">
        <v>32</v>
      </c>
      <c r="E195" s="7">
        <v>3</v>
      </c>
      <c r="F195" s="7">
        <v>6600</v>
      </c>
      <c r="G195" s="7">
        <v>7392</v>
      </c>
      <c r="H195" s="4">
        <v>1320</v>
      </c>
      <c r="I195" s="5" t="s">
        <v>40</v>
      </c>
    </row>
    <row r="196" spans="1:9" ht="18" customHeight="1" x14ac:dyDescent="0.25">
      <c r="A196" s="2">
        <v>2021</v>
      </c>
      <c r="B196" s="2" t="s">
        <v>0</v>
      </c>
      <c r="C196" s="2" t="s">
        <v>15</v>
      </c>
      <c r="D196" s="6" t="s">
        <v>27</v>
      </c>
      <c r="E196" s="7">
        <v>3</v>
      </c>
      <c r="F196" s="7">
        <v>4577.3</v>
      </c>
      <c r="G196" s="7">
        <v>5126.576</v>
      </c>
      <c r="H196" s="4">
        <v>915.46</v>
      </c>
      <c r="I196" s="5" t="s">
        <v>40</v>
      </c>
    </row>
    <row r="197" spans="1:9" ht="18" customHeight="1" x14ac:dyDescent="0.25">
      <c r="A197" s="2">
        <v>2021</v>
      </c>
      <c r="B197" s="2" t="s">
        <v>1</v>
      </c>
      <c r="C197" s="2" t="s">
        <v>14</v>
      </c>
      <c r="D197" s="3" t="s">
        <v>36</v>
      </c>
      <c r="E197" s="4">
        <v>3566</v>
      </c>
      <c r="F197" s="4">
        <v>4577.3</v>
      </c>
      <c r="G197" s="4">
        <v>5126.576</v>
      </c>
      <c r="H197" s="4">
        <v>915.46</v>
      </c>
      <c r="I197" s="5" t="s">
        <v>40</v>
      </c>
    </row>
    <row r="198" spans="1:9" ht="18" customHeight="1" x14ac:dyDescent="0.25">
      <c r="A198" s="2">
        <v>2021</v>
      </c>
      <c r="B198" s="2" t="s">
        <v>1</v>
      </c>
      <c r="C198" s="2" t="s">
        <v>14</v>
      </c>
      <c r="D198" s="3" t="s">
        <v>37</v>
      </c>
      <c r="E198" s="4">
        <v>2498</v>
      </c>
      <c r="F198" s="4">
        <v>8000</v>
      </c>
      <c r="G198" s="4">
        <v>8960</v>
      </c>
      <c r="H198" s="4">
        <v>1600</v>
      </c>
      <c r="I198" s="5" t="s">
        <v>40</v>
      </c>
    </row>
    <row r="199" spans="1:9" ht="18" customHeight="1" x14ac:dyDescent="0.25">
      <c r="A199" s="2">
        <v>2021</v>
      </c>
      <c r="B199" s="2" t="s">
        <v>1</v>
      </c>
      <c r="C199" s="2" t="s">
        <v>13</v>
      </c>
      <c r="D199" s="3" t="s">
        <v>35</v>
      </c>
      <c r="E199" s="4">
        <v>1245</v>
      </c>
      <c r="F199" s="4">
        <v>4577.2</v>
      </c>
      <c r="G199" s="4">
        <v>5126.4639999999999</v>
      </c>
      <c r="H199" s="4">
        <v>915.44</v>
      </c>
      <c r="I199" s="5" t="s">
        <v>40</v>
      </c>
    </row>
    <row r="200" spans="1:9" ht="18" customHeight="1" x14ac:dyDescent="0.25">
      <c r="A200" s="2">
        <v>2021</v>
      </c>
      <c r="B200" s="2" t="s">
        <v>1</v>
      </c>
      <c r="C200" s="2" t="s">
        <v>38</v>
      </c>
      <c r="D200" s="6" t="s">
        <v>30</v>
      </c>
      <c r="E200" s="7">
        <v>644</v>
      </c>
      <c r="F200" s="7">
        <v>5743.5</v>
      </c>
      <c r="G200" s="7">
        <v>6432.72</v>
      </c>
      <c r="H200" s="4">
        <v>1148.7</v>
      </c>
      <c r="I200" s="5" t="s">
        <v>40</v>
      </c>
    </row>
    <row r="201" spans="1:9" ht="18" customHeight="1" x14ac:dyDescent="0.25">
      <c r="A201" s="2">
        <v>2021</v>
      </c>
      <c r="B201" s="2" t="s">
        <v>1</v>
      </c>
      <c r="C201" s="2" t="s">
        <v>12</v>
      </c>
      <c r="D201" s="6" t="s">
        <v>29</v>
      </c>
      <c r="E201" s="7">
        <v>643</v>
      </c>
      <c r="F201" s="7">
        <v>7000</v>
      </c>
      <c r="G201" s="7">
        <v>7840</v>
      </c>
      <c r="H201" s="4">
        <v>1400</v>
      </c>
      <c r="I201" s="5" t="s">
        <v>40</v>
      </c>
    </row>
    <row r="202" spans="1:9" ht="18" customHeight="1" x14ac:dyDescent="0.25">
      <c r="A202" s="2">
        <v>2021</v>
      </c>
      <c r="B202" s="2" t="s">
        <v>1</v>
      </c>
      <c r="C202" s="2" t="s">
        <v>38</v>
      </c>
      <c r="D202" s="6" t="s">
        <v>31</v>
      </c>
      <c r="E202" s="7">
        <v>455</v>
      </c>
      <c r="F202" s="7">
        <v>4578.6000000000004</v>
      </c>
      <c r="G202" s="7">
        <v>5128.0320000000002</v>
      </c>
      <c r="H202" s="4">
        <v>915.72000000000014</v>
      </c>
      <c r="I202" s="5" t="s">
        <v>40</v>
      </c>
    </row>
    <row r="203" spans="1:9" ht="18" customHeight="1" x14ac:dyDescent="0.25">
      <c r="A203" s="2">
        <v>2021</v>
      </c>
      <c r="B203" s="2" t="s">
        <v>1</v>
      </c>
      <c r="C203" s="2" t="s">
        <v>12</v>
      </c>
      <c r="D203" s="6" t="s">
        <v>28</v>
      </c>
      <c r="E203" s="8">
        <v>345</v>
      </c>
      <c r="F203" s="8">
        <v>7000</v>
      </c>
      <c r="G203" s="8">
        <v>7840</v>
      </c>
      <c r="H203" s="4">
        <v>1400</v>
      </c>
      <c r="I203" s="5" t="s">
        <v>40</v>
      </c>
    </row>
    <row r="204" spans="1:9" ht="18" customHeight="1" x14ac:dyDescent="0.25">
      <c r="A204" s="2">
        <v>2021</v>
      </c>
      <c r="B204" s="2" t="s">
        <v>1</v>
      </c>
      <c r="C204" s="2" t="s">
        <v>13</v>
      </c>
      <c r="D204" s="3" t="s">
        <v>33</v>
      </c>
      <c r="E204" s="4">
        <v>122</v>
      </c>
      <c r="F204" s="4">
        <v>100</v>
      </c>
      <c r="G204" s="4">
        <v>112</v>
      </c>
      <c r="H204" s="4">
        <v>20</v>
      </c>
      <c r="I204" s="5" t="s">
        <v>40</v>
      </c>
    </row>
    <row r="205" spans="1:9" ht="18" customHeight="1" x14ac:dyDescent="0.25">
      <c r="A205" s="2">
        <v>2021</v>
      </c>
      <c r="B205" s="2" t="s">
        <v>1</v>
      </c>
      <c r="C205" s="2" t="s">
        <v>15</v>
      </c>
      <c r="D205" s="6" t="s">
        <v>26</v>
      </c>
      <c r="E205" s="7">
        <v>78</v>
      </c>
      <c r="F205" s="7">
        <v>4577.2</v>
      </c>
      <c r="G205" s="7">
        <v>5126.4639999999999</v>
      </c>
      <c r="H205" s="4">
        <v>915.44</v>
      </c>
      <c r="I205" s="5" t="s">
        <v>40</v>
      </c>
    </row>
    <row r="206" spans="1:9" ht="18" customHeight="1" x14ac:dyDescent="0.25">
      <c r="A206" s="2">
        <v>2021</v>
      </c>
      <c r="B206" s="2" t="s">
        <v>1</v>
      </c>
      <c r="C206" s="2" t="s">
        <v>15</v>
      </c>
      <c r="D206" s="6" t="s">
        <v>24</v>
      </c>
      <c r="E206" s="7">
        <v>240</v>
      </c>
      <c r="F206" s="7">
        <v>4576.8999999999996</v>
      </c>
      <c r="G206" s="7">
        <v>5126.1279999999997</v>
      </c>
      <c r="H206" s="4">
        <v>915.38</v>
      </c>
      <c r="I206" s="5" t="s">
        <v>40</v>
      </c>
    </row>
    <row r="207" spans="1:9" ht="18" customHeight="1" x14ac:dyDescent="0.25">
      <c r="A207" s="2">
        <v>2021</v>
      </c>
      <c r="B207" s="2" t="s">
        <v>1</v>
      </c>
      <c r="C207" s="2" t="s">
        <v>15</v>
      </c>
      <c r="D207" s="6" t="s">
        <v>25</v>
      </c>
      <c r="E207" s="7">
        <v>5492.16</v>
      </c>
      <c r="F207" s="7">
        <v>200</v>
      </c>
      <c r="G207" s="7">
        <v>224</v>
      </c>
      <c r="H207" s="4">
        <v>40</v>
      </c>
      <c r="I207" s="5" t="s">
        <v>40</v>
      </c>
    </row>
    <row r="208" spans="1:9" ht="18" customHeight="1" x14ac:dyDescent="0.25">
      <c r="A208" s="2">
        <v>2021</v>
      </c>
      <c r="B208" s="2" t="s">
        <v>1</v>
      </c>
      <c r="C208" s="2" t="s">
        <v>15</v>
      </c>
      <c r="D208" s="6" t="s">
        <v>23</v>
      </c>
      <c r="E208" s="7">
        <v>240</v>
      </c>
      <c r="F208" s="7">
        <v>4576.8</v>
      </c>
      <c r="G208" s="7">
        <v>5126.0160000000005</v>
      </c>
      <c r="H208" s="4">
        <v>915.36000000000013</v>
      </c>
      <c r="I208" s="5" t="s">
        <v>40</v>
      </c>
    </row>
    <row r="209" spans="1:9" ht="18" customHeight="1" x14ac:dyDescent="0.25">
      <c r="A209" s="2">
        <v>2021</v>
      </c>
      <c r="B209" s="2" t="s">
        <v>1</v>
      </c>
      <c r="C209" s="2" t="s">
        <v>13</v>
      </c>
      <c r="D209" s="3" t="s">
        <v>34</v>
      </c>
      <c r="E209" s="4">
        <v>5492.76</v>
      </c>
      <c r="F209" s="4">
        <v>200</v>
      </c>
      <c r="G209" s="4">
        <v>224</v>
      </c>
      <c r="H209" s="4">
        <v>40</v>
      </c>
      <c r="I209" s="5" t="s">
        <v>40</v>
      </c>
    </row>
    <row r="210" spans="1:9" ht="18" customHeight="1" x14ac:dyDescent="0.25">
      <c r="A210" s="2">
        <v>2021</v>
      </c>
      <c r="B210" s="2" t="s">
        <v>1</v>
      </c>
      <c r="C210" s="2" t="s">
        <v>15</v>
      </c>
      <c r="D210" s="6" t="s">
        <v>27</v>
      </c>
      <c r="E210" s="7">
        <v>7920</v>
      </c>
      <c r="F210" s="7">
        <v>4577.3</v>
      </c>
      <c r="G210" s="7">
        <v>5126.576</v>
      </c>
      <c r="H210" s="4">
        <v>915.46</v>
      </c>
      <c r="I210" s="5" t="s">
        <v>40</v>
      </c>
    </row>
    <row r="211" spans="1:9" ht="18" customHeight="1" x14ac:dyDescent="0.25">
      <c r="A211" s="2">
        <v>2021</v>
      </c>
      <c r="B211" s="2" t="s">
        <v>1</v>
      </c>
      <c r="C211" s="2" t="s">
        <v>32</v>
      </c>
      <c r="D211" s="6" t="s">
        <v>32</v>
      </c>
      <c r="E211" s="7">
        <v>5492.76</v>
      </c>
      <c r="F211" s="7">
        <v>6600</v>
      </c>
      <c r="G211" s="7">
        <v>7392</v>
      </c>
      <c r="H211" s="4">
        <v>1320</v>
      </c>
      <c r="I211" s="5" t="s">
        <v>40</v>
      </c>
    </row>
    <row r="212" spans="1:9" ht="18" customHeight="1" x14ac:dyDescent="0.25">
      <c r="A212" s="2">
        <v>2021</v>
      </c>
      <c r="B212" s="2" t="s">
        <v>2</v>
      </c>
      <c r="C212" s="2" t="s">
        <v>14</v>
      </c>
      <c r="D212" s="3" t="s">
        <v>36</v>
      </c>
      <c r="E212" s="4">
        <v>9600</v>
      </c>
      <c r="F212" s="4">
        <v>4577.3</v>
      </c>
      <c r="G212" s="4">
        <v>5126.576</v>
      </c>
      <c r="H212" s="4">
        <v>915.46</v>
      </c>
      <c r="I212" s="5" t="s">
        <v>40</v>
      </c>
    </row>
    <row r="213" spans="1:9" ht="18" customHeight="1" x14ac:dyDescent="0.25">
      <c r="A213" s="2">
        <v>2021</v>
      </c>
      <c r="B213" s="2" t="s">
        <v>2</v>
      </c>
      <c r="C213" s="2" t="s">
        <v>14</v>
      </c>
      <c r="D213" s="3" t="s">
        <v>37</v>
      </c>
      <c r="E213" s="4">
        <v>5492.6399999999994</v>
      </c>
      <c r="F213" s="4">
        <v>8000</v>
      </c>
      <c r="G213" s="4">
        <v>8960</v>
      </c>
      <c r="H213" s="4">
        <v>1600</v>
      </c>
      <c r="I213" s="5" t="s">
        <v>40</v>
      </c>
    </row>
    <row r="214" spans="1:9" ht="18" customHeight="1" x14ac:dyDescent="0.25">
      <c r="A214" s="2">
        <v>2021</v>
      </c>
      <c r="B214" s="2" t="s">
        <v>2</v>
      </c>
      <c r="C214" s="2" t="s">
        <v>13</v>
      </c>
      <c r="D214" s="3" t="s">
        <v>35</v>
      </c>
      <c r="E214" s="4">
        <v>6892.2</v>
      </c>
      <c r="F214" s="4">
        <v>4577.2</v>
      </c>
      <c r="G214" s="4">
        <v>5126.4639999999999</v>
      </c>
      <c r="H214" s="4">
        <v>915.44</v>
      </c>
      <c r="I214" s="5" t="s">
        <v>40</v>
      </c>
    </row>
    <row r="215" spans="1:9" ht="18" customHeight="1" x14ac:dyDescent="0.25">
      <c r="A215" s="2">
        <v>2021</v>
      </c>
      <c r="B215" s="2" t="s">
        <v>2</v>
      </c>
      <c r="C215" s="2" t="s">
        <v>38</v>
      </c>
      <c r="D215" s="6" t="s">
        <v>30</v>
      </c>
      <c r="E215" s="7">
        <v>644</v>
      </c>
      <c r="F215" s="7">
        <v>5743.5</v>
      </c>
      <c r="G215" s="7">
        <v>6432.72</v>
      </c>
      <c r="H215" s="4">
        <v>1148.7</v>
      </c>
      <c r="I215" s="5" t="s">
        <v>40</v>
      </c>
    </row>
    <row r="216" spans="1:9" ht="18" customHeight="1" x14ac:dyDescent="0.25">
      <c r="A216" s="2">
        <v>2021</v>
      </c>
      <c r="B216" s="2" t="s">
        <v>2</v>
      </c>
      <c r="C216" s="2" t="s">
        <v>12</v>
      </c>
      <c r="D216" s="6" t="s">
        <v>29</v>
      </c>
      <c r="E216" s="7">
        <v>643</v>
      </c>
      <c r="F216" s="7">
        <v>7000</v>
      </c>
      <c r="G216" s="7">
        <v>7840</v>
      </c>
      <c r="H216" s="4">
        <v>1400</v>
      </c>
      <c r="I216" s="5" t="s">
        <v>40</v>
      </c>
    </row>
    <row r="217" spans="1:9" ht="18" customHeight="1" x14ac:dyDescent="0.25">
      <c r="A217" s="2">
        <v>2021</v>
      </c>
      <c r="B217" s="2" t="s">
        <v>2</v>
      </c>
      <c r="C217" s="2" t="s">
        <v>38</v>
      </c>
      <c r="D217" s="6" t="s">
        <v>31</v>
      </c>
      <c r="E217" s="7">
        <v>455</v>
      </c>
      <c r="F217" s="7">
        <v>4578.6000000000004</v>
      </c>
      <c r="G217" s="7">
        <v>5128.0320000000002</v>
      </c>
      <c r="H217" s="4">
        <v>915.72000000000014</v>
      </c>
      <c r="I217" s="5" t="s">
        <v>40</v>
      </c>
    </row>
    <row r="218" spans="1:9" ht="18" customHeight="1" x14ac:dyDescent="0.25">
      <c r="A218" s="2">
        <v>2021</v>
      </c>
      <c r="B218" s="2" t="s">
        <v>2</v>
      </c>
      <c r="C218" s="2" t="s">
        <v>12</v>
      </c>
      <c r="D218" s="6" t="s">
        <v>28</v>
      </c>
      <c r="E218" s="8">
        <v>345</v>
      </c>
      <c r="F218" s="8">
        <v>7000</v>
      </c>
      <c r="G218" s="8">
        <v>7840</v>
      </c>
      <c r="H218" s="4">
        <v>1400</v>
      </c>
      <c r="I218" s="5" t="s">
        <v>40</v>
      </c>
    </row>
    <row r="219" spans="1:9" ht="18" customHeight="1" x14ac:dyDescent="0.25">
      <c r="A219" s="2">
        <v>2021</v>
      </c>
      <c r="B219" s="2" t="s">
        <v>2</v>
      </c>
      <c r="C219" s="2" t="s">
        <v>13</v>
      </c>
      <c r="D219" s="3" t="s">
        <v>33</v>
      </c>
      <c r="E219" s="4">
        <v>122</v>
      </c>
      <c r="F219" s="4">
        <v>100</v>
      </c>
      <c r="G219" s="4">
        <v>112</v>
      </c>
      <c r="H219" s="4">
        <v>20</v>
      </c>
      <c r="I219" s="5" t="s">
        <v>40</v>
      </c>
    </row>
    <row r="220" spans="1:9" ht="18" customHeight="1" x14ac:dyDescent="0.25">
      <c r="A220" s="2">
        <v>2021</v>
      </c>
      <c r="B220" s="2" t="s">
        <v>2</v>
      </c>
      <c r="C220" s="2" t="s">
        <v>15</v>
      </c>
      <c r="D220" s="6" t="s">
        <v>26</v>
      </c>
      <c r="E220" s="7">
        <v>78</v>
      </c>
      <c r="F220" s="7">
        <v>4577.2</v>
      </c>
      <c r="G220" s="7">
        <v>5126.4639999999999</v>
      </c>
      <c r="H220" s="4">
        <v>915.44</v>
      </c>
      <c r="I220" s="5" t="s">
        <v>40</v>
      </c>
    </row>
    <row r="221" spans="1:9" ht="18" customHeight="1" x14ac:dyDescent="0.25">
      <c r="A221" s="2">
        <v>2021</v>
      </c>
      <c r="B221" s="2" t="s">
        <v>2</v>
      </c>
      <c r="C221" s="2" t="s">
        <v>15</v>
      </c>
      <c r="D221" s="6" t="s">
        <v>24</v>
      </c>
      <c r="E221" s="7">
        <v>76</v>
      </c>
      <c r="F221" s="7">
        <v>4576.8999999999996</v>
      </c>
      <c r="G221" s="7">
        <v>5126.1279999999997</v>
      </c>
      <c r="H221" s="4">
        <v>915.38</v>
      </c>
      <c r="I221" s="5" t="s">
        <v>40</v>
      </c>
    </row>
    <row r="222" spans="1:9" ht="18" customHeight="1" x14ac:dyDescent="0.25">
      <c r="A222" s="2">
        <v>2021</v>
      </c>
      <c r="B222" s="2" t="s">
        <v>2</v>
      </c>
      <c r="C222" s="2" t="s">
        <v>15</v>
      </c>
      <c r="D222" s="6" t="s">
        <v>25</v>
      </c>
      <c r="E222" s="7">
        <v>46</v>
      </c>
      <c r="F222" s="7">
        <v>200</v>
      </c>
      <c r="G222" s="7">
        <v>224</v>
      </c>
      <c r="H222" s="4">
        <v>40</v>
      </c>
      <c r="I222" s="5" t="s">
        <v>40</v>
      </c>
    </row>
    <row r="223" spans="1:9" ht="18" customHeight="1" x14ac:dyDescent="0.25">
      <c r="A223" s="2">
        <v>2021</v>
      </c>
      <c r="B223" s="2" t="s">
        <v>2</v>
      </c>
      <c r="C223" s="2" t="s">
        <v>15</v>
      </c>
      <c r="D223" s="6" t="s">
        <v>23</v>
      </c>
      <c r="E223" s="7">
        <v>34</v>
      </c>
      <c r="F223" s="7">
        <v>4576.8</v>
      </c>
      <c r="G223" s="7">
        <v>5126.0160000000005</v>
      </c>
      <c r="H223" s="4">
        <v>915.36000000000013</v>
      </c>
      <c r="I223" s="5" t="s">
        <v>40</v>
      </c>
    </row>
    <row r="224" spans="1:9" ht="18" customHeight="1" x14ac:dyDescent="0.25">
      <c r="A224" s="2">
        <v>2021</v>
      </c>
      <c r="B224" s="2" t="s">
        <v>2</v>
      </c>
      <c r="C224" s="2" t="s">
        <v>13</v>
      </c>
      <c r="D224" s="3" t="s">
        <v>34</v>
      </c>
      <c r="E224" s="4">
        <v>7</v>
      </c>
      <c r="F224" s="4">
        <v>200</v>
      </c>
      <c r="G224" s="4">
        <v>224</v>
      </c>
      <c r="H224" s="4">
        <v>40</v>
      </c>
      <c r="I224" s="5" t="s">
        <v>40</v>
      </c>
    </row>
    <row r="225" spans="1:9" ht="18" customHeight="1" x14ac:dyDescent="0.25">
      <c r="A225" s="2">
        <v>2021</v>
      </c>
      <c r="B225" s="2" t="s">
        <v>2</v>
      </c>
      <c r="C225" s="2" t="s">
        <v>15</v>
      </c>
      <c r="D225" s="6" t="s">
        <v>27</v>
      </c>
      <c r="E225" s="7">
        <v>3</v>
      </c>
      <c r="F225" s="7">
        <v>4577.3</v>
      </c>
      <c r="G225" s="7">
        <v>5126.576</v>
      </c>
      <c r="H225" s="4">
        <v>915.46</v>
      </c>
      <c r="I225" s="5" t="s">
        <v>40</v>
      </c>
    </row>
    <row r="226" spans="1:9" ht="18" customHeight="1" x14ac:dyDescent="0.25">
      <c r="A226" s="2">
        <v>2021</v>
      </c>
      <c r="B226" s="2" t="s">
        <v>2</v>
      </c>
      <c r="C226" s="2" t="s">
        <v>32</v>
      </c>
      <c r="D226" s="6" t="s">
        <v>32</v>
      </c>
      <c r="E226" s="7">
        <v>2</v>
      </c>
      <c r="F226" s="7">
        <v>6600</v>
      </c>
      <c r="G226" s="7">
        <v>7392</v>
      </c>
      <c r="H226" s="4">
        <v>1320</v>
      </c>
      <c r="I226" s="5" t="s">
        <v>40</v>
      </c>
    </row>
    <row r="227" spans="1:9" ht="18" customHeight="1" x14ac:dyDescent="0.25">
      <c r="A227" s="2">
        <v>2021</v>
      </c>
      <c r="B227" s="2" t="s">
        <v>3</v>
      </c>
      <c r="C227" s="2" t="s">
        <v>14</v>
      </c>
      <c r="D227" s="3" t="s">
        <v>36</v>
      </c>
      <c r="E227" s="4">
        <v>3566</v>
      </c>
      <c r="F227" s="4">
        <v>4577.3</v>
      </c>
      <c r="G227" s="4">
        <v>5126.576</v>
      </c>
      <c r="H227" s="4">
        <v>915.46</v>
      </c>
      <c r="I227" s="5" t="s">
        <v>40</v>
      </c>
    </row>
    <row r="228" spans="1:9" ht="18" customHeight="1" x14ac:dyDescent="0.25">
      <c r="A228" s="2">
        <v>2021</v>
      </c>
      <c r="B228" s="2" t="s">
        <v>3</v>
      </c>
      <c r="C228" s="2" t="s">
        <v>14</v>
      </c>
      <c r="D228" s="3" t="s">
        <v>37</v>
      </c>
      <c r="E228" s="4">
        <v>2498</v>
      </c>
      <c r="F228" s="4">
        <v>8000</v>
      </c>
      <c r="G228" s="4">
        <v>8960</v>
      </c>
      <c r="H228" s="4">
        <v>1600</v>
      </c>
      <c r="I228" s="5" t="s">
        <v>40</v>
      </c>
    </row>
    <row r="229" spans="1:9" ht="18" customHeight="1" x14ac:dyDescent="0.25">
      <c r="A229" s="2">
        <v>2021</v>
      </c>
      <c r="B229" s="2" t="s">
        <v>3</v>
      </c>
      <c r="C229" s="2" t="s">
        <v>13</v>
      </c>
      <c r="D229" s="3" t="s">
        <v>35</v>
      </c>
      <c r="E229" s="4">
        <v>1245</v>
      </c>
      <c r="F229" s="4">
        <v>4577.2</v>
      </c>
      <c r="G229" s="4">
        <v>5126.4639999999999</v>
      </c>
      <c r="H229" s="4">
        <v>915.44</v>
      </c>
      <c r="I229" s="5" t="s">
        <v>40</v>
      </c>
    </row>
    <row r="230" spans="1:9" ht="18" customHeight="1" x14ac:dyDescent="0.25">
      <c r="A230" s="2">
        <v>2021</v>
      </c>
      <c r="B230" s="2" t="s">
        <v>3</v>
      </c>
      <c r="C230" s="2" t="s">
        <v>38</v>
      </c>
      <c r="D230" s="6" t="s">
        <v>30</v>
      </c>
      <c r="E230" s="7">
        <v>644</v>
      </c>
      <c r="F230" s="7">
        <v>5743.5</v>
      </c>
      <c r="G230" s="7">
        <v>6432.72</v>
      </c>
      <c r="H230" s="4">
        <v>1148.7</v>
      </c>
      <c r="I230" s="5" t="s">
        <v>40</v>
      </c>
    </row>
    <row r="231" spans="1:9" ht="18" customHeight="1" x14ac:dyDescent="0.25">
      <c r="A231" s="2">
        <v>2021</v>
      </c>
      <c r="B231" s="2" t="s">
        <v>3</v>
      </c>
      <c r="C231" s="2" t="s">
        <v>12</v>
      </c>
      <c r="D231" s="6" t="s">
        <v>29</v>
      </c>
      <c r="E231" s="7">
        <v>643</v>
      </c>
      <c r="F231" s="7">
        <v>7000</v>
      </c>
      <c r="G231" s="7">
        <v>7840</v>
      </c>
      <c r="H231" s="4">
        <v>1400</v>
      </c>
      <c r="I231" s="5" t="s">
        <v>40</v>
      </c>
    </row>
    <row r="232" spans="1:9" ht="18" customHeight="1" x14ac:dyDescent="0.25">
      <c r="A232" s="2">
        <v>2021</v>
      </c>
      <c r="B232" s="2" t="s">
        <v>3</v>
      </c>
      <c r="C232" s="2" t="s">
        <v>38</v>
      </c>
      <c r="D232" s="6" t="s">
        <v>31</v>
      </c>
      <c r="E232" s="7">
        <v>455</v>
      </c>
      <c r="F232" s="7">
        <v>4578.6000000000004</v>
      </c>
      <c r="G232" s="7">
        <v>5128.0320000000002</v>
      </c>
      <c r="H232" s="4">
        <v>915.72000000000014</v>
      </c>
      <c r="I232" s="5" t="s">
        <v>40</v>
      </c>
    </row>
    <row r="233" spans="1:9" ht="18" customHeight="1" x14ac:dyDescent="0.25">
      <c r="A233" s="2">
        <v>2021</v>
      </c>
      <c r="B233" s="2" t="s">
        <v>3</v>
      </c>
      <c r="C233" s="2" t="s">
        <v>12</v>
      </c>
      <c r="D233" s="6" t="s">
        <v>28</v>
      </c>
      <c r="E233" s="8">
        <v>345</v>
      </c>
      <c r="F233" s="8">
        <v>7000</v>
      </c>
      <c r="G233" s="8">
        <v>7840</v>
      </c>
      <c r="H233" s="4">
        <v>1400</v>
      </c>
      <c r="I233" s="5" t="s">
        <v>40</v>
      </c>
    </row>
    <row r="234" spans="1:9" ht="18" customHeight="1" x14ac:dyDescent="0.25">
      <c r="A234" s="2">
        <v>2021</v>
      </c>
      <c r="B234" s="2" t="s">
        <v>3</v>
      </c>
      <c r="C234" s="2" t="s">
        <v>13</v>
      </c>
      <c r="D234" s="3" t="s">
        <v>33</v>
      </c>
      <c r="E234" s="4">
        <v>122</v>
      </c>
      <c r="F234" s="4">
        <v>100</v>
      </c>
      <c r="G234" s="4">
        <v>112</v>
      </c>
      <c r="H234" s="4">
        <v>20</v>
      </c>
      <c r="I234" s="5" t="s">
        <v>40</v>
      </c>
    </row>
    <row r="235" spans="1:9" ht="18" customHeight="1" x14ac:dyDescent="0.25">
      <c r="A235" s="2">
        <v>2021</v>
      </c>
      <c r="B235" s="2" t="s">
        <v>3</v>
      </c>
      <c r="C235" s="2" t="s">
        <v>15</v>
      </c>
      <c r="D235" s="6" t="s">
        <v>26</v>
      </c>
      <c r="E235" s="7">
        <v>78</v>
      </c>
      <c r="F235" s="7">
        <v>4577.2</v>
      </c>
      <c r="G235" s="7">
        <v>5126.4639999999999</v>
      </c>
      <c r="H235" s="4">
        <v>915.44</v>
      </c>
      <c r="I235" s="5" t="s">
        <v>40</v>
      </c>
    </row>
    <row r="236" spans="1:9" ht="18" customHeight="1" x14ac:dyDescent="0.25">
      <c r="A236" s="2">
        <v>2021</v>
      </c>
      <c r="B236" s="2" t="s">
        <v>3</v>
      </c>
      <c r="C236" s="2" t="s">
        <v>15</v>
      </c>
      <c r="D236" s="6" t="s">
        <v>24</v>
      </c>
      <c r="E236" s="7">
        <v>76</v>
      </c>
      <c r="F236" s="7">
        <v>4576.8999999999996</v>
      </c>
      <c r="G236" s="7">
        <v>5126.1279999999997</v>
      </c>
      <c r="H236" s="4">
        <v>915.38</v>
      </c>
      <c r="I236" s="5" t="s">
        <v>40</v>
      </c>
    </row>
    <row r="237" spans="1:9" ht="18" customHeight="1" x14ac:dyDescent="0.25">
      <c r="A237" s="2">
        <v>2021</v>
      </c>
      <c r="B237" s="2" t="s">
        <v>3</v>
      </c>
      <c r="C237" s="2" t="s">
        <v>15</v>
      </c>
      <c r="D237" s="6" t="s">
        <v>25</v>
      </c>
      <c r="E237" s="7">
        <v>46</v>
      </c>
      <c r="F237" s="7">
        <v>200</v>
      </c>
      <c r="G237" s="7">
        <v>224</v>
      </c>
      <c r="H237" s="4">
        <v>40</v>
      </c>
      <c r="I237" s="5" t="s">
        <v>40</v>
      </c>
    </row>
    <row r="238" spans="1:9" ht="18" customHeight="1" x14ac:dyDescent="0.25">
      <c r="A238" s="2">
        <v>2021</v>
      </c>
      <c r="B238" s="2" t="s">
        <v>3</v>
      </c>
      <c r="C238" s="2" t="s">
        <v>15</v>
      </c>
      <c r="D238" s="6" t="s">
        <v>23</v>
      </c>
      <c r="E238" s="7">
        <v>34</v>
      </c>
      <c r="F238" s="7">
        <v>4576.8</v>
      </c>
      <c r="G238" s="7">
        <v>5126.0160000000005</v>
      </c>
      <c r="H238" s="4">
        <v>915.36000000000013</v>
      </c>
      <c r="I238" s="5" t="s">
        <v>40</v>
      </c>
    </row>
    <row r="239" spans="1:9" ht="18" customHeight="1" x14ac:dyDescent="0.25">
      <c r="A239" s="2">
        <v>2021</v>
      </c>
      <c r="B239" s="2" t="s">
        <v>3</v>
      </c>
      <c r="C239" s="2" t="s">
        <v>13</v>
      </c>
      <c r="D239" s="3" t="s">
        <v>34</v>
      </c>
      <c r="E239" s="4">
        <v>7</v>
      </c>
      <c r="F239" s="4">
        <v>200</v>
      </c>
      <c r="G239" s="4">
        <v>224</v>
      </c>
      <c r="H239" s="4">
        <v>40</v>
      </c>
      <c r="I239" s="5" t="s">
        <v>40</v>
      </c>
    </row>
    <row r="240" spans="1:9" ht="18" customHeight="1" x14ac:dyDescent="0.25">
      <c r="A240" s="2">
        <v>2021</v>
      </c>
      <c r="B240" s="2" t="s">
        <v>3</v>
      </c>
      <c r="C240" s="2" t="s">
        <v>15</v>
      </c>
      <c r="D240" s="6" t="s">
        <v>27</v>
      </c>
      <c r="E240" s="7">
        <v>3</v>
      </c>
      <c r="F240" s="7">
        <v>4577.3</v>
      </c>
      <c r="G240" s="7">
        <v>5126.576</v>
      </c>
      <c r="H240" s="4">
        <v>915.46</v>
      </c>
      <c r="I240" s="5" t="s">
        <v>40</v>
      </c>
    </row>
    <row r="241" spans="1:9" ht="18" customHeight="1" x14ac:dyDescent="0.25">
      <c r="A241" s="2">
        <v>2021</v>
      </c>
      <c r="B241" s="2" t="s">
        <v>3</v>
      </c>
      <c r="C241" s="2" t="s">
        <v>32</v>
      </c>
      <c r="D241" s="6" t="s">
        <v>32</v>
      </c>
      <c r="E241" s="7">
        <v>2</v>
      </c>
      <c r="F241" s="7">
        <v>7920</v>
      </c>
      <c r="G241" s="7">
        <v>10296</v>
      </c>
      <c r="H241" s="4">
        <v>1584</v>
      </c>
      <c r="I241" s="5" t="s">
        <v>40</v>
      </c>
    </row>
    <row r="242" spans="1:9" ht="18" customHeight="1" x14ac:dyDescent="0.25">
      <c r="A242" s="2">
        <v>2021</v>
      </c>
      <c r="B242" s="2" t="s">
        <v>4</v>
      </c>
      <c r="C242" s="2" t="s">
        <v>14</v>
      </c>
      <c r="D242" s="3" t="s">
        <v>36</v>
      </c>
      <c r="E242" s="4">
        <v>3566</v>
      </c>
      <c r="F242" s="4">
        <v>5492.76</v>
      </c>
      <c r="G242" s="4">
        <v>7140.5879999999997</v>
      </c>
      <c r="H242" s="4">
        <v>1098.5520000000001</v>
      </c>
      <c r="I242" s="5" t="s">
        <v>40</v>
      </c>
    </row>
    <row r="243" spans="1:9" ht="18" customHeight="1" x14ac:dyDescent="0.25">
      <c r="A243" s="2">
        <v>2021</v>
      </c>
      <c r="B243" s="2" t="s">
        <v>4</v>
      </c>
      <c r="C243" s="2" t="s">
        <v>14</v>
      </c>
      <c r="D243" s="3" t="s">
        <v>37</v>
      </c>
      <c r="E243" s="4">
        <v>2498</v>
      </c>
      <c r="F243" s="4">
        <v>9600</v>
      </c>
      <c r="G243" s="4">
        <v>12480</v>
      </c>
      <c r="H243" s="4">
        <v>1920</v>
      </c>
      <c r="I243" s="5" t="s">
        <v>40</v>
      </c>
    </row>
    <row r="244" spans="1:9" ht="18" customHeight="1" x14ac:dyDescent="0.25">
      <c r="A244" s="2">
        <v>2021</v>
      </c>
      <c r="B244" s="2" t="s">
        <v>4</v>
      </c>
      <c r="C244" s="2" t="s">
        <v>13</v>
      </c>
      <c r="D244" s="3" t="s">
        <v>35</v>
      </c>
      <c r="E244" s="4">
        <v>1245</v>
      </c>
      <c r="F244" s="4">
        <v>5492.6399999999994</v>
      </c>
      <c r="G244" s="4">
        <v>7140.4319999999989</v>
      </c>
      <c r="H244" s="4">
        <v>1098.528</v>
      </c>
      <c r="I244" s="5" t="s">
        <v>40</v>
      </c>
    </row>
    <row r="245" spans="1:9" ht="18" customHeight="1" x14ac:dyDescent="0.25">
      <c r="A245" s="2">
        <v>2021</v>
      </c>
      <c r="B245" s="2" t="s">
        <v>4</v>
      </c>
      <c r="C245" s="2" t="s">
        <v>38</v>
      </c>
      <c r="D245" s="6" t="s">
        <v>30</v>
      </c>
      <c r="E245" s="7">
        <v>644</v>
      </c>
      <c r="F245" s="7">
        <v>6892.2</v>
      </c>
      <c r="G245" s="7">
        <v>8959.86</v>
      </c>
      <c r="H245" s="4">
        <v>1378.44</v>
      </c>
      <c r="I245" s="5" t="s">
        <v>40</v>
      </c>
    </row>
    <row r="246" spans="1:9" ht="18" customHeight="1" x14ac:dyDescent="0.25">
      <c r="A246" s="2">
        <v>2021</v>
      </c>
      <c r="B246" s="2" t="s">
        <v>4</v>
      </c>
      <c r="C246" s="2" t="s">
        <v>12</v>
      </c>
      <c r="D246" s="6" t="s">
        <v>29</v>
      </c>
      <c r="E246" s="7">
        <v>643</v>
      </c>
      <c r="F246" s="7">
        <v>8400</v>
      </c>
      <c r="G246" s="7">
        <v>10920</v>
      </c>
      <c r="H246" s="4">
        <v>1680</v>
      </c>
      <c r="I246" s="5" t="s">
        <v>40</v>
      </c>
    </row>
    <row r="247" spans="1:9" ht="18" customHeight="1" x14ac:dyDescent="0.25">
      <c r="A247" s="2">
        <v>2021</v>
      </c>
      <c r="B247" s="2" t="s">
        <v>4</v>
      </c>
      <c r="C247" s="2" t="s">
        <v>38</v>
      </c>
      <c r="D247" s="6" t="s">
        <v>31</v>
      </c>
      <c r="E247" s="7">
        <v>455</v>
      </c>
      <c r="F247" s="7">
        <v>5494.3200000000006</v>
      </c>
      <c r="G247" s="7">
        <v>7142.6160000000009</v>
      </c>
      <c r="H247" s="4">
        <v>1098.8640000000003</v>
      </c>
      <c r="I247" s="5" t="s">
        <v>40</v>
      </c>
    </row>
    <row r="248" spans="1:9" ht="18" customHeight="1" x14ac:dyDescent="0.25">
      <c r="A248" s="2">
        <v>2021</v>
      </c>
      <c r="B248" s="2" t="s">
        <v>4</v>
      </c>
      <c r="C248" s="2" t="s">
        <v>12</v>
      </c>
      <c r="D248" s="6" t="s">
        <v>28</v>
      </c>
      <c r="E248" s="8">
        <v>345</v>
      </c>
      <c r="F248" s="8">
        <v>8400</v>
      </c>
      <c r="G248" s="8">
        <v>10920</v>
      </c>
      <c r="H248" s="4">
        <v>1680</v>
      </c>
      <c r="I248" s="5" t="s">
        <v>40</v>
      </c>
    </row>
    <row r="249" spans="1:9" ht="18" customHeight="1" x14ac:dyDescent="0.25">
      <c r="A249" s="2">
        <v>2021</v>
      </c>
      <c r="B249" s="2" t="s">
        <v>4</v>
      </c>
      <c r="C249" s="2" t="s">
        <v>13</v>
      </c>
      <c r="D249" s="3" t="s">
        <v>33</v>
      </c>
      <c r="E249" s="4">
        <v>122</v>
      </c>
      <c r="F249" s="4">
        <v>120</v>
      </c>
      <c r="G249" s="4">
        <v>156</v>
      </c>
      <c r="H249" s="4">
        <v>24</v>
      </c>
      <c r="I249" s="5" t="s">
        <v>40</v>
      </c>
    </row>
    <row r="250" spans="1:9" ht="18" customHeight="1" x14ac:dyDescent="0.25">
      <c r="A250" s="2">
        <v>2021</v>
      </c>
      <c r="B250" s="2" t="s">
        <v>4</v>
      </c>
      <c r="C250" s="2" t="s">
        <v>15</v>
      </c>
      <c r="D250" s="6" t="s">
        <v>26</v>
      </c>
      <c r="E250" s="7">
        <v>78</v>
      </c>
      <c r="F250" s="7">
        <v>4577.2</v>
      </c>
      <c r="G250" s="7">
        <v>5126.4639999999999</v>
      </c>
      <c r="H250" s="4">
        <v>915.44</v>
      </c>
      <c r="I250" s="5" t="s">
        <v>40</v>
      </c>
    </row>
    <row r="251" spans="1:9" ht="18" customHeight="1" x14ac:dyDescent="0.25">
      <c r="A251" s="2">
        <v>2021</v>
      </c>
      <c r="B251" s="2" t="s">
        <v>4</v>
      </c>
      <c r="C251" s="2" t="s">
        <v>15</v>
      </c>
      <c r="D251" s="6" t="s">
        <v>24</v>
      </c>
      <c r="E251" s="7">
        <v>76</v>
      </c>
      <c r="F251" s="7">
        <v>4576.8999999999996</v>
      </c>
      <c r="G251" s="7">
        <v>5126.1279999999997</v>
      </c>
      <c r="H251" s="4">
        <v>915.38</v>
      </c>
      <c r="I251" s="5" t="s">
        <v>40</v>
      </c>
    </row>
    <row r="252" spans="1:9" ht="18" customHeight="1" x14ac:dyDescent="0.25">
      <c r="A252" s="2">
        <v>2021</v>
      </c>
      <c r="B252" s="2" t="s">
        <v>4</v>
      </c>
      <c r="C252" s="2" t="s">
        <v>15</v>
      </c>
      <c r="D252" s="6" t="s">
        <v>25</v>
      </c>
      <c r="E252" s="7">
        <v>46</v>
      </c>
      <c r="F252" s="7">
        <v>200</v>
      </c>
      <c r="G252" s="7">
        <v>224</v>
      </c>
      <c r="H252" s="4">
        <v>40</v>
      </c>
      <c r="I252" s="5" t="s">
        <v>40</v>
      </c>
    </row>
    <row r="253" spans="1:9" ht="18" customHeight="1" x14ac:dyDescent="0.25">
      <c r="A253" s="2">
        <v>2021</v>
      </c>
      <c r="B253" s="2" t="s">
        <v>4</v>
      </c>
      <c r="C253" s="2" t="s">
        <v>15</v>
      </c>
      <c r="D253" s="6" t="s">
        <v>23</v>
      </c>
      <c r="E253" s="7">
        <v>34</v>
      </c>
      <c r="F253" s="7">
        <v>4576.8</v>
      </c>
      <c r="G253" s="7">
        <v>5126.0160000000005</v>
      </c>
      <c r="H253" s="4">
        <v>915.36000000000013</v>
      </c>
      <c r="I253" s="5" t="s">
        <v>40</v>
      </c>
    </row>
    <row r="254" spans="1:9" ht="18" customHeight="1" x14ac:dyDescent="0.25">
      <c r="A254" s="2">
        <v>2021</v>
      </c>
      <c r="B254" s="2" t="s">
        <v>4</v>
      </c>
      <c r="C254" s="2" t="s">
        <v>13</v>
      </c>
      <c r="D254" s="3" t="s">
        <v>34</v>
      </c>
      <c r="E254" s="4">
        <v>7</v>
      </c>
      <c r="F254" s="4">
        <v>200</v>
      </c>
      <c r="G254" s="4">
        <v>224</v>
      </c>
      <c r="H254" s="4">
        <v>40</v>
      </c>
      <c r="I254" s="5" t="s">
        <v>40</v>
      </c>
    </row>
    <row r="255" spans="1:9" ht="18" customHeight="1" x14ac:dyDescent="0.25">
      <c r="A255" s="2">
        <v>2021</v>
      </c>
      <c r="B255" s="2" t="s">
        <v>4</v>
      </c>
      <c r="C255" s="2" t="s">
        <v>15</v>
      </c>
      <c r="D255" s="6" t="s">
        <v>27</v>
      </c>
      <c r="E255" s="7">
        <v>3</v>
      </c>
      <c r="F255" s="7">
        <v>4577.3</v>
      </c>
      <c r="G255" s="7">
        <v>5126.576</v>
      </c>
      <c r="H255" s="4">
        <v>915.46</v>
      </c>
      <c r="I255" s="5" t="s">
        <v>40</v>
      </c>
    </row>
    <row r="256" spans="1:9" ht="18" customHeight="1" x14ac:dyDescent="0.25">
      <c r="A256" s="2">
        <v>2021</v>
      </c>
      <c r="B256" s="2" t="s">
        <v>4</v>
      </c>
      <c r="C256" s="2" t="s">
        <v>32</v>
      </c>
      <c r="D256" s="6" t="s">
        <v>32</v>
      </c>
      <c r="E256" s="7">
        <v>2</v>
      </c>
      <c r="F256" s="7">
        <v>6600</v>
      </c>
      <c r="G256" s="7">
        <v>7392</v>
      </c>
      <c r="H256" s="4">
        <v>1320</v>
      </c>
      <c r="I256" s="5" t="s">
        <v>40</v>
      </c>
    </row>
    <row r="257" spans="1:9" ht="18" customHeight="1" x14ac:dyDescent="0.25">
      <c r="A257" s="2">
        <v>2021</v>
      </c>
      <c r="B257" s="2" t="s">
        <v>5</v>
      </c>
      <c r="C257" s="2" t="s">
        <v>14</v>
      </c>
      <c r="D257" s="3" t="s">
        <v>36</v>
      </c>
      <c r="E257" s="4">
        <v>3566</v>
      </c>
      <c r="F257" s="4">
        <v>4577.3</v>
      </c>
      <c r="G257" s="4">
        <v>5126.576</v>
      </c>
      <c r="H257" s="4">
        <v>915.46</v>
      </c>
      <c r="I257" s="5" t="s">
        <v>40</v>
      </c>
    </row>
    <row r="258" spans="1:9" ht="18" customHeight="1" x14ac:dyDescent="0.25">
      <c r="A258" s="2">
        <v>2021</v>
      </c>
      <c r="B258" s="2" t="s">
        <v>5</v>
      </c>
      <c r="C258" s="2" t="s">
        <v>14</v>
      </c>
      <c r="D258" s="3" t="s">
        <v>37</v>
      </c>
      <c r="E258" s="4">
        <v>2498</v>
      </c>
      <c r="F258" s="4">
        <v>8000</v>
      </c>
      <c r="G258" s="4">
        <v>8960</v>
      </c>
      <c r="H258" s="4">
        <v>1600</v>
      </c>
      <c r="I258" s="5" t="s">
        <v>40</v>
      </c>
    </row>
    <row r="259" spans="1:9" ht="18" customHeight="1" x14ac:dyDescent="0.25">
      <c r="A259" s="2">
        <v>2021</v>
      </c>
      <c r="B259" s="2" t="s">
        <v>5</v>
      </c>
      <c r="C259" s="2" t="s">
        <v>13</v>
      </c>
      <c r="D259" s="3" t="s">
        <v>35</v>
      </c>
      <c r="E259" s="4">
        <v>1245</v>
      </c>
      <c r="F259" s="4">
        <v>4577.2</v>
      </c>
      <c r="G259" s="4">
        <v>5126.4639999999999</v>
      </c>
      <c r="H259" s="4">
        <v>915.44</v>
      </c>
      <c r="I259" s="5" t="s">
        <v>40</v>
      </c>
    </row>
    <row r="260" spans="1:9" ht="18" customHeight="1" x14ac:dyDescent="0.25">
      <c r="A260" s="2">
        <v>2021</v>
      </c>
      <c r="B260" s="2" t="s">
        <v>5</v>
      </c>
      <c r="C260" s="2" t="s">
        <v>38</v>
      </c>
      <c r="D260" s="6" t="s">
        <v>30</v>
      </c>
      <c r="E260" s="7">
        <v>644</v>
      </c>
      <c r="F260" s="7">
        <v>5743.5</v>
      </c>
      <c r="G260" s="7">
        <v>6432.72</v>
      </c>
      <c r="H260" s="4">
        <v>1148.7</v>
      </c>
      <c r="I260" s="5" t="s">
        <v>40</v>
      </c>
    </row>
    <row r="261" spans="1:9" ht="18" customHeight="1" x14ac:dyDescent="0.25">
      <c r="A261" s="2">
        <v>2021</v>
      </c>
      <c r="B261" s="2" t="s">
        <v>5</v>
      </c>
      <c r="C261" s="2" t="s">
        <v>12</v>
      </c>
      <c r="D261" s="6" t="s">
        <v>29</v>
      </c>
      <c r="E261" s="7">
        <v>643</v>
      </c>
      <c r="F261" s="7">
        <v>7000</v>
      </c>
      <c r="G261" s="7">
        <v>7840</v>
      </c>
      <c r="H261" s="4">
        <v>1400</v>
      </c>
      <c r="I261" s="5" t="s">
        <v>40</v>
      </c>
    </row>
    <row r="262" spans="1:9" ht="18" customHeight="1" x14ac:dyDescent="0.25">
      <c r="A262" s="2">
        <v>2021</v>
      </c>
      <c r="B262" s="2" t="s">
        <v>5</v>
      </c>
      <c r="C262" s="2" t="s">
        <v>38</v>
      </c>
      <c r="D262" s="6" t="s">
        <v>31</v>
      </c>
      <c r="E262" s="7">
        <v>455</v>
      </c>
      <c r="F262" s="7">
        <v>4578.6000000000004</v>
      </c>
      <c r="G262" s="7">
        <v>5128.0320000000002</v>
      </c>
      <c r="H262" s="4">
        <v>915.72000000000014</v>
      </c>
      <c r="I262" s="5" t="s">
        <v>40</v>
      </c>
    </row>
    <row r="263" spans="1:9" ht="18" customHeight="1" x14ac:dyDescent="0.25">
      <c r="A263" s="2">
        <v>2021</v>
      </c>
      <c r="B263" s="2" t="s">
        <v>5</v>
      </c>
      <c r="C263" s="2" t="s">
        <v>12</v>
      </c>
      <c r="D263" s="6" t="s">
        <v>28</v>
      </c>
      <c r="E263" s="8">
        <v>345</v>
      </c>
      <c r="F263" s="8">
        <v>7000</v>
      </c>
      <c r="G263" s="8">
        <v>7840</v>
      </c>
      <c r="H263" s="4">
        <v>1400</v>
      </c>
      <c r="I263" s="5" t="s">
        <v>40</v>
      </c>
    </row>
    <row r="264" spans="1:9" ht="18" customHeight="1" x14ac:dyDescent="0.25">
      <c r="A264" s="2">
        <v>2021</v>
      </c>
      <c r="B264" s="2" t="s">
        <v>5</v>
      </c>
      <c r="C264" s="2" t="s">
        <v>13</v>
      </c>
      <c r="D264" s="3" t="s">
        <v>33</v>
      </c>
      <c r="E264" s="4">
        <v>122</v>
      </c>
      <c r="F264" s="4">
        <v>100</v>
      </c>
      <c r="G264" s="4">
        <v>112</v>
      </c>
      <c r="H264" s="4">
        <v>20</v>
      </c>
      <c r="I264" s="5" t="s">
        <v>40</v>
      </c>
    </row>
    <row r="265" spans="1:9" ht="18" customHeight="1" x14ac:dyDescent="0.25">
      <c r="A265" s="2">
        <v>2021</v>
      </c>
      <c r="B265" s="2" t="s">
        <v>5</v>
      </c>
      <c r="C265" s="2" t="s">
        <v>15</v>
      </c>
      <c r="D265" s="6" t="s">
        <v>26</v>
      </c>
      <c r="E265" s="7">
        <v>78</v>
      </c>
      <c r="F265" s="7">
        <v>4577.2</v>
      </c>
      <c r="G265" s="7">
        <v>5126.4639999999999</v>
      </c>
      <c r="H265" s="4">
        <v>915.44</v>
      </c>
      <c r="I265" s="5" t="s">
        <v>40</v>
      </c>
    </row>
    <row r="266" spans="1:9" ht="18" customHeight="1" x14ac:dyDescent="0.25">
      <c r="A266" s="2">
        <v>2021</v>
      </c>
      <c r="B266" s="2" t="s">
        <v>5</v>
      </c>
      <c r="C266" s="2" t="s">
        <v>15</v>
      </c>
      <c r="D266" s="6" t="s">
        <v>24</v>
      </c>
      <c r="E266" s="7">
        <v>5034.5899999999992</v>
      </c>
      <c r="F266" s="7">
        <v>4576.8999999999996</v>
      </c>
      <c r="G266" s="7">
        <v>5126.1279999999997</v>
      </c>
      <c r="H266" s="4">
        <v>915.38</v>
      </c>
      <c r="I266" s="5" t="s">
        <v>40</v>
      </c>
    </row>
    <row r="267" spans="1:9" ht="18" customHeight="1" x14ac:dyDescent="0.25">
      <c r="A267" s="2">
        <v>2021</v>
      </c>
      <c r="B267" s="2" t="s">
        <v>5</v>
      </c>
      <c r="C267" s="2" t="s">
        <v>15</v>
      </c>
      <c r="D267" s="6" t="s">
        <v>25</v>
      </c>
      <c r="E267" s="7">
        <v>220</v>
      </c>
      <c r="F267" s="7">
        <v>200</v>
      </c>
      <c r="G267" s="7">
        <v>224</v>
      </c>
      <c r="H267" s="4">
        <v>40</v>
      </c>
      <c r="I267" s="5" t="s">
        <v>40</v>
      </c>
    </row>
    <row r="268" spans="1:9" ht="18" customHeight="1" x14ac:dyDescent="0.25">
      <c r="A268" s="2">
        <v>2021</v>
      </c>
      <c r="B268" s="2" t="s">
        <v>5</v>
      </c>
      <c r="C268" s="2" t="s">
        <v>15</v>
      </c>
      <c r="D268" s="6" t="s">
        <v>23</v>
      </c>
      <c r="E268" s="7">
        <v>5034.4800000000005</v>
      </c>
      <c r="F268" s="7">
        <v>4576.8</v>
      </c>
      <c r="G268" s="7">
        <v>5126.0160000000005</v>
      </c>
      <c r="H268" s="4">
        <v>915.36000000000013</v>
      </c>
      <c r="I268" s="5" t="s">
        <v>40</v>
      </c>
    </row>
    <row r="269" spans="1:9" ht="18" customHeight="1" x14ac:dyDescent="0.25">
      <c r="A269" s="2">
        <v>2021</v>
      </c>
      <c r="B269" s="2" t="s">
        <v>5</v>
      </c>
      <c r="C269" s="2" t="s">
        <v>13</v>
      </c>
      <c r="D269" s="3" t="s">
        <v>34</v>
      </c>
      <c r="E269" s="4">
        <v>220</v>
      </c>
      <c r="F269" s="4">
        <v>200</v>
      </c>
      <c r="G269" s="4">
        <v>224</v>
      </c>
      <c r="H269" s="4">
        <v>40</v>
      </c>
      <c r="I269" s="5" t="s">
        <v>40</v>
      </c>
    </row>
    <row r="270" spans="1:9" ht="18" customHeight="1" x14ac:dyDescent="0.25">
      <c r="A270" s="2">
        <v>2021</v>
      </c>
      <c r="B270" s="2" t="s">
        <v>5</v>
      </c>
      <c r="C270" s="2" t="s">
        <v>32</v>
      </c>
      <c r="D270" s="6" t="s">
        <v>32</v>
      </c>
      <c r="E270" s="7">
        <v>7260</v>
      </c>
      <c r="F270" s="7">
        <v>6600</v>
      </c>
      <c r="G270" s="7">
        <v>7392</v>
      </c>
      <c r="H270" s="4">
        <v>1320</v>
      </c>
      <c r="I270" s="5" t="s">
        <v>40</v>
      </c>
    </row>
    <row r="271" spans="1:9" ht="18" customHeight="1" x14ac:dyDescent="0.25">
      <c r="A271" s="2">
        <v>2021</v>
      </c>
      <c r="B271" s="2" t="s">
        <v>5</v>
      </c>
      <c r="C271" s="2" t="s">
        <v>15</v>
      </c>
      <c r="D271" s="6" t="s">
        <v>27</v>
      </c>
      <c r="E271" s="7">
        <v>5035.0300000000007</v>
      </c>
      <c r="F271" s="7">
        <v>4577.3</v>
      </c>
      <c r="G271" s="7">
        <v>5126.576</v>
      </c>
      <c r="H271" s="4">
        <v>915.46</v>
      </c>
      <c r="I271" s="5" t="s">
        <v>40</v>
      </c>
    </row>
    <row r="272" spans="1:9" ht="18" customHeight="1" x14ac:dyDescent="0.25">
      <c r="A272" s="2">
        <v>2021</v>
      </c>
      <c r="B272" s="2" t="s">
        <v>6</v>
      </c>
      <c r="C272" s="2" t="s">
        <v>14</v>
      </c>
      <c r="D272" s="3" t="s">
        <v>36</v>
      </c>
      <c r="E272" s="4">
        <v>5035.0300000000007</v>
      </c>
      <c r="F272" s="4">
        <v>4577.3</v>
      </c>
      <c r="G272" s="4">
        <v>5126.576</v>
      </c>
      <c r="H272" s="4">
        <v>915.46</v>
      </c>
      <c r="I272" s="5" t="s">
        <v>40</v>
      </c>
    </row>
    <row r="273" spans="1:9" ht="18" customHeight="1" x14ac:dyDescent="0.25">
      <c r="A273" s="2">
        <v>2021</v>
      </c>
      <c r="B273" s="2" t="s">
        <v>6</v>
      </c>
      <c r="C273" s="2" t="s">
        <v>14</v>
      </c>
      <c r="D273" s="3" t="s">
        <v>37</v>
      </c>
      <c r="E273" s="4">
        <v>8800</v>
      </c>
      <c r="F273" s="4">
        <v>8000</v>
      </c>
      <c r="G273" s="4">
        <v>8960</v>
      </c>
      <c r="H273" s="4">
        <v>1600</v>
      </c>
      <c r="I273" s="5" t="s">
        <v>40</v>
      </c>
    </row>
    <row r="274" spans="1:9" ht="18" customHeight="1" x14ac:dyDescent="0.25">
      <c r="A274" s="2">
        <v>2021</v>
      </c>
      <c r="B274" s="2" t="s">
        <v>6</v>
      </c>
      <c r="C274" s="2" t="s">
        <v>13</v>
      </c>
      <c r="D274" s="3" t="s">
        <v>35</v>
      </c>
      <c r="E274" s="4">
        <v>5034.92</v>
      </c>
      <c r="F274" s="4">
        <v>4577.2</v>
      </c>
      <c r="G274" s="4">
        <v>5126.4639999999999</v>
      </c>
      <c r="H274" s="4">
        <v>915.44</v>
      </c>
      <c r="I274" s="5" t="s">
        <v>40</v>
      </c>
    </row>
    <row r="275" spans="1:9" ht="18" customHeight="1" x14ac:dyDescent="0.25">
      <c r="A275" s="2">
        <v>2021</v>
      </c>
      <c r="B275" s="2" t="s">
        <v>6</v>
      </c>
      <c r="C275" s="2" t="s">
        <v>38</v>
      </c>
      <c r="D275" s="6" t="s">
        <v>30</v>
      </c>
      <c r="E275" s="7">
        <v>644</v>
      </c>
      <c r="F275" s="7">
        <v>5743.5</v>
      </c>
      <c r="G275" s="7">
        <v>6432.72</v>
      </c>
      <c r="H275" s="4">
        <v>1148.7</v>
      </c>
      <c r="I275" s="5" t="s">
        <v>40</v>
      </c>
    </row>
    <row r="276" spans="1:9" ht="18" customHeight="1" x14ac:dyDescent="0.25">
      <c r="A276" s="2">
        <v>2021</v>
      </c>
      <c r="B276" s="2" t="s">
        <v>6</v>
      </c>
      <c r="C276" s="2" t="s">
        <v>12</v>
      </c>
      <c r="D276" s="6" t="s">
        <v>29</v>
      </c>
      <c r="E276" s="7">
        <v>643</v>
      </c>
      <c r="F276" s="7">
        <v>7000</v>
      </c>
      <c r="G276" s="7">
        <v>7840</v>
      </c>
      <c r="H276" s="4">
        <v>1400</v>
      </c>
      <c r="I276" s="5" t="s">
        <v>40</v>
      </c>
    </row>
    <row r="277" spans="1:9" ht="18" customHeight="1" x14ac:dyDescent="0.25">
      <c r="A277" s="2">
        <v>2021</v>
      </c>
      <c r="B277" s="2" t="s">
        <v>6</v>
      </c>
      <c r="C277" s="2" t="s">
        <v>38</v>
      </c>
      <c r="D277" s="6" t="s">
        <v>31</v>
      </c>
      <c r="E277" s="7">
        <v>455</v>
      </c>
      <c r="F277" s="7">
        <v>4578.6000000000004</v>
      </c>
      <c r="G277" s="7">
        <v>5128.0320000000002</v>
      </c>
      <c r="H277" s="4">
        <v>915.72000000000014</v>
      </c>
      <c r="I277" s="5" t="s">
        <v>40</v>
      </c>
    </row>
    <row r="278" spans="1:9" ht="18" customHeight="1" x14ac:dyDescent="0.25">
      <c r="A278" s="2">
        <v>2021</v>
      </c>
      <c r="B278" s="2" t="s">
        <v>6</v>
      </c>
      <c r="C278" s="2" t="s">
        <v>12</v>
      </c>
      <c r="D278" s="6" t="s">
        <v>28</v>
      </c>
      <c r="E278" s="8">
        <v>345</v>
      </c>
      <c r="F278" s="8">
        <v>7000</v>
      </c>
      <c r="G278" s="8">
        <v>7840</v>
      </c>
      <c r="H278" s="4">
        <v>1400</v>
      </c>
      <c r="I278" s="5" t="s">
        <v>40</v>
      </c>
    </row>
    <row r="279" spans="1:9" ht="18" customHeight="1" x14ac:dyDescent="0.25">
      <c r="A279" s="2">
        <v>2021</v>
      </c>
      <c r="B279" s="2" t="s">
        <v>6</v>
      </c>
      <c r="C279" s="2" t="s">
        <v>13</v>
      </c>
      <c r="D279" s="3" t="s">
        <v>33</v>
      </c>
      <c r="E279" s="4">
        <v>122</v>
      </c>
      <c r="F279" s="4">
        <v>100</v>
      </c>
      <c r="G279" s="4">
        <v>112</v>
      </c>
      <c r="H279" s="4">
        <v>20</v>
      </c>
      <c r="I279" s="5" t="s">
        <v>40</v>
      </c>
    </row>
    <row r="280" spans="1:9" ht="18" customHeight="1" x14ac:dyDescent="0.25">
      <c r="A280" s="2">
        <v>2021</v>
      </c>
      <c r="B280" s="2" t="s">
        <v>6</v>
      </c>
      <c r="C280" s="2" t="s">
        <v>15</v>
      </c>
      <c r="D280" s="6" t="s">
        <v>26</v>
      </c>
      <c r="E280" s="7">
        <v>78</v>
      </c>
      <c r="F280" s="7">
        <v>4577.2</v>
      </c>
      <c r="G280" s="7">
        <v>5126.4639999999999</v>
      </c>
      <c r="H280" s="4">
        <v>915.44</v>
      </c>
      <c r="I280" s="5" t="s">
        <v>40</v>
      </c>
    </row>
    <row r="281" spans="1:9" ht="18" customHeight="1" x14ac:dyDescent="0.25">
      <c r="A281" s="2">
        <v>2021</v>
      </c>
      <c r="B281" s="2" t="s">
        <v>6</v>
      </c>
      <c r="C281" s="2" t="s">
        <v>15</v>
      </c>
      <c r="D281" s="6" t="s">
        <v>24</v>
      </c>
      <c r="E281" s="7">
        <v>76</v>
      </c>
      <c r="F281" s="7">
        <v>4576.8999999999996</v>
      </c>
      <c r="G281" s="7">
        <v>5126.1279999999997</v>
      </c>
      <c r="H281" s="4">
        <v>915.38</v>
      </c>
      <c r="I281" s="5" t="s">
        <v>40</v>
      </c>
    </row>
    <row r="282" spans="1:9" ht="18" customHeight="1" x14ac:dyDescent="0.25">
      <c r="A282" s="2">
        <v>2021</v>
      </c>
      <c r="B282" s="2" t="s">
        <v>6</v>
      </c>
      <c r="C282" s="2" t="s">
        <v>15</v>
      </c>
      <c r="D282" s="6" t="s">
        <v>25</v>
      </c>
      <c r="E282" s="7">
        <v>46</v>
      </c>
      <c r="F282" s="7">
        <v>200</v>
      </c>
      <c r="G282" s="7">
        <v>224</v>
      </c>
      <c r="H282" s="4">
        <v>40</v>
      </c>
      <c r="I282" s="5" t="s">
        <v>40</v>
      </c>
    </row>
    <row r="283" spans="1:9" ht="18" customHeight="1" x14ac:dyDescent="0.25">
      <c r="A283" s="2">
        <v>2021</v>
      </c>
      <c r="B283" s="2" t="s">
        <v>6</v>
      </c>
      <c r="C283" s="2" t="s">
        <v>15</v>
      </c>
      <c r="D283" s="6" t="s">
        <v>23</v>
      </c>
      <c r="E283" s="7">
        <v>34</v>
      </c>
      <c r="F283" s="7">
        <v>4576.8</v>
      </c>
      <c r="G283" s="7">
        <v>5126.0160000000005</v>
      </c>
      <c r="H283" s="4">
        <v>915.36000000000013</v>
      </c>
      <c r="I283" s="5" t="s">
        <v>40</v>
      </c>
    </row>
    <row r="284" spans="1:9" ht="18" customHeight="1" x14ac:dyDescent="0.25">
      <c r="A284" s="2">
        <v>2021</v>
      </c>
      <c r="B284" s="2" t="s">
        <v>6</v>
      </c>
      <c r="C284" s="2" t="s">
        <v>13</v>
      </c>
      <c r="D284" s="3" t="s">
        <v>34</v>
      </c>
      <c r="E284" s="4">
        <v>7</v>
      </c>
      <c r="F284" s="4">
        <v>200</v>
      </c>
      <c r="G284" s="4">
        <v>224</v>
      </c>
      <c r="H284" s="4">
        <v>40</v>
      </c>
      <c r="I284" s="5" t="s">
        <v>40</v>
      </c>
    </row>
    <row r="285" spans="1:9" ht="18" customHeight="1" x14ac:dyDescent="0.25">
      <c r="A285" s="2">
        <v>2021</v>
      </c>
      <c r="B285" s="2" t="s">
        <v>6</v>
      </c>
      <c r="C285" s="2" t="s">
        <v>15</v>
      </c>
      <c r="D285" s="6" t="s">
        <v>27</v>
      </c>
      <c r="E285" s="7">
        <v>3</v>
      </c>
      <c r="F285" s="7">
        <v>4577.3</v>
      </c>
      <c r="G285" s="7">
        <v>5126.576</v>
      </c>
      <c r="H285" s="4">
        <v>915.46</v>
      </c>
      <c r="I285" s="5" t="s">
        <v>40</v>
      </c>
    </row>
    <row r="286" spans="1:9" ht="18" customHeight="1" x14ac:dyDescent="0.25">
      <c r="A286" s="2">
        <v>2021</v>
      </c>
      <c r="B286" s="2" t="s">
        <v>6</v>
      </c>
      <c r="C286" s="2" t="s">
        <v>32</v>
      </c>
      <c r="D286" s="6" t="s">
        <v>32</v>
      </c>
      <c r="E286" s="7">
        <v>2</v>
      </c>
      <c r="F286" s="7">
        <v>6600</v>
      </c>
      <c r="G286" s="7">
        <v>7392</v>
      </c>
      <c r="H286" s="4">
        <v>1320</v>
      </c>
      <c r="I286" s="5" t="s">
        <v>40</v>
      </c>
    </row>
    <row r="287" spans="1:9" ht="18" customHeight="1" x14ac:dyDescent="0.25">
      <c r="A287" s="2">
        <v>2021</v>
      </c>
      <c r="B287" s="2" t="s">
        <v>7</v>
      </c>
      <c r="C287" s="2" t="s">
        <v>14</v>
      </c>
      <c r="D287" s="3" t="s">
        <v>36</v>
      </c>
      <c r="E287" s="4">
        <v>3566</v>
      </c>
      <c r="F287" s="4">
        <v>4577.3</v>
      </c>
      <c r="G287" s="4">
        <v>5126.576</v>
      </c>
      <c r="H287" s="4">
        <v>915.46</v>
      </c>
      <c r="I287" s="5" t="s">
        <v>40</v>
      </c>
    </row>
    <row r="288" spans="1:9" ht="18" customHeight="1" x14ac:dyDescent="0.25">
      <c r="A288" s="2">
        <v>2021</v>
      </c>
      <c r="B288" s="2" t="s">
        <v>7</v>
      </c>
      <c r="C288" s="2" t="s">
        <v>14</v>
      </c>
      <c r="D288" s="3" t="s">
        <v>37</v>
      </c>
      <c r="E288" s="4">
        <v>2498</v>
      </c>
      <c r="F288" s="4">
        <v>8000</v>
      </c>
      <c r="G288" s="4">
        <v>8960</v>
      </c>
      <c r="H288" s="4">
        <v>1600</v>
      </c>
      <c r="I288" s="5" t="s">
        <v>40</v>
      </c>
    </row>
    <row r="289" spans="1:9" ht="18" customHeight="1" x14ac:dyDescent="0.25">
      <c r="A289" s="2">
        <v>2021</v>
      </c>
      <c r="B289" s="2" t="s">
        <v>7</v>
      </c>
      <c r="C289" s="2" t="s">
        <v>13</v>
      </c>
      <c r="D289" s="3" t="s">
        <v>35</v>
      </c>
      <c r="E289" s="4">
        <v>1245</v>
      </c>
      <c r="F289" s="4">
        <v>4577.2</v>
      </c>
      <c r="G289" s="4">
        <v>5126.4639999999999</v>
      </c>
      <c r="H289" s="4">
        <v>915.44</v>
      </c>
      <c r="I289" s="5" t="s">
        <v>40</v>
      </c>
    </row>
    <row r="290" spans="1:9" ht="18" customHeight="1" x14ac:dyDescent="0.25">
      <c r="A290" s="2">
        <v>2021</v>
      </c>
      <c r="B290" s="2" t="s">
        <v>7</v>
      </c>
      <c r="C290" s="2" t="s">
        <v>38</v>
      </c>
      <c r="D290" s="6" t="s">
        <v>30</v>
      </c>
      <c r="E290" s="7">
        <v>644</v>
      </c>
      <c r="F290" s="7">
        <v>5743.5</v>
      </c>
      <c r="G290" s="7">
        <v>6432.72</v>
      </c>
      <c r="H290" s="4">
        <v>1148.7</v>
      </c>
      <c r="I290" s="5" t="s">
        <v>40</v>
      </c>
    </row>
    <row r="291" spans="1:9" ht="18" customHeight="1" x14ac:dyDescent="0.25">
      <c r="A291" s="2">
        <v>2021</v>
      </c>
      <c r="B291" s="2" t="s">
        <v>7</v>
      </c>
      <c r="C291" s="2" t="s">
        <v>12</v>
      </c>
      <c r="D291" s="6" t="s">
        <v>29</v>
      </c>
      <c r="E291" s="7">
        <v>643</v>
      </c>
      <c r="F291" s="7">
        <v>7000</v>
      </c>
      <c r="G291" s="7">
        <v>7840</v>
      </c>
      <c r="H291" s="4">
        <v>1400</v>
      </c>
      <c r="I291" s="5" t="s">
        <v>40</v>
      </c>
    </row>
    <row r="292" spans="1:9" ht="18" customHeight="1" x14ac:dyDescent="0.25">
      <c r="A292" s="2">
        <v>2021</v>
      </c>
      <c r="B292" s="2" t="s">
        <v>7</v>
      </c>
      <c r="C292" s="2" t="s">
        <v>38</v>
      </c>
      <c r="D292" s="6" t="s">
        <v>31</v>
      </c>
      <c r="E292" s="7">
        <v>455</v>
      </c>
      <c r="F292" s="7">
        <v>5036.46</v>
      </c>
      <c r="G292" s="7">
        <v>5128.0320000000002</v>
      </c>
      <c r="H292" s="4">
        <v>1007.292</v>
      </c>
      <c r="I292" s="5" t="s">
        <v>40</v>
      </c>
    </row>
    <row r="293" spans="1:9" ht="18" customHeight="1" x14ac:dyDescent="0.25">
      <c r="A293" s="2">
        <v>2021</v>
      </c>
      <c r="B293" s="2" t="s">
        <v>7</v>
      </c>
      <c r="C293" s="2" t="s">
        <v>12</v>
      </c>
      <c r="D293" s="6" t="s">
        <v>28</v>
      </c>
      <c r="E293" s="8">
        <v>345</v>
      </c>
      <c r="F293" s="8">
        <v>7700</v>
      </c>
      <c r="G293" s="8">
        <v>7840</v>
      </c>
      <c r="H293" s="4">
        <v>1540</v>
      </c>
      <c r="I293" s="5" t="s">
        <v>40</v>
      </c>
    </row>
    <row r="294" spans="1:9" ht="18" customHeight="1" x14ac:dyDescent="0.25">
      <c r="A294" s="2">
        <v>2021</v>
      </c>
      <c r="B294" s="2" t="s">
        <v>7</v>
      </c>
      <c r="C294" s="2" t="s">
        <v>13</v>
      </c>
      <c r="D294" s="3" t="s">
        <v>33</v>
      </c>
      <c r="E294" s="4">
        <v>122</v>
      </c>
      <c r="F294" s="4">
        <v>110</v>
      </c>
      <c r="G294" s="4">
        <v>112</v>
      </c>
      <c r="H294" s="4">
        <v>22</v>
      </c>
      <c r="I294" s="5" t="s">
        <v>40</v>
      </c>
    </row>
    <row r="295" spans="1:9" ht="18" customHeight="1" x14ac:dyDescent="0.25">
      <c r="A295" s="2">
        <v>2021</v>
      </c>
      <c r="B295" s="2" t="s">
        <v>7</v>
      </c>
      <c r="C295" s="2" t="s">
        <v>15</v>
      </c>
      <c r="D295" s="6" t="s">
        <v>26</v>
      </c>
      <c r="E295" s="7">
        <v>78</v>
      </c>
      <c r="F295" s="7">
        <v>5034.92</v>
      </c>
      <c r="G295" s="7">
        <v>5126.4639999999999</v>
      </c>
      <c r="H295" s="4">
        <v>1006.984</v>
      </c>
      <c r="I295" s="5" t="s">
        <v>40</v>
      </c>
    </row>
    <row r="296" spans="1:9" ht="18" customHeight="1" x14ac:dyDescent="0.25">
      <c r="A296" s="2">
        <v>2021</v>
      </c>
      <c r="B296" s="2" t="s">
        <v>7</v>
      </c>
      <c r="C296" s="2" t="s">
        <v>15</v>
      </c>
      <c r="D296" s="6" t="s">
        <v>24</v>
      </c>
      <c r="E296" s="7">
        <v>76</v>
      </c>
      <c r="F296" s="7">
        <v>5034.5899999999992</v>
      </c>
      <c r="G296" s="7">
        <v>5126.1279999999997</v>
      </c>
      <c r="H296" s="4">
        <v>1006.9179999999999</v>
      </c>
      <c r="I296" s="5" t="s">
        <v>40</v>
      </c>
    </row>
    <row r="297" spans="1:9" ht="18" customHeight="1" x14ac:dyDescent="0.25">
      <c r="A297" s="2">
        <v>2021</v>
      </c>
      <c r="B297" s="2" t="s">
        <v>7</v>
      </c>
      <c r="C297" s="2" t="s">
        <v>15</v>
      </c>
      <c r="D297" s="6" t="s">
        <v>25</v>
      </c>
      <c r="E297" s="7">
        <v>46</v>
      </c>
      <c r="F297" s="7">
        <v>230</v>
      </c>
      <c r="G297" s="7">
        <v>224</v>
      </c>
      <c r="H297" s="4">
        <v>46</v>
      </c>
      <c r="I297" s="5" t="s">
        <v>40</v>
      </c>
    </row>
    <row r="298" spans="1:9" ht="18" customHeight="1" x14ac:dyDescent="0.25">
      <c r="A298" s="2">
        <v>2021</v>
      </c>
      <c r="B298" s="2" t="s">
        <v>7</v>
      </c>
      <c r="C298" s="2" t="s">
        <v>15</v>
      </c>
      <c r="D298" s="6" t="s">
        <v>23</v>
      </c>
      <c r="E298" s="7">
        <v>34</v>
      </c>
      <c r="F298" s="7">
        <v>5263.32</v>
      </c>
      <c r="G298" s="7">
        <v>5126.0160000000005</v>
      </c>
      <c r="H298" s="4">
        <v>1052.664</v>
      </c>
      <c r="I298" s="5" t="s">
        <v>40</v>
      </c>
    </row>
    <row r="299" spans="1:9" ht="18" customHeight="1" x14ac:dyDescent="0.25">
      <c r="A299" s="2">
        <v>2021</v>
      </c>
      <c r="B299" s="2" t="s">
        <v>7</v>
      </c>
      <c r="C299" s="2" t="s">
        <v>13</v>
      </c>
      <c r="D299" s="3" t="s">
        <v>34</v>
      </c>
      <c r="E299" s="4">
        <v>7</v>
      </c>
      <c r="F299" s="4">
        <v>230</v>
      </c>
      <c r="G299" s="4">
        <v>224</v>
      </c>
      <c r="H299" s="4">
        <v>46</v>
      </c>
      <c r="I299" s="5" t="s">
        <v>42</v>
      </c>
    </row>
    <row r="300" spans="1:9" ht="18" customHeight="1" x14ac:dyDescent="0.25">
      <c r="A300" s="2">
        <v>2021</v>
      </c>
      <c r="B300" s="2" t="s">
        <v>7</v>
      </c>
      <c r="C300" s="2" t="s">
        <v>15</v>
      </c>
      <c r="D300" s="6" t="s">
        <v>27</v>
      </c>
      <c r="E300" s="7">
        <v>3</v>
      </c>
      <c r="F300" s="7">
        <v>5263.8950000000004</v>
      </c>
      <c r="G300" s="7">
        <v>5126.576</v>
      </c>
      <c r="H300" s="4">
        <v>1052.7790000000002</v>
      </c>
      <c r="I300" s="5" t="s">
        <v>42</v>
      </c>
    </row>
    <row r="301" spans="1:9" ht="18" customHeight="1" x14ac:dyDescent="0.25">
      <c r="A301" s="2">
        <v>2021</v>
      </c>
      <c r="B301" s="2" t="s">
        <v>7</v>
      </c>
      <c r="C301" s="2" t="s">
        <v>32</v>
      </c>
      <c r="D301" s="6" t="s">
        <v>32</v>
      </c>
      <c r="E301" s="7">
        <v>2</v>
      </c>
      <c r="F301" s="7">
        <v>7590</v>
      </c>
      <c r="G301" s="7">
        <v>7392</v>
      </c>
      <c r="H301" s="4">
        <v>1518</v>
      </c>
      <c r="I301" s="5" t="s">
        <v>42</v>
      </c>
    </row>
    <row r="302" spans="1:9" ht="18" customHeight="1" x14ac:dyDescent="0.25">
      <c r="A302" s="2">
        <v>2021</v>
      </c>
      <c r="B302" s="2" t="s">
        <v>8</v>
      </c>
      <c r="C302" s="2" t="s">
        <v>14</v>
      </c>
      <c r="D302" s="3" t="s">
        <v>36</v>
      </c>
      <c r="E302" s="4">
        <v>3566</v>
      </c>
      <c r="F302" s="4">
        <v>5263.8950000000004</v>
      </c>
      <c r="G302" s="4">
        <v>5126.576</v>
      </c>
      <c r="H302" s="4">
        <v>1052.7790000000002</v>
      </c>
      <c r="I302" s="5" t="s">
        <v>42</v>
      </c>
    </row>
    <row r="303" spans="1:9" ht="18" customHeight="1" x14ac:dyDescent="0.25">
      <c r="A303" s="2">
        <v>2021</v>
      </c>
      <c r="B303" s="2" t="s">
        <v>8</v>
      </c>
      <c r="C303" s="2" t="s">
        <v>14</v>
      </c>
      <c r="D303" s="3" t="s">
        <v>37</v>
      </c>
      <c r="E303" s="4">
        <v>2498</v>
      </c>
      <c r="F303" s="4">
        <v>8800</v>
      </c>
      <c r="G303" s="4">
        <v>8960</v>
      </c>
      <c r="H303" s="4">
        <v>1760</v>
      </c>
      <c r="I303" s="5" t="s">
        <v>42</v>
      </c>
    </row>
    <row r="304" spans="1:9" ht="18" customHeight="1" x14ac:dyDescent="0.25">
      <c r="A304" s="2">
        <v>2021</v>
      </c>
      <c r="B304" s="2" t="s">
        <v>8</v>
      </c>
      <c r="C304" s="2" t="s">
        <v>13</v>
      </c>
      <c r="D304" s="3" t="s">
        <v>35</v>
      </c>
      <c r="E304" s="4">
        <v>1245</v>
      </c>
      <c r="F304" s="4">
        <v>5034.92</v>
      </c>
      <c r="G304" s="4">
        <v>5126.4639999999999</v>
      </c>
      <c r="H304" s="4">
        <v>1006.984</v>
      </c>
      <c r="I304" s="5" t="s">
        <v>42</v>
      </c>
    </row>
    <row r="305" spans="1:9" ht="18" customHeight="1" x14ac:dyDescent="0.25">
      <c r="A305" s="2">
        <v>2021</v>
      </c>
      <c r="B305" s="2" t="s">
        <v>8</v>
      </c>
      <c r="C305" s="2" t="s">
        <v>38</v>
      </c>
      <c r="D305" s="6" t="s">
        <v>30</v>
      </c>
      <c r="E305" s="7">
        <v>644</v>
      </c>
      <c r="F305" s="7">
        <v>6317.85</v>
      </c>
      <c r="G305" s="7">
        <v>6432.72</v>
      </c>
      <c r="H305" s="4">
        <v>1263.5700000000002</v>
      </c>
      <c r="I305" s="5" t="s">
        <v>42</v>
      </c>
    </row>
    <row r="306" spans="1:9" ht="18" customHeight="1" x14ac:dyDescent="0.25">
      <c r="A306" s="2">
        <v>2021</v>
      </c>
      <c r="B306" s="2" t="s">
        <v>8</v>
      </c>
      <c r="C306" s="2" t="s">
        <v>12</v>
      </c>
      <c r="D306" s="6" t="s">
        <v>29</v>
      </c>
      <c r="E306" s="7">
        <v>643</v>
      </c>
      <c r="F306" s="7">
        <v>7700</v>
      </c>
      <c r="G306" s="7">
        <v>7840</v>
      </c>
      <c r="H306" s="4">
        <v>1540</v>
      </c>
      <c r="I306" s="5" t="s">
        <v>42</v>
      </c>
    </row>
    <row r="307" spans="1:9" ht="18" customHeight="1" x14ac:dyDescent="0.25">
      <c r="A307" s="2">
        <v>2021</v>
      </c>
      <c r="B307" s="2" t="s">
        <v>8</v>
      </c>
      <c r="C307" s="2" t="s">
        <v>38</v>
      </c>
      <c r="D307" s="6" t="s">
        <v>31</v>
      </c>
      <c r="E307" s="7">
        <v>455</v>
      </c>
      <c r="F307" s="7">
        <v>5036.46</v>
      </c>
      <c r="G307" s="7">
        <v>5128.0320000000002</v>
      </c>
      <c r="H307" s="4">
        <v>1007.292</v>
      </c>
      <c r="I307" s="5" t="s">
        <v>42</v>
      </c>
    </row>
    <row r="308" spans="1:9" ht="18" customHeight="1" x14ac:dyDescent="0.25">
      <c r="A308" s="2">
        <v>2021</v>
      </c>
      <c r="B308" s="2" t="s">
        <v>8</v>
      </c>
      <c r="C308" s="2" t="s">
        <v>12</v>
      </c>
      <c r="D308" s="6" t="s">
        <v>28</v>
      </c>
      <c r="E308" s="8">
        <v>345</v>
      </c>
      <c r="F308" s="8">
        <v>7700</v>
      </c>
      <c r="G308" s="8">
        <v>7840</v>
      </c>
      <c r="H308" s="4">
        <v>1540</v>
      </c>
      <c r="I308" s="5" t="s">
        <v>42</v>
      </c>
    </row>
    <row r="309" spans="1:9" ht="18" customHeight="1" x14ac:dyDescent="0.25">
      <c r="A309" s="2">
        <v>2021</v>
      </c>
      <c r="B309" s="2" t="s">
        <v>8</v>
      </c>
      <c r="C309" s="2" t="s">
        <v>13</v>
      </c>
      <c r="D309" s="3" t="s">
        <v>33</v>
      </c>
      <c r="E309" s="4">
        <v>122</v>
      </c>
      <c r="F309" s="4">
        <v>110</v>
      </c>
      <c r="G309" s="4">
        <v>112</v>
      </c>
      <c r="H309" s="4">
        <v>22</v>
      </c>
      <c r="I309" s="5" t="s">
        <v>42</v>
      </c>
    </row>
    <row r="310" spans="1:9" ht="18" customHeight="1" x14ac:dyDescent="0.25">
      <c r="A310" s="2">
        <v>2021</v>
      </c>
      <c r="B310" s="2" t="s">
        <v>8</v>
      </c>
      <c r="C310" s="2" t="s">
        <v>15</v>
      </c>
      <c r="D310" s="6" t="s">
        <v>26</v>
      </c>
      <c r="E310" s="7">
        <v>78</v>
      </c>
      <c r="F310" s="7">
        <v>5034.92</v>
      </c>
      <c r="G310" s="7">
        <v>5126.4639999999999</v>
      </c>
      <c r="H310" s="4">
        <v>1006.984</v>
      </c>
      <c r="I310" s="5" t="s">
        <v>42</v>
      </c>
    </row>
    <row r="311" spans="1:9" ht="18" customHeight="1" x14ac:dyDescent="0.25">
      <c r="A311" s="2">
        <v>2021</v>
      </c>
      <c r="B311" s="2" t="s">
        <v>8</v>
      </c>
      <c r="C311" s="2" t="s">
        <v>15</v>
      </c>
      <c r="D311" s="6" t="s">
        <v>24</v>
      </c>
      <c r="E311" s="7">
        <v>76</v>
      </c>
      <c r="F311" s="7">
        <v>4576.8999999999996</v>
      </c>
      <c r="G311" s="7">
        <v>5126.1279999999997</v>
      </c>
      <c r="H311" s="4">
        <v>915.38</v>
      </c>
      <c r="I311" s="5" t="s">
        <v>42</v>
      </c>
    </row>
    <row r="312" spans="1:9" ht="18" customHeight="1" x14ac:dyDescent="0.25">
      <c r="A312" s="2">
        <v>2021</v>
      </c>
      <c r="B312" s="2" t="s">
        <v>8</v>
      </c>
      <c r="C312" s="2" t="s">
        <v>15</v>
      </c>
      <c r="D312" s="6" t="s">
        <v>25</v>
      </c>
      <c r="E312" s="7">
        <v>46</v>
      </c>
      <c r="F312" s="7">
        <v>200</v>
      </c>
      <c r="G312" s="7">
        <v>224</v>
      </c>
      <c r="H312" s="4">
        <v>40</v>
      </c>
      <c r="I312" s="5" t="s">
        <v>42</v>
      </c>
    </row>
    <row r="313" spans="1:9" ht="18" customHeight="1" x14ac:dyDescent="0.25">
      <c r="A313" s="2">
        <v>2021</v>
      </c>
      <c r="B313" s="2" t="s">
        <v>8</v>
      </c>
      <c r="C313" s="2" t="s">
        <v>15</v>
      </c>
      <c r="D313" s="6" t="s">
        <v>23</v>
      </c>
      <c r="E313" s="7">
        <v>34</v>
      </c>
      <c r="F313" s="7">
        <v>4576.8</v>
      </c>
      <c r="G313" s="7">
        <v>5126.0160000000005</v>
      </c>
      <c r="H313" s="4">
        <v>915.36000000000013</v>
      </c>
      <c r="I313" s="5" t="s">
        <v>42</v>
      </c>
    </row>
    <row r="314" spans="1:9" ht="18" customHeight="1" x14ac:dyDescent="0.25">
      <c r="A314" s="2">
        <v>2021</v>
      </c>
      <c r="B314" s="2" t="s">
        <v>8</v>
      </c>
      <c r="C314" s="2" t="s">
        <v>13</v>
      </c>
      <c r="D314" s="3" t="s">
        <v>34</v>
      </c>
      <c r="E314" s="4">
        <v>7</v>
      </c>
      <c r="F314" s="4">
        <v>200</v>
      </c>
      <c r="G314" s="4">
        <v>224</v>
      </c>
      <c r="H314" s="4">
        <v>40</v>
      </c>
      <c r="I314" s="5" t="s">
        <v>42</v>
      </c>
    </row>
    <row r="315" spans="1:9" ht="18" customHeight="1" x14ac:dyDescent="0.25">
      <c r="A315" s="2">
        <v>2021</v>
      </c>
      <c r="B315" s="2" t="s">
        <v>8</v>
      </c>
      <c r="C315" s="2" t="s">
        <v>15</v>
      </c>
      <c r="D315" s="6" t="s">
        <v>27</v>
      </c>
      <c r="E315" s="7">
        <v>3</v>
      </c>
      <c r="F315" s="7">
        <v>4577.3</v>
      </c>
      <c r="G315" s="7">
        <v>5126.576</v>
      </c>
      <c r="H315" s="4">
        <v>915.46</v>
      </c>
      <c r="I315" s="5" t="s">
        <v>42</v>
      </c>
    </row>
    <row r="316" spans="1:9" ht="18" customHeight="1" x14ac:dyDescent="0.25">
      <c r="A316" s="2">
        <v>2021</v>
      </c>
      <c r="B316" s="2" t="s">
        <v>8</v>
      </c>
      <c r="C316" s="2" t="s">
        <v>32</v>
      </c>
      <c r="D316" s="6" t="s">
        <v>32</v>
      </c>
      <c r="E316" s="7">
        <v>2</v>
      </c>
      <c r="F316" s="7">
        <v>6600</v>
      </c>
      <c r="G316" s="7">
        <v>7392</v>
      </c>
      <c r="H316" s="4">
        <v>1320</v>
      </c>
      <c r="I316" s="5" t="s">
        <v>42</v>
      </c>
    </row>
    <row r="317" spans="1:9" ht="18" customHeight="1" x14ac:dyDescent="0.25">
      <c r="A317" s="2">
        <v>2021</v>
      </c>
      <c r="B317" s="2" t="s">
        <v>9</v>
      </c>
      <c r="C317" s="2" t="s">
        <v>14</v>
      </c>
      <c r="D317" s="3" t="s">
        <v>36</v>
      </c>
      <c r="E317" s="4">
        <v>3566</v>
      </c>
      <c r="F317" s="4">
        <v>4577.3</v>
      </c>
      <c r="G317" s="4">
        <v>5126.576</v>
      </c>
      <c r="H317" s="4">
        <v>915.46</v>
      </c>
      <c r="I317" s="5" t="s">
        <v>42</v>
      </c>
    </row>
    <row r="318" spans="1:9" ht="18" customHeight="1" x14ac:dyDescent="0.25">
      <c r="A318" s="2">
        <v>2021</v>
      </c>
      <c r="B318" s="2" t="s">
        <v>9</v>
      </c>
      <c r="C318" s="2" t="s">
        <v>14</v>
      </c>
      <c r="D318" s="3" t="s">
        <v>37</v>
      </c>
      <c r="E318" s="4">
        <v>2498</v>
      </c>
      <c r="F318" s="4">
        <v>8000</v>
      </c>
      <c r="G318" s="4">
        <v>8960</v>
      </c>
      <c r="H318" s="4">
        <v>1600</v>
      </c>
      <c r="I318" s="5" t="s">
        <v>42</v>
      </c>
    </row>
    <row r="319" spans="1:9" ht="18" customHeight="1" x14ac:dyDescent="0.25">
      <c r="A319" s="2">
        <v>2021</v>
      </c>
      <c r="B319" s="2" t="s">
        <v>9</v>
      </c>
      <c r="C319" s="2" t="s">
        <v>13</v>
      </c>
      <c r="D319" s="3" t="s">
        <v>35</v>
      </c>
      <c r="E319" s="4">
        <v>1245</v>
      </c>
      <c r="F319" s="4">
        <v>4577.2</v>
      </c>
      <c r="G319" s="4">
        <v>5126.4639999999999</v>
      </c>
      <c r="H319" s="4">
        <v>915.44</v>
      </c>
      <c r="I319" s="5" t="s">
        <v>42</v>
      </c>
    </row>
    <row r="320" spans="1:9" ht="18" customHeight="1" x14ac:dyDescent="0.25">
      <c r="A320" s="2">
        <v>2021</v>
      </c>
      <c r="B320" s="2" t="s">
        <v>9</v>
      </c>
      <c r="C320" s="2" t="s">
        <v>38</v>
      </c>
      <c r="D320" s="6" t="s">
        <v>30</v>
      </c>
      <c r="E320" s="7">
        <v>644</v>
      </c>
      <c r="F320" s="7">
        <v>5743.5</v>
      </c>
      <c r="G320" s="7">
        <v>6432.72</v>
      </c>
      <c r="H320" s="4">
        <v>1148.7</v>
      </c>
      <c r="I320" s="5" t="s">
        <v>42</v>
      </c>
    </row>
    <row r="321" spans="1:9" ht="18" customHeight="1" x14ac:dyDescent="0.25">
      <c r="A321" s="2">
        <v>2021</v>
      </c>
      <c r="B321" s="2" t="s">
        <v>9</v>
      </c>
      <c r="C321" s="2" t="s">
        <v>12</v>
      </c>
      <c r="D321" s="6" t="s">
        <v>29</v>
      </c>
      <c r="E321" s="7">
        <v>643</v>
      </c>
      <c r="F321" s="7">
        <v>7000</v>
      </c>
      <c r="G321" s="7">
        <v>7840</v>
      </c>
      <c r="H321" s="4">
        <v>1400</v>
      </c>
      <c r="I321" s="5" t="s">
        <v>42</v>
      </c>
    </row>
    <row r="322" spans="1:9" ht="18" customHeight="1" x14ac:dyDescent="0.25">
      <c r="A322" s="2">
        <v>2021</v>
      </c>
      <c r="B322" s="2" t="s">
        <v>9</v>
      </c>
      <c r="C322" s="2" t="s">
        <v>38</v>
      </c>
      <c r="D322" s="6" t="s">
        <v>31</v>
      </c>
      <c r="E322" s="7">
        <v>455</v>
      </c>
      <c r="F322" s="7">
        <v>4578.6000000000004</v>
      </c>
      <c r="G322" s="7">
        <v>5128.0320000000002</v>
      </c>
      <c r="H322" s="4">
        <v>915.72000000000014</v>
      </c>
      <c r="I322" s="5" t="s">
        <v>40</v>
      </c>
    </row>
    <row r="323" spans="1:9" ht="18" customHeight="1" x14ac:dyDescent="0.25">
      <c r="A323" s="2">
        <v>2021</v>
      </c>
      <c r="B323" s="2" t="s">
        <v>9</v>
      </c>
      <c r="C323" s="2" t="s">
        <v>12</v>
      </c>
      <c r="D323" s="6" t="s">
        <v>28</v>
      </c>
      <c r="E323" s="8">
        <v>345</v>
      </c>
      <c r="F323" s="8">
        <v>7000</v>
      </c>
      <c r="G323" s="8">
        <v>7840</v>
      </c>
      <c r="H323" s="4">
        <v>1400</v>
      </c>
      <c r="I323" s="5" t="s">
        <v>40</v>
      </c>
    </row>
    <row r="324" spans="1:9" ht="18" customHeight="1" x14ac:dyDescent="0.25">
      <c r="A324" s="2">
        <v>2021</v>
      </c>
      <c r="B324" s="2" t="s">
        <v>9</v>
      </c>
      <c r="C324" s="2" t="s">
        <v>13</v>
      </c>
      <c r="D324" s="3" t="s">
        <v>33</v>
      </c>
      <c r="E324" s="4">
        <v>122</v>
      </c>
      <c r="F324" s="4">
        <v>100</v>
      </c>
      <c r="G324" s="4">
        <v>112</v>
      </c>
      <c r="H324" s="4">
        <v>20</v>
      </c>
      <c r="I324" s="5" t="s">
        <v>40</v>
      </c>
    </row>
    <row r="325" spans="1:9" ht="18" customHeight="1" x14ac:dyDescent="0.25">
      <c r="A325" s="2">
        <v>2021</v>
      </c>
      <c r="B325" s="2" t="s">
        <v>9</v>
      </c>
      <c r="C325" s="2" t="s">
        <v>15</v>
      </c>
      <c r="D325" s="6" t="s">
        <v>26</v>
      </c>
      <c r="E325" s="7">
        <v>78</v>
      </c>
      <c r="F325" s="7">
        <v>4577.2</v>
      </c>
      <c r="G325" s="7">
        <v>5126.4639999999999</v>
      </c>
      <c r="H325" s="4">
        <v>915.44</v>
      </c>
      <c r="I325" s="5" t="s">
        <v>40</v>
      </c>
    </row>
    <row r="326" spans="1:9" ht="18" customHeight="1" x14ac:dyDescent="0.25">
      <c r="A326" s="2">
        <v>2021</v>
      </c>
      <c r="B326" s="2" t="s">
        <v>9</v>
      </c>
      <c r="C326" s="2" t="s">
        <v>15</v>
      </c>
      <c r="D326" s="6" t="s">
        <v>24</v>
      </c>
      <c r="E326" s="7">
        <v>76</v>
      </c>
      <c r="F326" s="7">
        <v>4576.8999999999996</v>
      </c>
      <c r="G326" s="7">
        <v>5126.1279999999997</v>
      </c>
      <c r="H326" s="4">
        <v>915.38</v>
      </c>
      <c r="I326" s="5" t="s">
        <v>40</v>
      </c>
    </row>
    <row r="327" spans="1:9" ht="18" customHeight="1" x14ac:dyDescent="0.25">
      <c r="A327" s="2">
        <v>2021</v>
      </c>
      <c r="B327" s="2" t="s">
        <v>9</v>
      </c>
      <c r="C327" s="2" t="s">
        <v>15</v>
      </c>
      <c r="D327" s="6" t="s">
        <v>25</v>
      </c>
      <c r="E327" s="7">
        <v>46</v>
      </c>
      <c r="F327" s="7">
        <v>200</v>
      </c>
      <c r="G327" s="7">
        <v>224</v>
      </c>
      <c r="H327" s="4">
        <v>40</v>
      </c>
      <c r="I327" s="5" t="s">
        <v>40</v>
      </c>
    </row>
    <row r="328" spans="1:9" ht="18" customHeight="1" x14ac:dyDescent="0.25">
      <c r="A328" s="2">
        <v>2021</v>
      </c>
      <c r="B328" s="2" t="s">
        <v>9</v>
      </c>
      <c r="C328" s="2" t="s">
        <v>15</v>
      </c>
      <c r="D328" s="6" t="s">
        <v>23</v>
      </c>
      <c r="E328" s="7">
        <v>34</v>
      </c>
      <c r="F328" s="7">
        <v>4576.8</v>
      </c>
      <c r="G328" s="7">
        <v>5126.0160000000005</v>
      </c>
      <c r="H328" s="4">
        <v>915.36000000000013</v>
      </c>
      <c r="I328" s="5" t="s">
        <v>40</v>
      </c>
    </row>
    <row r="329" spans="1:9" ht="18" customHeight="1" x14ac:dyDescent="0.25">
      <c r="A329" s="2">
        <v>2021</v>
      </c>
      <c r="B329" s="2" t="s">
        <v>9</v>
      </c>
      <c r="C329" s="2" t="s">
        <v>13</v>
      </c>
      <c r="D329" s="3" t="s">
        <v>34</v>
      </c>
      <c r="E329" s="4">
        <v>7</v>
      </c>
      <c r="F329" s="4">
        <v>200</v>
      </c>
      <c r="G329" s="4">
        <v>224</v>
      </c>
      <c r="H329" s="4">
        <v>40</v>
      </c>
      <c r="I329" s="5" t="s">
        <v>40</v>
      </c>
    </row>
    <row r="330" spans="1:9" ht="18" customHeight="1" x14ac:dyDescent="0.25">
      <c r="A330" s="2">
        <v>2021</v>
      </c>
      <c r="B330" s="2" t="s">
        <v>9</v>
      </c>
      <c r="C330" s="2" t="s">
        <v>15</v>
      </c>
      <c r="D330" s="6" t="s">
        <v>27</v>
      </c>
      <c r="E330" s="7">
        <v>3</v>
      </c>
      <c r="F330" s="7">
        <v>4577.3</v>
      </c>
      <c r="G330" s="7">
        <v>5126.576</v>
      </c>
      <c r="H330" s="4">
        <v>915.46</v>
      </c>
      <c r="I330" s="5" t="s">
        <v>40</v>
      </c>
    </row>
    <row r="331" spans="1:9" ht="18" customHeight="1" x14ac:dyDescent="0.25">
      <c r="A331" s="2">
        <v>2021</v>
      </c>
      <c r="B331" s="2" t="s">
        <v>9</v>
      </c>
      <c r="C331" s="2" t="s">
        <v>32</v>
      </c>
      <c r="D331" s="6" t="s">
        <v>32</v>
      </c>
      <c r="E331" s="7">
        <v>2</v>
      </c>
      <c r="F331" s="7">
        <v>6600</v>
      </c>
      <c r="G331" s="7">
        <v>7392</v>
      </c>
      <c r="H331" s="4">
        <v>1320</v>
      </c>
      <c r="I331" s="5" t="s">
        <v>40</v>
      </c>
    </row>
    <row r="332" spans="1:9" ht="18" customHeight="1" x14ac:dyDescent="0.25">
      <c r="A332" s="2">
        <v>2021</v>
      </c>
      <c r="B332" s="2" t="s">
        <v>10</v>
      </c>
      <c r="C332" s="2" t="s">
        <v>14</v>
      </c>
      <c r="D332" s="3" t="s">
        <v>36</v>
      </c>
      <c r="E332" s="4">
        <v>3566</v>
      </c>
      <c r="F332" s="4">
        <v>4577.3</v>
      </c>
      <c r="G332" s="4">
        <v>5126.576</v>
      </c>
      <c r="H332" s="4">
        <v>915.46</v>
      </c>
      <c r="I332" s="5" t="s">
        <v>40</v>
      </c>
    </row>
    <row r="333" spans="1:9" ht="18" customHeight="1" x14ac:dyDescent="0.25">
      <c r="A333" s="2">
        <v>2021</v>
      </c>
      <c r="B333" s="2" t="s">
        <v>10</v>
      </c>
      <c r="C333" s="2" t="s">
        <v>14</v>
      </c>
      <c r="D333" s="3" t="s">
        <v>37</v>
      </c>
      <c r="E333" s="4">
        <v>2498</v>
      </c>
      <c r="F333" s="4">
        <v>8000</v>
      </c>
      <c r="G333" s="4">
        <v>8960</v>
      </c>
      <c r="H333" s="4">
        <v>1600</v>
      </c>
      <c r="I333" s="5" t="s">
        <v>40</v>
      </c>
    </row>
    <row r="334" spans="1:9" ht="18" customHeight="1" x14ac:dyDescent="0.25">
      <c r="A334" s="2">
        <v>2021</v>
      </c>
      <c r="B334" s="2" t="s">
        <v>10</v>
      </c>
      <c r="C334" s="2" t="s">
        <v>13</v>
      </c>
      <c r="D334" s="3" t="s">
        <v>35</v>
      </c>
      <c r="E334" s="4">
        <v>1245</v>
      </c>
      <c r="F334" s="4">
        <v>4577.2</v>
      </c>
      <c r="G334" s="4">
        <v>5126.4639999999999</v>
      </c>
      <c r="H334" s="4">
        <v>915.44</v>
      </c>
      <c r="I334" s="5" t="s">
        <v>40</v>
      </c>
    </row>
    <row r="335" spans="1:9" ht="18" customHeight="1" x14ac:dyDescent="0.25">
      <c r="A335" s="2">
        <v>2021</v>
      </c>
      <c r="B335" s="2" t="s">
        <v>10</v>
      </c>
      <c r="C335" s="2" t="s">
        <v>38</v>
      </c>
      <c r="D335" s="6" t="s">
        <v>30</v>
      </c>
      <c r="E335" s="7">
        <v>644</v>
      </c>
      <c r="F335" s="7">
        <v>5743.5</v>
      </c>
      <c r="G335" s="7">
        <v>6432.72</v>
      </c>
      <c r="H335" s="4">
        <v>1148.7</v>
      </c>
      <c r="I335" s="5" t="s">
        <v>40</v>
      </c>
    </row>
    <row r="336" spans="1:9" ht="18" customHeight="1" x14ac:dyDescent="0.25">
      <c r="A336" s="2">
        <v>2021</v>
      </c>
      <c r="B336" s="2" t="s">
        <v>10</v>
      </c>
      <c r="C336" s="2" t="s">
        <v>12</v>
      </c>
      <c r="D336" s="6" t="s">
        <v>29</v>
      </c>
      <c r="E336" s="7">
        <v>643</v>
      </c>
      <c r="F336" s="7">
        <v>7000</v>
      </c>
      <c r="G336" s="7">
        <v>7840</v>
      </c>
      <c r="H336" s="4">
        <v>1400</v>
      </c>
      <c r="I336" s="5" t="s">
        <v>40</v>
      </c>
    </row>
    <row r="337" spans="1:9" ht="18" customHeight="1" x14ac:dyDescent="0.25">
      <c r="A337" s="2">
        <v>2021</v>
      </c>
      <c r="B337" s="2" t="s">
        <v>10</v>
      </c>
      <c r="C337" s="2" t="s">
        <v>38</v>
      </c>
      <c r="D337" s="6" t="s">
        <v>31</v>
      </c>
      <c r="E337" s="7">
        <v>455</v>
      </c>
      <c r="F337" s="7">
        <v>4578.6000000000004</v>
      </c>
      <c r="G337" s="7">
        <v>5128.0320000000002</v>
      </c>
      <c r="H337" s="4">
        <v>915.72000000000014</v>
      </c>
      <c r="I337" s="5" t="s">
        <v>40</v>
      </c>
    </row>
    <row r="338" spans="1:9" ht="18" customHeight="1" x14ac:dyDescent="0.25">
      <c r="A338" s="2">
        <v>2021</v>
      </c>
      <c r="B338" s="2" t="s">
        <v>10</v>
      </c>
      <c r="C338" s="2" t="s">
        <v>12</v>
      </c>
      <c r="D338" s="6" t="s">
        <v>28</v>
      </c>
      <c r="E338" s="8">
        <v>345</v>
      </c>
      <c r="F338" s="8">
        <v>7000</v>
      </c>
      <c r="G338" s="8">
        <v>7840</v>
      </c>
      <c r="H338" s="4">
        <v>1400</v>
      </c>
      <c r="I338" s="5" t="s">
        <v>40</v>
      </c>
    </row>
    <row r="339" spans="1:9" ht="18" customHeight="1" x14ac:dyDescent="0.25">
      <c r="A339" s="2">
        <v>2021</v>
      </c>
      <c r="B339" s="2" t="s">
        <v>10</v>
      </c>
      <c r="C339" s="2" t="s">
        <v>13</v>
      </c>
      <c r="D339" s="3" t="s">
        <v>33</v>
      </c>
      <c r="E339" s="4">
        <v>122</v>
      </c>
      <c r="F339" s="4">
        <v>100</v>
      </c>
      <c r="G339" s="4">
        <v>112</v>
      </c>
      <c r="H339" s="4">
        <v>20</v>
      </c>
      <c r="I339" s="5" t="s">
        <v>40</v>
      </c>
    </row>
    <row r="340" spans="1:9" ht="18" customHeight="1" x14ac:dyDescent="0.25">
      <c r="A340" s="2">
        <v>2021</v>
      </c>
      <c r="B340" s="2" t="s">
        <v>10</v>
      </c>
      <c r="C340" s="2" t="s">
        <v>15</v>
      </c>
      <c r="D340" s="6" t="s">
        <v>26</v>
      </c>
      <c r="E340" s="7">
        <v>78</v>
      </c>
      <c r="F340" s="7">
        <v>4577.2</v>
      </c>
      <c r="G340" s="7">
        <v>5126.4639999999999</v>
      </c>
      <c r="H340" s="4">
        <v>915.44</v>
      </c>
      <c r="I340" s="5" t="s">
        <v>40</v>
      </c>
    </row>
    <row r="341" spans="1:9" ht="18" customHeight="1" x14ac:dyDescent="0.25">
      <c r="A341" s="2">
        <v>2021</v>
      </c>
      <c r="B341" s="2" t="s">
        <v>10</v>
      </c>
      <c r="C341" s="2" t="s">
        <v>15</v>
      </c>
      <c r="D341" s="6" t="s">
        <v>24</v>
      </c>
      <c r="E341" s="7">
        <v>76</v>
      </c>
      <c r="F341" s="7">
        <v>4576.8999999999996</v>
      </c>
      <c r="G341" s="7">
        <v>5126.1279999999997</v>
      </c>
      <c r="H341" s="4">
        <v>915.38</v>
      </c>
      <c r="I341" s="5" t="s">
        <v>40</v>
      </c>
    </row>
    <row r="342" spans="1:9" ht="18" customHeight="1" x14ac:dyDescent="0.25">
      <c r="A342" s="2">
        <v>2021</v>
      </c>
      <c r="B342" s="2" t="s">
        <v>10</v>
      </c>
      <c r="C342" s="2" t="s">
        <v>15</v>
      </c>
      <c r="D342" s="6" t="s">
        <v>25</v>
      </c>
      <c r="E342" s="7">
        <v>46</v>
      </c>
      <c r="F342" s="7">
        <v>200</v>
      </c>
      <c r="G342" s="7">
        <v>224</v>
      </c>
      <c r="H342" s="4">
        <v>40</v>
      </c>
      <c r="I342" s="5" t="s">
        <v>40</v>
      </c>
    </row>
    <row r="343" spans="1:9" ht="18" customHeight="1" x14ac:dyDescent="0.25">
      <c r="A343" s="2">
        <v>2021</v>
      </c>
      <c r="B343" s="2" t="s">
        <v>10</v>
      </c>
      <c r="C343" s="2" t="s">
        <v>15</v>
      </c>
      <c r="D343" s="6" t="s">
        <v>23</v>
      </c>
      <c r="E343" s="7">
        <v>34</v>
      </c>
      <c r="F343" s="7">
        <v>5492.16</v>
      </c>
      <c r="G343" s="7">
        <v>5126.0160000000005</v>
      </c>
      <c r="H343" s="4">
        <v>1098.432</v>
      </c>
      <c r="I343" s="5" t="s">
        <v>40</v>
      </c>
    </row>
    <row r="344" spans="1:9" ht="18" customHeight="1" x14ac:dyDescent="0.25">
      <c r="A344" s="2">
        <v>2021</v>
      </c>
      <c r="B344" s="2" t="s">
        <v>10</v>
      </c>
      <c r="C344" s="2" t="s">
        <v>13</v>
      </c>
      <c r="D344" s="3" t="s">
        <v>34</v>
      </c>
      <c r="E344" s="4">
        <v>7</v>
      </c>
      <c r="F344" s="4">
        <v>240</v>
      </c>
      <c r="G344" s="4">
        <v>224</v>
      </c>
      <c r="H344" s="4">
        <v>48</v>
      </c>
      <c r="I344" s="5" t="s">
        <v>40</v>
      </c>
    </row>
    <row r="345" spans="1:9" ht="18" customHeight="1" x14ac:dyDescent="0.25">
      <c r="A345" s="2">
        <v>2021</v>
      </c>
      <c r="B345" s="2" t="s">
        <v>10</v>
      </c>
      <c r="C345" s="2" t="s">
        <v>15</v>
      </c>
      <c r="D345" s="6" t="s">
        <v>27</v>
      </c>
      <c r="E345" s="7">
        <v>3</v>
      </c>
      <c r="F345" s="7">
        <v>5492.76</v>
      </c>
      <c r="G345" s="7">
        <v>5126.576</v>
      </c>
      <c r="H345" s="4">
        <v>1098.5520000000001</v>
      </c>
      <c r="I345" s="5" t="s">
        <v>40</v>
      </c>
    </row>
    <row r="346" spans="1:9" ht="18" customHeight="1" x14ac:dyDescent="0.25">
      <c r="A346" s="2">
        <v>2021</v>
      </c>
      <c r="B346" s="2" t="s">
        <v>10</v>
      </c>
      <c r="C346" s="2" t="s">
        <v>32</v>
      </c>
      <c r="D346" s="6" t="s">
        <v>32</v>
      </c>
      <c r="E346" s="7">
        <v>2</v>
      </c>
      <c r="F346" s="7">
        <v>7920</v>
      </c>
      <c r="G346" s="7">
        <v>7392</v>
      </c>
      <c r="H346" s="4">
        <v>1584</v>
      </c>
      <c r="I346" s="5" t="s">
        <v>40</v>
      </c>
    </row>
    <row r="347" spans="1:9" ht="18" customHeight="1" x14ac:dyDescent="0.25">
      <c r="A347" s="2">
        <v>2021</v>
      </c>
      <c r="B347" s="2" t="s">
        <v>11</v>
      </c>
      <c r="C347" s="2" t="s">
        <v>14</v>
      </c>
      <c r="D347" s="3" t="s">
        <v>36</v>
      </c>
      <c r="E347" s="4">
        <v>3566</v>
      </c>
      <c r="F347" s="4">
        <v>4577.3</v>
      </c>
      <c r="G347" s="4">
        <v>5126.576</v>
      </c>
      <c r="H347" s="4">
        <v>915.46</v>
      </c>
      <c r="I347" s="5" t="s">
        <v>40</v>
      </c>
    </row>
    <row r="348" spans="1:9" ht="18" customHeight="1" x14ac:dyDescent="0.25">
      <c r="A348" s="2">
        <v>2021</v>
      </c>
      <c r="B348" s="2" t="s">
        <v>11</v>
      </c>
      <c r="C348" s="2" t="s">
        <v>14</v>
      </c>
      <c r="D348" s="3" t="s">
        <v>37</v>
      </c>
      <c r="E348" s="4">
        <v>2498</v>
      </c>
      <c r="F348" s="4">
        <v>8000</v>
      </c>
      <c r="G348" s="4">
        <v>8960</v>
      </c>
      <c r="H348" s="4">
        <v>1600</v>
      </c>
      <c r="I348" s="5" t="s">
        <v>40</v>
      </c>
    </row>
    <row r="349" spans="1:9" ht="18" customHeight="1" x14ac:dyDescent="0.25">
      <c r="A349" s="2">
        <v>2021</v>
      </c>
      <c r="B349" s="2" t="s">
        <v>11</v>
      </c>
      <c r="C349" s="2" t="s">
        <v>13</v>
      </c>
      <c r="D349" s="3" t="s">
        <v>35</v>
      </c>
      <c r="E349" s="4">
        <v>1245</v>
      </c>
      <c r="F349" s="4">
        <v>4577.2</v>
      </c>
      <c r="G349" s="4">
        <v>5126.4639999999999</v>
      </c>
      <c r="H349" s="4">
        <v>915.44</v>
      </c>
      <c r="I349" s="5" t="s">
        <v>40</v>
      </c>
    </row>
    <row r="350" spans="1:9" ht="18" customHeight="1" x14ac:dyDescent="0.25">
      <c r="A350" s="2">
        <v>2021</v>
      </c>
      <c r="B350" s="2" t="s">
        <v>11</v>
      </c>
      <c r="C350" s="2" t="s">
        <v>38</v>
      </c>
      <c r="D350" s="6" t="s">
        <v>30</v>
      </c>
      <c r="E350" s="7">
        <v>644</v>
      </c>
      <c r="F350" s="7">
        <v>5743.5</v>
      </c>
      <c r="G350" s="7">
        <v>6432.72</v>
      </c>
      <c r="H350" s="4">
        <v>1148.7</v>
      </c>
      <c r="I350" s="5" t="s">
        <v>40</v>
      </c>
    </row>
    <row r="351" spans="1:9" ht="18" customHeight="1" x14ac:dyDescent="0.25">
      <c r="A351" s="2">
        <v>2021</v>
      </c>
      <c r="B351" s="2" t="s">
        <v>11</v>
      </c>
      <c r="C351" s="2" t="s">
        <v>12</v>
      </c>
      <c r="D351" s="6" t="s">
        <v>29</v>
      </c>
      <c r="E351" s="7">
        <v>643</v>
      </c>
      <c r="F351" s="7">
        <v>7000</v>
      </c>
      <c r="G351" s="7">
        <v>7840</v>
      </c>
      <c r="H351" s="4">
        <v>1400</v>
      </c>
      <c r="I351" s="5" t="s">
        <v>40</v>
      </c>
    </row>
    <row r="352" spans="1:9" ht="18" customHeight="1" x14ac:dyDescent="0.25">
      <c r="A352" s="2">
        <v>2021</v>
      </c>
      <c r="B352" s="2" t="s">
        <v>11</v>
      </c>
      <c r="C352" s="2" t="s">
        <v>38</v>
      </c>
      <c r="D352" s="6" t="s">
        <v>31</v>
      </c>
      <c r="E352" s="7">
        <v>455</v>
      </c>
      <c r="F352" s="7">
        <v>4578.6000000000004</v>
      </c>
      <c r="G352" s="7">
        <v>5128.0320000000002</v>
      </c>
      <c r="H352" s="4">
        <v>915.72000000000014</v>
      </c>
      <c r="I352" s="5" t="s">
        <v>40</v>
      </c>
    </row>
    <row r="353" spans="1:9" ht="18" customHeight="1" x14ac:dyDescent="0.25">
      <c r="A353" s="2">
        <v>2021</v>
      </c>
      <c r="B353" s="2" t="s">
        <v>11</v>
      </c>
      <c r="C353" s="2" t="s">
        <v>12</v>
      </c>
      <c r="D353" s="6" t="s">
        <v>28</v>
      </c>
      <c r="E353" s="8">
        <v>345</v>
      </c>
      <c r="F353" s="8">
        <v>7000</v>
      </c>
      <c r="G353" s="8">
        <v>7840</v>
      </c>
      <c r="H353" s="4">
        <v>1400</v>
      </c>
      <c r="I353" s="5" t="s">
        <v>40</v>
      </c>
    </row>
    <row r="354" spans="1:9" ht="18" customHeight="1" x14ac:dyDescent="0.25">
      <c r="A354" s="2">
        <v>2021</v>
      </c>
      <c r="B354" s="2" t="s">
        <v>11</v>
      </c>
      <c r="C354" s="2" t="s">
        <v>13</v>
      </c>
      <c r="D354" s="3" t="s">
        <v>33</v>
      </c>
      <c r="E354" s="4">
        <v>122</v>
      </c>
      <c r="F354" s="4">
        <v>100</v>
      </c>
      <c r="G354" s="4">
        <v>112</v>
      </c>
      <c r="H354" s="4">
        <v>20</v>
      </c>
      <c r="I354" s="5" t="s">
        <v>40</v>
      </c>
    </row>
    <row r="355" spans="1:9" ht="18" customHeight="1" x14ac:dyDescent="0.25">
      <c r="A355" s="2">
        <v>2021</v>
      </c>
      <c r="B355" s="2" t="s">
        <v>11</v>
      </c>
      <c r="C355" s="2" t="s">
        <v>15</v>
      </c>
      <c r="D355" s="6" t="s">
        <v>26</v>
      </c>
      <c r="E355" s="7">
        <v>78</v>
      </c>
      <c r="F355" s="7">
        <v>4577.2</v>
      </c>
      <c r="G355" s="7">
        <v>5126.4639999999999</v>
      </c>
      <c r="H355" s="4">
        <v>915.44</v>
      </c>
      <c r="I355" s="5" t="s">
        <v>40</v>
      </c>
    </row>
    <row r="356" spans="1:9" ht="18" customHeight="1" x14ac:dyDescent="0.25">
      <c r="A356" s="2">
        <v>2021</v>
      </c>
      <c r="B356" s="2" t="s">
        <v>11</v>
      </c>
      <c r="C356" s="2" t="s">
        <v>15</v>
      </c>
      <c r="D356" s="6" t="s">
        <v>24</v>
      </c>
      <c r="E356" s="7">
        <v>76</v>
      </c>
      <c r="F356" s="7">
        <v>4576.8999999999996</v>
      </c>
      <c r="G356" s="7">
        <v>5126.1279999999997</v>
      </c>
      <c r="H356" s="4">
        <v>915.38</v>
      </c>
      <c r="I356" s="5" t="s">
        <v>40</v>
      </c>
    </row>
    <row r="357" spans="1:9" ht="18" customHeight="1" x14ac:dyDescent="0.25">
      <c r="A357" s="2">
        <v>2021</v>
      </c>
      <c r="B357" s="2" t="s">
        <v>11</v>
      </c>
      <c r="C357" s="2" t="s">
        <v>15</v>
      </c>
      <c r="D357" s="6" t="s">
        <v>25</v>
      </c>
      <c r="E357" s="7">
        <v>46</v>
      </c>
      <c r="F357" s="7">
        <v>200</v>
      </c>
      <c r="G357" s="7">
        <v>224</v>
      </c>
      <c r="H357" s="4">
        <v>40</v>
      </c>
      <c r="I357" s="5" t="s">
        <v>40</v>
      </c>
    </row>
    <row r="358" spans="1:9" ht="18" customHeight="1" x14ac:dyDescent="0.25">
      <c r="A358" s="2">
        <v>2021</v>
      </c>
      <c r="B358" s="2" t="s">
        <v>11</v>
      </c>
      <c r="C358" s="2" t="s">
        <v>15</v>
      </c>
      <c r="D358" s="6" t="s">
        <v>23</v>
      </c>
      <c r="E358" s="7">
        <v>34</v>
      </c>
      <c r="F358" s="7">
        <v>4576.8</v>
      </c>
      <c r="G358" s="7">
        <v>5126.0160000000005</v>
      </c>
      <c r="H358" s="4">
        <v>915.36000000000013</v>
      </c>
      <c r="I358" s="5" t="s">
        <v>40</v>
      </c>
    </row>
    <row r="359" spans="1:9" ht="18" customHeight="1" x14ac:dyDescent="0.25">
      <c r="A359" s="2">
        <v>2021</v>
      </c>
      <c r="B359" s="2" t="s">
        <v>11</v>
      </c>
      <c r="C359" s="2" t="s">
        <v>13</v>
      </c>
      <c r="D359" s="3" t="s">
        <v>34</v>
      </c>
      <c r="E359" s="4">
        <v>7</v>
      </c>
      <c r="F359" s="4">
        <v>200</v>
      </c>
      <c r="G359" s="4">
        <v>224</v>
      </c>
      <c r="H359" s="4">
        <v>40</v>
      </c>
      <c r="I359" s="5" t="s">
        <v>40</v>
      </c>
    </row>
    <row r="360" spans="1:9" ht="18" customHeight="1" x14ac:dyDescent="0.25">
      <c r="A360" s="2">
        <v>2021</v>
      </c>
      <c r="B360" s="2" t="s">
        <v>11</v>
      </c>
      <c r="C360" s="2" t="s">
        <v>15</v>
      </c>
      <c r="D360" s="6" t="s">
        <v>27</v>
      </c>
      <c r="E360" s="7">
        <v>3</v>
      </c>
      <c r="F360" s="7">
        <v>4577.3</v>
      </c>
      <c r="G360" s="7">
        <v>5126.576</v>
      </c>
      <c r="H360" s="4">
        <v>915.46</v>
      </c>
      <c r="I360" s="5" t="s">
        <v>40</v>
      </c>
    </row>
    <row r="361" spans="1:9" ht="18" customHeight="1" x14ac:dyDescent="0.25">
      <c r="A361" s="2">
        <v>2021</v>
      </c>
      <c r="B361" s="2" t="s">
        <v>11</v>
      </c>
      <c r="C361" s="2" t="s">
        <v>32</v>
      </c>
      <c r="D361" s="6" t="s">
        <v>32</v>
      </c>
      <c r="E361" s="7">
        <v>2</v>
      </c>
      <c r="F361" s="7">
        <v>6600</v>
      </c>
      <c r="G361" s="7">
        <v>7392</v>
      </c>
      <c r="H361" s="4">
        <v>1320</v>
      </c>
      <c r="I361" s="5" t="s">
        <v>40</v>
      </c>
    </row>
    <row r="362" spans="1:9" ht="18" customHeight="1" x14ac:dyDescent="0.25">
      <c r="A362" s="2">
        <v>2022</v>
      </c>
      <c r="B362" s="2" t="s">
        <v>0</v>
      </c>
      <c r="C362" s="2" t="s">
        <v>14</v>
      </c>
      <c r="D362" s="3" t="s">
        <v>36</v>
      </c>
      <c r="E362" s="4">
        <v>3566</v>
      </c>
      <c r="F362" s="4">
        <v>5492.76</v>
      </c>
      <c r="G362" s="4">
        <v>5126.576</v>
      </c>
      <c r="H362" s="4">
        <v>1098.5520000000001</v>
      </c>
      <c r="I362" s="5" t="s">
        <v>40</v>
      </c>
    </row>
    <row r="363" spans="1:9" ht="18" customHeight="1" x14ac:dyDescent="0.25">
      <c r="A363" s="2">
        <v>2022</v>
      </c>
      <c r="B363" s="2" t="s">
        <v>0</v>
      </c>
      <c r="C363" s="2" t="s">
        <v>14</v>
      </c>
      <c r="D363" s="3" t="s">
        <v>37</v>
      </c>
      <c r="E363" s="4">
        <v>2498</v>
      </c>
      <c r="F363" s="4">
        <v>9600</v>
      </c>
      <c r="G363" s="4">
        <v>8960</v>
      </c>
      <c r="H363" s="4">
        <v>1920</v>
      </c>
      <c r="I363" s="5" t="s">
        <v>40</v>
      </c>
    </row>
    <row r="364" spans="1:9" ht="18" customHeight="1" x14ac:dyDescent="0.25">
      <c r="A364" s="2">
        <v>2022</v>
      </c>
      <c r="B364" s="2" t="s">
        <v>0</v>
      </c>
      <c r="C364" s="2" t="s">
        <v>13</v>
      </c>
      <c r="D364" s="3" t="s">
        <v>35</v>
      </c>
      <c r="E364" s="4">
        <v>1245</v>
      </c>
      <c r="F364" s="4">
        <v>5492.6399999999994</v>
      </c>
      <c r="G364" s="4">
        <v>5126.4639999999999</v>
      </c>
      <c r="H364" s="4">
        <v>1098.528</v>
      </c>
      <c r="I364" s="5" t="s">
        <v>42</v>
      </c>
    </row>
    <row r="365" spans="1:9" ht="18" customHeight="1" x14ac:dyDescent="0.25">
      <c r="A365" s="2">
        <v>2022</v>
      </c>
      <c r="B365" s="2" t="s">
        <v>0</v>
      </c>
      <c r="C365" s="2" t="s">
        <v>38</v>
      </c>
      <c r="D365" s="6" t="s">
        <v>30</v>
      </c>
      <c r="E365" s="7">
        <v>644</v>
      </c>
      <c r="F365" s="7">
        <v>6892.2</v>
      </c>
      <c r="G365" s="7">
        <v>6432.72</v>
      </c>
      <c r="H365" s="4">
        <v>1378.44</v>
      </c>
      <c r="I365" s="5" t="s">
        <v>42</v>
      </c>
    </row>
    <row r="366" spans="1:9" ht="18" customHeight="1" x14ac:dyDescent="0.25">
      <c r="A366" s="2">
        <v>2022</v>
      </c>
      <c r="B366" s="2" t="s">
        <v>0</v>
      </c>
      <c r="C366" s="2" t="s">
        <v>12</v>
      </c>
      <c r="D366" s="6" t="s">
        <v>29</v>
      </c>
      <c r="E366" s="7">
        <v>643</v>
      </c>
      <c r="F366" s="7">
        <v>8400</v>
      </c>
      <c r="G366" s="7">
        <v>7840</v>
      </c>
      <c r="H366" s="4">
        <v>1680</v>
      </c>
      <c r="I366" s="5" t="s">
        <v>42</v>
      </c>
    </row>
    <row r="367" spans="1:9" ht="18" customHeight="1" x14ac:dyDescent="0.25">
      <c r="A367" s="2">
        <v>2022</v>
      </c>
      <c r="B367" s="2" t="s">
        <v>0</v>
      </c>
      <c r="C367" s="2" t="s">
        <v>38</v>
      </c>
      <c r="D367" s="6" t="s">
        <v>31</v>
      </c>
      <c r="E367" s="7">
        <v>455</v>
      </c>
      <c r="F367" s="7">
        <v>5494.3200000000006</v>
      </c>
      <c r="G367" s="7">
        <v>5128.0320000000002</v>
      </c>
      <c r="H367" s="4">
        <v>1098.8640000000003</v>
      </c>
      <c r="I367" s="5" t="s">
        <v>42</v>
      </c>
    </row>
    <row r="368" spans="1:9" ht="18" customHeight="1" x14ac:dyDescent="0.25">
      <c r="A368" s="2">
        <v>2022</v>
      </c>
      <c r="B368" s="2" t="s">
        <v>0</v>
      </c>
      <c r="C368" s="2" t="s">
        <v>12</v>
      </c>
      <c r="D368" s="6" t="s">
        <v>28</v>
      </c>
      <c r="E368" s="8">
        <v>345</v>
      </c>
      <c r="F368" s="8">
        <v>8400</v>
      </c>
      <c r="G368" s="8">
        <v>7840</v>
      </c>
      <c r="H368" s="4">
        <v>1680</v>
      </c>
      <c r="I368" s="5" t="s">
        <v>42</v>
      </c>
    </row>
    <row r="369" spans="1:9" ht="18" customHeight="1" x14ac:dyDescent="0.25">
      <c r="A369" s="2">
        <v>2022</v>
      </c>
      <c r="B369" s="2" t="s">
        <v>0</v>
      </c>
      <c r="C369" s="2" t="s">
        <v>13</v>
      </c>
      <c r="D369" s="3" t="s">
        <v>33</v>
      </c>
      <c r="E369" s="4">
        <v>122</v>
      </c>
      <c r="F369" s="4">
        <v>120</v>
      </c>
      <c r="G369" s="4">
        <v>112</v>
      </c>
      <c r="H369" s="4">
        <v>24</v>
      </c>
      <c r="I369" s="5" t="s">
        <v>42</v>
      </c>
    </row>
    <row r="370" spans="1:9" ht="18" customHeight="1" x14ac:dyDescent="0.25">
      <c r="A370" s="2">
        <v>2022</v>
      </c>
      <c r="B370" s="2" t="s">
        <v>0</v>
      </c>
      <c r="C370" s="2" t="s">
        <v>15</v>
      </c>
      <c r="D370" s="6" t="s">
        <v>26</v>
      </c>
      <c r="E370" s="7">
        <v>78</v>
      </c>
      <c r="F370" s="7">
        <v>2288.6</v>
      </c>
      <c r="G370" s="7">
        <v>5126.4639999999999</v>
      </c>
      <c r="H370" s="4">
        <v>457.72</v>
      </c>
      <c r="I370" s="5" t="s">
        <v>42</v>
      </c>
    </row>
    <row r="371" spans="1:9" ht="18" customHeight="1" x14ac:dyDescent="0.25">
      <c r="A371" s="2">
        <v>2022</v>
      </c>
      <c r="B371" s="2" t="s">
        <v>0</v>
      </c>
      <c r="C371" s="2" t="s">
        <v>15</v>
      </c>
      <c r="D371" s="6" t="s">
        <v>24</v>
      </c>
      <c r="E371" s="7">
        <v>76</v>
      </c>
      <c r="F371" s="7">
        <v>2288.4499999999998</v>
      </c>
      <c r="G371" s="7">
        <v>5126.1279999999997</v>
      </c>
      <c r="H371" s="4">
        <v>457.69</v>
      </c>
      <c r="I371" s="5" t="s">
        <v>42</v>
      </c>
    </row>
    <row r="372" spans="1:9" ht="18" customHeight="1" x14ac:dyDescent="0.25">
      <c r="A372" s="2">
        <v>2022</v>
      </c>
      <c r="B372" s="2" t="s">
        <v>0</v>
      </c>
      <c r="C372" s="2" t="s">
        <v>15</v>
      </c>
      <c r="D372" s="6" t="s">
        <v>25</v>
      </c>
      <c r="E372" s="7">
        <v>46</v>
      </c>
      <c r="F372" s="7">
        <v>100</v>
      </c>
      <c r="G372" s="7">
        <v>224</v>
      </c>
      <c r="H372" s="4">
        <v>20</v>
      </c>
      <c r="I372" s="5" t="s">
        <v>42</v>
      </c>
    </row>
    <row r="373" spans="1:9" ht="18" customHeight="1" x14ac:dyDescent="0.25">
      <c r="A373" s="2">
        <v>2022</v>
      </c>
      <c r="B373" s="2" t="s">
        <v>0</v>
      </c>
      <c r="C373" s="2" t="s">
        <v>15</v>
      </c>
      <c r="D373" s="6" t="s">
        <v>23</v>
      </c>
      <c r="E373" s="7">
        <v>34</v>
      </c>
      <c r="F373" s="7">
        <v>2288.4</v>
      </c>
      <c r="G373" s="7">
        <v>5126.0160000000005</v>
      </c>
      <c r="H373" s="4">
        <v>457.68000000000006</v>
      </c>
      <c r="I373" s="5" t="s">
        <v>42</v>
      </c>
    </row>
    <row r="374" spans="1:9" ht="18" customHeight="1" x14ac:dyDescent="0.25">
      <c r="A374" s="2">
        <v>2022</v>
      </c>
      <c r="B374" s="2" t="s">
        <v>0</v>
      </c>
      <c r="C374" s="2" t="s">
        <v>13</v>
      </c>
      <c r="D374" s="3" t="s">
        <v>34</v>
      </c>
      <c r="E374" s="4">
        <v>7</v>
      </c>
      <c r="F374" s="4">
        <v>200</v>
      </c>
      <c r="G374" s="4">
        <v>224</v>
      </c>
      <c r="H374" s="4">
        <v>40</v>
      </c>
      <c r="I374" s="5" t="s">
        <v>42</v>
      </c>
    </row>
    <row r="375" spans="1:9" ht="18" customHeight="1" x14ac:dyDescent="0.25">
      <c r="A375" s="2">
        <v>2022</v>
      </c>
      <c r="B375" s="2" t="s">
        <v>0</v>
      </c>
      <c r="C375" s="2" t="s">
        <v>32</v>
      </c>
      <c r="D375" s="6" t="s">
        <v>32</v>
      </c>
      <c r="E375" s="7">
        <v>3</v>
      </c>
      <c r="F375" s="7">
        <v>4577.3</v>
      </c>
      <c r="G375" s="7">
        <v>7392</v>
      </c>
      <c r="H375" s="4">
        <v>915.46</v>
      </c>
      <c r="I375" s="5" t="s">
        <v>42</v>
      </c>
    </row>
    <row r="376" spans="1:9" ht="18" customHeight="1" x14ac:dyDescent="0.25">
      <c r="A376" s="2">
        <v>2022</v>
      </c>
      <c r="B376" s="2" t="s">
        <v>0</v>
      </c>
      <c r="C376" s="2" t="s">
        <v>15</v>
      </c>
      <c r="D376" s="6" t="s">
        <v>27</v>
      </c>
      <c r="E376" s="7">
        <v>3</v>
      </c>
      <c r="F376" s="7">
        <v>3300</v>
      </c>
      <c r="G376" s="7">
        <v>5126.576</v>
      </c>
      <c r="H376" s="4">
        <v>660</v>
      </c>
      <c r="I376" s="5" t="s">
        <v>42</v>
      </c>
    </row>
    <row r="377" spans="1:9" ht="18" customHeight="1" x14ac:dyDescent="0.25">
      <c r="A377" s="2">
        <v>2022</v>
      </c>
      <c r="B377" s="2" t="s">
        <v>1</v>
      </c>
      <c r="C377" s="2" t="s">
        <v>14</v>
      </c>
      <c r="D377" s="3" t="s">
        <v>36</v>
      </c>
      <c r="E377" s="4">
        <v>3566</v>
      </c>
      <c r="F377" s="4">
        <v>4577.3</v>
      </c>
      <c r="G377" s="4">
        <v>5126.576</v>
      </c>
      <c r="H377" s="4">
        <v>915.46</v>
      </c>
      <c r="I377" s="5" t="s">
        <v>42</v>
      </c>
    </row>
    <row r="378" spans="1:9" ht="18" customHeight="1" x14ac:dyDescent="0.25">
      <c r="A378" s="2">
        <v>2022</v>
      </c>
      <c r="B378" s="2" t="s">
        <v>1</v>
      </c>
      <c r="C378" s="2" t="s">
        <v>14</v>
      </c>
      <c r="D378" s="3" t="s">
        <v>37</v>
      </c>
      <c r="E378" s="4">
        <v>2498</v>
      </c>
      <c r="F378" s="4">
        <v>8000</v>
      </c>
      <c r="G378" s="4">
        <v>8960</v>
      </c>
      <c r="H378" s="4">
        <v>1600</v>
      </c>
      <c r="I378" s="5" t="s">
        <v>42</v>
      </c>
    </row>
    <row r="379" spans="1:9" ht="18" customHeight="1" x14ac:dyDescent="0.25">
      <c r="A379" s="2">
        <v>2022</v>
      </c>
      <c r="B379" s="2" t="s">
        <v>1</v>
      </c>
      <c r="C379" s="2" t="s">
        <v>13</v>
      </c>
      <c r="D379" s="3" t="s">
        <v>35</v>
      </c>
      <c r="E379" s="4">
        <v>1245</v>
      </c>
      <c r="F379" s="4">
        <v>4577.2</v>
      </c>
      <c r="G379" s="4">
        <v>5126.4639999999999</v>
      </c>
      <c r="H379" s="4">
        <v>915.44</v>
      </c>
      <c r="I379" s="5" t="s">
        <v>42</v>
      </c>
    </row>
    <row r="380" spans="1:9" ht="18" customHeight="1" x14ac:dyDescent="0.25">
      <c r="A380" s="2">
        <v>2022</v>
      </c>
      <c r="B380" s="2" t="s">
        <v>1</v>
      </c>
      <c r="C380" s="2" t="s">
        <v>38</v>
      </c>
      <c r="D380" s="6" t="s">
        <v>30</v>
      </c>
      <c r="E380" s="7">
        <v>644</v>
      </c>
      <c r="F380" s="7">
        <v>5743.5</v>
      </c>
      <c r="G380" s="7">
        <v>6432.72</v>
      </c>
      <c r="H380" s="4">
        <v>1148.7</v>
      </c>
      <c r="I380" s="5" t="s">
        <v>42</v>
      </c>
    </row>
    <row r="381" spans="1:9" ht="18" customHeight="1" x14ac:dyDescent="0.25">
      <c r="A381" s="2">
        <v>2022</v>
      </c>
      <c r="B381" s="2" t="s">
        <v>1</v>
      </c>
      <c r="C381" s="2" t="s">
        <v>12</v>
      </c>
      <c r="D381" s="6" t="s">
        <v>29</v>
      </c>
      <c r="E381" s="7">
        <v>643</v>
      </c>
      <c r="F381" s="7">
        <v>7000</v>
      </c>
      <c r="G381" s="7">
        <v>7840</v>
      </c>
      <c r="H381" s="4">
        <v>1400</v>
      </c>
      <c r="I381" s="5" t="s">
        <v>42</v>
      </c>
    </row>
    <row r="382" spans="1:9" ht="18" customHeight="1" x14ac:dyDescent="0.25">
      <c r="A382" s="2">
        <v>2022</v>
      </c>
      <c r="B382" s="2" t="s">
        <v>1</v>
      </c>
      <c r="C382" s="2" t="s">
        <v>38</v>
      </c>
      <c r="D382" s="6" t="s">
        <v>31</v>
      </c>
      <c r="E382" s="7">
        <v>455</v>
      </c>
      <c r="F382" s="7">
        <v>4578.6000000000004</v>
      </c>
      <c r="G382" s="7">
        <v>5128.0320000000002</v>
      </c>
      <c r="H382" s="4">
        <v>915.72000000000014</v>
      </c>
      <c r="I382" s="5" t="s">
        <v>42</v>
      </c>
    </row>
    <row r="383" spans="1:9" ht="18" customHeight="1" x14ac:dyDescent="0.25">
      <c r="A383" s="2">
        <v>2022</v>
      </c>
      <c r="B383" s="2" t="s">
        <v>1</v>
      </c>
      <c r="C383" s="2" t="s">
        <v>12</v>
      </c>
      <c r="D383" s="6" t="s">
        <v>28</v>
      </c>
      <c r="E383" s="8">
        <v>345</v>
      </c>
      <c r="F383" s="8">
        <v>7000</v>
      </c>
      <c r="G383" s="8">
        <v>7840</v>
      </c>
      <c r="H383" s="4">
        <v>1400</v>
      </c>
      <c r="I383" s="5" t="s">
        <v>42</v>
      </c>
    </row>
    <row r="384" spans="1:9" ht="18" customHeight="1" x14ac:dyDescent="0.25">
      <c r="A384" s="2">
        <v>2022</v>
      </c>
      <c r="B384" s="2" t="s">
        <v>1</v>
      </c>
      <c r="C384" s="2" t="s">
        <v>13</v>
      </c>
      <c r="D384" s="3" t="s">
        <v>33</v>
      </c>
      <c r="E384" s="4">
        <v>122</v>
      </c>
      <c r="F384" s="4">
        <v>100</v>
      </c>
      <c r="G384" s="4">
        <v>112</v>
      </c>
      <c r="H384" s="4">
        <v>20</v>
      </c>
      <c r="I384" s="5" t="s">
        <v>42</v>
      </c>
    </row>
    <row r="385" spans="1:9" ht="18" customHeight="1" x14ac:dyDescent="0.25">
      <c r="A385" s="2">
        <v>2022</v>
      </c>
      <c r="B385" s="2" t="s">
        <v>1</v>
      </c>
      <c r="C385" s="2" t="s">
        <v>15</v>
      </c>
      <c r="D385" s="6" t="s">
        <v>26</v>
      </c>
      <c r="E385" s="7">
        <v>78</v>
      </c>
      <c r="F385" s="7">
        <v>2288.6</v>
      </c>
      <c r="G385" s="7">
        <v>5126.4639999999999</v>
      </c>
      <c r="H385" s="4">
        <v>457.72</v>
      </c>
      <c r="I385" s="5" t="s">
        <v>42</v>
      </c>
    </row>
    <row r="386" spans="1:9" ht="18" customHeight="1" x14ac:dyDescent="0.25">
      <c r="A386" s="2">
        <v>2022</v>
      </c>
      <c r="B386" s="2" t="s">
        <v>1</v>
      </c>
      <c r="C386" s="2" t="s">
        <v>15</v>
      </c>
      <c r="D386" s="6" t="s">
        <v>24</v>
      </c>
      <c r="E386" s="7">
        <v>76</v>
      </c>
      <c r="F386" s="7">
        <v>2288.4499999999998</v>
      </c>
      <c r="G386" s="7">
        <v>5126.1279999999997</v>
      </c>
      <c r="H386" s="4">
        <v>457.69</v>
      </c>
      <c r="I386" s="5" t="s">
        <v>42</v>
      </c>
    </row>
    <row r="387" spans="1:9" ht="18" customHeight="1" x14ac:dyDescent="0.25">
      <c r="A387" s="2">
        <v>2022</v>
      </c>
      <c r="B387" s="2" t="s">
        <v>1</v>
      </c>
      <c r="C387" s="2" t="s">
        <v>15</v>
      </c>
      <c r="D387" s="6" t="s">
        <v>25</v>
      </c>
      <c r="E387" s="7">
        <v>46</v>
      </c>
      <c r="F387" s="7">
        <v>100</v>
      </c>
      <c r="G387" s="7">
        <v>224</v>
      </c>
      <c r="H387" s="4">
        <v>20</v>
      </c>
      <c r="I387" s="5" t="s">
        <v>42</v>
      </c>
    </row>
    <row r="388" spans="1:9" ht="18" customHeight="1" x14ac:dyDescent="0.25">
      <c r="A388" s="2">
        <v>2022</v>
      </c>
      <c r="B388" s="2" t="s">
        <v>1</v>
      </c>
      <c r="C388" s="2" t="s">
        <v>15</v>
      </c>
      <c r="D388" s="6" t="s">
        <v>23</v>
      </c>
      <c r="E388" s="7">
        <v>34</v>
      </c>
      <c r="F388" s="7">
        <v>2288.4</v>
      </c>
      <c r="G388" s="7">
        <v>5126.0160000000005</v>
      </c>
      <c r="H388" s="4">
        <v>457.68000000000006</v>
      </c>
      <c r="I388" s="5" t="s">
        <v>42</v>
      </c>
    </row>
    <row r="389" spans="1:9" ht="18" customHeight="1" x14ac:dyDescent="0.25">
      <c r="A389" s="2">
        <v>2022</v>
      </c>
      <c r="B389" s="2" t="s">
        <v>1</v>
      </c>
      <c r="C389" s="2" t="s">
        <v>13</v>
      </c>
      <c r="D389" s="3" t="s">
        <v>34</v>
      </c>
      <c r="E389" s="4">
        <v>7</v>
      </c>
      <c r="F389" s="4">
        <v>200</v>
      </c>
      <c r="G389" s="4">
        <v>224</v>
      </c>
      <c r="H389" s="4">
        <v>40</v>
      </c>
      <c r="I389" s="5" t="s">
        <v>40</v>
      </c>
    </row>
    <row r="390" spans="1:9" ht="18" customHeight="1" x14ac:dyDescent="0.25">
      <c r="A390" s="2">
        <v>2022</v>
      </c>
      <c r="B390" s="2" t="s">
        <v>1</v>
      </c>
      <c r="C390" s="2" t="s">
        <v>15</v>
      </c>
      <c r="D390" s="6" t="s">
        <v>27</v>
      </c>
      <c r="E390" s="7">
        <v>3</v>
      </c>
      <c r="F390" s="7">
        <v>3300</v>
      </c>
      <c r="G390" s="7">
        <v>5126.576</v>
      </c>
      <c r="H390" s="4">
        <v>660</v>
      </c>
      <c r="I390" s="5" t="s">
        <v>40</v>
      </c>
    </row>
    <row r="391" spans="1:9" ht="18" customHeight="1" x14ac:dyDescent="0.25">
      <c r="A391" s="2">
        <v>2022</v>
      </c>
      <c r="B391" s="2" t="s">
        <v>1</v>
      </c>
      <c r="C391" s="2" t="s">
        <v>32</v>
      </c>
      <c r="D391" s="6" t="s">
        <v>32</v>
      </c>
      <c r="E391" s="7">
        <v>2</v>
      </c>
      <c r="F391" s="7">
        <v>6600</v>
      </c>
      <c r="G391" s="7">
        <v>7392</v>
      </c>
      <c r="H391" s="4">
        <v>1320</v>
      </c>
      <c r="I391" s="5" t="s">
        <v>40</v>
      </c>
    </row>
    <row r="392" spans="1:9" ht="18" customHeight="1" x14ac:dyDescent="0.25">
      <c r="A392" s="2">
        <v>2022</v>
      </c>
      <c r="B392" s="2" t="s">
        <v>2</v>
      </c>
      <c r="C392" s="2" t="s">
        <v>14</v>
      </c>
      <c r="D392" s="3" t="s">
        <v>36</v>
      </c>
      <c r="E392" s="4">
        <v>3566</v>
      </c>
      <c r="F392" s="4">
        <v>4577.3</v>
      </c>
      <c r="G392" s="4">
        <v>5126.576</v>
      </c>
      <c r="H392" s="4">
        <v>915.46</v>
      </c>
      <c r="I392" s="5" t="s">
        <v>40</v>
      </c>
    </row>
    <row r="393" spans="1:9" ht="18" customHeight="1" x14ac:dyDescent="0.25">
      <c r="A393" s="2">
        <v>2022</v>
      </c>
      <c r="B393" s="2" t="s">
        <v>2</v>
      </c>
      <c r="C393" s="2" t="s">
        <v>14</v>
      </c>
      <c r="D393" s="3" t="s">
        <v>37</v>
      </c>
      <c r="E393" s="4">
        <v>2498</v>
      </c>
      <c r="F393" s="4">
        <v>8000</v>
      </c>
      <c r="G393" s="4">
        <v>8960</v>
      </c>
      <c r="H393" s="4">
        <v>1600</v>
      </c>
      <c r="I393" s="5" t="s">
        <v>40</v>
      </c>
    </row>
    <row r="394" spans="1:9" ht="18" customHeight="1" x14ac:dyDescent="0.25">
      <c r="A394" s="2">
        <v>2022</v>
      </c>
      <c r="B394" s="2" t="s">
        <v>2</v>
      </c>
      <c r="C394" s="2" t="s">
        <v>13</v>
      </c>
      <c r="D394" s="3" t="s">
        <v>35</v>
      </c>
      <c r="E394" s="4">
        <v>1245</v>
      </c>
      <c r="F394" s="4">
        <v>4577.2</v>
      </c>
      <c r="G394" s="4">
        <v>5126.4639999999999</v>
      </c>
      <c r="H394" s="4">
        <v>915.44</v>
      </c>
      <c r="I394" s="5" t="s">
        <v>40</v>
      </c>
    </row>
    <row r="395" spans="1:9" ht="18" customHeight="1" x14ac:dyDescent="0.25">
      <c r="A395" s="2">
        <v>2022</v>
      </c>
      <c r="B395" s="2" t="s">
        <v>2</v>
      </c>
      <c r="C395" s="2" t="s">
        <v>38</v>
      </c>
      <c r="D395" s="6" t="s">
        <v>30</v>
      </c>
      <c r="E395" s="7">
        <v>644</v>
      </c>
      <c r="F395" s="7">
        <v>5743.5</v>
      </c>
      <c r="G395" s="7">
        <v>6432.72</v>
      </c>
      <c r="H395" s="4">
        <v>1148.7</v>
      </c>
      <c r="I395" s="5" t="s">
        <v>40</v>
      </c>
    </row>
    <row r="396" spans="1:9" ht="18" customHeight="1" x14ac:dyDescent="0.25">
      <c r="A396" s="2">
        <v>2022</v>
      </c>
      <c r="B396" s="2" t="s">
        <v>2</v>
      </c>
      <c r="C396" s="2" t="s">
        <v>12</v>
      </c>
      <c r="D396" s="6" t="s">
        <v>29</v>
      </c>
      <c r="E396" s="7">
        <v>643</v>
      </c>
      <c r="F396" s="7">
        <v>7000</v>
      </c>
      <c r="G396" s="7">
        <v>7840</v>
      </c>
      <c r="H396" s="4">
        <v>1400</v>
      </c>
      <c r="I396" s="5" t="s">
        <v>40</v>
      </c>
    </row>
    <row r="397" spans="1:9" ht="18" customHeight="1" x14ac:dyDescent="0.25">
      <c r="A397" s="2">
        <v>2022</v>
      </c>
      <c r="B397" s="2" t="s">
        <v>2</v>
      </c>
      <c r="C397" s="2" t="s">
        <v>38</v>
      </c>
      <c r="D397" s="6" t="s">
        <v>31</v>
      </c>
      <c r="E397" s="7">
        <v>455</v>
      </c>
      <c r="F397" s="7">
        <v>4578.6000000000004</v>
      </c>
      <c r="G397" s="7">
        <v>5128.0320000000002</v>
      </c>
      <c r="H397" s="4">
        <v>915.72000000000014</v>
      </c>
      <c r="I397" s="5" t="s">
        <v>40</v>
      </c>
    </row>
    <row r="398" spans="1:9" ht="18" customHeight="1" x14ac:dyDescent="0.25">
      <c r="A398" s="2">
        <v>2022</v>
      </c>
      <c r="B398" s="2" t="s">
        <v>2</v>
      </c>
      <c r="C398" s="2" t="s">
        <v>12</v>
      </c>
      <c r="D398" s="6" t="s">
        <v>28</v>
      </c>
      <c r="E398" s="8">
        <v>345</v>
      </c>
      <c r="F398" s="8">
        <v>7000</v>
      </c>
      <c r="G398" s="8">
        <v>7840</v>
      </c>
      <c r="H398" s="4">
        <v>1400</v>
      </c>
      <c r="I398" s="5" t="s">
        <v>40</v>
      </c>
    </row>
    <row r="399" spans="1:9" ht="18" customHeight="1" x14ac:dyDescent="0.25">
      <c r="A399" s="2">
        <v>2022</v>
      </c>
      <c r="B399" s="2" t="s">
        <v>2</v>
      </c>
      <c r="C399" s="2" t="s">
        <v>13</v>
      </c>
      <c r="D399" s="3" t="s">
        <v>33</v>
      </c>
      <c r="E399" s="4">
        <v>122</v>
      </c>
      <c r="F399" s="4">
        <v>100</v>
      </c>
      <c r="G399" s="4">
        <v>112</v>
      </c>
      <c r="H399" s="4">
        <v>20</v>
      </c>
      <c r="I399" s="5" t="s">
        <v>40</v>
      </c>
    </row>
    <row r="400" spans="1:9" ht="18" customHeight="1" x14ac:dyDescent="0.25">
      <c r="A400" s="2">
        <v>2022</v>
      </c>
      <c r="B400" s="2" t="s">
        <v>2</v>
      </c>
      <c r="C400" s="2" t="s">
        <v>15</v>
      </c>
      <c r="D400" s="6" t="s">
        <v>26</v>
      </c>
      <c r="E400" s="7">
        <v>78</v>
      </c>
      <c r="F400" s="7">
        <v>2288.6</v>
      </c>
      <c r="G400" s="7">
        <v>5126.4639999999999</v>
      </c>
      <c r="H400" s="4">
        <v>457.72</v>
      </c>
      <c r="I400" s="5" t="s">
        <v>40</v>
      </c>
    </row>
    <row r="401" spans="1:9" ht="18" customHeight="1" x14ac:dyDescent="0.25">
      <c r="A401" s="2">
        <v>2022</v>
      </c>
      <c r="B401" s="2" t="s">
        <v>2</v>
      </c>
      <c r="C401" s="2" t="s">
        <v>15</v>
      </c>
      <c r="D401" s="6" t="s">
        <v>24</v>
      </c>
      <c r="E401" s="7">
        <v>76</v>
      </c>
      <c r="F401" s="7">
        <v>2288.4499999999998</v>
      </c>
      <c r="G401" s="7">
        <v>5126.1279999999997</v>
      </c>
      <c r="H401" s="4">
        <v>457.69</v>
      </c>
      <c r="I401" s="5" t="s">
        <v>40</v>
      </c>
    </row>
    <row r="402" spans="1:9" ht="18" customHeight="1" x14ac:dyDescent="0.25">
      <c r="A402" s="2">
        <v>2022</v>
      </c>
      <c r="B402" s="2" t="s">
        <v>2</v>
      </c>
      <c r="C402" s="2" t="s">
        <v>15</v>
      </c>
      <c r="D402" s="6" t="s">
        <v>25</v>
      </c>
      <c r="E402" s="7">
        <v>46</v>
      </c>
      <c r="F402" s="7">
        <v>100</v>
      </c>
      <c r="G402" s="7">
        <v>224</v>
      </c>
      <c r="H402" s="4">
        <v>20</v>
      </c>
      <c r="I402" s="5" t="s">
        <v>40</v>
      </c>
    </row>
    <row r="403" spans="1:9" ht="18" customHeight="1" x14ac:dyDescent="0.25">
      <c r="A403" s="2">
        <v>2022</v>
      </c>
      <c r="B403" s="2" t="s">
        <v>2</v>
      </c>
      <c r="C403" s="2" t="s">
        <v>15</v>
      </c>
      <c r="D403" s="6" t="s">
        <v>23</v>
      </c>
      <c r="E403" s="7">
        <v>34</v>
      </c>
      <c r="F403" s="7">
        <v>2288.4</v>
      </c>
      <c r="G403" s="7">
        <v>5126.0160000000005</v>
      </c>
      <c r="H403" s="4">
        <v>457.68000000000006</v>
      </c>
      <c r="I403" s="5" t="s">
        <v>40</v>
      </c>
    </row>
    <row r="404" spans="1:9" ht="18" customHeight="1" x14ac:dyDescent="0.25">
      <c r="A404" s="2">
        <v>2022</v>
      </c>
      <c r="B404" s="2" t="s">
        <v>2</v>
      </c>
      <c r="C404" s="2" t="s">
        <v>13</v>
      </c>
      <c r="D404" s="3" t="s">
        <v>34</v>
      </c>
      <c r="E404" s="4">
        <v>7</v>
      </c>
      <c r="F404" s="4">
        <v>200</v>
      </c>
      <c r="G404" s="4">
        <v>224</v>
      </c>
      <c r="H404" s="4">
        <v>40</v>
      </c>
      <c r="I404" s="5" t="s">
        <v>40</v>
      </c>
    </row>
    <row r="405" spans="1:9" ht="18" customHeight="1" x14ac:dyDescent="0.25">
      <c r="A405" s="2">
        <v>2022</v>
      </c>
      <c r="B405" s="2" t="s">
        <v>2</v>
      </c>
      <c r="C405" s="2" t="s">
        <v>15</v>
      </c>
      <c r="D405" s="6" t="s">
        <v>27</v>
      </c>
      <c r="E405" s="7">
        <v>3</v>
      </c>
      <c r="F405" s="7">
        <v>2288.65</v>
      </c>
      <c r="G405" s="7">
        <v>5126.576</v>
      </c>
      <c r="H405" s="4">
        <v>457.73</v>
      </c>
      <c r="I405" s="5" t="s">
        <v>40</v>
      </c>
    </row>
    <row r="406" spans="1:9" ht="18" customHeight="1" x14ac:dyDescent="0.25">
      <c r="A406" s="2">
        <v>2022</v>
      </c>
      <c r="B406" s="2" t="s">
        <v>2</v>
      </c>
      <c r="C406" s="2" t="s">
        <v>32</v>
      </c>
      <c r="D406" s="6" t="s">
        <v>32</v>
      </c>
      <c r="E406" s="7">
        <v>2</v>
      </c>
      <c r="F406" s="7">
        <v>6600</v>
      </c>
      <c r="G406" s="7">
        <v>7392</v>
      </c>
      <c r="H406" s="4">
        <v>1320</v>
      </c>
      <c r="I406" s="5" t="s">
        <v>42</v>
      </c>
    </row>
    <row r="407" spans="1:9" ht="18" customHeight="1" x14ac:dyDescent="0.25">
      <c r="A407" s="2">
        <v>2022</v>
      </c>
      <c r="B407" s="2" t="s">
        <v>3</v>
      </c>
      <c r="C407" s="2" t="s">
        <v>14</v>
      </c>
      <c r="D407" s="3" t="s">
        <v>36</v>
      </c>
      <c r="E407" s="4">
        <v>3566</v>
      </c>
      <c r="F407" s="4">
        <v>4577.3</v>
      </c>
      <c r="G407" s="4">
        <v>5126.576</v>
      </c>
      <c r="H407" s="4">
        <v>915.46</v>
      </c>
      <c r="I407" s="5" t="s">
        <v>42</v>
      </c>
    </row>
    <row r="408" spans="1:9" ht="18" customHeight="1" x14ac:dyDescent="0.25">
      <c r="A408" s="2">
        <v>2022</v>
      </c>
      <c r="B408" s="2" t="s">
        <v>3</v>
      </c>
      <c r="C408" s="2" t="s">
        <v>14</v>
      </c>
      <c r="D408" s="3" t="s">
        <v>37</v>
      </c>
      <c r="E408" s="4">
        <v>2498</v>
      </c>
      <c r="F408" s="4">
        <v>8000</v>
      </c>
      <c r="G408" s="4">
        <v>8960</v>
      </c>
      <c r="H408" s="4">
        <v>1600</v>
      </c>
      <c r="I408" s="5" t="s">
        <v>42</v>
      </c>
    </row>
    <row r="409" spans="1:9" ht="18" customHeight="1" x14ac:dyDescent="0.25">
      <c r="A409" s="2">
        <v>2022</v>
      </c>
      <c r="B409" s="2" t="s">
        <v>3</v>
      </c>
      <c r="C409" s="2" t="s">
        <v>13</v>
      </c>
      <c r="D409" s="3" t="s">
        <v>35</v>
      </c>
      <c r="E409" s="4">
        <v>1245</v>
      </c>
      <c r="F409" s="4">
        <v>4577.2</v>
      </c>
      <c r="G409" s="4">
        <v>5126.4639999999999</v>
      </c>
      <c r="H409" s="4">
        <v>915.44</v>
      </c>
      <c r="I409" s="5" t="s">
        <v>42</v>
      </c>
    </row>
    <row r="410" spans="1:9" ht="18" customHeight="1" x14ac:dyDescent="0.25">
      <c r="A410" s="2">
        <v>2022</v>
      </c>
      <c r="B410" s="2" t="s">
        <v>3</v>
      </c>
      <c r="C410" s="2" t="s">
        <v>38</v>
      </c>
      <c r="D410" s="6" t="s">
        <v>30</v>
      </c>
      <c r="E410" s="7">
        <v>644</v>
      </c>
      <c r="F410" s="7">
        <v>5743.5</v>
      </c>
      <c r="G410" s="7">
        <v>6432.72</v>
      </c>
      <c r="H410" s="4">
        <v>1148.7</v>
      </c>
      <c r="I410" s="5" t="s">
        <v>42</v>
      </c>
    </row>
    <row r="411" spans="1:9" ht="18" customHeight="1" x14ac:dyDescent="0.25">
      <c r="A411" s="2">
        <v>2022</v>
      </c>
      <c r="B411" s="2" t="s">
        <v>3</v>
      </c>
      <c r="C411" s="2" t="s">
        <v>12</v>
      </c>
      <c r="D411" s="6" t="s">
        <v>29</v>
      </c>
      <c r="E411" s="7">
        <v>643</v>
      </c>
      <c r="F411" s="7">
        <v>7000</v>
      </c>
      <c r="G411" s="7">
        <v>7840</v>
      </c>
      <c r="H411" s="4">
        <v>1400</v>
      </c>
      <c r="I411" s="5" t="s">
        <v>42</v>
      </c>
    </row>
    <row r="412" spans="1:9" ht="18" customHeight="1" x14ac:dyDescent="0.25">
      <c r="A412" s="2">
        <v>2022</v>
      </c>
      <c r="B412" s="2" t="s">
        <v>3</v>
      </c>
      <c r="C412" s="2" t="s">
        <v>38</v>
      </c>
      <c r="D412" s="6" t="s">
        <v>31</v>
      </c>
      <c r="E412" s="7">
        <v>455</v>
      </c>
      <c r="F412" s="7">
        <v>4578.6000000000004</v>
      </c>
      <c r="G412" s="7">
        <v>5128.0320000000002</v>
      </c>
      <c r="H412" s="4">
        <v>915.72000000000014</v>
      </c>
      <c r="I412" s="5" t="s">
        <v>42</v>
      </c>
    </row>
    <row r="413" spans="1:9" ht="18" customHeight="1" x14ac:dyDescent="0.25">
      <c r="A413" s="2">
        <v>2022</v>
      </c>
      <c r="B413" s="2" t="s">
        <v>3</v>
      </c>
      <c r="C413" s="2" t="s">
        <v>12</v>
      </c>
      <c r="D413" s="6" t="s">
        <v>28</v>
      </c>
      <c r="E413" s="8">
        <v>345</v>
      </c>
      <c r="F413" s="8">
        <v>7000</v>
      </c>
      <c r="G413" s="8">
        <v>7840</v>
      </c>
      <c r="H413" s="4">
        <v>1400</v>
      </c>
      <c r="I413" s="5" t="s">
        <v>42</v>
      </c>
    </row>
    <row r="414" spans="1:9" ht="18" customHeight="1" x14ac:dyDescent="0.25">
      <c r="A414" s="2">
        <v>2022</v>
      </c>
      <c r="B414" s="2" t="s">
        <v>3</v>
      </c>
      <c r="C414" s="2" t="s">
        <v>13</v>
      </c>
      <c r="D414" s="3" t="s">
        <v>33</v>
      </c>
      <c r="E414" s="4">
        <v>122</v>
      </c>
      <c r="F414" s="4">
        <v>100</v>
      </c>
      <c r="G414" s="4">
        <v>112</v>
      </c>
      <c r="H414" s="4">
        <v>20</v>
      </c>
      <c r="I414" s="5" t="s">
        <v>42</v>
      </c>
    </row>
    <row r="415" spans="1:9" ht="18" customHeight="1" x14ac:dyDescent="0.25">
      <c r="A415" s="2">
        <v>2022</v>
      </c>
      <c r="B415" s="2" t="s">
        <v>3</v>
      </c>
      <c r="C415" s="2" t="s">
        <v>15</v>
      </c>
      <c r="D415" s="6" t="s">
        <v>26</v>
      </c>
      <c r="E415" s="7">
        <v>78</v>
      </c>
      <c r="F415" s="7">
        <v>2288.6</v>
      </c>
      <c r="G415" s="7">
        <v>5126.4639999999999</v>
      </c>
      <c r="H415" s="4">
        <v>457.72</v>
      </c>
      <c r="I415" s="5" t="s">
        <v>42</v>
      </c>
    </row>
    <row r="416" spans="1:9" ht="18" customHeight="1" x14ac:dyDescent="0.25">
      <c r="A416" s="2">
        <v>2022</v>
      </c>
      <c r="B416" s="2" t="s">
        <v>3</v>
      </c>
      <c r="C416" s="2" t="s">
        <v>15</v>
      </c>
      <c r="D416" s="6" t="s">
        <v>24</v>
      </c>
      <c r="E416" s="7">
        <v>76</v>
      </c>
      <c r="F416" s="7">
        <v>2288.4499999999998</v>
      </c>
      <c r="G416" s="7">
        <v>5126.1279999999997</v>
      </c>
      <c r="H416" s="4">
        <v>457.69</v>
      </c>
      <c r="I416" s="5" t="s">
        <v>42</v>
      </c>
    </row>
    <row r="417" spans="1:9" ht="18" customHeight="1" x14ac:dyDescent="0.25">
      <c r="A417" s="2">
        <v>2022</v>
      </c>
      <c r="B417" s="2" t="s">
        <v>3</v>
      </c>
      <c r="C417" s="2" t="s">
        <v>15</v>
      </c>
      <c r="D417" s="6" t="s">
        <v>25</v>
      </c>
      <c r="E417" s="7">
        <v>46</v>
      </c>
      <c r="F417" s="7">
        <v>100</v>
      </c>
      <c r="G417" s="7">
        <v>224</v>
      </c>
      <c r="H417" s="4">
        <v>20</v>
      </c>
      <c r="I417" s="5" t="s">
        <v>42</v>
      </c>
    </row>
    <row r="418" spans="1:9" ht="18" customHeight="1" x14ac:dyDescent="0.25">
      <c r="A418" s="2">
        <v>2022</v>
      </c>
      <c r="B418" s="2" t="s">
        <v>3</v>
      </c>
      <c r="C418" s="2" t="s">
        <v>15</v>
      </c>
      <c r="D418" s="6" t="s">
        <v>23</v>
      </c>
      <c r="E418" s="7">
        <v>34</v>
      </c>
      <c r="F418" s="7">
        <v>2288.4</v>
      </c>
      <c r="G418" s="7">
        <v>5126.0160000000005</v>
      </c>
      <c r="H418" s="4">
        <v>457.68000000000006</v>
      </c>
      <c r="I418" s="5" t="s">
        <v>42</v>
      </c>
    </row>
    <row r="419" spans="1:9" ht="18" customHeight="1" x14ac:dyDescent="0.25">
      <c r="A419" s="2">
        <v>2022</v>
      </c>
      <c r="B419" s="2" t="s">
        <v>3</v>
      </c>
      <c r="C419" s="2" t="s">
        <v>13</v>
      </c>
      <c r="D419" s="3" t="s">
        <v>34</v>
      </c>
      <c r="E419" s="4">
        <v>7</v>
      </c>
      <c r="F419" s="4">
        <v>200</v>
      </c>
      <c r="G419" s="4">
        <v>224</v>
      </c>
      <c r="H419" s="4">
        <v>40</v>
      </c>
      <c r="I419" s="5" t="s">
        <v>42</v>
      </c>
    </row>
    <row r="420" spans="1:9" ht="18" customHeight="1" x14ac:dyDescent="0.25">
      <c r="A420" s="2">
        <v>2022</v>
      </c>
      <c r="B420" s="2" t="s">
        <v>3</v>
      </c>
      <c r="C420" s="2" t="s">
        <v>15</v>
      </c>
      <c r="D420" s="6" t="s">
        <v>27</v>
      </c>
      <c r="E420" s="7">
        <v>3</v>
      </c>
      <c r="F420" s="7">
        <v>2288.65</v>
      </c>
      <c r="G420" s="7">
        <v>5126.576</v>
      </c>
      <c r="H420" s="4">
        <v>457.73</v>
      </c>
      <c r="I420" s="5" t="s">
        <v>42</v>
      </c>
    </row>
    <row r="421" spans="1:9" ht="18" customHeight="1" x14ac:dyDescent="0.25">
      <c r="A421" s="2">
        <v>2022</v>
      </c>
      <c r="B421" s="2" t="s">
        <v>3</v>
      </c>
      <c r="C421" s="2" t="s">
        <v>32</v>
      </c>
      <c r="D421" s="6" t="s">
        <v>32</v>
      </c>
      <c r="E421" s="7">
        <v>2</v>
      </c>
      <c r="F421" s="7">
        <v>7920</v>
      </c>
      <c r="G421" s="7">
        <v>7392</v>
      </c>
      <c r="H421" s="4">
        <v>1584</v>
      </c>
      <c r="I421" s="5" t="s">
        <v>42</v>
      </c>
    </row>
    <row r="422" spans="1:9" ht="18" customHeight="1" x14ac:dyDescent="0.25">
      <c r="A422" s="2">
        <v>2022</v>
      </c>
      <c r="B422" s="2" t="s">
        <v>4</v>
      </c>
      <c r="C422" s="2" t="s">
        <v>14</v>
      </c>
      <c r="D422" s="3" t="s">
        <v>36</v>
      </c>
      <c r="E422" s="4">
        <v>3566</v>
      </c>
      <c r="F422" s="4">
        <v>4577.3</v>
      </c>
      <c r="G422" s="4">
        <v>5126.576</v>
      </c>
      <c r="H422" s="4">
        <v>915.46</v>
      </c>
      <c r="I422" s="5" t="s">
        <v>40</v>
      </c>
    </row>
    <row r="423" spans="1:9" ht="18" customHeight="1" x14ac:dyDescent="0.25">
      <c r="A423" s="2">
        <v>2022</v>
      </c>
      <c r="B423" s="2" t="s">
        <v>4</v>
      </c>
      <c r="C423" s="2" t="s">
        <v>14</v>
      </c>
      <c r="D423" s="3" t="s">
        <v>37</v>
      </c>
      <c r="E423" s="4">
        <v>2498</v>
      </c>
      <c r="F423" s="4">
        <v>8800</v>
      </c>
      <c r="G423" s="4">
        <v>8960</v>
      </c>
      <c r="H423" s="4">
        <v>1760</v>
      </c>
      <c r="I423" s="5" t="s">
        <v>40</v>
      </c>
    </row>
    <row r="424" spans="1:9" ht="18" customHeight="1" x14ac:dyDescent="0.25">
      <c r="A424" s="2">
        <v>2022</v>
      </c>
      <c r="B424" s="2" t="s">
        <v>4</v>
      </c>
      <c r="C424" s="2" t="s">
        <v>13</v>
      </c>
      <c r="D424" s="3" t="s">
        <v>35</v>
      </c>
      <c r="E424" s="4">
        <v>1245</v>
      </c>
      <c r="F424" s="4">
        <v>5034.92</v>
      </c>
      <c r="G424" s="4">
        <v>5126.4639999999999</v>
      </c>
      <c r="H424" s="4">
        <v>1006.984</v>
      </c>
      <c r="I424" s="5" t="s">
        <v>40</v>
      </c>
    </row>
    <row r="425" spans="1:9" ht="18" customHeight="1" x14ac:dyDescent="0.25">
      <c r="A425" s="2">
        <v>2022</v>
      </c>
      <c r="B425" s="2" t="s">
        <v>4</v>
      </c>
      <c r="C425" s="2" t="s">
        <v>38</v>
      </c>
      <c r="D425" s="6" t="s">
        <v>30</v>
      </c>
      <c r="E425" s="7">
        <v>644</v>
      </c>
      <c r="F425" s="7">
        <v>6317.85</v>
      </c>
      <c r="G425" s="7">
        <v>6432.72</v>
      </c>
      <c r="H425" s="4">
        <v>1263.5700000000002</v>
      </c>
      <c r="I425" s="5" t="s">
        <v>40</v>
      </c>
    </row>
    <row r="426" spans="1:9" ht="18" customHeight="1" x14ac:dyDescent="0.25">
      <c r="A426" s="2">
        <v>2022</v>
      </c>
      <c r="B426" s="2" t="s">
        <v>4</v>
      </c>
      <c r="C426" s="2" t="s">
        <v>12</v>
      </c>
      <c r="D426" s="6" t="s">
        <v>29</v>
      </c>
      <c r="E426" s="7">
        <v>643</v>
      </c>
      <c r="F426" s="7">
        <v>7700</v>
      </c>
      <c r="G426" s="7">
        <v>7840</v>
      </c>
      <c r="H426" s="4">
        <v>1540</v>
      </c>
      <c r="I426" s="5" t="s">
        <v>40</v>
      </c>
    </row>
    <row r="427" spans="1:9" ht="18" customHeight="1" x14ac:dyDescent="0.25">
      <c r="A427" s="2">
        <v>2022</v>
      </c>
      <c r="B427" s="2" t="s">
        <v>4</v>
      </c>
      <c r="C427" s="2" t="s">
        <v>38</v>
      </c>
      <c r="D427" s="6" t="s">
        <v>31</v>
      </c>
      <c r="E427" s="7">
        <v>455</v>
      </c>
      <c r="F427" s="7">
        <v>5036.46</v>
      </c>
      <c r="G427" s="7">
        <v>5128.0320000000002</v>
      </c>
      <c r="H427" s="4">
        <v>1007.292</v>
      </c>
      <c r="I427" s="5" t="s">
        <v>42</v>
      </c>
    </row>
    <row r="428" spans="1:9" ht="18" customHeight="1" x14ac:dyDescent="0.25">
      <c r="A428" s="2">
        <v>2022</v>
      </c>
      <c r="B428" s="2" t="s">
        <v>4</v>
      </c>
      <c r="C428" s="2" t="s">
        <v>12</v>
      </c>
      <c r="D428" s="6" t="s">
        <v>28</v>
      </c>
      <c r="E428" s="8">
        <v>345</v>
      </c>
      <c r="F428" s="8">
        <v>7700</v>
      </c>
      <c r="G428" s="8">
        <v>7840</v>
      </c>
      <c r="H428" s="4">
        <v>1540</v>
      </c>
      <c r="I428" s="5" t="s">
        <v>42</v>
      </c>
    </row>
    <row r="429" spans="1:9" ht="18" customHeight="1" x14ac:dyDescent="0.25">
      <c r="A429" s="2">
        <v>2022</v>
      </c>
      <c r="B429" s="2" t="s">
        <v>4</v>
      </c>
      <c r="C429" s="2" t="s">
        <v>13</v>
      </c>
      <c r="D429" s="3" t="s">
        <v>33</v>
      </c>
      <c r="E429" s="4">
        <v>122</v>
      </c>
      <c r="F429" s="4">
        <v>110</v>
      </c>
      <c r="G429" s="4">
        <v>112</v>
      </c>
      <c r="H429" s="4">
        <v>22</v>
      </c>
      <c r="I429" s="5" t="s">
        <v>42</v>
      </c>
    </row>
    <row r="430" spans="1:9" ht="18" customHeight="1" x14ac:dyDescent="0.25">
      <c r="A430" s="2">
        <v>2022</v>
      </c>
      <c r="B430" s="2" t="s">
        <v>4</v>
      </c>
      <c r="C430" s="2" t="s">
        <v>15</v>
      </c>
      <c r="D430" s="6" t="s">
        <v>26</v>
      </c>
      <c r="E430" s="7">
        <v>78</v>
      </c>
      <c r="F430" s="7">
        <v>2517.46</v>
      </c>
      <c r="G430" s="7">
        <v>5126.4639999999999</v>
      </c>
      <c r="H430" s="4">
        <v>503.49200000000002</v>
      </c>
      <c r="I430" s="5" t="s">
        <v>42</v>
      </c>
    </row>
    <row r="431" spans="1:9" ht="18" customHeight="1" x14ac:dyDescent="0.25">
      <c r="A431" s="2">
        <v>2022</v>
      </c>
      <c r="B431" s="2" t="s">
        <v>4</v>
      </c>
      <c r="C431" s="2" t="s">
        <v>15</v>
      </c>
      <c r="D431" s="6" t="s">
        <v>24</v>
      </c>
      <c r="E431" s="7">
        <v>76</v>
      </c>
      <c r="F431" s="7">
        <v>2288.4499999999998</v>
      </c>
      <c r="G431" s="7">
        <v>5126.1279999999997</v>
      </c>
      <c r="H431" s="4">
        <v>457.69</v>
      </c>
      <c r="I431" s="5" t="s">
        <v>42</v>
      </c>
    </row>
    <row r="432" spans="1:9" ht="18" customHeight="1" x14ac:dyDescent="0.25">
      <c r="A432" s="2">
        <v>2022</v>
      </c>
      <c r="B432" s="2" t="s">
        <v>4</v>
      </c>
      <c r="C432" s="2" t="s">
        <v>15</v>
      </c>
      <c r="D432" s="6" t="s">
        <v>25</v>
      </c>
      <c r="E432" s="7">
        <v>46</v>
      </c>
      <c r="F432" s="7">
        <v>100</v>
      </c>
      <c r="G432" s="7">
        <v>224</v>
      </c>
      <c r="H432" s="4">
        <v>20</v>
      </c>
      <c r="I432" s="5" t="s">
        <v>42</v>
      </c>
    </row>
    <row r="433" spans="1:9" ht="18" customHeight="1" x14ac:dyDescent="0.25">
      <c r="A433" s="2">
        <v>2022</v>
      </c>
      <c r="B433" s="2" t="s">
        <v>4</v>
      </c>
      <c r="C433" s="2" t="s">
        <v>15</v>
      </c>
      <c r="D433" s="6" t="s">
        <v>23</v>
      </c>
      <c r="E433" s="7">
        <v>34</v>
      </c>
      <c r="F433" s="7">
        <v>2288.4</v>
      </c>
      <c r="G433" s="7">
        <v>5126.0160000000005</v>
      </c>
      <c r="H433" s="4">
        <v>457.68000000000006</v>
      </c>
      <c r="I433" s="5" t="s">
        <v>42</v>
      </c>
    </row>
    <row r="434" spans="1:9" ht="18" customHeight="1" x14ac:dyDescent="0.25">
      <c r="A434" s="2">
        <v>2022</v>
      </c>
      <c r="B434" s="2" t="s">
        <v>4</v>
      </c>
      <c r="C434" s="2" t="s">
        <v>13</v>
      </c>
      <c r="D434" s="3" t="s">
        <v>34</v>
      </c>
      <c r="E434" s="4">
        <v>7</v>
      </c>
      <c r="F434" s="4">
        <v>200</v>
      </c>
      <c r="G434" s="4">
        <v>224</v>
      </c>
      <c r="H434" s="4">
        <v>40</v>
      </c>
      <c r="I434" s="5" t="s">
        <v>42</v>
      </c>
    </row>
    <row r="435" spans="1:9" ht="18" customHeight="1" x14ac:dyDescent="0.25">
      <c r="A435" s="2">
        <v>2022</v>
      </c>
      <c r="B435" s="2" t="s">
        <v>4</v>
      </c>
      <c r="C435" s="2" t="s">
        <v>15</v>
      </c>
      <c r="D435" s="6" t="s">
        <v>27</v>
      </c>
      <c r="E435" s="7">
        <v>3</v>
      </c>
      <c r="F435" s="7">
        <v>3300</v>
      </c>
      <c r="G435" s="7">
        <v>5126.576</v>
      </c>
      <c r="H435" s="4">
        <v>660</v>
      </c>
      <c r="I435" s="5" t="s">
        <v>42</v>
      </c>
    </row>
    <row r="436" spans="1:9" ht="18" customHeight="1" x14ac:dyDescent="0.25">
      <c r="A436" s="2">
        <v>2022</v>
      </c>
      <c r="B436" s="2" t="s">
        <v>4</v>
      </c>
      <c r="C436" s="2" t="s">
        <v>32</v>
      </c>
      <c r="D436" s="6" t="s">
        <v>32</v>
      </c>
      <c r="E436" s="7">
        <v>2</v>
      </c>
      <c r="F436" s="7">
        <v>4577.3</v>
      </c>
      <c r="G436" s="7">
        <v>7392</v>
      </c>
      <c r="H436" s="4">
        <v>915.46</v>
      </c>
      <c r="I436" s="5" t="s">
        <v>40</v>
      </c>
    </row>
    <row r="437" spans="1:9" ht="18" customHeight="1" x14ac:dyDescent="0.25">
      <c r="A437" s="2">
        <v>2022</v>
      </c>
      <c r="B437" s="2" t="s">
        <v>5</v>
      </c>
      <c r="C437" s="2" t="s">
        <v>14</v>
      </c>
      <c r="D437" s="3" t="s">
        <v>36</v>
      </c>
      <c r="E437" s="4">
        <v>3566</v>
      </c>
      <c r="F437" s="4">
        <v>4577.3</v>
      </c>
      <c r="G437" s="4">
        <v>5126.576</v>
      </c>
      <c r="H437" s="4">
        <v>915.46</v>
      </c>
      <c r="I437" s="5" t="s">
        <v>42</v>
      </c>
    </row>
    <row r="438" spans="1:9" ht="18" customHeight="1" x14ac:dyDescent="0.25">
      <c r="A438" s="2">
        <v>2022</v>
      </c>
      <c r="B438" s="2" t="s">
        <v>5</v>
      </c>
      <c r="C438" s="2" t="s">
        <v>14</v>
      </c>
      <c r="D438" s="3" t="s">
        <v>37</v>
      </c>
      <c r="E438" s="4">
        <v>2498</v>
      </c>
      <c r="F438" s="4">
        <v>8000</v>
      </c>
      <c r="G438" s="4">
        <v>8960</v>
      </c>
      <c r="H438" s="4">
        <v>1600</v>
      </c>
      <c r="I438" s="5" t="s">
        <v>40</v>
      </c>
    </row>
    <row r="439" spans="1:9" ht="18" customHeight="1" x14ac:dyDescent="0.25">
      <c r="A439" s="2">
        <v>2022</v>
      </c>
      <c r="B439" s="2" t="s">
        <v>5</v>
      </c>
      <c r="C439" s="2" t="s">
        <v>13</v>
      </c>
      <c r="D439" s="3" t="s">
        <v>35</v>
      </c>
      <c r="E439" s="4">
        <v>1245</v>
      </c>
      <c r="F439" s="4">
        <v>4577.2</v>
      </c>
      <c r="G439" s="4">
        <v>5126.4639999999999</v>
      </c>
      <c r="H439" s="4">
        <v>915.44</v>
      </c>
      <c r="I439" s="5" t="s">
        <v>40</v>
      </c>
    </row>
    <row r="440" spans="1:9" ht="18" customHeight="1" x14ac:dyDescent="0.25">
      <c r="A440" s="2">
        <v>2022</v>
      </c>
      <c r="B440" s="2" t="s">
        <v>5</v>
      </c>
      <c r="C440" s="2" t="s">
        <v>38</v>
      </c>
      <c r="D440" s="6" t="s">
        <v>30</v>
      </c>
      <c r="E440" s="7">
        <v>644</v>
      </c>
      <c r="F440" s="7">
        <v>5743.5</v>
      </c>
      <c r="G440" s="7">
        <v>6432.72</v>
      </c>
      <c r="H440" s="4">
        <v>1148.7</v>
      </c>
      <c r="I440" s="5" t="s">
        <v>40</v>
      </c>
    </row>
    <row r="441" spans="1:9" ht="18" customHeight="1" x14ac:dyDescent="0.25">
      <c r="A441" s="2">
        <v>2022</v>
      </c>
      <c r="B441" s="2" t="s">
        <v>5</v>
      </c>
      <c r="C441" s="2" t="s">
        <v>12</v>
      </c>
      <c r="D441" s="6" t="s">
        <v>29</v>
      </c>
      <c r="E441" s="7">
        <v>643</v>
      </c>
      <c r="F441" s="7">
        <v>7000</v>
      </c>
      <c r="G441" s="7">
        <v>7840</v>
      </c>
      <c r="H441" s="4">
        <v>1400</v>
      </c>
      <c r="I441" s="5" t="s">
        <v>40</v>
      </c>
    </row>
    <row r="442" spans="1:9" ht="18" customHeight="1" x14ac:dyDescent="0.25">
      <c r="A442" s="2">
        <v>2022</v>
      </c>
      <c r="B442" s="2" t="s">
        <v>5</v>
      </c>
      <c r="C442" s="2" t="s">
        <v>38</v>
      </c>
      <c r="D442" s="6" t="s">
        <v>31</v>
      </c>
      <c r="E442" s="7">
        <v>455</v>
      </c>
      <c r="F442" s="7">
        <v>4578.6000000000004</v>
      </c>
      <c r="G442" s="7">
        <v>5128.0320000000002</v>
      </c>
      <c r="H442" s="4">
        <v>915.72000000000014</v>
      </c>
      <c r="I442" s="5" t="s">
        <v>40</v>
      </c>
    </row>
    <row r="443" spans="1:9" ht="18" customHeight="1" x14ac:dyDescent="0.25">
      <c r="A443" s="2">
        <v>2022</v>
      </c>
      <c r="B443" s="2" t="s">
        <v>5</v>
      </c>
      <c r="C443" s="2" t="s">
        <v>12</v>
      </c>
      <c r="D443" s="6" t="s">
        <v>28</v>
      </c>
      <c r="E443" s="8">
        <v>345</v>
      </c>
      <c r="F443" s="8">
        <v>7000</v>
      </c>
      <c r="G443" s="8">
        <v>7840</v>
      </c>
      <c r="H443" s="4">
        <v>1400</v>
      </c>
      <c r="I443" s="5" t="s">
        <v>40</v>
      </c>
    </row>
    <row r="444" spans="1:9" ht="18" customHeight="1" x14ac:dyDescent="0.25">
      <c r="A444" s="2">
        <v>2022</v>
      </c>
      <c r="B444" s="2" t="s">
        <v>5</v>
      </c>
      <c r="C444" s="2" t="s">
        <v>13</v>
      </c>
      <c r="D444" s="3" t="s">
        <v>33</v>
      </c>
      <c r="E444" s="4">
        <v>122</v>
      </c>
      <c r="F444" s="4">
        <v>100</v>
      </c>
      <c r="G444" s="4">
        <v>112</v>
      </c>
      <c r="H444" s="4">
        <v>20</v>
      </c>
      <c r="I444" s="5" t="s">
        <v>40</v>
      </c>
    </row>
    <row r="445" spans="1:9" ht="18" customHeight="1" x14ac:dyDescent="0.25">
      <c r="A445" s="2">
        <v>2022</v>
      </c>
      <c r="B445" s="2" t="s">
        <v>5</v>
      </c>
      <c r="C445" s="2" t="s">
        <v>15</v>
      </c>
      <c r="D445" s="6" t="s">
        <v>26</v>
      </c>
      <c r="E445" s="7">
        <v>78</v>
      </c>
      <c r="F445" s="7">
        <v>2288.6</v>
      </c>
      <c r="G445" s="7">
        <v>5126.4639999999999</v>
      </c>
      <c r="H445" s="4">
        <v>457.72</v>
      </c>
      <c r="I445" s="5" t="s">
        <v>40</v>
      </c>
    </row>
    <row r="446" spans="1:9" ht="18" customHeight="1" x14ac:dyDescent="0.25">
      <c r="A446" s="2">
        <v>2022</v>
      </c>
      <c r="B446" s="2" t="s">
        <v>5</v>
      </c>
      <c r="C446" s="2" t="s">
        <v>15</v>
      </c>
      <c r="D446" s="6" t="s">
        <v>24</v>
      </c>
      <c r="E446" s="7">
        <v>76</v>
      </c>
      <c r="F446" s="7">
        <v>2288.4499999999998</v>
      </c>
      <c r="G446" s="7">
        <v>5126.1279999999997</v>
      </c>
      <c r="H446" s="4">
        <v>457.69</v>
      </c>
      <c r="I446" s="5" t="s">
        <v>40</v>
      </c>
    </row>
    <row r="447" spans="1:9" ht="18" customHeight="1" x14ac:dyDescent="0.25">
      <c r="A447" s="2">
        <v>2022</v>
      </c>
      <c r="B447" s="2" t="s">
        <v>5</v>
      </c>
      <c r="C447" s="2" t="s">
        <v>15</v>
      </c>
      <c r="D447" s="6" t="s">
        <v>25</v>
      </c>
      <c r="E447" s="7">
        <v>46</v>
      </c>
      <c r="F447" s="7">
        <v>100</v>
      </c>
      <c r="G447" s="7">
        <v>224</v>
      </c>
      <c r="H447" s="4">
        <v>20</v>
      </c>
      <c r="I447" s="5" t="s">
        <v>40</v>
      </c>
    </row>
    <row r="448" spans="1:9" ht="18" customHeight="1" x14ac:dyDescent="0.25">
      <c r="A448" s="2">
        <v>2022</v>
      </c>
      <c r="B448" s="2" t="s">
        <v>5</v>
      </c>
      <c r="C448" s="2" t="s">
        <v>15</v>
      </c>
      <c r="D448" s="6" t="s">
        <v>23</v>
      </c>
      <c r="E448" s="7">
        <v>34</v>
      </c>
      <c r="F448" s="7">
        <v>2288.4</v>
      </c>
      <c r="G448" s="7">
        <v>5126.0160000000005</v>
      </c>
      <c r="H448" s="4">
        <v>457.68000000000006</v>
      </c>
      <c r="I448" s="5" t="s">
        <v>40</v>
      </c>
    </row>
    <row r="449" spans="1:9" ht="18" customHeight="1" x14ac:dyDescent="0.25">
      <c r="A449" s="2">
        <v>2022</v>
      </c>
      <c r="B449" s="2" t="s">
        <v>5</v>
      </c>
      <c r="C449" s="2" t="s">
        <v>13</v>
      </c>
      <c r="D449" s="3" t="s">
        <v>34</v>
      </c>
      <c r="E449" s="4">
        <v>7</v>
      </c>
      <c r="F449" s="4">
        <v>200</v>
      </c>
      <c r="G449" s="4">
        <v>224</v>
      </c>
      <c r="H449" s="4">
        <v>40</v>
      </c>
      <c r="I449" s="5" t="s">
        <v>40</v>
      </c>
    </row>
    <row r="450" spans="1:9" ht="18" customHeight="1" x14ac:dyDescent="0.25">
      <c r="A450" s="2">
        <v>2022</v>
      </c>
      <c r="B450" s="2" t="s">
        <v>5</v>
      </c>
      <c r="C450" s="2" t="s">
        <v>32</v>
      </c>
      <c r="D450" s="6" t="s">
        <v>32</v>
      </c>
      <c r="E450" s="7">
        <v>3</v>
      </c>
      <c r="F450" s="7">
        <v>4577.3</v>
      </c>
      <c r="G450" s="7">
        <v>7392</v>
      </c>
      <c r="H450" s="4">
        <v>915.46</v>
      </c>
      <c r="I450" s="5" t="s">
        <v>40</v>
      </c>
    </row>
    <row r="451" spans="1:9" ht="18" customHeight="1" x14ac:dyDescent="0.25">
      <c r="A451" s="2">
        <v>2022</v>
      </c>
      <c r="B451" s="2" t="s">
        <v>5</v>
      </c>
      <c r="C451" s="2" t="s">
        <v>15</v>
      </c>
      <c r="D451" s="6" t="s">
        <v>27</v>
      </c>
      <c r="E451" s="7">
        <v>3</v>
      </c>
      <c r="F451" s="7">
        <v>2288.65</v>
      </c>
      <c r="G451" s="7">
        <v>5126.576</v>
      </c>
      <c r="H451" s="4">
        <v>457.73</v>
      </c>
      <c r="I451" s="5" t="s">
        <v>40</v>
      </c>
    </row>
    <row r="452" spans="1:9" ht="18" customHeight="1" x14ac:dyDescent="0.25">
      <c r="A452" s="2">
        <v>2022</v>
      </c>
      <c r="B452" s="2" t="s">
        <v>6</v>
      </c>
      <c r="C452" s="2" t="s">
        <v>14</v>
      </c>
      <c r="D452" s="3" t="s">
        <v>36</v>
      </c>
      <c r="E452" s="4">
        <v>3566</v>
      </c>
      <c r="F452" s="4">
        <v>4577.3</v>
      </c>
      <c r="G452" s="4">
        <v>5126.576</v>
      </c>
      <c r="H452" s="4">
        <v>915.46</v>
      </c>
      <c r="I452" s="5" t="s">
        <v>40</v>
      </c>
    </row>
    <row r="453" spans="1:9" ht="18" customHeight="1" x14ac:dyDescent="0.25">
      <c r="A453" s="2">
        <v>2022</v>
      </c>
      <c r="B453" s="2" t="s">
        <v>6</v>
      </c>
      <c r="C453" s="2" t="s">
        <v>14</v>
      </c>
      <c r="D453" s="3" t="s">
        <v>37</v>
      </c>
      <c r="E453" s="4">
        <v>2498</v>
      </c>
      <c r="F453" s="4">
        <v>8000</v>
      </c>
      <c r="G453" s="4">
        <v>8960</v>
      </c>
      <c r="H453" s="4">
        <v>1600</v>
      </c>
      <c r="I453" s="5" t="s">
        <v>40</v>
      </c>
    </row>
    <row r="454" spans="1:9" ht="18" customHeight="1" x14ac:dyDescent="0.25">
      <c r="A454" s="2">
        <v>2022</v>
      </c>
      <c r="B454" s="2" t="s">
        <v>6</v>
      </c>
      <c r="C454" s="2" t="s">
        <v>13</v>
      </c>
      <c r="D454" s="3" t="s">
        <v>35</v>
      </c>
      <c r="E454" s="4">
        <v>1245</v>
      </c>
      <c r="F454" s="4">
        <v>4577.2</v>
      </c>
      <c r="G454" s="4">
        <v>5126.4639999999999</v>
      </c>
      <c r="H454" s="4">
        <v>915.44</v>
      </c>
      <c r="I454" s="5" t="s">
        <v>40</v>
      </c>
    </row>
    <row r="455" spans="1:9" ht="18" customHeight="1" x14ac:dyDescent="0.25">
      <c r="A455" s="2">
        <v>2022</v>
      </c>
      <c r="B455" s="2" t="s">
        <v>6</v>
      </c>
      <c r="C455" s="2" t="s">
        <v>38</v>
      </c>
      <c r="D455" s="6" t="s">
        <v>30</v>
      </c>
      <c r="E455" s="7">
        <v>644</v>
      </c>
      <c r="F455" s="7">
        <v>5743.5</v>
      </c>
      <c r="G455" s="7">
        <v>6432.72</v>
      </c>
      <c r="H455" s="4">
        <v>1148.7</v>
      </c>
      <c r="I455" s="5" t="s">
        <v>40</v>
      </c>
    </row>
    <row r="456" spans="1:9" ht="18" customHeight="1" x14ac:dyDescent="0.25">
      <c r="A456" s="2">
        <v>2022</v>
      </c>
      <c r="B456" s="2" t="s">
        <v>6</v>
      </c>
      <c r="C456" s="2" t="s">
        <v>12</v>
      </c>
      <c r="D456" s="6" t="s">
        <v>29</v>
      </c>
      <c r="E456" s="7">
        <v>643</v>
      </c>
      <c r="F456" s="7">
        <v>7000</v>
      </c>
      <c r="G456" s="7">
        <v>7840</v>
      </c>
      <c r="H456" s="4">
        <v>1400</v>
      </c>
      <c r="I456" s="5" t="s">
        <v>40</v>
      </c>
    </row>
    <row r="457" spans="1:9" ht="18" customHeight="1" x14ac:dyDescent="0.25">
      <c r="A457" s="2">
        <v>2022</v>
      </c>
      <c r="B457" s="2" t="s">
        <v>6</v>
      </c>
      <c r="C457" s="2" t="s">
        <v>38</v>
      </c>
      <c r="D457" s="6" t="s">
        <v>31</v>
      </c>
      <c r="E457" s="7">
        <v>455</v>
      </c>
      <c r="F457" s="7">
        <v>4578.6000000000004</v>
      </c>
      <c r="G457" s="7">
        <v>5128.0320000000002</v>
      </c>
      <c r="H457" s="4">
        <v>915.72000000000014</v>
      </c>
      <c r="I457" s="5" t="s">
        <v>40</v>
      </c>
    </row>
    <row r="458" spans="1:9" ht="18" customHeight="1" x14ac:dyDescent="0.25">
      <c r="A458" s="2">
        <v>2022</v>
      </c>
      <c r="B458" s="2" t="s">
        <v>6</v>
      </c>
      <c r="C458" s="2" t="s">
        <v>12</v>
      </c>
      <c r="D458" s="6" t="s">
        <v>28</v>
      </c>
      <c r="E458" s="8">
        <v>345</v>
      </c>
      <c r="F458" s="8">
        <v>7000</v>
      </c>
      <c r="G458" s="8">
        <v>7840</v>
      </c>
      <c r="H458" s="4">
        <v>1400</v>
      </c>
      <c r="I458" s="5" t="s">
        <v>40</v>
      </c>
    </row>
    <row r="459" spans="1:9" ht="18" customHeight="1" x14ac:dyDescent="0.25">
      <c r="A459" s="2">
        <v>2022</v>
      </c>
      <c r="B459" s="2" t="s">
        <v>6</v>
      </c>
      <c r="C459" s="2" t="s">
        <v>13</v>
      </c>
      <c r="D459" s="3" t="s">
        <v>33</v>
      </c>
      <c r="E459" s="4">
        <v>122</v>
      </c>
      <c r="F459" s="4">
        <v>100</v>
      </c>
      <c r="G459" s="4">
        <v>112</v>
      </c>
      <c r="H459" s="4">
        <v>20</v>
      </c>
      <c r="I459" s="5" t="s">
        <v>40</v>
      </c>
    </row>
    <row r="460" spans="1:9" ht="18" customHeight="1" x14ac:dyDescent="0.25">
      <c r="A460" s="2">
        <v>2022</v>
      </c>
      <c r="B460" s="2" t="s">
        <v>6</v>
      </c>
      <c r="C460" s="2" t="s">
        <v>15</v>
      </c>
      <c r="D460" s="6" t="s">
        <v>26</v>
      </c>
      <c r="E460" s="7">
        <v>78</v>
      </c>
      <c r="F460" s="7">
        <v>2288.6</v>
      </c>
      <c r="G460" s="7">
        <v>5126.4639999999999</v>
      </c>
      <c r="H460" s="4">
        <v>457.72</v>
      </c>
      <c r="I460" s="5" t="s">
        <v>40</v>
      </c>
    </row>
    <row r="461" spans="1:9" ht="18" customHeight="1" x14ac:dyDescent="0.25">
      <c r="A461" s="2">
        <v>2022</v>
      </c>
      <c r="B461" s="2" t="s">
        <v>6</v>
      </c>
      <c r="C461" s="2" t="s">
        <v>15</v>
      </c>
      <c r="D461" s="6" t="s">
        <v>24</v>
      </c>
      <c r="E461" s="7">
        <v>76</v>
      </c>
      <c r="F461" s="7">
        <v>2288.4499999999998</v>
      </c>
      <c r="G461" s="7">
        <v>5126.1279999999997</v>
      </c>
      <c r="H461" s="4">
        <v>457.69</v>
      </c>
      <c r="I461" s="5" t="s">
        <v>40</v>
      </c>
    </row>
    <row r="462" spans="1:9" ht="18" customHeight="1" x14ac:dyDescent="0.25">
      <c r="A462" s="2">
        <v>2022</v>
      </c>
      <c r="B462" s="2" t="s">
        <v>6</v>
      </c>
      <c r="C462" s="2" t="s">
        <v>15</v>
      </c>
      <c r="D462" s="6" t="s">
        <v>25</v>
      </c>
      <c r="E462" s="7">
        <v>46</v>
      </c>
      <c r="F462" s="7">
        <v>100</v>
      </c>
      <c r="G462" s="7">
        <v>224</v>
      </c>
      <c r="H462" s="4">
        <v>20</v>
      </c>
      <c r="I462" s="5" t="s">
        <v>40</v>
      </c>
    </row>
    <row r="463" spans="1:9" ht="18" customHeight="1" x14ac:dyDescent="0.25">
      <c r="A463" s="2">
        <v>2022</v>
      </c>
      <c r="B463" s="2" t="s">
        <v>6</v>
      </c>
      <c r="C463" s="2" t="s">
        <v>15</v>
      </c>
      <c r="D463" s="6" t="s">
        <v>23</v>
      </c>
      <c r="E463" s="7">
        <v>34</v>
      </c>
      <c r="F463" s="7">
        <v>2288.4</v>
      </c>
      <c r="G463" s="7">
        <v>5126.0160000000005</v>
      </c>
      <c r="H463" s="4">
        <v>457.68000000000006</v>
      </c>
      <c r="I463" s="5" t="s">
        <v>40</v>
      </c>
    </row>
    <row r="464" spans="1:9" ht="18" customHeight="1" x14ac:dyDescent="0.25">
      <c r="A464" s="2">
        <v>2022</v>
      </c>
      <c r="B464" s="2" t="s">
        <v>6</v>
      </c>
      <c r="C464" s="2" t="s">
        <v>13</v>
      </c>
      <c r="D464" s="3" t="s">
        <v>34</v>
      </c>
      <c r="E464" s="4">
        <v>7</v>
      </c>
      <c r="F464" s="4">
        <v>200</v>
      </c>
      <c r="G464" s="4">
        <v>224</v>
      </c>
      <c r="H464" s="4">
        <v>40</v>
      </c>
      <c r="I464" s="5" t="s">
        <v>40</v>
      </c>
    </row>
    <row r="465" spans="1:9" ht="18" customHeight="1" x14ac:dyDescent="0.25">
      <c r="A465" s="2">
        <v>2022</v>
      </c>
      <c r="B465" s="2" t="s">
        <v>6</v>
      </c>
      <c r="C465" s="2" t="s">
        <v>15</v>
      </c>
      <c r="D465" s="6" t="s">
        <v>27</v>
      </c>
      <c r="E465" s="7">
        <v>3</v>
      </c>
      <c r="F465" s="7">
        <v>2288.65</v>
      </c>
      <c r="G465" s="7">
        <v>5126.576</v>
      </c>
      <c r="H465" s="4">
        <v>457.73</v>
      </c>
      <c r="I465" s="5" t="s">
        <v>40</v>
      </c>
    </row>
    <row r="466" spans="1:9" ht="18" customHeight="1" x14ac:dyDescent="0.25">
      <c r="A466" s="2">
        <v>2022</v>
      </c>
      <c r="B466" s="2" t="s">
        <v>6</v>
      </c>
      <c r="C466" s="2" t="s">
        <v>32</v>
      </c>
      <c r="D466" s="6" t="s">
        <v>32</v>
      </c>
      <c r="E466" s="7">
        <v>2</v>
      </c>
      <c r="F466" s="7">
        <v>6600</v>
      </c>
      <c r="G466" s="7">
        <v>7392</v>
      </c>
      <c r="H466" s="4">
        <v>1320</v>
      </c>
      <c r="I466" s="5" t="s">
        <v>40</v>
      </c>
    </row>
    <row r="467" spans="1:9" ht="18" customHeight="1" x14ac:dyDescent="0.25">
      <c r="A467" s="2">
        <v>2022</v>
      </c>
      <c r="B467" s="2" t="s">
        <v>7</v>
      </c>
      <c r="C467" s="2" t="s">
        <v>14</v>
      </c>
      <c r="D467" s="3" t="s">
        <v>36</v>
      </c>
      <c r="E467" s="4">
        <v>3566</v>
      </c>
      <c r="F467" s="4">
        <v>4577.3</v>
      </c>
      <c r="G467" s="4">
        <v>5126.576</v>
      </c>
      <c r="H467" s="4">
        <v>915.46</v>
      </c>
      <c r="I467" s="5" t="s">
        <v>40</v>
      </c>
    </row>
    <row r="468" spans="1:9" ht="18" customHeight="1" x14ac:dyDescent="0.25">
      <c r="A468" s="2">
        <v>2022</v>
      </c>
      <c r="B468" s="2" t="s">
        <v>7</v>
      </c>
      <c r="C468" s="2" t="s">
        <v>14</v>
      </c>
      <c r="D468" s="3" t="s">
        <v>37</v>
      </c>
      <c r="E468" s="4">
        <v>2498</v>
      </c>
      <c r="F468" s="4">
        <v>8000</v>
      </c>
      <c r="G468" s="4">
        <v>8960</v>
      </c>
      <c r="H468" s="4">
        <v>1600</v>
      </c>
      <c r="I468" s="5" t="s">
        <v>40</v>
      </c>
    </row>
    <row r="469" spans="1:9" ht="18" customHeight="1" x14ac:dyDescent="0.25">
      <c r="A469" s="2">
        <v>2022</v>
      </c>
      <c r="B469" s="2" t="s">
        <v>7</v>
      </c>
      <c r="C469" s="2" t="s">
        <v>13</v>
      </c>
      <c r="D469" s="3" t="s">
        <v>35</v>
      </c>
      <c r="E469" s="4">
        <v>1245</v>
      </c>
      <c r="F469" s="4">
        <v>4577.2</v>
      </c>
      <c r="G469" s="4">
        <v>5126.4639999999999</v>
      </c>
      <c r="H469" s="4">
        <v>915.44</v>
      </c>
      <c r="I469" s="5" t="s">
        <v>40</v>
      </c>
    </row>
    <row r="470" spans="1:9" ht="18" customHeight="1" x14ac:dyDescent="0.25">
      <c r="A470" s="2">
        <v>2022</v>
      </c>
      <c r="B470" s="2" t="s">
        <v>7</v>
      </c>
      <c r="C470" s="2" t="s">
        <v>38</v>
      </c>
      <c r="D470" s="6" t="s">
        <v>30</v>
      </c>
      <c r="E470" s="7">
        <v>644</v>
      </c>
      <c r="F470" s="7">
        <v>5743.5</v>
      </c>
      <c r="G470" s="7">
        <v>6432.72</v>
      </c>
      <c r="H470" s="4">
        <v>1148.7</v>
      </c>
      <c r="I470" s="5" t="s">
        <v>40</v>
      </c>
    </row>
    <row r="471" spans="1:9" ht="18" customHeight="1" x14ac:dyDescent="0.25">
      <c r="A471" s="2">
        <v>2022</v>
      </c>
      <c r="B471" s="2" t="s">
        <v>7</v>
      </c>
      <c r="C471" s="2" t="s">
        <v>12</v>
      </c>
      <c r="D471" s="6" t="s">
        <v>29</v>
      </c>
      <c r="E471" s="7">
        <v>643</v>
      </c>
      <c r="F471" s="7">
        <v>7000</v>
      </c>
      <c r="G471" s="7">
        <v>7840</v>
      </c>
      <c r="H471" s="4">
        <v>1400</v>
      </c>
      <c r="I471" s="5" t="s">
        <v>40</v>
      </c>
    </row>
    <row r="472" spans="1:9" ht="18" customHeight="1" x14ac:dyDescent="0.25">
      <c r="A472" s="2">
        <v>2022</v>
      </c>
      <c r="B472" s="2" t="s">
        <v>7</v>
      </c>
      <c r="C472" s="2" t="s">
        <v>38</v>
      </c>
      <c r="D472" s="6" t="s">
        <v>31</v>
      </c>
      <c r="E472" s="7">
        <v>455</v>
      </c>
      <c r="F472" s="7">
        <v>5036.46</v>
      </c>
      <c r="G472" s="7">
        <v>5128.0320000000002</v>
      </c>
      <c r="H472" s="4">
        <v>1007.292</v>
      </c>
      <c r="I472" s="5" t="s">
        <v>40</v>
      </c>
    </row>
    <row r="473" spans="1:9" ht="18" customHeight="1" x14ac:dyDescent="0.25">
      <c r="A473" s="2">
        <v>2022</v>
      </c>
      <c r="B473" s="2" t="s">
        <v>7</v>
      </c>
      <c r="C473" s="2" t="s">
        <v>12</v>
      </c>
      <c r="D473" s="6" t="s">
        <v>28</v>
      </c>
      <c r="E473" s="8">
        <v>345</v>
      </c>
      <c r="F473" s="8">
        <v>7700</v>
      </c>
      <c r="G473" s="8">
        <v>7840</v>
      </c>
      <c r="H473" s="4">
        <v>1540</v>
      </c>
      <c r="I473" s="5" t="s">
        <v>40</v>
      </c>
    </row>
    <row r="474" spans="1:9" ht="18" customHeight="1" x14ac:dyDescent="0.25">
      <c r="A474" s="2">
        <v>2022</v>
      </c>
      <c r="B474" s="2" t="s">
        <v>7</v>
      </c>
      <c r="C474" s="2" t="s">
        <v>13</v>
      </c>
      <c r="D474" s="3" t="s">
        <v>33</v>
      </c>
      <c r="E474" s="4">
        <v>122</v>
      </c>
      <c r="F474" s="4">
        <v>110</v>
      </c>
      <c r="G474" s="4">
        <v>112</v>
      </c>
      <c r="H474" s="4">
        <v>22</v>
      </c>
      <c r="I474" s="5" t="s">
        <v>40</v>
      </c>
    </row>
    <row r="475" spans="1:9" ht="18" customHeight="1" x14ac:dyDescent="0.25">
      <c r="A475" s="2">
        <v>2022</v>
      </c>
      <c r="B475" s="2" t="s">
        <v>7</v>
      </c>
      <c r="C475" s="2" t="s">
        <v>15</v>
      </c>
      <c r="D475" s="6" t="s">
        <v>26</v>
      </c>
      <c r="E475" s="7">
        <v>78</v>
      </c>
      <c r="F475" s="7">
        <v>2517.46</v>
      </c>
      <c r="G475" s="7">
        <v>5126.4639999999999</v>
      </c>
      <c r="H475" s="4">
        <v>503.49200000000002</v>
      </c>
      <c r="I475" s="5" t="s">
        <v>40</v>
      </c>
    </row>
    <row r="476" spans="1:9" ht="18" customHeight="1" x14ac:dyDescent="0.25">
      <c r="A476" s="2">
        <v>2022</v>
      </c>
      <c r="B476" s="2" t="s">
        <v>7</v>
      </c>
      <c r="C476" s="2" t="s">
        <v>15</v>
      </c>
      <c r="D476" s="6" t="s">
        <v>24</v>
      </c>
      <c r="E476" s="7">
        <v>76</v>
      </c>
      <c r="F476" s="7">
        <v>2517.2949999999996</v>
      </c>
      <c r="G476" s="7">
        <v>5126.1279999999997</v>
      </c>
      <c r="H476" s="4">
        <v>503.45899999999995</v>
      </c>
      <c r="I476" s="5" t="s">
        <v>40</v>
      </c>
    </row>
    <row r="477" spans="1:9" ht="18" customHeight="1" x14ac:dyDescent="0.25">
      <c r="A477" s="2">
        <v>2022</v>
      </c>
      <c r="B477" s="2" t="s">
        <v>7</v>
      </c>
      <c r="C477" s="2" t="s">
        <v>15</v>
      </c>
      <c r="D477" s="6" t="s">
        <v>25</v>
      </c>
      <c r="E477" s="7">
        <v>46</v>
      </c>
      <c r="F477" s="7">
        <v>115</v>
      </c>
      <c r="G477" s="7">
        <v>224</v>
      </c>
      <c r="H477" s="4">
        <v>23</v>
      </c>
      <c r="I477" s="5" t="s">
        <v>40</v>
      </c>
    </row>
    <row r="478" spans="1:9" ht="18" customHeight="1" x14ac:dyDescent="0.25">
      <c r="A478" s="2">
        <v>2022</v>
      </c>
      <c r="B478" s="2" t="s">
        <v>7</v>
      </c>
      <c r="C478" s="2" t="s">
        <v>15</v>
      </c>
      <c r="D478" s="6" t="s">
        <v>23</v>
      </c>
      <c r="E478" s="7">
        <v>34</v>
      </c>
      <c r="F478" s="7">
        <v>2631.66</v>
      </c>
      <c r="G478" s="7">
        <v>5126.0160000000005</v>
      </c>
      <c r="H478" s="4">
        <v>526.33199999999999</v>
      </c>
      <c r="I478" s="5" t="s">
        <v>40</v>
      </c>
    </row>
    <row r="479" spans="1:9" ht="18" customHeight="1" x14ac:dyDescent="0.25">
      <c r="A479" s="2">
        <v>2022</v>
      </c>
      <c r="B479" s="2" t="s">
        <v>7</v>
      </c>
      <c r="C479" s="2" t="s">
        <v>13</v>
      </c>
      <c r="D479" s="3" t="s">
        <v>34</v>
      </c>
      <c r="E479" s="4">
        <v>7</v>
      </c>
      <c r="F479" s="4">
        <v>230</v>
      </c>
      <c r="G479" s="4">
        <v>224</v>
      </c>
      <c r="H479" s="4">
        <v>46</v>
      </c>
      <c r="I479" s="5" t="s">
        <v>40</v>
      </c>
    </row>
    <row r="480" spans="1:9" ht="18" customHeight="1" x14ac:dyDescent="0.25">
      <c r="A480" s="2">
        <v>2022</v>
      </c>
      <c r="B480" s="2" t="s">
        <v>7</v>
      </c>
      <c r="C480" s="2" t="s">
        <v>15</v>
      </c>
      <c r="D480" s="6" t="s">
        <v>27</v>
      </c>
      <c r="E480" s="7">
        <v>3</v>
      </c>
      <c r="F480" s="7">
        <v>2631.9475000000002</v>
      </c>
      <c r="G480" s="7">
        <v>5126.576</v>
      </c>
      <c r="H480" s="4">
        <v>526.38950000000011</v>
      </c>
      <c r="I480" s="5" t="s">
        <v>40</v>
      </c>
    </row>
    <row r="481" spans="1:9" ht="18" customHeight="1" x14ac:dyDescent="0.25">
      <c r="A481" s="2">
        <v>2022</v>
      </c>
      <c r="B481" s="2" t="s">
        <v>7</v>
      </c>
      <c r="C481" s="2" t="s">
        <v>32</v>
      </c>
      <c r="D481" s="6" t="s">
        <v>32</v>
      </c>
      <c r="E481" s="7">
        <v>2</v>
      </c>
      <c r="F481" s="7">
        <v>7590</v>
      </c>
      <c r="G481" s="7">
        <v>7392</v>
      </c>
      <c r="H481" s="4">
        <v>1518</v>
      </c>
      <c r="I481" s="5" t="s">
        <v>40</v>
      </c>
    </row>
    <row r="482" spans="1:9" ht="18" customHeight="1" x14ac:dyDescent="0.25">
      <c r="A482" s="2">
        <v>2022</v>
      </c>
      <c r="B482" s="2" t="s">
        <v>8</v>
      </c>
      <c r="C482" s="2" t="s">
        <v>14</v>
      </c>
      <c r="D482" s="3" t="s">
        <v>36</v>
      </c>
      <c r="E482" s="4">
        <v>3566</v>
      </c>
      <c r="F482" s="4">
        <v>4577.3</v>
      </c>
      <c r="G482" s="4">
        <v>5126.576</v>
      </c>
      <c r="H482" s="4">
        <v>915.46</v>
      </c>
      <c r="I482" s="5" t="s">
        <v>40</v>
      </c>
    </row>
    <row r="483" spans="1:9" ht="18" customHeight="1" x14ac:dyDescent="0.25">
      <c r="A483" s="2">
        <v>2022</v>
      </c>
      <c r="B483" s="2" t="s">
        <v>8</v>
      </c>
      <c r="C483" s="2" t="s">
        <v>14</v>
      </c>
      <c r="D483" s="3" t="s">
        <v>37</v>
      </c>
      <c r="E483" s="4">
        <v>2498</v>
      </c>
      <c r="F483" s="4">
        <v>8000</v>
      </c>
      <c r="G483" s="4">
        <v>8960</v>
      </c>
      <c r="H483" s="4">
        <v>1600</v>
      </c>
      <c r="I483" s="5" t="s">
        <v>40</v>
      </c>
    </row>
    <row r="484" spans="1:9" ht="18" customHeight="1" x14ac:dyDescent="0.25">
      <c r="A484" s="2">
        <v>2022</v>
      </c>
      <c r="B484" s="2" t="s">
        <v>8</v>
      </c>
      <c r="C484" s="2" t="s">
        <v>13</v>
      </c>
      <c r="D484" s="3" t="s">
        <v>35</v>
      </c>
      <c r="E484" s="4">
        <v>1245</v>
      </c>
      <c r="F484" s="4">
        <v>4577.2</v>
      </c>
      <c r="G484" s="4">
        <v>5126.4639999999999</v>
      </c>
      <c r="H484" s="4">
        <v>915.44</v>
      </c>
      <c r="I484" s="5" t="s">
        <v>40</v>
      </c>
    </row>
    <row r="485" spans="1:9" ht="18" customHeight="1" x14ac:dyDescent="0.25">
      <c r="A485" s="2">
        <v>2022</v>
      </c>
      <c r="B485" s="2" t="s">
        <v>8</v>
      </c>
      <c r="C485" s="2" t="s">
        <v>38</v>
      </c>
      <c r="D485" s="6" t="s">
        <v>30</v>
      </c>
      <c r="E485" s="7">
        <v>644</v>
      </c>
      <c r="F485" s="7">
        <v>5743.5</v>
      </c>
      <c r="G485" s="7">
        <v>6432.72</v>
      </c>
      <c r="H485" s="4">
        <v>1148.7</v>
      </c>
      <c r="I485" s="5" t="s">
        <v>40</v>
      </c>
    </row>
    <row r="486" spans="1:9" ht="18" customHeight="1" x14ac:dyDescent="0.25">
      <c r="A486" s="2">
        <v>2022</v>
      </c>
      <c r="B486" s="2" t="s">
        <v>8</v>
      </c>
      <c r="C486" s="2" t="s">
        <v>12</v>
      </c>
      <c r="D486" s="6" t="s">
        <v>29</v>
      </c>
      <c r="E486" s="7">
        <v>643</v>
      </c>
      <c r="F486" s="7">
        <v>7000</v>
      </c>
      <c r="G486" s="7">
        <v>7840</v>
      </c>
      <c r="H486" s="4">
        <v>1400</v>
      </c>
      <c r="I486" s="5" t="s">
        <v>40</v>
      </c>
    </row>
    <row r="487" spans="1:9" ht="18" customHeight="1" x14ac:dyDescent="0.25">
      <c r="A487" s="2">
        <v>2022</v>
      </c>
      <c r="B487" s="2" t="s">
        <v>8</v>
      </c>
      <c r="C487" s="2" t="s">
        <v>38</v>
      </c>
      <c r="D487" s="6" t="s">
        <v>31</v>
      </c>
      <c r="E487" s="7">
        <v>455</v>
      </c>
      <c r="F487" s="7">
        <v>4578.6000000000004</v>
      </c>
      <c r="G487" s="7">
        <v>5128.0320000000002</v>
      </c>
      <c r="H487" s="4">
        <v>915.72000000000014</v>
      </c>
      <c r="I487" s="5" t="s">
        <v>40</v>
      </c>
    </row>
    <row r="488" spans="1:9" ht="18" customHeight="1" x14ac:dyDescent="0.25">
      <c r="A488" s="2">
        <v>2022</v>
      </c>
      <c r="B488" s="2" t="s">
        <v>8</v>
      </c>
      <c r="C488" s="2" t="s">
        <v>12</v>
      </c>
      <c r="D488" s="6" t="s">
        <v>28</v>
      </c>
      <c r="E488" s="8">
        <v>345</v>
      </c>
      <c r="F488" s="8">
        <v>7000</v>
      </c>
      <c r="G488" s="8">
        <v>7840</v>
      </c>
      <c r="H488" s="4">
        <v>1400</v>
      </c>
      <c r="I488" s="5" t="s">
        <v>40</v>
      </c>
    </row>
    <row r="489" spans="1:9" ht="18" customHeight="1" x14ac:dyDescent="0.25">
      <c r="A489" s="2">
        <v>2022</v>
      </c>
      <c r="B489" s="2" t="s">
        <v>8</v>
      </c>
      <c r="C489" s="2" t="s">
        <v>13</v>
      </c>
      <c r="D489" s="3" t="s">
        <v>33</v>
      </c>
      <c r="E489" s="4">
        <v>122</v>
      </c>
      <c r="F489" s="4">
        <v>100</v>
      </c>
      <c r="G489" s="4">
        <v>112</v>
      </c>
      <c r="H489" s="4">
        <v>20</v>
      </c>
      <c r="I489" s="5" t="s">
        <v>40</v>
      </c>
    </row>
    <row r="490" spans="1:9" ht="18" customHeight="1" x14ac:dyDescent="0.25">
      <c r="A490" s="2">
        <v>2022</v>
      </c>
      <c r="B490" s="2" t="s">
        <v>8</v>
      </c>
      <c r="C490" s="2" t="s">
        <v>15</v>
      </c>
      <c r="D490" s="6" t="s">
        <v>26</v>
      </c>
      <c r="E490" s="7">
        <v>78</v>
      </c>
      <c r="F490" s="7">
        <v>2288.6</v>
      </c>
      <c r="G490" s="7">
        <v>5126.4639999999999</v>
      </c>
      <c r="H490" s="4">
        <v>457.72</v>
      </c>
      <c r="I490" s="5" t="s">
        <v>40</v>
      </c>
    </row>
    <row r="491" spans="1:9" ht="18" customHeight="1" x14ac:dyDescent="0.25">
      <c r="A491" s="2">
        <v>2022</v>
      </c>
      <c r="B491" s="2" t="s">
        <v>8</v>
      </c>
      <c r="C491" s="2" t="s">
        <v>15</v>
      </c>
      <c r="D491" s="6" t="s">
        <v>24</v>
      </c>
      <c r="E491" s="7">
        <v>76</v>
      </c>
      <c r="F491" s="7">
        <v>2288.4499999999998</v>
      </c>
      <c r="G491" s="7">
        <v>5126.1279999999997</v>
      </c>
      <c r="H491" s="4">
        <v>457.69</v>
      </c>
      <c r="I491" s="5" t="s">
        <v>40</v>
      </c>
    </row>
    <row r="492" spans="1:9" ht="18" customHeight="1" x14ac:dyDescent="0.25">
      <c r="A492" s="2">
        <v>2022</v>
      </c>
      <c r="B492" s="2" t="s">
        <v>8</v>
      </c>
      <c r="C492" s="2" t="s">
        <v>15</v>
      </c>
      <c r="D492" s="6" t="s">
        <v>25</v>
      </c>
      <c r="E492" s="7">
        <v>46</v>
      </c>
      <c r="F492" s="7">
        <v>100</v>
      </c>
      <c r="G492" s="7">
        <v>224</v>
      </c>
      <c r="H492" s="4">
        <v>20</v>
      </c>
      <c r="I492" s="5" t="s">
        <v>40</v>
      </c>
    </row>
    <row r="493" spans="1:9" ht="18" customHeight="1" x14ac:dyDescent="0.25">
      <c r="A493" s="2">
        <v>2022</v>
      </c>
      <c r="B493" s="2" t="s">
        <v>8</v>
      </c>
      <c r="C493" s="2" t="s">
        <v>15</v>
      </c>
      <c r="D493" s="6" t="s">
        <v>23</v>
      </c>
      <c r="E493" s="7">
        <v>34</v>
      </c>
      <c r="F493" s="7">
        <v>2746.08</v>
      </c>
      <c r="G493" s="7">
        <v>5126.0160000000005</v>
      </c>
      <c r="H493" s="4">
        <v>549.21600000000001</v>
      </c>
      <c r="I493" s="5" t="s">
        <v>40</v>
      </c>
    </row>
    <row r="494" spans="1:9" ht="18" customHeight="1" x14ac:dyDescent="0.25">
      <c r="A494" s="2">
        <v>2022</v>
      </c>
      <c r="B494" s="2" t="s">
        <v>8</v>
      </c>
      <c r="C494" s="2" t="s">
        <v>13</v>
      </c>
      <c r="D494" s="3" t="s">
        <v>34</v>
      </c>
      <c r="E494" s="4">
        <v>7</v>
      </c>
      <c r="F494" s="4">
        <v>240</v>
      </c>
      <c r="G494" s="4">
        <v>224</v>
      </c>
      <c r="H494" s="4">
        <v>48</v>
      </c>
      <c r="I494" s="5" t="s">
        <v>40</v>
      </c>
    </row>
    <row r="495" spans="1:9" ht="18" customHeight="1" x14ac:dyDescent="0.25">
      <c r="A495" s="2">
        <v>2022</v>
      </c>
      <c r="B495" s="2" t="s">
        <v>8</v>
      </c>
      <c r="C495" s="2" t="s">
        <v>15</v>
      </c>
      <c r="D495" s="6" t="s">
        <v>27</v>
      </c>
      <c r="E495" s="7">
        <v>3</v>
      </c>
      <c r="F495" s="7">
        <v>2746.38</v>
      </c>
      <c r="G495" s="7">
        <v>5126.576</v>
      </c>
      <c r="H495" s="4">
        <v>549.27600000000007</v>
      </c>
      <c r="I495" s="5" t="s">
        <v>40</v>
      </c>
    </row>
    <row r="496" spans="1:9" ht="18" customHeight="1" x14ac:dyDescent="0.25">
      <c r="A496" s="2">
        <v>2022</v>
      </c>
      <c r="B496" s="2" t="s">
        <v>8</v>
      </c>
      <c r="C496" s="2" t="s">
        <v>32</v>
      </c>
      <c r="D496" s="6" t="s">
        <v>32</v>
      </c>
      <c r="E496" s="7">
        <v>2</v>
      </c>
      <c r="F496" s="7">
        <v>7920</v>
      </c>
      <c r="G496" s="7">
        <v>7392</v>
      </c>
      <c r="H496" s="4">
        <v>1584</v>
      </c>
      <c r="I496" s="5" t="s">
        <v>40</v>
      </c>
    </row>
    <row r="497" spans="1:9" ht="18" customHeight="1" x14ac:dyDescent="0.25">
      <c r="A497" s="2">
        <v>2022</v>
      </c>
      <c r="B497" s="2" t="s">
        <v>9</v>
      </c>
      <c r="C497" s="2" t="s">
        <v>14</v>
      </c>
      <c r="D497" s="3" t="s">
        <v>36</v>
      </c>
      <c r="E497" s="4">
        <v>3566</v>
      </c>
      <c r="F497" s="4">
        <v>5035.0300000000007</v>
      </c>
      <c r="G497" s="4">
        <v>5126.576</v>
      </c>
      <c r="H497" s="4">
        <v>1007.0060000000002</v>
      </c>
      <c r="I497" s="5" t="s">
        <v>40</v>
      </c>
    </row>
    <row r="498" spans="1:9" ht="18" customHeight="1" x14ac:dyDescent="0.25">
      <c r="A498" s="2">
        <v>2022</v>
      </c>
      <c r="B498" s="2" t="s">
        <v>9</v>
      </c>
      <c r="C498" s="2" t="s">
        <v>14</v>
      </c>
      <c r="D498" s="3" t="s">
        <v>37</v>
      </c>
      <c r="E498" s="4">
        <v>2498</v>
      </c>
      <c r="F498" s="4">
        <v>9200</v>
      </c>
      <c r="G498" s="4">
        <v>8960</v>
      </c>
      <c r="H498" s="4">
        <v>1840</v>
      </c>
      <c r="I498" s="5" t="s">
        <v>40</v>
      </c>
    </row>
    <row r="499" spans="1:9" ht="18" customHeight="1" x14ac:dyDescent="0.25">
      <c r="A499" s="2">
        <v>2022</v>
      </c>
      <c r="B499" s="2" t="s">
        <v>9</v>
      </c>
      <c r="C499" s="2" t="s">
        <v>13</v>
      </c>
      <c r="D499" s="3" t="s">
        <v>35</v>
      </c>
      <c r="E499" s="4">
        <v>1245</v>
      </c>
      <c r="F499" s="4">
        <v>5263.78</v>
      </c>
      <c r="G499" s="4">
        <v>5126.4639999999999</v>
      </c>
      <c r="H499" s="4">
        <v>1052.7560000000001</v>
      </c>
      <c r="I499" s="5" t="s">
        <v>40</v>
      </c>
    </row>
    <row r="500" spans="1:9" ht="18" customHeight="1" x14ac:dyDescent="0.25">
      <c r="A500" s="2">
        <v>2022</v>
      </c>
      <c r="B500" s="2" t="s">
        <v>9</v>
      </c>
      <c r="C500" s="2" t="s">
        <v>38</v>
      </c>
      <c r="D500" s="6" t="s">
        <v>30</v>
      </c>
      <c r="E500" s="7">
        <v>644</v>
      </c>
      <c r="F500" s="7">
        <v>6605.0249999999996</v>
      </c>
      <c r="G500" s="7">
        <v>6432.72</v>
      </c>
      <c r="H500" s="4">
        <v>1321.0050000000001</v>
      </c>
      <c r="I500" s="5" t="s">
        <v>40</v>
      </c>
    </row>
    <row r="501" spans="1:9" ht="18" customHeight="1" x14ac:dyDescent="0.25">
      <c r="A501" s="2">
        <v>2022</v>
      </c>
      <c r="B501" s="2" t="s">
        <v>9</v>
      </c>
      <c r="C501" s="2" t="s">
        <v>12</v>
      </c>
      <c r="D501" s="6" t="s">
        <v>29</v>
      </c>
      <c r="E501" s="7">
        <v>643</v>
      </c>
      <c r="F501" s="7">
        <v>8400</v>
      </c>
      <c r="G501" s="7">
        <v>7840</v>
      </c>
      <c r="H501" s="4">
        <v>1680</v>
      </c>
      <c r="I501" s="5" t="s">
        <v>40</v>
      </c>
    </row>
    <row r="502" spans="1:9" ht="18" customHeight="1" x14ac:dyDescent="0.25">
      <c r="A502" s="2">
        <v>2022</v>
      </c>
      <c r="B502" s="2" t="s">
        <v>9</v>
      </c>
      <c r="C502" s="2" t="s">
        <v>38</v>
      </c>
      <c r="D502" s="6" t="s">
        <v>31</v>
      </c>
      <c r="E502" s="7">
        <v>455</v>
      </c>
      <c r="F502" s="7">
        <v>5494.3200000000006</v>
      </c>
      <c r="G502" s="7">
        <v>5128.0320000000002</v>
      </c>
      <c r="H502" s="4">
        <v>1098.8640000000003</v>
      </c>
      <c r="I502" s="5" t="s">
        <v>40</v>
      </c>
    </row>
    <row r="503" spans="1:9" ht="18" customHeight="1" x14ac:dyDescent="0.25">
      <c r="A503" s="2">
        <v>2022</v>
      </c>
      <c r="B503" s="2" t="s">
        <v>9</v>
      </c>
      <c r="C503" s="2" t="s">
        <v>12</v>
      </c>
      <c r="D503" s="6" t="s">
        <v>28</v>
      </c>
      <c r="E503" s="8">
        <v>345</v>
      </c>
      <c r="F503" s="8">
        <v>8400</v>
      </c>
      <c r="G503" s="8">
        <v>7840</v>
      </c>
      <c r="H503" s="4">
        <v>1680</v>
      </c>
      <c r="I503" s="5" t="s">
        <v>40</v>
      </c>
    </row>
    <row r="504" spans="1:9" ht="18" customHeight="1" x14ac:dyDescent="0.25">
      <c r="A504" s="2">
        <v>2022</v>
      </c>
      <c r="B504" s="2" t="s">
        <v>9</v>
      </c>
      <c r="C504" s="2" t="s">
        <v>13</v>
      </c>
      <c r="D504" s="3" t="s">
        <v>33</v>
      </c>
      <c r="E504" s="4">
        <v>122</v>
      </c>
      <c r="F504" s="4">
        <v>120</v>
      </c>
      <c r="G504" s="4">
        <v>112</v>
      </c>
      <c r="H504" s="4">
        <v>24</v>
      </c>
      <c r="I504" s="5" t="s">
        <v>40</v>
      </c>
    </row>
    <row r="505" spans="1:9" ht="18" customHeight="1" x14ac:dyDescent="0.25">
      <c r="A505" s="2">
        <v>2022</v>
      </c>
      <c r="B505" s="2" t="s">
        <v>9</v>
      </c>
      <c r="C505" s="2" t="s">
        <v>15</v>
      </c>
      <c r="D505" s="6" t="s">
        <v>26</v>
      </c>
      <c r="E505" s="7">
        <v>78</v>
      </c>
      <c r="F505" s="7">
        <v>2517.46</v>
      </c>
      <c r="G505" s="7">
        <v>5126.4639999999999</v>
      </c>
      <c r="H505" s="4">
        <v>503.49200000000002</v>
      </c>
      <c r="I505" s="5" t="s">
        <v>40</v>
      </c>
    </row>
    <row r="506" spans="1:9" ht="18" customHeight="1" x14ac:dyDescent="0.25">
      <c r="A506" s="2">
        <v>2022</v>
      </c>
      <c r="B506" s="2" t="s">
        <v>9</v>
      </c>
      <c r="C506" s="2" t="s">
        <v>15</v>
      </c>
      <c r="D506" s="6" t="s">
        <v>24</v>
      </c>
      <c r="E506" s="7">
        <v>76</v>
      </c>
      <c r="F506" s="7">
        <v>2517.2949999999996</v>
      </c>
      <c r="G506" s="7">
        <v>5126.1279999999997</v>
      </c>
      <c r="H506" s="4">
        <v>503.45899999999995</v>
      </c>
      <c r="I506" s="5" t="s">
        <v>40</v>
      </c>
    </row>
    <row r="507" spans="1:9" ht="18" customHeight="1" x14ac:dyDescent="0.25">
      <c r="A507" s="2">
        <v>2022</v>
      </c>
      <c r="B507" s="2" t="s">
        <v>9</v>
      </c>
      <c r="C507" s="2" t="s">
        <v>15</v>
      </c>
      <c r="D507" s="6" t="s">
        <v>25</v>
      </c>
      <c r="E507" s="7">
        <v>46</v>
      </c>
      <c r="F507" s="7">
        <v>110</v>
      </c>
      <c r="G507" s="7">
        <v>224</v>
      </c>
      <c r="H507" s="4">
        <v>22</v>
      </c>
      <c r="I507" s="5" t="s">
        <v>40</v>
      </c>
    </row>
    <row r="508" spans="1:9" ht="18" customHeight="1" x14ac:dyDescent="0.25">
      <c r="A508" s="2">
        <v>2022</v>
      </c>
      <c r="B508" s="2" t="s">
        <v>9</v>
      </c>
      <c r="C508" s="2" t="s">
        <v>15</v>
      </c>
      <c r="D508" s="6" t="s">
        <v>23</v>
      </c>
      <c r="E508" s="7">
        <v>34</v>
      </c>
      <c r="F508" s="7">
        <v>2517.2400000000002</v>
      </c>
      <c r="G508" s="7">
        <v>5126.0160000000005</v>
      </c>
      <c r="H508" s="4">
        <v>503.44800000000009</v>
      </c>
      <c r="I508" s="5" t="s">
        <v>40</v>
      </c>
    </row>
    <row r="509" spans="1:9" ht="18" customHeight="1" x14ac:dyDescent="0.25">
      <c r="A509" s="2">
        <v>2022</v>
      </c>
      <c r="B509" s="2" t="s">
        <v>9</v>
      </c>
      <c r="C509" s="2" t="s">
        <v>13</v>
      </c>
      <c r="D509" s="3" t="s">
        <v>34</v>
      </c>
      <c r="E509" s="4">
        <v>7</v>
      </c>
      <c r="F509" s="4">
        <v>220</v>
      </c>
      <c r="G509" s="4">
        <v>224</v>
      </c>
      <c r="H509" s="4">
        <v>44</v>
      </c>
      <c r="I509" s="5" t="s">
        <v>40</v>
      </c>
    </row>
    <row r="510" spans="1:9" ht="18" customHeight="1" x14ac:dyDescent="0.25">
      <c r="A510" s="2">
        <v>2022</v>
      </c>
      <c r="B510" s="2" t="s">
        <v>9</v>
      </c>
      <c r="C510" s="2" t="s">
        <v>15</v>
      </c>
      <c r="D510" s="6" t="s">
        <v>27</v>
      </c>
      <c r="E510" s="7">
        <v>3</v>
      </c>
      <c r="F510" s="7">
        <v>2517.5150000000003</v>
      </c>
      <c r="G510" s="7">
        <v>5126.576</v>
      </c>
      <c r="H510" s="4">
        <v>503.5030000000001</v>
      </c>
      <c r="I510" s="5" t="s">
        <v>40</v>
      </c>
    </row>
    <row r="511" spans="1:9" ht="18" customHeight="1" x14ac:dyDescent="0.25">
      <c r="A511" s="2">
        <v>2022</v>
      </c>
      <c r="B511" s="2" t="s">
        <v>9</v>
      </c>
      <c r="C511" s="2" t="s">
        <v>32</v>
      </c>
      <c r="D511" s="6" t="s">
        <v>32</v>
      </c>
      <c r="E511" s="7">
        <v>2</v>
      </c>
      <c r="F511" s="7">
        <v>7260</v>
      </c>
      <c r="G511" s="7">
        <v>7392</v>
      </c>
      <c r="H511" s="4">
        <v>1452</v>
      </c>
      <c r="I511" s="5" t="s">
        <v>40</v>
      </c>
    </row>
    <row r="512" spans="1:9" ht="18" customHeight="1" x14ac:dyDescent="0.25">
      <c r="A512" s="2">
        <v>2022</v>
      </c>
      <c r="B512" s="2" t="s">
        <v>10</v>
      </c>
      <c r="C512" s="2" t="s">
        <v>14</v>
      </c>
      <c r="D512" s="3" t="s">
        <v>36</v>
      </c>
      <c r="E512" s="4">
        <v>3566</v>
      </c>
      <c r="F512" s="4">
        <v>5263.8950000000004</v>
      </c>
      <c r="G512" s="4">
        <v>5126.576</v>
      </c>
      <c r="H512" s="4">
        <v>1052.7790000000002</v>
      </c>
      <c r="I512" s="5" t="s">
        <v>40</v>
      </c>
    </row>
    <row r="513" spans="1:9" ht="18" customHeight="1" x14ac:dyDescent="0.25">
      <c r="A513" s="2">
        <v>2022</v>
      </c>
      <c r="B513" s="2" t="s">
        <v>10</v>
      </c>
      <c r="C513" s="2" t="s">
        <v>14</v>
      </c>
      <c r="D513" s="3" t="s">
        <v>37</v>
      </c>
      <c r="E513" s="4">
        <v>2498</v>
      </c>
      <c r="F513" s="4">
        <v>8800</v>
      </c>
      <c r="G513" s="4">
        <v>8960</v>
      </c>
      <c r="H513" s="4">
        <v>1760</v>
      </c>
      <c r="I513" s="5" t="s">
        <v>40</v>
      </c>
    </row>
    <row r="514" spans="1:9" ht="18" customHeight="1" x14ac:dyDescent="0.25">
      <c r="A514" s="2">
        <v>2022</v>
      </c>
      <c r="B514" s="2" t="s">
        <v>10</v>
      </c>
      <c r="C514" s="2" t="s">
        <v>13</v>
      </c>
      <c r="D514" s="3" t="s">
        <v>35</v>
      </c>
      <c r="E514" s="4">
        <v>1245</v>
      </c>
      <c r="F514" s="4">
        <v>5034.92</v>
      </c>
      <c r="G514" s="4">
        <v>5126.4639999999999</v>
      </c>
      <c r="H514" s="4">
        <v>1006.984</v>
      </c>
      <c r="I514" s="5" t="s">
        <v>40</v>
      </c>
    </row>
    <row r="515" spans="1:9" ht="18" customHeight="1" x14ac:dyDescent="0.25">
      <c r="A515" s="2">
        <v>2022</v>
      </c>
      <c r="B515" s="2" t="s">
        <v>10</v>
      </c>
      <c r="C515" s="2" t="s">
        <v>38</v>
      </c>
      <c r="D515" s="6" t="s">
        <v>30</v>
      </c>
      <c r="E515" s="7">
        <v>644</v>
      </c>
      <c r="F515" s="7">
        <v>6317.85</v>
      </c>
      <c r="G515" s="7">
        <v>6432.72</v>
      </c>
      <c r="H515" s="4">
        <v>1263.5700000000002</v>
      </c>
      <c r="I515" s="5" t="s">
        <v>40</v>
      </c>
    </row>
    <row r="516" spans="1:9" ht="18" customHeight="1" x14ac:dyDescent="0.25">
      <c r="A516" s="2">
        <v>2022</v>
      </c>
      <c r="B516" s="2" t="s">
        <v>10</v>
      </c>
      <c r="C516" s="2" t="s">
        <v>12</v>
      </c>
      <c r="D516" s="6" t="s">
        <v>29</v>
      </c>
      <c r="E516" s="7">
        <v>643</v>
      </c>
      <c r="F516" s="7">
        <v>7700</v>
      </c>
      <c r="G516" s="7">
        <v>7840</v>
      </c>
      <c r="H516" s="4">
        <v>1540</v>
      </c>
      <c r="I516" s="5" t="s">
        <v>40</v>
      </c>
    </row>
    <row r="517" spans="1:9" ht="18" customHeight="1" x14ac:dyDescent="0.25">
      <c r="A517" s="2">
        <v>2022</v>
      </c>
      <c r="B517" s="2" t="s">
        <v>10</v>
      </c>
      <c r="C517" s="2" t="s">
        <v>38</v>
      </c>
      <c r="D517" s="6" t="s">
        <v>31</v>
      </c>
      <c r="E517" s="7">
        <v>455</v>
      </c>
      <c r="F517" s="7">
        <v>5036.46</v>
      </c>
      <c r="G517" s="7">
        <v>5128.0320000000002</v>
      </c>
      <c r="H517" s="4">
        <v>1007.292</v>
      </c>
      <c r="I517" s="5" t="s">
        <v>40</v>
      </c>
    </row>
    <row r="518" spans="1:9" ht="18" customHeight="1" x14ac:dyDescent="0.25">
      <c r="A518" s="2">
        <v>2022</v>
      </c>
      <c r="B518" s="2" t="s">
        <v>10</v>
      </c>
      <c r="C518" s="2" t="s">
        <v>12</v>
      </c>
      <c r="D518" s="6" t="s">
        <v>28</v>
      </c>
      <c r="E518" s="8">
        <v>345</v>
      </c>
      <c r="F518" s="8">
        <v>7700</v>
      </c>
      <c r="G518" s="8">
        <v>7840</v>
      </c>
      <c r="H518" s="4">
        <v>1540</v>
      </c>
      <c r="I518" s="5" t="s">
        <v>40</v>
      </c>
    </row>
    <row r="519" spans="1:9" ht="18" customHeight="1" x14ac:dyDescent="0.25">
      <c r="A519" s="2">
        <v>2022</v>
      </c>
      <c r="B519" s="2" t="s">
        <v>10</v>
      </c>
      <c r="C519" s="2" t="s">
        <v>13</v>
      </c>
      <c r="D519" s="3" t="s">
        <v>33</v>
      </c>
      <c r="E519" s="4">
        <v>122</v>
      </c>
      <c r="F519" s="4">
        <v>110</v>
      </c>
      <c r="G519" s="4">
        <v>112</v>
      </c>
      <c r="H519" s="4">
        <v>22</v>
      </c>
      <c r="I519" s="5" t="s">
        <v>40</v>
      </c>
    </row>
    <row r="520" spans="1:9" ht="18" customHeight="1" x14ac:dyDescent="0.25">
      <c r="A520" s="2">
        <v>2022</v>
      </c>
      <c r="B520" s="2" t="s">
        <v>10</v>
      </c>
      <c r="C520" s="2" t="s">
        <v>15</v>
      </c>
      <c r="D520" s="6" t="s">
        <v>26</v>
      </c>
      <c r="E520" s="7">
        <v>78</v>
      </c>
      <c r="F520" s="7">
        <v>2517.46</v>
      </c>
      <c r="G520" s="7">
        <v>5126.4639999999999</v>
      </c>
      <c r="H520" s="4">
        <v>503.49200000000002</v>
      </c>
      <c r="I520" s="5" t="s">
        <v>40</v>
      </c>
    </row>
    <row r="521" spans="1:9" ht="18" customHeight="1" x14ac:dyDescent="0.25">
      <c r="A521" s="2">
        <v>2022</v>
      </c>
      <c r="B521" s="2" t="s">
        <v>10</v>
      </c>
      <c r="C521" s="2" t="s">
        <v>15</v>
      </c>
      <c r="D521" s="6" t="s">
        <v>24</v>
      </c>
      <c r="E521" s="7">
        <v>76</v>
      </c>
      <c r="F521" s="7">
        <v>2288.4499999999998</v>
      </c>
      <c r="G521" s="7">
        <v>5126.1279999999997</v>
      </c>
      <c r="H521" s="4">
        <v>457.69</v>
      </c>
      <c r="I521" s="5" t="s">
        <v>40</v>
      </c>
    </row>
    <row r="522" spans="1:9" ht="18" customHeight="1" x14ac:dyDescent="0.25">
      <c r="A522" s="2">
        <v>2022</v>
      </c>
      <c r="B522" s="2" t="s">
        <v>10</v>
      </c>
      <c r="C522" s="2" t="s">
        <v>15</v>
      </c>
      <c r="D522" s="6" t="s">
        <v>25</v>
      </c>
      <c r="E522" s="7">
        <v>46</v>
      </c>
      <c r="F522" s="7">
        <v>100</v>
      </c>
      <c r="G522" s="7">
        <v>224</v>
      </c>
      <c r="H522" s="4">
        <v>20</v>
      </c>
      <c r="I522" s="5" t="s">
        <v>40</v>
      </c>
    </row>
    <row r="523" spans="1:9" ht="18" customHeight="1" x14ac:dyDescent="0.25">
      <c r="A523" s="2">
        <v>2022</v>
      </c>
      <c r="B523" s="2" t="s">
        <v>10</v>
      </c>
      <c r="C523" s="2" t="s">
        <v>15</v>
      </c>
      <c r="D523" s="6" t="s">
        <v>23</v>
      </c>
      <c r="E523" s="7">
        <v>34</v>
      </c>
      <c r="F523" s="7">
        <v>2288.4</v>
      </c>
      <c r="G523" s="7">
        <v>5126.0160000000005</v>
      </c>
      <c r="H523" s="4">
        <v>457.68000000000006</v>
      </c>
      <c r="I523" s="5" t="s">
        <v>42</v>
      </c>
    </row>
    <row r="524" spans="1:9" ht="18" customHeight="1" x14ac:dyDescent="0.25">
      <c r="A524" s="2">
        <v>2022</v>
      </c>
      <c r="B524" s="2" t="s">
        <v>10</v>
      </c>
      <c r="C524" s="2" t="s">
        <v>13</v>
      </c>
      <c r="D524" s="3" t="s">
        <v>34</v>
      </c>
      <c r="E524" s="4">
        <v>7</v>
      </c>
      <c r="F524" s="4">
        <v>200</v>
      </c>
      <c r="G524" s="4">
        <v>224</v>
      </c>
      <c r="H524" s="4">
        <v>40</v>
      </c>
      <c r="I524" s="5" t="s">
        <v>42</v>
      </c>
    </row>
    <row r="525" spans="1:9" ht="18" customHeight="1" x14ac:dyDescent="0.25">
      <c r="A525" s="2">
        <v>2022</v>
      </c>
      <c r="B525" s="2" t="s">
        <v>10</v>
      </c>
      <c r="C525" s="2" t="s">
        <v>15</v>
      </c>
      <c r="D525" s="6" t="s">
        <v>27</v>
      </c>
      <c r="E525" s="7">
        <v>3</v>
      </c>
      <c r="F525" s="7">
        <v>2288.65</v>
      </c>
      <c r="G525" s="7">
        <v>5126.576</v>
      </c>
      <c r="H525" s="4">
        <v>457.73</v>
      </c>
      <c r="I525" s="5" t="s">
        <v>42</v>
      </c>
    </row>
    <row r="526" spans="1:9" ht="18" customHeight="1" x14ac:dyDescent="0.25">
      <c r="A526" s="2">
        <v>2022</v>
      </c>
      <c r="B526" s="2" t="s">
        <v>10</v>
      </c>
      <c r="C526" s="2" t="s">
        <v>32</v>
      </c>
      <c r="D526" s="6" t="s">
        <v>32</v>
      </c>
      <c r="E526" s="7">
        <v>2</v>
      </c>
      <c r="F526" s="7">
        <v>6600</v>
      </c>
      <c r="G526" s="7">
        <v>7392</v>
      </c>
      <c r="H526" s="4">
        <v>1320</v>
      </c>
      <c r="I526" s="5" t="s">
        <v>42</v>
      </c>
    </row>
    <row r="527" spans="1:9" ht="18" customHeight="1" x14ac:dyDescent="0.25">
      <c r="A527" s="2">
        <v>2022</v>
      </c>
      <c r="B527" s="2" t="s">
        <v>11</v>
      </c>
      <c r="C527" s="2" t="s">
        <v>14</v>
      </c>
      <c r="D527" s="3" t="s">
        <v>36</v>
      </c>
      <c r="E527" s="4">
        <v>3566</v>
      </c>
      <c r="F527" s="4">
        <v>4577.3</v>
      </c>
      <c r="G527" s="4">
        <v>5126.576</v>
      </c>
      <c r="H527" s="4">
        <v>915.46</v>
      </c>
      <c r="I527" s="5" t="s">
        <v>42</v>
      </c>
    </row>
    <row r="528" spans="1:9" ht="18" customHeight="1" x14ac:dyDescent="0.25">
      <c r="A528" s="2">
        <v>2022</v>
      </c>
      <c r="B528" s="2" t="s">
        <v>11</v>
      </c>
      <c r="C528" s="2" t="s">
        <v>14</v>
      </c>
      <c r="D528" s="3" t="s">
        <v>37</v>
      </c>
      <c r="E528" s="4">
        <v>2498</v>
      </c>
      <c r="F528" s="4">
        <v>8000</v>
      </c>
      <c r="G528" s="4">
        <v>8960</v>
      </c>
      <c r="H528" s="4">
        <v>1600</v>
      </c>
      <c r="I528" s="5" t="s">
        <v>42</v>
      </c>
    </row>
    <row r="529" spans="1:9" ht="18" customHeight="1" x14ac:dyDescent="0.25">
      <c r="A529" s="2">
        <v>2022</v>
      </c>
      <c r="B529" s="2" t="s">
        <v>11</v>
      </c>
      <c r="C529" s="2" t="s">
        <v>13</v>
      </c>
      <c r="D529" s="3" t="s">
        <v>35</v>
      </c>
      <c r="E529" s="4">
        <v>1245</v>
      </c>
      <c r="F529" s="4">
        <v>4577.2</v>
      </c>
      <c r="G529" s="4">
        <v>5126.4639999999999</v>
      </c>
      <c r="H529" s="4">
        <v>915.44</v>
      </c>
      <c r="I529" s="5" t="s">
        <v>42</v>
      </c>
    </row>
    <row r="530" spans="1:9" ht="18" customHeight="1" x14ac:dyDescent="0.25">
      <c r="A530" s="2">
        <v>2022</v>
      </c>
      <c r="B530" s="2" t="s">
        <v>11</v>
      </c>
      <c r="C530" s="2" t="s">
        <v>38</v>
      </c>
      <c r="D530" s="6" t="s">
        <v>30</v>
      </c>
      <c r="E530" s="7">
        <v>644</v>
      </c>
      <c r="F530" s="7">
        <v>5743.5</v>
      </c>
      <c r="G530" s="7">
        <v>6432.72</v>
      </c>
      <c r="H530" s="4">
        <v>1148.7</v>
      </c>
      <c r="I530" s="5" t="s">
        <v>42</v>
      </c>
    </row>
    <row r="531" spans="1:9" ht="18" customHeight="1" x14ac:dyDescent="0.25">
      <c r="A531" s="2">
        <v>2022</v>
      </c>
      <c r="B531" s="2" t="s">
        <v>11</v>
      </c>
      <c r="C531" s="2" t="s">
        <v>12</v>
      </c>
      <c r="D531" s="6" t="s">
        <v>29</v>
      </c>
      <c r="E531" s="7">
        <v>643</v>
      </c>
      <c r="F531" s="7">
        <v>7000</v>
      </c>
      <c r="G531" s="7">
        <v>7840</v>
      </c>
      <c r="H531" s="4">
        <v>1400</v>
      </c>
      <c r="I531" s="5" t="s">
        <v>42</v>
      </c>
    </row>
    <row r="532" spans="1:9" ht="18" customHeight="1" x14ac:dyDescent="0.25">
      <c r="A532" s="2">
        <v>2022</v>
      </c>
      <c r="B532" s="2" t="s">
        <v>11</v>
      </c>
      <c r="C532" s="2" t="s">
        <v>38</v>
      </c>
      <c r="D532" s="6" t="s">
        <v>31</v>
      </c>
      <c r="E532" s="7">
        <v>455</v>
      </c>
      <c r="F532" s="7">
        <v>4578.6000000000004</v>
      </c>
      <c r="G532" s="7">
        <v>5128.0320000000002</v>
      </c>
      <c r="H532" s="4">
        <v>915.72000000000014</v>
      </c>
      <c r="I532" s="5" t="s">
        <v>42</v>
      </c>
    </row>
    <row r="533" spans="1:9" ht="18" customHeight="1" x14ac:dyDescent="0.25">
      <c r="A533" s="2">
        <v>2022</v>
      </c>
      <c r="B533" s="2" t="s">
        <v>11</v>
      </c>
      <c r="C533" s="2" t="s">
        <v>12</v>
      </c>
      <c r="D533" s="6" t="s">
        <v>28</v>
      </c>
      <c r="E533" s="8">
        <v>345</v>
      </c>
      <c r="F533" s="8">
        <v>7000</v>
      </c>
      <c r="G533" s="8">
        <v>7840</v>
      </c>
      <c r="H533" s="4">
        <v>1400</v>
      </c>
      <c r="I533" s="5" t="s">
        <v>42</v>
      </c>
    </row>
    <row r="534" spans="1:9" ht="18" customHeight="1" x14ac:dyDescent="0.25">
      <c r="A534" s="2">
        <v>2022</v>
      </c>
      <c r="B534" s="2" t="s">
        <v>11</v>
      </c>
      <c r="C534" s="2" t="s">
        <v>13</v>
      </c>
      <c r="D534" s="3" t="s">
        <v>33</v>
      </c>
      <c r="E534" s="4">
        <v>122</v>
      </c>
      <c r="F534" s="4">
        <v>100</v>
      </c>
      <c r="G534" s="4">
        <v>112</v>
      </c>
      <c r="H534" s="4">
        <v>20</v>
      </c>
      <c r="I534" s="5" t="s">
        <v>42</v>
      </c>
    </row>
    <row r="535" spans="1:9" ht="18" customHeight="1" x14ac:dyDescent="0.25">
      <c r="A535" s="2">
        <v>2022</v>
      </c>
      <c r="B535" s="2" t="s">
        <v>11</v>
      </c>
      <c r="C535" s="2" t="s">
        <v>15</v>
      </c>
      <c r="D535" s="6" t="s">
        <v>26</v>
      </c>
      <c r="E535" s="7">
        <v>78</v>
      </c>
      <c r="F535" s="7">
        <v>2288.6</v>
      </c>
      <c r="G535" s="7">
        <v>5126.4639999999999</v>
      </c>
      <c r="H535" s="4">
        <v>457.72</v>
      </c>
      <c r="I535" s="5" t="s">
        <v>42</v>
      </c>
    </row>
    <row r="536" spans="1:9" ht="18" customHeight="1" x14ac:dyDescent="0.25">
      <c r="A536" s="2">
        <v>2022</v>
      </c>
      <c r="B536" s="2" t="s">
        <v>11</v>
      </c>
      <c r="C536" s="2" t="s">
        <v>15</v>
      </c>
      <c r="D536" s="6" t="s">
        <v>24</v>
      </c>
      <c r="E536" s="7">
        <v>76</v>
      </c>
      <c r="F536" s="7">
        <v>2288.4499999999998</v>
      </c>
      <c r="G536" s="7">
        <v>5126.1279999999997</v>
      </c>
      <c r="H536" s="4">
        <v>457.69</v>
      </c>
      <c r="I536" s="5" t="s">
        <v>42</v>
      </c>
    </row>
    <row r="537" spans="1:9" ht="18" customHeight="1" x14ac:dyDescent="0.25">
      <c r="A537" s="2">
        <v>2022</v>
      </c>
      <c r="B537" s="2" t="s">
        <v>11</v>
      </c>
      <c r="C537" s="2" t="s">
        <v>15</v>
      </c>
      <c r="D537" s="6" t="s">
        <v>25</v>
      </c>
      <c r="E537" s="7">
        <v>46</v>
      </c>
      <c r="F537" s="7">
        <v>100</v>
      </c>
      <c r="G537" s="7">
        <v>224</v>
      </c>
      <c r="H537" s="4">
        <v>20</v>
      </c>
      <c r="I537" s="5" t="s">
        <v>42</v>
      </c>
    </row>
    <row r="538" spans="1:9" ht="18" customHeight="1" x14ac:dyDescent="0.25">
      <c r="A538" s="2">
        <v>2022</v>
      </c>
      <c r="B538" s="2" t="s">
        <v>11</v>
      </c>
      <c r="C538" s="2" t="s">
        <v>15</v>
      </c>
      <c r="D538" s="6" t="s">
        <v>23</v>
      </c>
      <c r="E538" s="7">
        <v>34</v>
      </c>
      <c r="F538" s="7">
        <v>2288.4</v>
      </c>
      <c r="G538" s="7">
        <v>5126.0160000000005</v>
      </c>
      <c r="H538" s="4">
        <v>457.68000000000006</v>
      </c>
      <c r="I538" s="5" t="s">
        <v>42</v>
      </c>
    </row>
    <row r="539" spans="1:9" ht="18" customHeight="1" x14ac:dyDescent="0.25">
      <c r="A539" s="2">
        <v>2022</v>
      </c>
      <c r="B539" s="2" t="s">
        <v>11</v>
      </c>
      <c r="C539" s="2" t="s">
        <v>13</v>
      </c>
      <c r="D539" s="3" t="s">
        <v>34</v>
      </c>
      <c r="E539" s="4">
        <v>7</v>
      </c>
      <c r="F539" s="4">
        <v>200</v>
      </c>
      <c r="G539" s="4">
        <v>224</v>
      </c>
      <c r="H539" s="4">
        <v>40</v>
      </c>
      <c r="I539" s="5" t="s">
        <v>42</v>
      </c>
    </row>
    <row r="540" spans="1:9" ht="18" customHeight="1" x14ac:dyDescent="0.25">
      <c r="A540" s="2">
        <v>2022</v>
      </c>
      <c r="B540" s="2" t="s">
        <v>11</v>
      </c>
      <c r="C540" s="2" t="s">
        <v>15</v>
      </c>
      <c r="D540" s="6" t="s">
        <v>27</v>
      </c>
      <c r="E540" s="7">
        <v>3</v>
      </c>
      <c r="F540" s="7">
        <v>2288.65</v>
      </c>
      <c r="G540" s="7">
        <v>5126.576</v>
      </c>
      <c r="H540" s="4">
        <v>457.73</v>
      </c>
      <c r="I540" s="5" t="s">
        <v>42</v>
      </c>
    </row>
    <row r="541" spans="1:9" ht="18" customHeight="1" x14ac:dyDescent="0.25">
      <c r="A541" s="2">
        <v>2022</v>
      </c>
      <c r="B541" s="2" t="s">
        <v>11</v>
      </c>
      <c r="C541" s="2" t="s">
        <v>32</v>
      </c>
      <c r="D541" s="6" t="s">
        <v>32</v>
      </c>
      <c r="E541" s="7">
        <v>2</v>
      </c>
      <c r="F541" s="7">
        <v>6600</v>
      </c>
      <c r="G541" s="7">
        <v>7392</v>
      </c>
      <c r="H541" s="4">
        <v>1320</v>
      </c>
      <c r="I541" s="5" t="s">
        <v>42</v>
      </c>
    </row>
    <row r="542" spans="1:9" ht="18" customHeight="1" x14ac:dyDescent="0.25">
      <c r="A542" s="2">
        <v>2023</v>
      </c>
      <c r="B542" s="2" t="s">
        <v>0</v>
      </c>
      <c r="C542" s="2" t="s">
        <v>14</v>
      </c>
      <c r="D542" s="3" t="s">
        <v>36</v>
      </c>
      <c r="E542" s="4">
        <v>3566</v>
      </c>
      <c r="F542" s="4">
        <v>5492.76</v>
      </c>
      <c r="G542" s="4">
        <v>5126.576</v>
      </c>
      <c r="H542" s="4">
        <v>1098.5520000000001</v>
      </c>
      <c r="I542" s="5" t="s">
        <v>42</v>
      </c>
    </row>
    <row r="543" spans="1:9" ht="18" customHeight="1" x14ac:dyDescent="0.25">
      <c r="A543" s="2">
        <v>2023</v>
      </c>
      <c r="B543" s="2" t="s">
        <v>0</v>
      </c>
      <c r="C543" s="2" t="s">
        <v>14</v>
      </c>
      <c r="D543" s="3" t="s">
        <v>37</v>
      </c>
      <c r="E543" s="4">
        <v>2498</v>
      </c>
      <c r="F543" s="4">
        <v>9600</v>
      </c>
      <c r="G543" s="4">
        <v>8960</v>
      </c>
      <c r="H543" s="4">
        <v>1920</v>
      </c>
      <c r="I543" s="5" t="s">
        <v>42</v>
      </c>
    </row>
    <row r="544" spans="1:9" ht="18" customHeight="1" x14ac:dyDescent="0.25">
      <c r="A544" s="2">
        <v>2023</v>
      </c>
      <c r="B544" s="2" t="s">
        <v>0</v>
      </c>
      <c r="C544" s="2" t="s">
        <v>13</v>
      </c>
      <c r="D544" s="3" t="s">
        <v>35</v>
      </c>
      <c r="E544" s="4">
        <v>1245</v>
      </c>
      <c r="F544" s="4">
        <v>5492.6399999999994</v>
      </c>
      <c r="G544" s="4">
        <v>5126.4639999999999</v>
      </c>
      <c r="H544" s="4">
        <v>1098.528</v>
      </c>
      <c r="I544" s="5" t="s">
        <v>42</v>
      </c>
    </row>
    <row r="545" spans="1:9" ht="18" customHeight="1" x14ac:dyDescent="0.25">
      <c r="A545" s="2">
        <v>2023</v>
      </c>
      <c r="B545" s="2" t="s">
        <v>0</v>
      </c>
      <c r="C545" s="2" t="s">
        <v>38</v>
      </c>
      <c r="D545" s="6" t="s">
        <v>30</v>
      </c>
      <c r="E545" s="7">
        <v>644</v>
      </c>
      <c r="F545" s="7">
        <v>6892.2</v>
      </c>
      <c r="G545" s="7">
        <v>6432.72</v>
      </c>
      <c r="H545" s="4">
        <v>1378.44</v>
      </c>
      <c r="I545" s="5" t="s">
        <v>42</v>
      </c>
    </row>
    <row r="546" spans="1:9" ht="18" customHeight="1" x14ac:dyDescent="0.25">
      <c r="A546" s="2">
        <v>2023</v>
      </c>
      <c r="B546" s="2" t="s">
        <v>0</v>
      </c>
      <c r="C546" s="2" t="s">
        <v>12</v>
      </c>
      <c r="D546" s="6" t="s">
        <v>29</v>
      </c>
      <c r="E546" s="7">
        <v>643</v>
      </c>
      <c r="F546" s="7">
        <v>8400</v>
      </c>
      <c r="G546" s="7">
        <v>7840</v>
      </c>
      <c r="H546" s="4">
        <v>1680</v>
      </c>
      <c r="I546" s="5" t="s">
        <v>40</v>
      </c>
    </row>
    <row r="547" spans="1:9" ht="18" customHeight="1" x14ac:dyDescent="0.25">
      <c r="A547" s="2">
        <v>2023</v>
      </c>
      <c r="B547" s="2" t="s">
        <v>0</v>
      </c>
      <c r="C547" s="2" t="s">
        <v>38</v>
      </c>
      <c r="D547" s="6" t="s">
        <v>31</v>
      </c>
      <c r="E547" s="7">
        <v>455</v>
      </c>
      <c r="F547" s="7">
        <v>5494.3200000000006</v>
      </c>
      <c r="G547" s="7">
        <v>5128.0320000000002</v>
      </c>
      <c r="H547" s="4">
        <v>1098.8640000000003</v>
      </c>
      <c r="I547" s="5" t="s">
        <v>40</v>
      </c>
    </row>
    <row r="548" spans="1:9" ht="18" customHeight="1" x14ac:dyDescent="0.25">
      <c r="A548" s="2">
        <v>2023</v>
      </c>
      <c r="B548" s="2" t="s">
        <v>0</v>
      </c>
      <c r="C548" s="2" t="s">
        <v>12</v>
      </c>
      <c r="D548" s="6" t="s">
        <v>28</v>
      </c>
      <c r="E548" s="8">
        <v>345</v>
      </c>
      <c r="F548" s="8">
        <v>8400</v>
      </c>
      <c r="G548" s="8">
        <v>7840</v>
      </c>
      <c r="H548" s="4">
        <v>1680</v>
      </c>
      <c r="I548" s="5" t="s">
        <v>40</v>
      </c>
    </row>
    <row r="549" spans="1:9" ht="18" customHeight="1" x14ac:dyDescent="0.25">
      <c r="A549" s="2">
        <v>2023</v>
      </c>
      <c r="B549" s="2" t="s">
        <v>0</v>
      </c>
      <c r="C549" s="2" t="s">
        <v>13</v>
      </c>
      <c r="D549" s="3" t="s">
        <v>33</v>
      </c>
      <c r="E549" s="4">
        <v>122</v>
      </c>
      <c r="F549" s="4">
        <v>120</v>
      </c>
      <c r="G549" s="4">
        <v>112</v>
      </c>
      <c r="H549" s="4">
        <v>24</v>
      </c>
      <c r="I549" s="5" t="s">
        <v>40</v>
      </c>
    </row>
    <row r="550" spans="1:9" ht="18" customHeight="1" x14ac:dyDescent="0.25">
      <c r="A550" s="2">
        <v>2023</v>
      </c>
      <c r="B550" s="2" t="s">
        <v>0</v>
      </c>
      <c r="C550" s="2" t="s">
        <v>15</v>
      </c>
      <c r="D550" s="6" t="s">
        <v>26</v>
      </c>
      <c r="E550" s="7">
        <v>78</v>
      </c>
      <c r="F550" s="7">
        <v>2288.6</v>
      </c>
      <c r="G550" s="7">
        <v>5126.4639999999999</v>
      </c>
      <c r="H550" s="4">
        <v>457.72</v>
      </c>
      <c r="I550" s="5" t="s">
        <v>40</v>
      </c>
    </row>
    <row r="551" spans="1:9" ht="18" customHeight="1" x14ac:dyDescent="0.25">
      <c r="A551" s="2">
        <v>2023</v>
      </c>
      <c r="B551" s="2" t="s">
        <v>0</v>
      </c>
      <c r="C551" s="2" t="s">
        <v>15</v>
      </c>
      <c r="D551" s="6" t="s">
        <v>24</v>
      </c>
      <c r="E551" s="7">
        <v>76</v>
      </c>
      <c r="F551" s="7">
        <v>2288.4499999999998</v>
      </c>
      <c r="G551" s="7">
        <v>5126.1279999999997</v>
      </c>
      <c r="H551" s="4">
        <v>457.69</v>
      </c>
      <c r="I551" s="5" t="s">
        <v>40</v>
      </c>
    </row>
    <row r="552" spans="1:9" ht="18" customHeight="1" x14ac:dyDescent="0.25">
      <c r="A552" s="2">
        <v>2023</v>
      </c>
      <c r="B552" s="2" t="s">
        <v>0</v>
      </c>
      <c r="C552" s="2" t="s">
        <v>15</v>
      </c>
      <c r="D552" s="6" t="s">
        <v>25</v>
      </c>
      <c r="E552" s="7">
        <v>46</v>
      </c>
      <c r="F552" s="7">
        <v>100</v>
      </c>
      <c r="G552" s="7">
        <v>224</v>
      </c>
      <c r="H552" s="4">
        <v>20</v>
      </c>
      <c r="I552" s="5" t="s">
        <v>40</v>
      </c>
    </row>
    <row r="553" spans="1:9" ht="18" customHeight="1" x14ac:dyDescent="0.25">
      <c r="A553" s="2">
        <v>2023</v>
      </c>
      <c r="B553" s="2" t="s">
        <v>0</v>
      </c>
      <c r="C553" s="2" t="s">
        <v>15</v>
      </c>
      <c r="D553" s="6" t="s">
        <v>23</v>
      </c>
      <c r="E553" s="7">
        <v>34</v>
      </c>
      <c r="F553" s="7">
        <v>2288.4</v>
      </c>
      <c r="G553" s="7">
        <v>5126.0160000000005</v>
      </c>
      <c r="H553" s="4">
        <v>457.68000000000006</v>
      </c>
      <c r="I553" s="5" t="s">
        <v>40</v>
      </c>
    </row>
    <row r="554" spans="1:9" ht="18" customHeight="1" x14ac:dyDescent="0.25">
      <c r="A554" s="2">
        <v>2023</v>
      </c>
      <c r="B554" s="2" t="s">
        <v>0</v>
      </c>
      <c r="C554" s="2" t="s">
        <v>13</v>
      </c>
      <c r="D554" s="3" t="s">
        <v>34</v>
      </c>
      <c r="E554" s="4">
        <v>7</v>
      </c>
      <c r="F554" s="4">
        <v>200</v>
      </c>
      <c r="G554" s="4">
        <v>224</v>
      </c>
      <c r="H554" s="4">
        <v>40</v>
      </c>
      <c r="I554" s="5" t="s">
        <v>40</v>
      </c>
    </row>
    <row r="555" spans="1:9" ht="18" customHeight="1" x14ac:dyDescent="0.25">
      <c r="A555" s="2">
        <v>2023</v>
      </c>
      <c r="B555" s="2" t="s">
        <v>0</v>
      </c>
      <c r="C555" s="2" t="s">
        <v>32</v>
      </c>
      <c r="D555" s="6" t="s">
        <v>32</v>
      </c>
      <c r="E555" s="7">
        <v>3</v>
      </c>
      <c r="F555" s="7">
        <v>4577.3</v>
      </c>
      <c r="G555" s="7">
        <v>7392</v>
      </c>
      <c r="H555" s="4">
        <v>915.46</v>
      </c>
      <c r="I555" s="5" t="s">
        <v>40</v>
      </c>
    </row>
    <row r="556" spans="1:9" ht="18" customHeight="1" x14ac:dyDescent="0.25">
      <c r="A556" s="2">
        <v>2023</v>
      </c>
      <c r="B556" s="2" t="s">
        <v>0</v>
      </c>
      <c r="C556" s="2" t="s">
        <v>15</v>
      </c>
      <c r="D556" s="6" t="s">
        <v>27</v>
      </c>
      <c r="E556" s="7">
        <v>3</v>
      </c>
      <c r="F556" s="7">
        <v>3300</v>
      </c>
      <c r="G556" s="7">
        <v>5126.576</v>
      </c>
      <c r="H556" s="4">
        <v>660</v>
      </c>
      <c r="I556" s="5" t="s">
        <v>40</v>
      </c>
    </row>
    <row r="557" spans="1:9" ht="18" customHeight="1" x14ac:dyDescent="0.25">
      <c r="A557" s="2">
        <v>2023</v>
      </c>
      <c r="B557" s="2" t="s">
        <v>1</v>
      </c>
      <c r="C557" s="2" t="s">
        <v>14</v>
      </c>
      <c r="D557" s="3" t="s">
        <v>36</v>
      </c>
      <c r="E557" s="4">
        <v>3566</v>
      </c>
      <c r="F557" s="4">
        <v>4577.3</v>
      </c>
      <c r="G557" s="4">
        <v>5126.576</v>
      </c>
      <c r="H557" s="4">
        <v>915.46</v>
      </c>
      <c r="I557" s="5" t="s">
        <v>40</v>
      </c>
    </row>
    <row r="558" spans="1:9" ht="18" customHeight="1" x14ac:dyDescent="0.25">
      <c r="A558" s="2">
        <v>2023</v>
      </c>
      <c r="B558" s="2" t="s">
        <v>1</v>
      </c>
      <c r="C558" s="2" t="s">
        <v>14</v>
      </c>
      <c r="D558" s="3" t="s">
        <v>37</v>
      </c>
      <c r="E558" s="4">
        <v>2498</v>
      </c>
      <c r="F558" s="4">
        <v>8000</v>
      </c>
      <c r="G558" s="4">
        <v>8960</v>
      </c>
      <c r="H558" s="4">
        <v>1600</v>
      </c>
      <c r="I558" s="5" t="s">
        <v>40</v>
      </c>
    </row>
    <row r="559" spans="1:9" ht="18" customHeight="1" x14ac:dyDescent="0.25">
      <c r="A559" s="2">
        <v>2023</v>
      </c>
      <c r="B559" s="2" t="s">
        <v>1</v>
      </c>
      <c r="C559" s="2" t="s">
        <v>13</v>
      </c>
      <c r="D559" s="3" t="s">
        <v>35</v>
      </c>
      <c r="E559" s="4">
        <v>1245</v>
      </c>
      <c r="F559" s="4">
        <v>4577.2</v>
      </c>
      <c r="G559" s="4">
        <v>5126.4639999999999</v>
      </c>
      <c r="H559" s="4">
        <v>915.44</v>
      </c>
      <c r="I559" s="5" t="s">
        <v>40</v>
      </c>
    </row>
    <row r="560" spans="1:9" ht="18" customHeight="1" x14ac:dyDescent="0.25">
      <c r="A560" s="2">
        <v>2023</v>
      </c>
      <c r="B560" s="2" t="s">
        <v>1</v>
      </c>
      <c r="C560" s="2" t="s">
        <v>38</v>
      </c>
      <c r="D560" s="6" t="s">
        <v>30</v>
      </c>
      <c r="E560" s="7">
        <v>644</v>
      </c>
      <c r="F560" s="7">
        <v>5743.5</v>
      </c>
      <c r="G560" s="7">
        <v>6432.72</v>
      </c>
      <c r="H560" s="4">
        <v>1148.7</v>
      </c>
      <c r="I560" s="5" t="s">
        <v>40</v>
      </c>
    </row>
    <row r="561" spans="1:9" ht="18" customHeight="1" x14ac:dyDescent="0.25">
      <c r="A561" s="2">
        <v>2023</v>
      </c>
      <c r="B561" s="2" t="s">
        <v>1</v>
      </c>
      <c r="C561" s="2" t="s">
        <v>12</v>
      </c>
      <c r="D561" s="6" t="s">
        <v>29</v>
      </c>
      <c r="E561" s="7">
        <v>643</v>
      </c>
      <c r="F561" s="7">
        <v>7000</v>
      </c>
      <c r="G561" s="7">
        <v>7840</v>
      </c>
      <c r="H561" s="4">
        <v>1400</v>
      </c>
      <c r="I561" s="5" t="s">
        <v>40</v>
      </c>
    </row>
    <row r="562" spans="1:9" ht="18" customHeight="1" x14ac:dyDescent="0.25">
      <c r="A562" s="2">
        <v>2023</v>
      </c>
      <c r="B562" s="2" t="s">
        <v>1</v>
      </c>
      <c r="C562" s="2" t="s">
        <v>38</v>
      </c>
      <c r="D562" s="6" t="s">
        <v>31</v>
      </c>
      <c r="E562" s="7">
        <v>455</v>
      </c>
      <c r="F562" s="7">
        <v>4578.6000000000004</v>
      </c>
      <c r="G562" s="7">
        <v>5128.0320000000002</v>
      </c>
      <c r="H562" s="4">
        <v>915.72000000000014</v>
      </c>
      <c r="I562" s="5" t="s">
        <v>40</v>
      </c>
    </row>
    <row r="563" spans="1:9" ht="18" customHeight="1" x14ac:dyDescent="0.25">
      <c r="A563" s="2">
        <v>2023</v>
      </c>
      <c r="B563" s="2" t="s">
        <v>1</v>
      </c>
      <c r="C563" s="2" t="s">
        <v>12</v>
      </c>
      <c r="D563" s="6" t="s">
        <v>28</v>
      </c>
      <c r="E563" s="8">
        <v>345</v>
      </c>
      <c r="F563" s="8">
        <v>7000</v>
      </c>
      <c r="G563" s="8">
        <v>7840</v>
      </c>
      <c r="H563" s="4">
        <v>1400</v>
      </c>
      <c r="I563" s="5" t="s">
        <v>40</v>
      </c>
    </row>
    <row r="564" spans="1:9" ht="18" customHeight="1" x14ac:dyDescent="0.25">
      <c r="A564" s="2">
        <v>2023</v>
      </c>
      <c r="B564" s="2" t="s">
        <v>1</v>
      </c>
      <c r="C564" s="2" t="s">
        <v>13</v>
      </c>
      <c r="D564" s="3" t="s">
        <v>33</v>
      </c>
      <c r="E564" s="4">
        <v>122</v>
      </c>
      <c r="F564" s="4">
        <v>100</v>
      </c>
      <c r="G564" s="4">
        <v>112</v>
      </c>
      <c r="H564" s="4">
        <v>20</v>
      </c>
      <c r="I564" s="5" t="s">
        <v>40</v>
      </c>
    </row>
    <row r="565" spans="1:9" ht="18" customHeight="1" x14ac:dyDescent="0.25">
      <c r="A565" s="2">
        <v>2023</v>
      </c>
      <c r="B565" s="2" t="s">
        <v>1</v>
      </c>
      <c r="C565" s="2" t="s">
        <v>15</v>
      </c>
      <c r="D565" s="6" t="s">
        <v>26</v>
      </c>
      <c r="E565" s="7">
        <v>78</v>
      </c>
      <c r="F565" s="7">
        <v>2288.6</v>
      </c>
      <c r="G565" s="7">
        <v>5126.4639999999999</v>
      </c>
      <c r="H565" s="4">
        <v>457.72</v>
      </c>
      <c r="I565" s="5" t="s">
        <v>40</v>
      </c>
    </row>
    <row r="566" spans="1:9" ht="18" customHeight="1" x14ac:dyDescent="0.25">
      <c r="A566" s="2">
        <v>2023</v>
      </c>
      <c r="B566" s="2" t="s">
        <v>1</v>
      </c>
      <c r="C566" s="2" t="s">
        <v>15</v>
      </c>
      <c r="D566" s="6" t="s">
        <v>24</v>
      </c>
      <c r="E566" s="7">
        <v>76</v>
      </c>
      <c r="F566" s="7">
        <v>2288.4499999999998</v>
      </c>
      <c r="G566" s="7">
        <v>5126.1279999999997</v>
      </c>
      <c r="H566" s="4">
        <v>457.69</v>
      </c>
      <c r="I566" s="5" t="s">
        <v>40</v>
      </c>
    </row>
    <row r="567" spans="1:9" ht="18" customHeight="1" x14ac:dyDescent="0.25">
      <c r="A567" s="2">
        <v>2023</v>
      </c>
      <c r="B567" s="2" t="s">
        <v>1</v>
      </c>
      <c r="C567" s="2" t="s">
        <v>15</v>
      </c>
      <c r="D567" s="6" t="s">
        <v>25</v>
      </c>
      <c r="E567" s="7">
        <v>46</v>
      </c>
      <c r="F567" s="7">
        <v>100</v>
      </c>
      <c r="G567" s="7">
        <v>224</v>
      </c>
      <c r="H567" s="4">
        <v>20</v>
      </c>
      <c r="I567" s="5" t="s">
        <v>40</v>
      </c>
    </row>
    <row r="568" spans="1:9" ht="18" customHeight="1" x14ac:dyDescent="0.25">
      <c r="A568" s="2">
        <v>2023</v>
      </c>
      <c r="B568" s="2" t="s">
        <v>1</v>
      </c>
      <c r="C568" s="2" t="s">
        <v>15</v>
      </c>
      <c r="D568" s="6" t="s">
        <v>23</v>
      </c>
      <c r="E568" s="7">
        <v>34</v>
      </c>
      <c r="F568" s="7">
        <v>2288.4</v>
      </c>
      <c r="G568" s="7">
        <v>5126.0160000000005</v>
      </c>
      <c r="H568" s="4">
        <v>457.68000000000006</v>
      </c>
      <c r="I568" s="5" t="s">
        <v>40</v>
      </c>
    </row>
    <row r="569" spans="1:9" ht="18" customHeight="1" x14ac:dyDescent="0.25">
      <c r="A569" s="2">
        <v>2023</v>
      </c>
      <c r="B569" s="2" t="s">
        <v>1</v>
      </c>
      <c r="C569" s="2" t="s">
        <v>13</v>
      </c>
      <c r="D569" s="3" t="s">
        <v>34</v>
      </c>
      <c r="E569" s="4">
        <v>7</v>
      </c>
      <c r="F569" s="4">
        <v>200</v>
      </c>
      <c r="G569" s="4">
        <v>224</v>
      </c>
      <c r="H569" s="4">
        <v>40</v>
      </c>
      <c r="I569" s="5" t="s">
        <v>40</v>
      </c>
    </row>
    <row r="570" spans="1:9" ht="18" customHeight="1" x14ac:dyDescent="0.25">
      <c r="A570" s="2">
        <v>2023</v>
      </c>
      <c r="B570" s="2" t="s">
        <v>1</v>
      </c>
      <c r="C570" s="2" t="s">
        <v>15</v>
      </c>
      <c r="D570" s="6" t="s">
        <v>27</v>
      </c>
      <c r="E570" s="7">
        <v>3</v>
      </c>
      <c r="F570" s="7">
        <v>3300</v>
      </c>
      <c r="G570" s="7">
        <v>5126.576</v>
      </c>
      <c r="H570" s="4">
        <v>660</v>
      </c>
      <c r="I570" s="5" t="s">
        <v>40</v>
      </c>
    </row>
    <row r="571" spans="1:9" ht="18" customHeight="1" x14ac:dyDescent="0.25">
      <c r="A571" s="2">
        <v>2023</v>
      </c>
      <c r="B571" s="2" t="s">
        <v>1</v>
      </c>
      <c r="C571" s="2" t="s">
        <v>32</v>
      </c>
      <c r="D571" s="6" t="s">
        <v>32</v>
      </c>
      <c r="E571" s="7">
        <v>2</v>
      </c>
      <c r="F571" s="7">
        <v>6600</v>
      </c>
      <c r="G571" s="7">
        <v>7392</v>
      </c>
      <c r="H571" s="4">
        <v>1320</v>
      </c>
      <c r="I571" s="5" t="s">
        <v>40</v>
      </c>
    </row>
    <row r="572" spans="1:9" ht="18" customHeight="1" x14ac:dyDescent="0.25">
      <c r="A572" s="2">
        <v>2023</v>
      </c>
      <c r="B572" s="2" t="s">
        <v>2</v>
      </c>
      <c r="C572" s="2" t="s">
        <v>14</v>
      </c>
      <c r="D572" s="3" t="s">
        <v>36</v>
      </c>
      <c r="E572" s="4">
        <v>3566</v>
      </c>
      <c r="F572" s="4">
        <v>4577.3</v>
      </c>
      <c r="G572" s="4">
        <v>5126.576</v>
      </c>
      <c r="H572" s="4">
        <v>915.46</v>
      </c>
      <c r="I572" s="5" t="s">
        <v>40</v>
      </c>
    </row>
    <row r="573" spans="1:9" ht="18" customHeight="1" x14ac:dyDescent="0.25">
      <c r="A573" s="2">
        <v>2023</v>
      </c>
      <c r="B573" s="2" t="s">
        <v>2</v>
      </c>
      <c r="C573" s="2" t="s">
        <v>14</v>
      </c>
      <c r="D573" s="3" t="s">
        <v>37</v>
      </c>
      <c r="E573" s="4">
        <v>2498</v>
      </c>
      <c r="F573" s="4">
        <v>8000</v>
      </c>
      <c r="G573" s="4">
        <v>8960</v>
      </c>
      <c r="H573" s="4">
        <v>1600</v>
      </c>
      <c r="I573" s="5" t="s">
        <v>40</v>
      </c>
    </row>
    <row r="574" spans="1:9" ht="18" customHeight="1" x14ac:dyDescent="0.25">
      <c r="A574" s="2">
        <v>2023</v>
      </c>
      <c r="B574" s="2" t="s">
        <v>2</v>
      </c>
      <c r="C574" s="2" t="s">
        <v>13</v>
      </c>
      <c r="D574" s="3" t="s">
        <v>35</v>
      </c>
      <c r="E574" s="4">
        <v>1245</v>
      </c>
      <c r="F574" s="4">
        <v>4577.2</v>
      </c>
      <c r="G574" s="4">
        <v>5126.4639999999999</v>
      </c>
      <c r="H574" s="4">
        <v>915.44</v>
      </c>
      <c r="I574" s="5" t="s">
        <v>40</v>
      </c>
    </row>
    <row r="575" spans="1:9" ht="18" customHeight="1" x14ac:dyDescent="0.25">
      <c r="A575" s="2">
        <v>2023</v>
      </c>
      <c r="B575" s="2" t="s">
        <v>2</v>
      </c>
      <c r="C575" s="2" t="s">
        <v>38</v>
      </c>
      <c r="D575" s="6" t="s">
        <v>30</v>
      </c>
      <c r="E575" s="7">
        <v>644</v>
      </c>
      <c r="F575" s="7">
        <v>10000</v>
      </c>
      <c r="G575" s="7">
        <v>6432.72</v>
      </c>
      <c r="H575" s="4">
        <v>2000</v>
      </c>
      <c r="I575" s="5" t="s">
        <v>40</v>
      </c>
    </row>
    <row r="576" spans="1:9" ht="18" customHeight="1" x14ac:dyDescent="0.25">
      <c r="A576" s="2">
        <v>2023</v>
      </c>
      <c r="B576" s="2" t="s">
        <v>2</v>
      </c>
      <c r="C576" s="2" t="s">
        <v>12</v>
      </c>
      <c r="D576" s="6" t="s">
        <v>29</v>
      </c>
      <c r="E576" s="7">
        <v>643</v>
      </c>
      <c r="F576" s="7">
        <v>7000</v>
      </c>
      <c r="G576" s="7">
        <v>7840</v>
      </c>
      <c r="H576" s="4">
        <v>1400</v>
      </c>
      <c r="I576" s="5" t="s">
        <v>40</v>
      </c>
    </row>
    <row r="577" spans="1:9" ht="18" customHeight="1" x14ac:dyDescent="0.25">
      <c r="A577" s="2">
        <v>2023</v>
      </c>
      <c r="B577" s="2" t="s">
        <v>2</v>
      </c>
      <c r="C577" s="2" t="s">
        <v>38</v>
      </c>
      <c r="D577" s="6" t="s">
        <v>31</v>
      </c>
      <c r="E577" s="7">
        <v>455</v>
      </c>
      <c r="F577" s="7">
        <v>4578.6000000000004</v>
      </c>
      <c r="G577" s="7">
        <v>5128.0320000000002</v>
      </c>
      <c r="H577" s="4">
        <v>915.72000000000014</v>
      </c>
      <c r="I577" s="5" t="s">
        <v>40</v>
      </c>
    </row>
    <row r="578" spans="1:9" ht="18" customHeight="1" x14ac:dyDescent="0.25">
      <c r="A578" s="2">
        <v>2023</v>
      </c>
      <c r="B578" s="2" t="s">
        <v>2</v>
      </c>
      <c r="C578" s="2" t="s">
        <v>12</v>
      </c>
      <c r="D578" s="6" t="s">
        <v>28</v>
      </c>
      <c r="E578" s="8">
        <v>345</v>
      </c>
      <c r="F578" s="8">
        <v>7000</v>
      </c>
      <c r="G578" s="8">
        <v>7840</v>
      </c>
      <c r="H578" s="4">
        <v>1400</v>
      </c>
      <c r="I578" s="5" t="s">
        <v>40</v>
      </c>
    </row>
    <row r="579" spans="1:9" ht="18" customHeight="1" x14ac:dyDescent="0.25">
      <c r="A579" s="2">
        <v>2023</v>
      </c>
      <c r="B579" s="2" t="s">
        <v>2</v>
      </c>
      <c r="C579" s="2" t="s">
        <v>13</v>
      </c>
      <c r="D579" s="3" t="s">
        <v>33</v>
      </c>
      <c r="E579" s="4">
        <v>122</v>
      </c>
      <c r="F579" s="4">
        <v>100</v>
      </c>
      <c r="G579" s="4">
        <v>112</v>
      </c>
      <c r="H579" s="4">
        <v>20</v>
      </c>
      <c r="I579" s="5" t="s">
        <v>40</v>
      </c>
    </row>
    <row r="580" spans="1:9" ht="18" customHeight="1" x14ac:dyDescent="0.25">
      <c r="A580" s="2">
        <v>2023</v>
      </c>
      <c r="B580" s="2" t="s">
        <v>2</v>
      </c>
      <c r="C580" s="2" t="s">
        <v>15</v>
      </c>
      <c r="D580" s="6" t="s">
        <v>26</v>
      </c>
      <c r="E580" s="7">
        <v>78</v>
      </c>
      <c r="F580" s="7">
        <v>2288.6</v>
      </c>
      <c r="G580" s="7">
        <v>5126.4639999999999</v>
      </c>
      <c r="H580" s="4">
        <v>457.72</v>
      </c>
      <c r="I580" s="5" t="s">
        <v>40</v>
      </c>
    </row>
    <row r="581" spans="1:9" ht="18" customHeight="1" x14ac:dyDescent="0.25">
      <c r="A581" s="2">
        <v>2023</v>
      </c>
      <c r="B581" s="2" t="s">
        <v>2</v>
      </c>
      <c r="C581" s="2" t="s">
        <v>15</v>
      </c>
      <c r="D581" s="6" t="s">
        <v>24</v>
      </c>
      <c r="E581" s="7">
        <v>76</v>
      </c>
      <c r="F581" s="7">
        <v>2288.4499999999998</v>
      </c>
      <c r="G581" s="7">
        <v>5126.1279999999997</v>
      </c>
      <c r="H581" s="4">
        <v>457.69</v>
      </c>
      <c r="I581" s="5" t="s">
        <v>40</v>
      </c>
    </row>
    <row r="582" spans="1:9" ht="18" customHeight="1" x14ac:dyDescent="0.25">
      <c r="A582" s="2">
        <v>2023</v>
      </c>
      <c r="B582" s="2" t="s">
        <v>2</v>
      </c>
      <c r="C582" s="2" t="s">
        <v>15</v>
      </c>
      <c r="D582" s="6" t="s">
        <v>25</v>
      </c>
      <c r="E582" s="7">
        <v>46</v>
      </c>
      <c r="F582" s="7">
        <v>100</v>
      </c>
      <c r="G582" s="7">
        <v>224</v>
      </c>
      <c r="H582" s="4">
        <v>20</v>
      </c>
      <c r="I582" s="5" t="s">
        <v>40</v>
      </c>
    </row>
    <row r="583" spans="1:9" ht="18" customHeight="1" x14ac:dyDescent="0.25">
      <c r="A583" s="2">
        <v>2023</v>
      </c>
      <c r="B583" s="2" t="s">
        <v>2</v>
      </c>
      <c r="C583" s="2" t="s">
        <v>15</v>
      </c>
      <c r="D583" s="6" t="s">
        <v>23</v>
      </c>
      <c r="E583" s="7">
        <v>34</v>
      </c>
      <c r="F583" s="7">
        <v>2288.4</v>
      </c>
      <c r="G583" s="7">
        <v>5126.0160000000005</v>
      </c>
      <c r="H583" s="4">
        <v>457.68000000000006</v>
      </c>
      <c r="I583" s="5" t="s">
        <v>40</v>
      </c>
    </row>
    <row r="584" spans="1:9" ht="18" customHeight="1" x14ac:dyDescent="0.25">
      <c r="A584" s="2">
        <v>2023</v>
      </c>
      <c r="B584" s="2" t="s">
        <v>2</v>
      </c>
      <c r="C584" s="2" t="s">
        <v>13</v>
      </c>
      <c r="D584" s="3" t="s">
        <v>34</v>
      </c>
      <c r="E584" s="4">
        <v>7</v>
      </c>
      <c r="F584" s="4">
        <v>200</v>
      </c>
      <c r="G584" s="4">
        <v>224</v>
      </c>
      <c r="H584" s="4">
        <v>40</v>
      </c>
      <c r="I584" s="5" t="s">
        <v>40</v>
      </c>
    </row>
    <row r="585" spans="1:9" ht="18" customHeight="1" x14ac:dyDescent="0.25">
      <c r="A585" s="2">
        <v>2023</v>
      </c>
      <c r="B585" s="2" t="s">
        <v>2</v>
      </c>
      <c r="C585" s="2" t="s">
        <v>15</v>
      </c>
      <c r="D585" s="6" t="s">
        <v>27</v>
      </c>
      <c r="E585" s="7">
        <v>3</v>
      </c>
      <c r="F585" s="7">
        <v>2288.65</v>
      </c>
      <c r="G585" s="7">
        <v>5126.576</v>
      </c>
      <c r="H585" s="4">
        <v>457.73</v>
      </c>
      <c r="I585" s="5" t="s">
        <v>40</v>
      </c>
    </row>
    <row r="586" spans="1:9" ht="18" customHeight="1" x14ac:dyDescent="0.25">
      <c r="A586" s="2">
        <v>2023</v>
      </c>
      <c r="B586" s="2" t="s">
        <v>2</v>
      </c>
      <c r="C586" s="2" t="s">
        <v>32</v>
      </c>
      <c r="D586" s="6" t="s">
        <v>32</v>
      </c>
      <c r="E586" s="7">
        <v>2</v>
      </c>
      <c r="F586" s="7">
        <v>6600</v>
      </c>
      <c r="G586" s="7">
        <v>7392</v>
      </c>
      <c r="H586" s="4">
        <v>1320</v>
      </c>
      <c r="I586" s="5" t="s">
        <v>40</v>
      </c>
    </row>
    <row r="587" spans="1:9" ht="18" customHeight="1" x14ac:dyDescent="0.25">
      <c r="A587" s="2">
        <v>2023</v>
      </c>
      <c r="B587" s="2" t="s">
        <v>3</v>
      </c>
      <c r="C587" s="2" t="s">
        <v>14</v>
      </c>
      <c r="D587" s="3" t="s">
        <v>36</v>
      </c>
      <c r="E587" s="4">
        <v>3566</v>
      </c>
      <c r="F587" s="4">
        <v>4577.3</v>
      </c>
      <c r="G587" s="4">
        <v>5126.576</v>
      </c>
      <c r="H587" s="4">
        <v>915.46</v>
      </c>
      <c r="I587" s="5" t="s">
        <v>40</v>
      </c>
    </row>
    <row r="588" spans="1:9" ht="18" customHeight="1" x14ac:dyDescent="0.25">
      <c r="A588" s="2">
        <v>2023</v>
      </c>
      <c r="B588" s="2" t="s">
        <v>3</v>
      </c>
      <c r="C588" s="2" t="s">
        <v>14</v>
      </c>
      <c r="D588" s="3" t="s">
        <v>37</v>
      </c>
      <c r="E588" s="4">
        <v>2498</v>
      </c>
      <c r="F588" s="4">
        <v>8000</v>
      </c>
      <c r="G588" s="4">
        <v>8960</v>
      </c>
      <c r="H588" s="4">
        <v>1600</v>
      </c>
      <c r="I588" s="5" t="s">
        <v>42</v>
      </c>
    </row>
    <row r="589" spans="1:9" ht="18" customHeight="1" x14ac:dyDescent="0.25">
      <c r="A589" s="2">
        <v>2023</v>
      </c>
      <c r="B589" s="2" t="s">
        <v>3</v>
      </c>
      <c r="C589" s="2" t="s">
        <v>13</v>
      </c>
      <c r="D589" s="3" t="s">
        <v>35</v>
      </c>
      <c r="E589" s="4">
        <v>1245</v>
      </c>
      <c r="F589" s="4">
        <v>4577.2</v>
      </c>
      <c r="G589" s="4">
        <v>5126.4639999999999</v>
      </c>
      <c r="H589" s="4">
        <v>915.44</v>
      </c>
      <c r="I589" s="5" t="s">
        <v>42</v>
      </c>
    </row>
    <row r="590" spans="1:9" ht="18" customHeight="1" x14ac:dyDescent="0.25">
      <c r="A590" s="2">
        <v>2023</v>
      </c>
      <c r="B590" s="2" t="s">
        <v>3</v>
      </c>
      <c r="C590" s="2" t="s">
        <v>38</v>
      </c>
      <c r="D590" s="6" t="s">
        <v>30</v>
      </c>
      <c r="E590" s="7">
        <v>644</v>
      </c>
      <c r="F590" s="7">
        <v>15000</v>
      </c>
      <c r="G590" s="7">
        <v>6432.72</v>
      </c>
      <c r="H590" s="4">
        <v>3000</v>
      </c>
      <c r="I590" s="5" t="s">
        <v>42</v>
      </c>
    </row>
    <row r="591" spans="1:9" ht="18" customHeight="1" x14ac:dyDescent="0.25">
      <c r="A591" s="2">
        <v>2023</v>
      </c>
      <c r="B591" s="2" t="s">
        <v>3</v>
      </c>
      <c r="C591" s="2" t="s">
        <v>12</v>
      </c>
      <c r="D591" s="6" t="s">
        <v>29</v>
      </c>
      <c r="E591" s="7">
        <v>643</v>
      </c>
      <c r="F591" s="7">
        <v>7000</v>
      </c>
      <c r="G591" s="7">
        <v>7840</v>
      </c>
      <c r="H591" s="4">
        <v>1400</v>
      </c>
      <c r="I591" s="5" t="s">
        <v>42</v>
      </c>
    </row>
    <row r="592" spans="1:9" ht="18" customHeight="1" x14ac:dyDescent="0.25">
      <c r="A592" s="2">
        <v>2023</v>
      </c>
      <c r="B592" s="2" t="s">
        <v>3</v>
      </c>
      <c r="C592" s="2" t="s">
        <v>38</v>
      </c>
      <c r="D592" s="6" t="s">
        <v>31</v>
      </c>
      <c r="E592" s="7">
        <v>455</v>
      </c>
      <c r="F592" s="7">
        <v>14000</v>
      </c>
      <c r="G592" s="7">
        <v>5128.0320000000002</v>
      </c>
      <c r="H592" s="4">
        <v>2800</v>
      </c>
      <c r="I592" s="5" t="s">
        <v>42</v>
      </c>
    </row>
    <row r="593" spans="1:9" ht="18" customHeight="1" x14ac:dyDescent="0.25">
      <c r="A593" s="2">
        <v>2023</v>
      </c>
      <c r="B593" s="2" t="s">
        <v>3</v>
      </c>
      <c r="C593" s="2" t="s">
        <v>12</v>
      </c>
      <c r="D593" s="6" t="s">
        <v>28</v>
      </c>
      <c r="E593" s="8">
        <v>345</v>
      </c>
      <c r="F593" s="8">
        <v>7000</v>
      </c>
      <c r="G593" s="8">
        <v>7840</v>
      </c>
      <c r="H593" s="4">
        <v>1400</v>
      </c>
      <c r="I593" s="5" t="s">
        <v>42</v>
      </c>
    </row>
    <row r="594" spans="1:9" ht="18" customHeight="1" x14ac:dyDescent="0.25">
      <c r="A594" s="2">
        <v>2023</v>
      </c>
      <c r="B594" s="2" t="s">
        <v>3</v>
      </c>
      <c r="C594" s="2" t="s">
        <v>13</v>
      </c>
      <c r="D594" s="3" t="s">
        <v>33</v>
      </c>
      <c r="E594" s="4">
        <v>122</v>
      </c>
      <c r="F594" s="4">
        <v>100</v>
      </c>
      <c r="G594" s="4">
        <v>112</v>
      </c>
      <c r="H594" s="4">
        <v>20</v>
      </c>
      <c r="I594" s="5" t="s">
        <v>42</v>
      </c>
    </row>
    <row r="595" spans="1:9" ht="18" customHeight="1" x14ac:dyDescent="0.25">
      <c r="A595" s="2">
        <v>2023</v>
      </c>
      <c r="B595" s="2" t="s">
        <v>3</v>
      </c>
      <c r="C595" s="2" t="s">
        <v>15</v>
      </c>
      <c r="D595" s="6" t="s">
        <v>26</v>
      </c>
      <c r="E595" s="7">
        <v>78</v>
      </c>
      <c r="F595" s="7">
        <v>2288.6</v>
      </c>
      <c r="G595" s="7">
        <v>5126.4639999999999</v>
      </c>
      <c r="H595" s="4">
        <v>457.72</v>
      </c>
      <c r="I595" s="5" t="s">
        <v>42</v>
      </c>
    </row>
    <row r="596" spans="1:9" ht="18" customHeight="1" x14ac:dyDescent="0.25">
      <c r="A596" s="2">
        <v>2023</v>
      </c>
      <c r="B596" s="2" t="s">
        <v>3</v>
      </c>
      <c r="C596" s="2" t="s">
        <v>15</v>
      </c>
      <c r="D596" s="6" t="s">
        <v>24</v>
      </c>
      <c r="E596" s="7">
        <v>76</v>
      </c>
      <c r="F596" s="7">
        <v>2288.4499999999998</v>
      </c>
      <c r="G596" s="7">
        <v>5126.1279999999997</v>
      </c>
      <c r="H596" s="4">
        <v>457.69</v>
      </c>
      <c r="I596" s="5" t="s">
        <v>42</v>
      </c>
    </row>
    <row r="597" spans="1:9" ht="18" customHeight="1" x14ac:dyDescent="0.25">
      <c r="A597" s="2">
        <v>2023</v>
      </c>
      <c r="B597" s="2" t="s">
        <v>3</v>
      </c>
      <c r="C597" s="2" t="s">
        <v>15</v>
      </c>
      <c r="D597" s="6" t="s">
        <v>25</v>
      </c>
      <c r="E597" s="7">
        <v>46</v>
      </c>
      <c r="F597" s="7">
        <v>100</v>
      </c>
      <c r="G597" s="7">
        <v>224</v>
      </c>
      <c r="H597" s="4">
        <v>20</v>
      </c>
      <c r="I597" s="5" t="s">
        <v>42</v>
      </c>
    </row>
    <row r="598" spans="1:9" ht="18" customHeight="1" x14ac:dyDescent="0.25">
      <c r="A598" s="2">
        <v>2023</v>
      </c>
      <c r="B598" s="2" t="s">
        <v>3</v>
      </c>
      <c r="C598" s="2" t="s">
        <v>15</v>
      </c>
      <c r="D598" s="6" t="s">
        <v>23</v>
      </c>
      <c r="E598" s="7">
        <v>34</v>
      </c>
      <c r="F598" s="7">
        <v>2288.4</v>
      </c>
      <c r="G598" s="7">
        <v>5126.0160000000005</v>
      </c>
      <c r="H598" s="4">
        <v>457.68000000000006</v>
      </c>
      <c r="I598" s="5" t="s">
        <v>42</v>
      </c>
    </row>
    <row r="599" spans="1:9" ht="18" customHeight="1" x14ac:dyDescent="0.25">
      <c r="A599" s="2">
        <v>2023</v>
      </c>
      <c r="B599" s="2" t="s">
        <v>3</v>
      </c>
      <c r="C599" s="2" t="s">
        <v>13</v>
      </c>
      <c r="D599" s="3" t="s">
        <v>34</v>
      </c>
      <c r="E599" s="4">
        <v>7</v>
      </c>
      <c r="F599" s="4">
        <v>200</v>
      </c>
      <c r="G599" s="4">
        <v>224</v>
      </c>
      <c r="H599" s="4">
        <v>40</v>
      </c>
      <c r="I599" s="5" t="s">
        <v>42</v>
      </c>
    </row>
    <row r="600" spans="1:9" ht="18" customHeight="1" x14ac:dyDescent="0.25">
      <c r="A600" s="2">
        <v>2023</v>
      </c>
      <c r="B600" s="2" t="s">
        <v>3</v>
      </c>
      <c r="C600" s="2" t="s">
        <v>15</v>
      </c>
      <c r="D600" s="6" t="s">
        <v>27</v>
      </c>
      <c r="E600" s="7">
        <v>3</v>
      </c>
      <c r="F600" s="7">
        <v>2288.65</v>
      </c>
      <c r="G600" s="7">
        <v>5126.576</v>
      </c>
      <c r="H600" s="4">
        <v>457.73</v>
      </c>
      <c r="I600" s="5" t="s">
        <v>42</v>
      </c>
    </row>
    <row r="601" spans="1:9" ht="18" customHeight="1" x14ac:dyDescent="0.25">
      <c r="A601" s="2">
        <v>2023</v>
      </c>
      <c r="B601" s="2" t="s">
        <v>3</v>
      </c>
      <c r="C601" s="2" t="s">
        <v>32</v>
      </c>
      <c r="D601" s="6" t="s">
        <v>32</v>
      </c>
      <c r="E601" s="7">
        <v>2</v>
      </c>
      <c r="F601" s="7">
        <v>7920</v>
      </c>
      <c r="G601" s="7">
        <v>7392</v>
      </c>
      <c r="H601" s="4">
        <v>1584</v>
      </c>
      <c r="I601" s="5" t="s">
        <v>42</v>
      </c>
    </row>
    <row r="602" spans="1:9" ht="18" customHeight="1" x14ac:dyDescent="0.25">
      <c r="A602" s="2">
        <v>2023</v>
      </c>
      <c r="B602" s="2" t="s">
        <v>4</v>
      </c>
      <c r="C602" s="2" t="s">
        <v>14</v>
      </c>
      <c r="D602" s="3" t="s">
        <v>36</v>
      </c>
      <c r="E602" s="4">
        <v>3566</v>
      </c>
      <c r="F602" s="4">
        <v>4577.3</v>
      </c>
      <c r="G602" s="4">
        <v>5126.576</v>
      </c>
      <c r="H602" s="4">
        <v>915.46</v>
      </c>
      <c r="I602" s="5" t="s">
        <v>42</v>
      </c>
    </row>
    <row r="603" spans="1:9" ht="18" customHeight="1" x14ac:dyDescent="0.25">
      <c r="A603" s="2">
        <v>2023</v>
      </c>
      <c r="B603" s="2" t="s">
        <v>4</v>
      </c>
      <c r="C603" s="2" t="s">
        <v>14</v>
      </c>
      <c r="D603" s="3" t="s">
        <v>37</v>
      </c>
      <c r="E603" s="4">
        <v>2498</v>
      </c>
      <c r="F603" s="4">
        <v>8800</v>
      </c>
      <c r="G603" s="4">
        <v>8960</v>
      </c>
      <c r="H603" s="4">
        <v>1760</v>
      </c>
      <c r="I603" s="5" t="s">
        <v>42</v>
      </c>
    </row>
    <row r="604" spans="1:9" ht="18" customHeight="1" x14ac:dyDescent="0.25">
      <c r="A604" s="2">
        <v>2023</v>
      </c>
      <c r="B604" s="2" t="s">
        <v>4</v>
      </c>
      <c r="C604" s="2" t="s">
        <v>13</v>
      </c>
      <c r="D604" s="3" t="s">
        <v>35</v>
      </c>
      <c r="E604" s="4">
        <v>1245</v>
      </c>
      <c r="F604" s="4">
        <v>5034.92</v>
      </c>
      <c r="G604" s="4">
        <v>5126.4639999999999</v>
      </c>
      <c r="H604" s="4">
        <v>1006.984</v>
      </c>
      <c r="I604" s="5" t="s">
        <v>42</v>
      </c>
    </row>
    <row r="605" spans="1:9" ht="18" customHeight="1" x14ac:dyDescent="0.25">
      <c r="A605" s="2">
        <v>2023</v>
      </c>
      <c r="B605" s="2" t="s">
        <v>4</v>
      </c>
      <c r="C605" s="2" t="s">
        <v>38</v>
      </c>
      <c r="D605" s="6" t="s">
        <v>30</v>
      </c>
      <c r="E605" s="7">
        <v>644</v>
      </c>
      <c r="F605" s="7">
        <v>6317.85</v>
      </c>
      <c r="G605" s="7">
        <v>6432.72</v>
      </c>
      <c r="H605" s="4">
        <v>1263.5700000000002</v>
      </c>
      <c r="I605" s="5" t="s">
        <v>42</v>
      </c>
    </row>
    <row r="606" spans="1:9" ht="18" customHeight="1" x14ac:dyDescent="0.25">
      <c r="A606" s="2">
        <v>2023</v>
      </c>
      <c r="B606" s="2" t="s">
        <v>4</v>
      </c>
      <c r="C606" s="2" t="s">
        <v>12</v>
      </c>
      <c r="D606" s="6" t="s">
        <v>29</v>
      </c>
      <c r="E606" s="7">
        <v>643</v>
      </c>
      <c r="F606" s="7">
        <v>7700</v>
      </c>
      <c r="G606" s="7">
        <v>7840</v>
      </c>
      <c r="H606" s="4">
        <v>1540</v>
      </c>
      <c r="I606" s="5" t="s">
        <v>42</v>
      </c>
    </row>
    <row r="607" spans="1:9" ht="18" customHeight="1" x14ac:dyDescent="0.25">
      <c r="A607" s="2">
        <v>2023</v>
      </c>
      <c r="B607" s="2" t="s">
        <v>4</v>
      </c>
      <c r="C607" s="2" t="s">
        <v>38</v>
      </c>
      <c r="D607" s="6" t="s">
        <v>31</v>
      </c>
      <c r="E607" s="7">
        <v>455</v>
      </c>
      <c r="F607" s="7">
        <v>5036.46</v>
      </c>
      <c r="G607" s="7">
        <v>5128.0320000000002</v>
      </c>
      <c r="H607" s="4">
        <v>1007.292</v>
      </c>
      <c r="I607" s="5" t="s">
        <v>42</v>
      </c>
    </row>
    <row r="608" spans="1:9" ht="18" customHeight="1" x14ac:dyDescent="0.25">
      <c r="A608" s="2">
        <v>2023</v>
      </c>
      <c r="B608" s="2" t="s">
        <v>4</v>
      </c>
      <c r="C608" s="2" t="s">
        <v>12</v>
      </c>
      <c r="D608" s="6" t="s">
        <v>28</v>
      </c>
      <c r="E608" s="8">
        <v>345</v>
      </c>
      <c r="F608" s="8">
        <v>7700</v>
      </c>
      <c r="G608" s="8">
        <v>7840</v>
      </c>
      <c r="H608" s="4">
        <v>1540</v>
      </c>
      <c r="I608" s="5" t="s">
        <v>42</v>
      </c>
    </row>
    <row r="609" spans="1:9" ht="18" customHeight="1" x14ac:dyDescent="0.25">
      <c r="A609" s="2">
        <v>2023</v>
      </c>
      <c r="B609" s="2" t="s">
        <v>4</v>
      </c>
      <c r="C609" s="2" t="s">
        <v>13</v>
      </c>
      <c r="D609" s="3" t="s">
        <v>33</v>
      </c>
      <c r="E609" s="4">
        <v>122</v>
      </c>
      <c r="F609" s="4">
        <v>110</v>
      </c>
      <c r="G609" s="4">
        <v>112</v>
      </c>
      <c r="H609" s="4">
        <v>22</v>
      </c>
      <c r="I609" s="5" t="s">
        <v>42</v>
      </c>
    </row>
    <row r="610" spans="1:9" ht="18" customHeight="1" x14ac:dyDescent="0.25">
      <c r="A610" s="2">
        <v>2023</v>
      </c>
      <c r="B610" s="2" t="s">
        <v>4</v>
      </c>
      <c r="C610" s="2" t="s">
        <v>15</v>
      </c>
      <c r="D610" s="6" t="s">
        <v>26</v>
      </c>
      <c r="E610" s="7">
        <v>78</v>
      </c>
      <c r="F610" s="7">
        <v>2517.46</v>
      </c>
      <c r="G610" s="7">
        <v>5126.4639999999999</v>
      </c>
      <c r="H610" s="4">
        <v>503.49200000000002</v>
      </c>
      <c r="I610" s="5" t="s">
        <v>42</v>
      </c>
    </row>
    <row r="611" spans="1:9" ht="18" customHeight="1" x14ac:dyDescent="0.25">
      <c r="A611" s="2">
        <v>2023</v>
      </c>
      <c r="B611" s="2" t="s">
        <v>4</v>
      </c>
      <c r="C611" s="2" t="s">
        <v>15</v>
      </c>
      <c r="D611" s="6" t="s">
        <v>24</v>
      </c>
      <c r="E611" s="7">
        <v>76</v>
      </c>
      <c r="F611" s="7">
        <v>2288.4499999999998</v>
      </c>
      <c r="G611" s="7">
        <v>5126.1279999999997</v>
      </c>
      <c r="H611" s="4">
        <v>457.69</v>
      </c>
      <c r="I611" s="5" t="s">
        <v>42</v>
      </c>
    </row>
    <row r="612" spans="1:9" ht="18" customHeight="1" x14ac:dyDescent="0.25">
      <c r="A612" s="2">
        <v>2023</v>
      </c>
      <c r="B612" s="2" t="s">
        <v>4</v>
      </c>
      <c r="C612" s="2" t="s">
        <v>15</v>
      </c>
      <c r="D612" s="6" t="s">
        <v>25</v>
      </c>
      <c r="E612" s="7">
        <v>46</v>
      </c>
      <c r="F612" s="7">
        <v>100</v>
      </c>
      <c r="G612" s="7">
        <v>224</v>
      </c>
      <c r="H612" s="4">
        <v>20</v>
      </c>
      <c r="I612" s="5" t="s">
        <v>42</v>
      </c>
    </row>
    <row r="613" spans="1:9" ht="18" customHeight="1" x14ac:dyDescent="0.25">
      <c r="A613" s="2">
        <v>2023</v>
      </c>
      <c r="B613" s="2" t="s">
        <v>4</v>
      </c>
      <c r="C613" s="2" t="s">
        <v>15</v>
      </c>
      <c r="D613" s="6" t="s">
        <v>23</v>
      </c>
      <c r="E613" s="7">
        <v>34</v>
      </c>
      <c r="F613" s="7">
        <v>2288.4</v>
      </c>
      <c r="G613" s="7">
        <v>5126.0160000000005</v>
      </c>
      <c r="H613" s="4">
        <v>457.68000000000006</v>
      </c>
      <c r="I613" s="5" t="s">
        <v>40</v>
      </c>
    </row>
    <row r="614" spans="1:9" ht="18" customHeight="1" x14ac:dyDescent="0.25">
      <c r="A614" s="2">
        <v>2023</v>
      </c>
      <c r="B614" s="2" t="s">
        <v>4</v>
      </c>
      <c r="C614" s="2" t="s">
        <v>13</v>
      </c>
      <c r="D614" s="3" t="s">
        <v>34</v>
      </c>
      <c r="E614" s="4">
        <v>7</v>
      </c>
      <c r="F614" s="4">
        <v>200</v>
      </c>
      <c r="G614" s="4">
        <v>224</v>
      </c>
      <c r="H614" s="4">
        <v>40</v>
      </c>
      <c r="I614" s="5" t="s">
        <v>40</v>
      </c>
    </row>
    <row r="615" spans="1:9" ht="18" customHeight="1" x14ac:dyDescent="0.25">
      <c r="A615" s="2">
        <v>2023</v>
      </c>
      <c r="B615" s="2" t="s">
        <v>4</v>
      </c>
      <c r="C615" s="2" t="s">
        <v>15</v>
      </c>
      <c r="D615" s="6" t="s">
        <v>27</v>
      </c>
      <c r="E615" s="7">
        <v>3</v>
      </c>
      <c r="F615" s="7">
        <v>3300</v>
      </c>
      <c r="G615" s="7">
        <v>5126.576</v>
      </c>
      <c r="H615" s="4">
        <v>660</v>
      </c>
      <c r="I615" s="5" t="s">
        <v>40</v>
      </c>
    </row>
    <row r="616" spans="1:9" ht="18" customHeight="1" x14ac:dyDescent="0.25">
      <c r="A616" s="2">
        <v>2023</v>
      </c>
      <c r="B616" s="2" t="s">
        <v>4</v>
      </c>
      <c r="C616" s="2" t="s">
        <v>32</v>
      </c>
      <c r="D616" s="6" t="s">
        <v>32</v>
      </c>
      <c r="E616" s="7">
        <v>2</v>
      </c>
      <c r="F616" s="7">
        <v>4577.3</v>
      </c>
      <c r="G616" s="7">
        <v>7392</v>
      </c>
      <c r="H616" s="4">
        <v>915.46</v>
      </c>
      <c r="I616" s="5" t="s">
        <v>40</v>
      </c>
    </row>
    <row r="617" spans="1:9" ht="18" customHeight="1" x14ac:dyDescent="0.25">
      <c r="A617" s="2">
        <v>2023</v>
      </c>
      <c r="B617" s="2" t="s">
        <v>5</v>
      </c>
      <c r="C617" s="2" t="s">
        <v>14</v>
      </c>
      <c r="D617" s="3" t="s">
        <v>36</v>
      </c>
      <c r="E617" s="4">
        <v>3566</v>
      </c>
      <c r="F617" s="4">
        <v>4577.3</v>
      </c>
      <c r="G617" s="4">
        <v>5126.576</v>
      </c>
      <c r="H617" s="4">
        <v>915.46</v>
      </c>
      <c r="I617" s="5" t="s">
        <v>40</v>
      </c>
    </row>
    <row r="618" spans="1:9" ht="18" customHeight="1" x14ac:dyDescent="0.25">
      <c r="A618" s="2">
        <v>2023</v>
      </c>
      <c r="B618" s="2" t="s">
        <v>5</v>
      </c>
      <c r="C618" s="2" t="s">
        <v>14</v>
      </c>
      <c r="D618" s="3" t="s">
        <v>37</v>
      </c>
      <c r="E618" s="4">
        <v>2498</v>
      </c>
      <c r="F618" s="4">
        <v>8000</v>
      </c>
      <c r="G618" s="4">
        <v>8960</v>
      </c>
      <c r="H618" s="4">
        <v>1600</v>
      </c>
      <c r="I618" s="5" t="s">
        <v>40</v>
      </c>
    </row>
    <row r="619" spans="1:9" ht="18" customHeight="1" x14ac:dyDescent="0.25">
      <c r="A619" s="2">
        <v>2023</v>
      </c>
      <c r="B619" s="2" t="s">
        <v>5</v>
      </c>
      <c r="C619" s="2" t="s">
        <v>13</v>
      </c>
      <c r="D619" s="3" t="s">
        <v>35</v>
      </c>
      <c r="E619" s="4">
        <v>1245</v>
      </c>
      <c r="F619" s="4">
        <v>4577.2</v>
      </c>
      <c r="G619" s="4">
        <v>5126.4639999999999</v>
      </c>
      <c r="H619" s="4">
        <v>915.44</v>
      </c>
      <c r="I619" s="5" t="s">
        <v>40</v>
      </c>
    </row>
    <row r="620" spans="1:9" ht="18" customHeight="1" x14ac:dyDescent="0.25">
      <c r="A620" s="2">
        <v>2023</v>
      </c>
      <c r="B620" s="2" t="s">
        <v>5</v>
      </c>
      <c r="C620" s="2" t="s">
        <v>38</v>
      </c>
      <c r="D620" s="6" t="s">
        <v>30</v>
      </c>
      <c r="E620" s="7">
        <v>644</v>
      </c>
      <c r="F620" s="7">
        <v>10000</v>
      </c>
      <c r="G620" s="7">
        <v>6432.72</v>
      </c>
      <c r="H620" s="4">
        <v>2000</v>
      </c>
      <c r="I620" s="5" t="s">
        <v>40</v>
      </c>
    </row>
    <row r="621" spans="1:9" ht="18" customHeight="1" x14ac:dyDescent="0.25">
      <c r="A621" s="2">
        <v>2023</v>
      </c>
      <c r="B621" s="2" t="s">
        <v>5</v>
      </c>
      <c r="C621" s="2" t="s">
        <v>12</v>
      </c>
      <c r="D621" s="6" t="s">
        <v>29</v>
      </c>
      <c r="E621" s="7">
        <v>643</v>
      </c>
      <c r="F621" s="7">
        <v>7000</v>
      </c>
      <c r="G621" s="7">
        <v>7840</v>
      </c>
      <c r="H621" s="4">
        <v>1400</v>
      </c>
      <c r="I621" s="5" t="s">
        <v>40</v>
      </c>
    </row>
    <row r="622" spans="1:9" ht="18" customHeight="1" x14ac:dyDescent="0.25">
      <c r="A622" s="2">
        <v>2023</v>
      </c>
      <c r="B622" s="2" t="s">
        <v>5</v>
      </c>
      <c r="C622" s="2" t="s">
        <v>38</v>
      </c>
      <c r="D622" s="6" t="s">
        <v>31</v>
      </c>
      <c r="E622" s="7">
        <v>455</v>
      </c>
      <c r="F622" s="7">
        <v>8000</v>
      </c>
      <c r="G622" s="7">
        <v>5128.0320000000002</v>
      </c>
      <c r="H622" s="4">
        <v>1600</v>
      </c>
      <c r="I622" s="5" t="s">
        <v>40</v>
      </c>
    </row>
    <row r="623" spans="1:9" ht="18" customHeight="1" x14ac:dyDescent="0.25">
      <c r="A623" s="2">
        <v>2023</v>
      </c>
      <c r="B623" s="2" t="s">
        <v>5</v>
      </c>
      <c r="C623" s="2" t="s">
        <v>12</v>
      </c>
      <c r="D623" s="6" t="s">
        <v>28</v>
      </c>
      <c r="E623" s="8">
        <v>345</v>
      </c>
      <c r="F623" s="8">
        <v>7000</v>
      </c>
      <c r="G623" s="8">
        <v>7840</v>
      </c>
      <c r="H623" s="4">
        <v>1400</v>
      </c>
      <c r="I623" s="5" t="s">
        <v>40</v>
      </c>
    </row>
    <row r="624" spans="1:9" ht="18" customHeight="1" x14ac:dyDescent="0.25">
      <c r="A624" s="2">
        <v>2023</v>
      </c>
      <c r="B624" s="2" t="s">
        <v>5</v>
      </c>
      <c r="C624" s="2" t="s">
        <v>13</v>
      </c>
      <c r="D624" s="3" t="s">
        <v>33</v>
      </c>
      <c r="E624" s="4">
        <v>122</v>
      </c>
      <c r="F624" s="4">
        <v>100</v>
      </c>
      <c r="G624" s="4">
        <v>112</v>
      </c>
      <c r="H624" s="4">
        <v>20</v>
      </c>
      <c r="I624" s="5" t="s">
        <v>40</v>
      </c>
    </row>
    <row r="625" spans="1:9" ht="18" customHeight="1" x14ac:dyDescent="0.25">
      <c r="A625" s="2">
        <v>2023</v>
      </c>
      <c r="B625" s="2" t="s">
        <v>5</v>
      </c>
      <c r="C625" s="2" t="s">
        <v>15</v>
      </c>
      <c r="D625" s="6" t="s">
        <v>26</v>
      </c>
      <c r="E625" s="7">
        <v>78</v>
      </c>
      <c r="F625" s="7">
        <v>2288.6</v>
      </c>
      <c r="G625" s="7">
        <v>5126.4639999999999</v>
      </c>
      <c r="H625" s="4">
        <v>457.72</v>
      </c>
      <c r="I625" s="5" t="s">
        <v>40</v>
      </c>
    </row>
    <row r="626" spans="1:9" ht="18" customHeight="1" x14ac:dyDescent="0.25">
      <c r="A626" s="2">
        <v>2023</v>
      </c>
      <c r="B626" s="2" t="s">
        <v>5</v>
      </c>
      <c r="C626" s="2" t="s">
        <v>15</v>
      </c>
      <c r="D626" s="6" t="s">
        <v>24</v>
      </c>
      <c r="E626" s="7">
        <v>76</v>
      </c>
      <c r="F626" s="7">
        <v>2288.4499999999998</v>
      </c>
      <c r="G626" s="7">
        <v>5126.1279999999997</v>
      </c>
      <c r="H626" s="4">
        <v>457.69</v>
      </c>
      <c r="I626" s="5" t="s">
        <v>40</v>
      </c>
    </row>
    <row r="627" spans="1:9" ht="18" customHeight="1" x14ac:dyDescent="0.25">
      <c r="A627" s="2">
        <v>2023</v>
      </c>
      <c r="B627" s="2" t="s">
        <v>5</v>
      </c>
      <c r="C627" s="2" t="s">
        <v>15</v>
      </c>
      <c r="D627" s="6" t="s">
        <v>25</v>
      </c>
      <c r="E627" s="7">
        <v>46</v>
      </c>
      <c r="F627" s="7">
        <v>100</v>
      </c>
      <c r="G627" s="7">
        <v>224</v>
      </c>
      <c r="H627" s="4">
        <v>20</v>
      </c>
      <c r="I627" s="5" t="s">
        <v>40</v>
      </c>
    </row>
    <row r="628" spans="1:9" ht="18" customHeight="1" x14ac:dyDescent="0.25">
      <c r="A628" s="2">
        <v>2023</v>
      </c>
      <c r="B628" s="2" t="s">
        <v>5</v>
      </c>
      <c r="C628" s="2" t="s">
        <v>15</v>
      </c>
      <c r="D628" s="6" t="s">
        <v>23</v>
      </c>
      <c r="E628" s="7">
        <v>34</v>
      </c>
      <c r="F628" s="7">
        <v>2288.4</v>
      </c>
      <c r="G628" s="7">
        <v>5126.0160000000005</v>
      </c>
      <c r="H628" s="4">
        <v>457.68000000000006</v>
      </c>
      <c r="I628" s="5" t="s">
        <v>40</v>
      </c>
    </row>
    <row r="629" spans="1:9" ht="18" customHeight="1" x14ac:dyDescent="0.25">
      <c r="A629" s="2">
        <v>2023</v>
      </c>
      <c r="B629" s="2" t="s">
        <v>5</v>
      </c>
      <c r="C629" s="2" t="s">
        <v>13</v>
      </c>
      <c r="D629" s="3" t="s">
        <v>34</v>
      </c>
      <c r="E629" s="4">
        <v>7</v>
      </c>
      <c r="F629" s="4">
        <v>200</v>
      </c>
      <c r="G629" s="4">
        <v>224</v>
      </c>
      <c r="H629" s="4">
        <v>40</v>
      </c>
      <c r="I629" s="5" t="s">
        <v>40</v>
      </c>
    </row>
    <row r="630" spans="1:9" ht="18" customHeight="1" x14ac:dyDescent="0.25">
      <c r="A630" s="2">
        <v>2023</v>
      </c>
      <c r="B630" s="2" t="s">
        <v>5</v>
      </c>
      <c r="C630" s="2" t="s">
        <v>32</v>
      </c>
      <c r="D630" s="6" t="s">
        <v>32</v>
      </c>
      <c r="E630" s="7">
        <v>3</v>
      </c>
      <c r="F630" s="7">
        <v>4577.3</v>
      </c>
      <c r="G630" s="7">
        <v>7392</v>
      </c>
      <c r="H630" s="4">
        <v>915.46</v>
      </c>
      <c r="I630" s="5" t="s">
        <v>42</v>
      </c>
    </row>
    <row r="631" spans="1:9" ht="18" customHeight="1" x14ac:dyDescent="0.25">
      <c r="A631" s="2">
        <v>2023</v>
      </c>
      <c r="B631" s="2" t="s">
        <v>5</v>
      </c>
      <c r="C631" s="2" t="s">
        <v>15</v>
      </c>
      <c r="D631" s="6" t="s">
        <v>27</v>
      </c>
      <c r="E631" s="7">
        <v>3</v>
      </c>
      <c r="F631" s="7">
        <v>2288.65</v>
      </c>
      <c r="G631" s="7">
        <v>5126.576</v>
      </c>
      <c r="H631" s="4">
        <v>457.73</v>
      </c>
      <c r="I631" s="5" t="s">
        <v>42</v>
      </c>
    </row>
    <row r="632" spans="1:9" ht="18" customHeight="1" x14ac:dyDescent="0.25">
      <c r="A632" s="2">
        <v>2023</v>
      </c>
      <c r="B632" s="2" t="s">
        <v>6</v>
      </c>
      <c r="C632" s="2" t="s">
        <v>14</v>
      </c>
      <c r="D632" s="3" t="s">
        <v>36</v>
      </c>
      <c r="E632" s="4">
        <v>3566</v>
      </c>
      <c r="F632" s="4">
        <v>4577.3</v>
      </c>
      <c r="G632" s="4">
        <v>5126.576</v>
      </c>
      <c r="H632" s="4">
        <v>915.46</v>
      </c>
      <c r="I632" s="5" t="s">
        <v>42</v>
      </c>
    </row>
    <row r="633" spans="1:9" ht="18" customHeight="1" x14ac:dyDescent="0.25">
      <c r="A633" s="2">
        <v>2023</v>
      </c>
      <c r="B633" s="2" t="s">
        <v>6</v>
      </c>
      <c r="C633" s="2" t="s">
        <v>14</v>
      </c>
      <c r="D633" s="3" t="s">
        <v>37</v>
      </c>
      <c r="E633" s="4">
        <v>2498</v>
      </c>
      <c r="F633" s="4">
        <v>8000</v>
      </c>
      <c r="G633" s="4">
        <v>8960</v>
      </c>
      <c r="H633" s="4">
        <v>1600</v>
      </c>
      <c r="I633" s="5" t="s">
        <v>42</v>
      </c>
    </row>
    <row r="634" spans="1:9" ht="18" customHeight="1" x14ac:dyDescent="0.25">
      <c r="A634" s="2">
        <v>2023</v>
      </c>
      <c r="B634" s="2" t="s">
        <v>6</v>
      </c>
      <c r="C634" s="2" t="s">
        <v>13</v>
      </c>
      <c r="D634" s="3" t="s">
        <v>35</v>
      </c>
      <c r="E634" s="4">
        <v>1245</v>
      </c>
      <c r="F634" s="4">
        <v>4577.2</v>
      </c>
      <c r="G634" s="4">
        <v>5126.4639999999999</v>
      </c>
      <c r="H634" s="4">
        <v>915.44</v>
      </c>
      <c r="I634" s="5" t="s">
        <v>42</v>
      </c>
    </row>
    <row r="635" spans="1:9" ht="18" customHeight="1" x14ac:dyDescent="0.25">
      <c r="A635" s="2">
        <v>2023</v>
      </c>
      <c r="B635" s="2" t="s">
        <v>6</v>
      </c>
      <c r="C635" s="2" t="s">
        <v>38</v>
      </c>
      <c r="D635" s="6" t="s">
        <v>30</v>
      </c>
      <c r="E635" s="7">
        <v>644</v>
      </c>
      <c r="F635" s="7">
        <v>5743.5</v>
      </c>
      <c r="G635" s="7">
        <v>6432.72</v>
      </c>
      <c r="H635" s="4">
        <v>1148.7</v>
      </c>
      <c r="I635" s="5" t="s">
        <v>42</v>
      </c>
    </row>
    <row r="636" spans="1:9" ht="18" customHeight="1" x14ac:dyDescent="0.25">
      <c r="A636" s="2">
        <v>2023</v>
      </c>
      <c r="B636" s="2" t="s">
        <v>6</v>
      </c>
      <c r="C636" s="2" t="s">
        <v>12</v>
      </c>
      <c r="D636" s="6" t="s">
        <v>29</v>
      </c>
      <c r="E636" s="7">
        <v>643</v>
      </c>
      <c r="F636" s="7">
        <v>7000</v>
      </c>
      <c r="G636" s="7">
        <v>7840</v>
      </c>
      <c r="H636" s="4">
        <v>1400</v>
      </c>
      <c r="I636" s="5" t="s">
        <v>42</v>
      </c>
    </row>
    <row r="637" spans="1:9" ht="18" customHeight="1" x14ac:dyDescent="0.25">
      <c r="A637" s="2">
        <v>2023</v>
      </c>
      <c r="B637" s="2" t="s">
        <v>6</v>
      </c>
      <c r="C637" s="2" t="s">
        <v>38</v>
      </c>
      <c r="D637" s="6" t="s">
        <v>31</v>
      </c>
      <c r="E637" s="7">
        <v>455</v>
      </c>
      <c r="F637" s="7">
        <v>4578.6000000000004</v>
      </c>
      <c r="G637" s="7">
        <v>5128.0320000000002</v>
      </c>
      <c r="H637" s="4">
        <v>915.72000000000014</v>
      </c>
      <c r="I637" s="5" t="s">
        <v>42</v>
      </c>
    </row>
    <row r="638" spans="1:9" ht="18" customHeight="1" x14ac:dyDescent="0.25">
      <c r="A638" s="2">
        <v>2023</v>
      </c>
      <c r="B638" s="2" t="s">
        <v>6</v>
      </c>
      <c r="C638" s="2" t="s">
        <v>12</v>
      </c>
      <c r="D638" s="6" t="s">
        <v>28</v>
      </c>
      <c r="E638" s="8">
        <v>345</v>
      </c>
      <c r="F638" s="8">
        <v>7000</v>
      </c>
      <c r="G638" s="8">
        <v>7840</v>
      </c>
      <c r="H638" s="4">
        <v>1400</v>
      </c>
      <c r="I638" s="5" t="s">
        <v>42</v>
      </c>
    </row>
    <row r="639" spans="1:9" ht="18" customHeight="1" x14ac:dyDescent="0.25">
      <c r="A639" s="2">
        <v>2023</v>
      </c>
      <c r="B639" s="2" t="s">
        <v>6</v>
      </c>
      <c r="C639" s="2" t="s">
        <v>13</v>
      </c>
      <c r="D639" s="3" t="s">
        <v>33</v>
      </c>
      <c r="E639" s="4">
        <v>122</v>
      </c>
      <c r="F639" s="4">
        <v>100</v>
      </c>
      <c r="G639" s="4">
        <v>112</v>
      </c>
      <c r="H639" s="4">
        <v>20</v>
      </c>
      <c r="I639" s="5" t="s">
        <v>42</v>
      </c>
    </row>
    <row r="640" spans="1:9" ht="18" customHeight="1" x14ac:dyDescent="0.25">
      <c r="A640" s="2">
        <v>2023</v>
      </c>
      <c r="B640" s="2" t="s">
        <v>6</v>
      </c>
      <c r="C640" s="2" t="s">
        <v>15</v>
      </c>
      <c r="D640" s="6" t="s">
        <v>26</v>
      </c>
      <c r="E640" s="7">
        <v>78</v>
      </c>
      <c r="F640" s="7">
        <v>2288.6</v>
      </c>
      <c r="G640" s="7">
        <v>5126.4639999999999</v>
      </c>
      <c r="H640" s="4">
        <v>457.72</v>
      </c>
      <c r="I640" s="5" t="s">
        <v>42</v>
      </c>
    </row>
    <row r="641" spans="1:9" ht="18" customHeight="1" x14ac:dyDescent="0.25">
      <c r="A641" s="2">
        <v>2023</v>
      </c>
      <c r="B641" s="2" t="s">
        <v>6</v>
      </c>
      <c r="C641" s="2" t="s">
        <v>15</v>
      </c>
      <c r="D641" s="6" t="s">
        <v>24</v>
      </c>
      <c r="E641" s="7">
        <v>76</v>
      </c>
      <c r="F641" s="7">
        <v>2288.4499999999998</v>
      </c>
      <c r="G641" s="7">
        <v>5126.1279999999997</v>
      </c>
      <c r="H641" s="4">
        <v>457.69</v>
      </c>
      <c r="I641" s="5" t="s">
        <v>42</v>
      </c>
    </row>
    <row r="642" spans="1:9" ht="18" customHeight="1" x14ac:dyDescent="0.25">
      <c r="A642" s="2">
        <v>2023</v>
      </c>
      <c r="B642" s="2" t="s">
        <v>6</v>
      </c>
      <c r="C642" s="2" t="s">
        <v>15</v>
      </c>
      <c r="D642" s="6" t="s">
        <v>25</v>
      </c>
      <c r="E642" s="7">
        <v>46</v>
      </c>
      <c r="F642" s="7">
        <v>100</v>
      </c>
      <c r="G642" s="7">
        <v>224</v>
      </c>
      <c r="H642" s="4">
        <v>20</v>
      </c>
      <c r="I642" s="5" t="s">
        <v>42</v>
      </c>
    </row>
    <row r="643" spans="1:9" ht="18" customHeight="1" x14ac:dyDescent="0.25">
      <c r="A643" s="2">
        <v>2023</v>
      </c>
      <c r="B643" s="2" t="s">
        <v>6</v>
      </c>
      <c r="C643" s="2" t="s">
        <v>15</v>
      </c>
      <c r="D643" s="6" t="s">
        <v>23</v>
      </c>
      <c r="E643" s="7">
        <v>34</v>
      </c>
      <c r="F643" s="7">
        <v>2288.4</v>
      </c>
      <c r="G643" s="7">
        <v>5126.0160000000005</v>
      </c>
      <c r="H643" s="4">
        <v>457.68000000000006</v>
      </c>
      <c r="I643" s="5" t="s">
        <v>42</v>
      </c>
    </row>
    <row r="644" spans="1:9" ht="18" customHeight="1" x14ac:dyDescent="0.25">
      <c r="A644" s="2">
        <v>2023</v>
      </c>
      <c r="B644" s="2" t="s">
        <v>6</v>
      </c>
      <c r="C644" s="2" t="s">
        <v>13</v>
      </c>
      <c r="D644" s="3" t="s">
        <v>34</v>
      </c>
      <c r="E644" s="4">
        <v>7</v>
      </c>
      <c r="F644" s="4">
        <v>200</v>
      </c>
      <c r="G644" s="4">
        <v>224</v>
      </c>
      <c r="H644" s="4">
        <v>40</v>
      </c>
      <c r="I644" s="5" t="s">
        <v>42</v>
      </c>
    </row>
    <row r="645" spans="1:9" ht="18" customHeight="1" x14ac:dyDescent="0.25">
      <c r="A645" s="2">
        <v>2023</v>
      </c>
      <c r="B645" s="2" t="s">
        <v>6</v>
      </c>
      <c r="C645" s="2" t="s">
        <v>15</v>
      </c>
      <c r="D645" s="6" t="s">
        <v>27</v>
      </c>
      <c r="E645" s="7">
        <v>3</v>
      </c>
      <c r="F645" s="7">
        <v>2288.65</v>
      </c>
      <c r="G645" s="7">
        <v>5126.576</v>
      </c>
      <c r="H645" s="4">
        <v>457.73</v>
      </c>
      <c r="I645" s="5" t="s">
        <v>42</v>
      </c>
    </row>
    <row r="646" spans="1:9" ht="18" customHeight="1" x14ac:dyDescent="0.25">
      <c r="A646" s="2">
        <v>2023</v>
      </c>
      <c r="B646" s="2" t="s">
        <v>6</v>
      </c>
      <c r="C646" s="2" t="s">
        <v>32</v>
      </c>
      <c r="D646" s="6" t="s">
        <v>32</v>
      </c>
      <c r="E646" s="7">
        <v>2</v>
      </c>
      <c r="F646" s="7">
        <v>6600</v>
      </c>
      <c r="G646" s="7">
        <v>7392</v>
      </c>
      <c r="H646" s="4">
        <v>1320</v>
      </c>
      <c r="I646" s="5" t="s">
        <v>40</v>
      </c>
    </row>
    <row r="647" spans="1:9" ht="18" customHeight="1" x14ac:dyDescent="0.25">
      <c r="A647" s="2">
        <v>2023</v>
      </c>
      <c r="B647" s="2" t="s">
        <v>7</v>
      </c>
      <c r="C647" s="2" t="s">
        <v>14</v>
      </c>
      <c r="D647" s="3" t="s">
        <v>36</v>
      </c>
      <c r="E647" s="4">
        <v>3566</v>
      </c>
      <c r="F647" s="4">
        <v>4577.3</v>
      </c>
      <c r="G647" s="4">
        <v>5126.576</v>
      </c>
      <c r="H647" s="4">
        <v>915.46</v>
      </c>
      <c r="I647" s="5" t="s">
        <v>40</v>
      </c>
    </row>
    <row r="648" spans="1:9" ht="18" customHeight="1" x14ac:dyDescent="0.25">
      <c r="A648" s="2">
        <v>2023</v>
      </c>
      <c r="B648" s="2" t="s">
        <v>7</v>
      </c>
      <c r="C648" s="2" t="s">
        <v>14</v>
      </c>
      <c r="D648" s="3" t="s">
        <v>37</v>
      </c>
      <c r="E648" s="4">
        <v>2498</v>
      </c>
      <c r="F648" s="4">
        <v>8000</v>
      </c>
      <c r="G648" s="4">
        <v>8960</v>
      </c>
      <c r="H648" s="4">
        <v>1600</v>
      </c>
      <c r="I648" s="5" t="s">
        <v>40</v>
      </c>
    </row>
    <row r="649" spans="1:9" ht="18" customHeight="1" x14ac:dyDescent="0.25">
      <c r="A649" s="2">
        <v>2023</v>
      </c>
      <c r="B649" s="2" t="s">
        <v>7</v>
      </c>
      <c r="C649" s="2" t="s">
        <v>13</v>
      </c>
      <c r="D649" s="3" t="s">
        <v>35</v>
      </c>
      <c r="E649" s="4">
        <v>1245</v>
      </c>
      <c r="F649" s="4">
        <v>4577.2</v>
      </c>
      <c r="G649" s="4">
        <v>5126.4639999999999</v>
      </c>
      <c r="H649" s="4">
        <v>915.44</v>
      </c>
      <c r="I649" s="5" t="s">
        <v>40</v>
      </c>
    </row>
    <row r="650" spans="1:9" ht="18" customHeight="1" x14ac:dyDescent="0.25">
      <c r="A650" s="2">
        <v>2023</v>
      </c>
      <c r="B650" s="2" t="s">
        <v>7</v>
      </c>
      <c r="C650" s="2" t="s">
        <v>38</v>
      </c>
      <c r="D650" s="6" t="s">
        <v>30</v>
      </c>
      <c r="E650" s="7">
        <v>644</v>
      </c>
      <c r="F650" s="7">
        <v>5743.5</v>
      </c>
      <c r="G650" s="7">
        <v>6432.72</v>
      </c>
      <c r="H650" s="4">
        <v>1148.7</v>
      </c>
      <c r="I650" s="5" t="s">
        <v>40</v>
      </c>
    </row>
    <row r="651" spans="1:9" ht="18" customHeight="1" x14ac:dyDescent="0.25">
      <c r="A651" s="2">
        <v>2023</v>
      </c>
      <c r="B651" s="2" t="s">
        <v>7</v>
      </c>
      <c r="C651" s="2" t="s">
        <v>12</v>
      </c>
      <c r="D651" s="6" t="s">
        <v>29</v>
      </c>
      <c r="E651" s="7">
        <v>643</v>
      </c>
      <c r="F651" s="7">
        <v>7000</v>
      </c>
      <c r="G651" s="7">
        <v>7840</v>
      </c>
      <c r="H651" s="4">
        <v>1400</v>
      </c>
      <c r="I651" s="5" t="s">
        <v>42</v>
      </c>
    </row>
    <row r="652" spans="1:9" ht="18" customHeight="1" x14ac:dyDescent="0.25">
      <c r="A652" s="2">
        <v>2023</v>
      </c>
      <c r="B652" s="2" t="s">
        <v>7</v>
      </c>
      <c r="C652" s="2" t="s">
        <v>38</v>
      </c>
      <c r="D652" s="6" t="s">
        <v>31</v>
      </c>
      <c r="E652" s="7">
        <v>455</v>
      </c>
      <c r="F652" s="7">
        <v>5036.46</v>
      </c>
      <c r="G652" s="7">
        <v>5128.0320000000002</v>
      </c>
      <c r="H652" s="4">
        <v>1007.292</v>
      </c>
      <c r="I652" s="5" t="s">
        <v>42</v>
      </c>
    </row>
    <row r="653" spans="1:9" ht="18" customHeight="1" x14ac:dyDescent="0.25">
      <c r="A653" s="2">
        <v>2023</v>
      </c>
      <c r="B653" s="2" t="s">
        <v>7</v>
      </c>
      <c r="C653" s="2" t="s">
        <v>12</v>
      </c>
      <c r="D653" s="6" t="s">
        <v>28</v>
      </c>
      <c r="E653" s="8">
        <v>345</v>
      </c>
      <c r="F653" s="8">
        <v>7700</v>
      </c>
      <c r="G653" s="8">
        <v>7840</v>
      </c>
      <c r="H653" s="4">
        <v>1540</v>
      </c>
      <c r="I653" s="5" t="s">
        <v>42</v>
      </c>
    </row>
    <row r="654" spans="1:9" ht="18" customHeight="1" x14ac:dyDescent="0.25">
      <c r="A654" s="2">
        <v>2023</v>
      </c>
      <c r="B654" s="2" t="s">
        <v>7</v>
      </c>
      <c r="C654" s="2" t="s">
        <v>13</v>
      </c>
      <c r="D654" s="3" t="s">
        <v>33</v>
      </c>
      <c r="E654" s="4">
        <v>122</v>
      </c>
      <c r="F654" s="4">
        <v>110</v>
      </c>
      <c r="G654" s="4">
        <v>112</v>
      </c>
      <c r="H654" s="4">
        <v>22</v>
      </c>
      <c r="I654" s="5" t="s">
        <v>42</v>
      </c>
    </row>
    <row r="655" spans="1:9" ht="18" customHeight="1" x14ac:dyDescent="0.25">
      <c r="A655" s="2">
        <v>2023</v>
      </c>
      <c r="B655" s="2" t="s">
        <v>7</v>
      </c>
      <c r="C655" s="2" t="s">
        <v>15</v>
      </c>
      <c r="D655" s="6" t="s">
        <v>26</v>
      </c>
      <c r="E655" s="7">
        <v>78</v>
      </c>
      <c r="F655" s="7">
        <v>2517.46</v>
      </c>
      <c r="G655" s="7">
        <v>5126.4639999999999</v>
      </c>
      <c r="H655" s="4">
        <v>503.49200000000002</v>
      </c>
      <c r="I655" s="5" t="s">
        <v>42</v>
      </c>
    </row>
    <row r="656" spans="1:9" ht="18" customHeight="1" x14ac:dyDescent="0.25">
      <c r="A656" s="2">
        <v>2023</v>
      </c>
      <c r="B656" s="2" t="s">
        <v>7</v>
      </c>
      <c r="C656" s="2" t="s">
        <v>15</v>
      </c>
      <c r="D656" s="6" t="s">
        <v>24</v>
      </c>
      <c r="E656" s="7">
        <v>76</v>
      </c>
      <c r="F656" s="7">
        <v>2517.2949999999996</v>
      </c>
      <c r="G656" s="7">
        <v>5126.1279999999997</v>
      </c>
      <c r="H656" s="4">
        <v>503.45899999999995</v>
      </c>
      <c r="I656" s="5" t="s">
        <v>42</v>
      </c>
    </row>
    <row r="657" spans="1:9" ht="18" customHeight="1" x14ac:dyDescent="0.25">
      <c r="A657" s="2">
        <v>2023</v>
      </c>
      <c r="B657" s="2" t="s">
        <v>7</v>
      </c>
      <c r="C657" s="2" t="s">
        <v>15</v>
      </c>
      <c r="D657" s="6" t="s">
        <v>25</v>
      </c>
      <c r="E657" s="7">
        <v>46</v>
      </c>
      <c r="F657" s="7">
        <v>115</v>
      </c>
      <c r="G657" s="7">
        <v>224</v>
      </c>
      <c r="H657" s="4">
        <v>23</v>
      </c>
      <c r="I657" s="5" t="s">
        <v>42</v>
      </c>
    </row>
    <row r="658" spans="1:9" ht="18" customHeight="1" x14ac:dyDescent="0.25">
      <c r="A658" s="2">
        <v>2023</v>
      </c>
      <c r="B658" s="2" t="s">
        <v>7</v>
      </c>
      <c r="C658" s="2" t="s">
        <v>15</v>
      </c>
      <c r="D658" s="6" t="s">
        <v>23</v>
      </c>
      <c r="E658" s="7">
        <v>34</v>
      </c>
      <c r="F658" s="7">
        <v>2631.66</v>
      </c>
      <c r="G658" s="7">
        <v>5126.0160000000005</v>
      </c>
      <c r="H658" s="4">
        <v>526.33199999999999</v>
      </c>
      <c r="I658" s="5" t="s">
        <v>42</v>
      </c>
    </row>
    <row r="659" spans="1:9" ht="18" customHeight="1" x14ac:dyDescent="0.25">
      <c r="A659" s="2">
        <v>2023</v>
      </c>
      <c r="B659" s="2" t="s">
        <v>7</v>
      </c>
      <c r="C659" s="2" t="s">
        <v>13</v>
      </c>
      <c r="D659" s="3" t="s">
        <v>34</v>
      </c>
      <c r="E659" s="4">
        <v>7</v>
      </c>
      <c r="F659" s="4">
        <v>230</v>
      </c>
      <c r="G659" s="4">
        <v>224</v>
      </c>
      <c r="H659" s="4">
        <v>46</v>
      </c>
      <c r="I659" s="5" t="s">
        <v>42</v>
      </c>
    </row>
    <row r="660" spans="1:9" ht="18" customHeight="1" x14ac:dyDescent="0.25">
      <c r="A660" s="2">
        <v>2023</v>
      </c>
      <c r="B660" s="2" t="s">
        <v>7</v>
      </c>
      <c r="C660" s="2" t="s">
        <v>15</v>
      </c>
      <c r="D660" s="6" t="s">
        <v>27</v>
      </c>
      <c r="E660" s="7">
        <v>3</v>
      </c>
      <c r="F660" s="7">
        <v>2631.9475000000002</v>
      </c>
      <c r="G660" s="7">
        <v>5126.576</v>
      </c>
      <c r="H660" s="4">
        <v>526.38950000000011</v>
      </c>
      <c r="I660" s="5" t="s">
        <v>40</v>
      </c>
    </row>
    <row r="661" spans="1:9" ht="18" customHeight="1" x14ac:dyDescent="0.25">
      <c r="A661" s="2">
        <v>2023</v>
      </c>
      <c r="B661" s="2" t="s">
        <v>7</v>
      </c>
      <c r="C661" s="2" t="s">
        <v>32</v>
      </c>
      <c r="D661" s="6" t="s">
        <v>32</v>
      </c>
      <c r="E661" s="7">
        <v>2</v>
      </c>
      <c r="F661" s="7">
        <v>7590</v>
      </c>
      <c r="G661" s="7">
        <v>7392</v>
      </c>
      <c r="H661" s="4">
        <v>1518</v>
      </c>
      <c r="I661" s="5" t="s">
        <v>42</v>
      </c>
    </row>
    <row r="662" spans="1:9" ht="18" customHeight="1" x14ac:dyDescent="0.25">
      <c r="A662" s="2">
        <v>2023</v>
      </c>
      <c r="B662" s="2" t="s">
        <v>8</v>
      </c>
      <c r="C662" s="2" t="s">
        <v>14</v>
      </c>
      <c r="D662" s="3" t="s">
        <v>36</v>
      </c>
      <c r="E662" s="4">
        <v>3566</v>
      </c>
      <c r="F662" s="4">
        <v>4577.3</v>
      </c>
      <c r="G662" s="4">
        <v>5126.576</v>
      </c>
      <c r="H662" s="4">
        <v>915.46</v>
      </c>
      <c r="I662" s="5" t="s">
        <v>42</v>
      </c>
    </row>
    <row r="663" spans="1:9" ht="18" customHeight="1" x14ac:dyDescent="0.25">
      <c r="A663" s="2">
        <v>2023</v>
      </c>
      <c r="B663" s="2" t="s">
        <v>8</v>
      </c>
      <c r="C663" s="2" t="s">
        <v>14</v>
      </c>
      <c r="D663" s="3" t="s">
        <v>37</v>
      </c>
      <c r="E663" s="4">
        <v>2498</v>
      </c>
      <c r="F663" s="4">
        <v>8000</v>
      </c>
      <c r="G663" s="4">
        <v>8960</v>
      </c>
      <c r="H663" s="4">
        <v>1600</v>
      </c>
      <c r="I663" s="5" t="s">
        <v>42</v>
      </c>
    </row>
    <row r="664" spans="1:9" ht="18" customHeight="1" x14ac:dyDescent="0.25">
      <c r="A664" s="2">
        <v>2023</v>
      </c>
      <c r="B664" s="2" t="s">
        <v>8</v>
      </c>
      <c r="C664" s="2" t="s">
        <v>13</v>
      </c>
      <c r="D664" s="3" t="s">
        <v>35</v>
      </c>
      <c r="E664" s="4">
        <v>1245</v>
      </c>
      <c r="F664" s="4">
        <v>4577.2</v>
      </c>
      <c r="G664" s="4">
        <v>5126.4639999999999</v>
      </c>
      <c r="H664" s="4">
        <v>915.44</v>
      </c>
      <c r="I664" s="5" t="s">
        <v>42</v>
      </c>
    </row>
    <row r="665" spans="1:9" ht="18" customHeight="1" x14ac:dyDescent="0.25">
      <c r="A665" s="2">
        <v>2023</v>
      </c>
      <c r="B665" s="2" t="s">
        <v>8</v>
      </c>
      <c r="C665" s="2" t="s">
        <v>38</v>
      </c>
      <c r="D665" s="6" t="s">
        <v>30</v>
      </c>
      <c r="E665" s="7">
        <v>644</v>
      </c>
      <c r="F665" s="7">
        <v>5743.5</v>
      </c>
      <c r="G665" s="7">
        <v>6432.72</v>
      </c>
      <c r="H665" s="4">
        <v>1148.7</v>
      </c>
      <c r="I665" s="5" t="s">
        <v>42</v>
      </c>
    </row>
    <row r="666" spans="1:9" ht="18" customHeight="1" x14ac:dyDescent="0.25">
      <c r="A666" s="2">
        <v>2023</v>
      </c>
      <c r="B666" s="2" t="s">
        <v>8</v>
      </c>
      <c r="C666" s="2" t="s">
        <v>12</v>
      </c>
      <c r="D666" s="6" t="s">
        <v>29</v>
      </c>
      <c r="E666" s="7">
        <v>643</v>
      </c>
      <c r="F666" s="7">
        <v>7000</v>
      </c>
      <c r="G666" s="7">
        <v>7840</v>
      </c>
      <c r="H666" s="4">
        <v>1400</v>
      </c>
      <c r="I666" s="5" t="s">
        <v>42</v>
      </c>
    </row>
    <row r="667" spans="1:9" ht="18" customHeight="1" x14ac:dyDescent="0.25">
      <c r="A667" s="2">
        <v>2023</v>
      </c>
      <c r="B667" s="2" t="s">
        <v>8</v>
      </c>
      <c r="C667" s="2" t="s">
        <v>38</v>
      </c>
      <c r="D667" s="6" t="s">
        <v>31</v>
      </c>
      <c r="E667" s="7">
        <v>455</v>
      </c>
      <c r="F667" s="7">
        <v>4578.6000000000004</v>
      </c>
      <c r="G667" s="7">
        <v>5128.0320000000002</v>
      </c>
      <c r="H667" s="4">
        <v>915.72000000000014</v>
      </c>
      <c r="I667" s="5" t="s">
        <v>42</v>
      </c>
    </row>
    <row r="668" spans="1:9" ht="18" customHeight="1" x14ac:dyDescent="0.25">
      <c r="A668" s="2">
        <v>2023</v>
      </c>
      <c r="B668" s="2" t="s">
        <v>8</v>
      </c>
      <c r="C668" s="2" t="s">
        <v>12</v>
      </c>
      <c r="D668" s="6" t="s">
        <v>28</v>
      </c>
      <c r="E668" s="8">
        <v>345</v>
      </c>
      <c r="F668" s="8">
        <v>7000</v>
      </c>
      <c r="G668" s="8">
        <v>7840</v>
      </c>
      <c r="H668" s="4">
        <v>1400</v>
      </c>
      <c r="I668" s="5" t="s">
        <v>42</v>
      </c>
    </row>
    <row r="669" spans="1:9" ht="18" customHeight="1" x14ac:dyDescent="0.25">
      <c r="A669" s="2">
        <v>2023</v>
      </c>
      <c r="B669" s="2" t="s">
        <v>8</v>
      </c>
      <c r="C669" s="2" t="s">
        <v>13</v>
      </c>
      <c r="D669" s="3" t="s">
        <v>33</v>
      </c>
      <c r="E669" s="4">
        <v>122</v>
      </c>
      <c r="F669" s="4">
        <v>100</v>
      </c>
      <c r="G669" s="4">
        <v>112</v>
      </c>
      <c r="H669" s="4">
        <v>20</v>
      </c>
      <c r="I669" s="5" t="s">
        <v>42</v>
      </c>
    </row>
    <row r="670" spans="1:9" ht="18" customHeight="1" x14ac:dyDescent="0.25">
      <c r="A670" s="2">
        <v>2023</v>
      </c>
      <c r="B670" s="2" t="s">
        <v>8</v>
      </c>
      <c r="C670" s="2" t="s">
        <v>15</v>
      </c>
      <c r="D670" s="6" t="s">
        <v>26</v>
      </c>
      <c r="E670" s="7">
        <v>78</v>
      </c>
      <c r="F670" s="7">
        <v>2288.6</v>
      </c>
      <c r="G670" s="7">
        <v>5126.4639999999999</v>
      </c>
      <c r="H670" s="4">
        <v>457.72</v>
      </c>
      <c r="I670" s="5" t="s">
        <v>42</v>
      </c>
    </row>
    <row r="671" spans="1:9" ht="18" customHeight="1" x14ac:dyDescent="0.25">
      <c r="A671" s="2">
        <v>2023</v>
      </c>
      <c r="B671" s="2" t="s">
        <v>8</v>
      </c>
      <c r="C671" s="2" t="s">
        <v>15</v>
      </c>
      <c r="D671" s="6" t="s">
        <v>24</v>
      </c>
      <c r="E671" s="7">
        <v>76</v>
      </c>
      <c r="F671" s="7">
        <v>2288.4499999999998</v>
      </c>
      <c r="G671" s="7">
        <v>5126.1279999999997</v>
      </c>
      <c r="H671" s="4">
        <v>457.69</v>
      </c>
      <c r="I671" s="5" t="s">
        <v>42</v>
      </c>
    </row>
    <row r="672" spans="1:9" ht="18" customHeight="1" x14ac:dyDescent="0.25">
      <c r="A672" s="2">
        <v>2023</v>
      </c>
      <c r="B672" s="2" t="s">
        <v>8</v>
      </c>
      <c r="C672" s="2" t="s">
        <v>15</v>
      </c>
      <c r="D672" s="6" t="s">
        <v>25</v>
      </c>
      <c r="E672" s="7">
        <v>46</v>
      </c>
      <c r="F672" s="7">
        <v>100</v>
      </c>
      <c r="G672" s="7">
        <v>224</v>
      </c>
      <c r="H672" s="4">
        <v>20</v>
      </c>
      <c r="I672" s="5" t="s">
        <v>42</v>
      </c>
    </row>
    <row r="673" spans="1:9" ht="18" customHeight="1" x14ac:dyDescent="0.25">
      <c r="A673" s="2">
        <v>2023</v>
      </c>
      <c r="B673" s="2" t="s">
        <v>8</v>
      </c>
      <c r="C673" s="2" t="s">
        <v>15</v>
      </c>
      <c r="D673" s="6" t="s">
        <v>23</v>
      </c>
      <c r="E673" s="7">
        <v>34</v>
      </c>
      <c r="F673" s="7">
        <v>2746.08</v>
      </c>
      <c r="G673" s="7">
        <v>5126.0160000000005</v>
      </c>
      <c r="H673" s="4">
        <v>549.21600000000001</v>
      </c>
      <c r="I673" s="5" t="s">
        <v>42</v>
      </c>
    </row>
    <row r="674" spans="1:9" ht="18" customHeight="1" x14ac:dyDescent="0.25">
      <c r="A674" s="2">
        <v>2023</v>
      </c>
      <c r="B674" s="2" t="s">
        <v>8</v>
      </c>
      <c r="C674" s="2" t="s">
        <v>13</v>
      </c>
      <c r="D674" s="3" t="s">
        <v>34</v>
      </c>
      <c r="E674" s="4">
        <v>7</v>
      </c>
      <c r="F674" s="4">
        <v>240</v>
      </c>
      <c r="G674" s="4">
        <v>224</v>
      </c>
      <c r="H674" s="4">
        <v>48</v>
      </c>
      <c r="I674" s="5" t="s">
        <v>42</v>
      </c>
    </row>
    <row r="675" spans="1:9" ht="18" customHeight="1" x14ac:dyDescent="0.25">
      <c r="A675" s="2">
        <v>2023</v>
      </c>
      <c r="B675" s="2" t="s">
        <v>8</v>
      </c>
      <c r="C675" s="2" t="s">
        <v>15</v>
      </c>
      <c r="D675" s="6" t="s">
        <v>27</v>
      </c>
      <c r="E675" s="7">
        <v>3</v>
      </c>
      <c r="F675" s="7">
        <v>2746.38</v>
      </c>
      <c r="G675" s="7">
        <v>5126.576</v>
      </c>
      <c r="H675" s="4">
        <v>549.27600000000007</v>
      </c>
      <c r="I675" s="5" t="s">
        <v>42</v>
      </c>
    </row>
    <row r="676" spans="1:9" ht="18" customHeight="1" x14ac:dyDescent="0.25">
      <c r="A676" s="2">
        <v>2023</v>
      </c>
      <c r="B676" s="2" t="s">
        <v>8</v>
      </c>
      <c r="C676" s="2" t="s">
        <v>32</v>
      </c>
      <c r="D676" s="6" t="s">
        <v>32</v>
      </c>
      <c r="E676" s="7">
        <v>2</v>
      </c>
      <c r="F676" s="7">
        <v>7920</v>
      </c>
      <c r="G676" s="7">
        <v>7392</v>
      </c>
      <c r="H676" s="4">
        <v>1584</v>
      </c>
      <c r="I676" s="5" t="s">
        <v>42</v>
      </c>
    </row>
    <row r="677" spans="1:9" ht="18" customHeight="1" x14ac:dyDescent="0.25">
      <c r="A677" s="2">
        <v>2023</v>
      </c>
      <c r="B677" s="2" t="s">
        <v>9</v>
      </c>
      <c r="C677" s="2" t="s">
        <v>14</v>
      </c>
      <c r="D677" s="3" t="s">
        <v>36</v>
      </c>
      <c r="E677" s="4">
        <v>3566</v>
      </c>
      <c r="F677" s="4">
        <v>5035.0300000000007</v>
      </c>
      <c r="G677" s="4">
        <v>5126.576</v>
      </c>
      <c r="H677" s="4">
        <v>1007.0060000000002</v>
      </c>
      <c r="I677" s="5" t="s">
        <v>42</v>
      </c>
    </row>
    <row r="678" spans="1:9" ht="18" customHeight="1" x14ac:dyDescent="0.25">
      <c r="A678" s="2">
        <v>2023</v>
      </c>
      <c r="B678" s="2" t="s">
        <v>9</v>
      </c>
      <c r="C678" s="2" t="s">
        <v>14</v>
      </c>
      <c r="D678" s="3" t="s">
        <v>37</v>
      </c>
      <c r="E678" s="4">
        <v>2498</v>
      </c>
      <c r="F678" s="4">
        <v>9200</v>
      </c>
      <c r="G678" s="4">
        <v>8960</v>
      </c>
      <c r="H678" s="4">
        <v>1840</v>
      </c>
      <c r="I678" s="5" t="s">
        <v>42</v>
      </c>
    </row>
    <row r="679" spans="1:9" ht="18" customHeight="1" x14ac:dyDescent="0.25">
      <c r="A679" s="2">
        <v>2023</v>
      </c>
      <c r="B679" s="2" t="s">
        <v>9</v>
      </c>
      <c r="C679" s="2" t="s">
        <v>13</v>
      </c>
      <c r="D679" s="3" t="s">
        <v>35</v>
      </c>
      <c r="E679" s="4">
        <v>1245</v>
      </c>
      <c r="F679" s="4">
        <v>5263.78</v>
      </c>
      <c r="G679" s="4">
        <v>5126.4639999999999</v>
      </c>
      <c r="H679" s="4">
        <v>1052.7560000000001</v>
      </c>
      <c r="I679" s="5" t="s">
        <v>42</v>
      </c>
    </row>
    <row r="680" spans="1:9" ht="18" customHeight="1" x14ac:dyDescent="0.25">
      <c r="A680" s="2">
        <v>2023</v>
      </c>
      <c r="B680" s="2" t="s">
        <v>9</v>
      </c>
      <c r="C680" s="2" t="s">
        <v>38</v>
      </c>
      <c r="D680" s="6" t="s">
        <v>30</v>
      </c>
      <c r="E680" s="7">
        <v>644</v>
      </c>
      <c r="F680" s="7">
        <v>6605.0249999999996</v>
      </c>
      <c r="G680" s="7">
        <v>6432.72</v>
      </c>
      <c r="H680" s="4">
        <v>1321.0050000000001</v>
      </c>
      <c r="I680" s="5" t="s">
        <v>42</v>
      </c>
    </row>
    <row r="681" spans="1:9" ht="18" customHeight="1" x14ac:dyDescent="0.25">
      <c r="A681" s="2">
        <v>2023</v>
      </c>
      <c r="B681" s="2" t="s">
        <v>9</v>
      </c>
      <c r="C681" s="2" t="s">
        <v>12</v>
      </c>
      <c r="D681" s="6" t="s">
        <v>29</v>
      </c>
      <c r="E681" s="7">
        <v>643</v>
      </c>
      <c r="F681" s="7">
        <v>8400</v>
      </c>
      <c r="G681" s="7">
        <v>7840</v>
      </c>
      <c r="H681" s="4">
        <v>1680</v>
      </c>
      <c r="I681" s="5" t="s">
        <v>42</v>
      </c>
    </row>
    <row r="682" spans="1:9" ht="18" customHeight="1" x14ac:dyDescent="0.25">
      <c r="A682" s="2">
        <v>2023</v>
      </c>
      <c r="B682" s="2" t="s">
        <v>9</v>
      </c>
      <c r="C682" s="2" t="s">
        <v>38</v>
      </c>
      <c r="D682" s="6" t="s">
        <v>31</v>
      </c>
      <c r="E682" s="7">
        <v>455</v>
      </c>
      <c r="F682" s="7">
        <v>5494.3200000000006</v>
      </c>
      <c r="G682" s="7">
        <v>5128.0320000000002</v>
      </c>
      <c r="H682" s="4">
        <v>1098.8640000000003</v>
      </c>
      <c r="I682" s="5" t="s">
        <v>42</v>
      </c>
    </row>
    <row r="683" spans="1:9" ht="18" customHeight="1" x14ac:dyDescent="0.25">
      <c r="A683" s="2">
        <v>2023</v>
      </c>
      <c r="B683" s="2" t="s">
        <v>9</v>
      </c>
      <c r="C683" s="2" t="s">
        <v>12</v>
      </c>
      <c r="D683" s="6" t="s">
        <v>28</v>
      </c>
      <c r="E683" s="8">
        <v>345</v>
      </c>
      <c r="F683" s="8">
        <v>8400</v>
      </c>
      <c r="G683" s="8">
        <v>7840</v>
      </c>
      <c r="H683" s="4">
        <v>1680</v>
      </c>
      <c r="I683" s="5" t="s">
        <v>42</v>
      </c>
    </row>
    <row r="684" spans="1:9" ht="18" customHeight="1" x14ac:dyDescent="0.25">
      <c r="A684" s="2">
        <v>2023</v>
      </c>
      <c r="B684" s="2" t="s">
        <v>9</v>
      </c>
      <c r="C684" s="2" t="s">
        <v>13</v>
      </c>
      <c r="D684" s="3" t="s">
        <v>33</v>
      </c>
      <c r="E684" s="4">
        <v>122</v>
      </c>
      <c r="F684" s="4">
        <v>120</v>
      </c>
      <c r="G684" s="4">
        <v>112</v>
      </c>
      <c r="H684" s="4">
        <v>24</v>
      </c>
      <c r="I684" s="5" t="s">
        <v>42</v>
      </c>
    </row>
    <row r="685" spans="1:9" ht="18" customHeight="1" x14ac:dyDescent="0.25">
      <c r="A685" s="2">
        <v>2023</v>
      </c>
      <c r="B685" s="2" t="s">
        <v>9</v>
      </c>
      <c r="C685" s="2" t="s">
        <v>15</v>
      </c>
      <c r="D685" s="6" t="s">
        <v>26</v>
      </c>
      <c r="E685" s="7">
        <v>78</v>
      </c>
      <c r="F685" s="7">
        <v>2517.46</v>
      </c>
      <c r="G685" s="7">
        <v>5126.4639999999999</v>
      </c>
      <c r="H685" s="4">
        <v>503.49200000000002</v>
      </c>
      <c r="I685" s="5" t="s">
        <v>42</v>
      </c>
    </row>
    <row r="686" spans="1:9" ht="18" customHeight="1" x14ac:dyDescent="0.25">
      <c r="A686" s="2">
        <v>2023</v>
      </c>
      <c r="B686" s="2" t="s">
        <v>9</v>
      </c>
      <c r="C686" s="2" t="s">
        <v>15</v>
      </c>
      <c r="D686" s="6" t="s">
        <v>24</v>
      </c>
      <c r="E686" s="7">
        <v>76</v>
      </c>
      <c r="F686" s="7">
        <v>2517.2949999999996</v>
      </c>
      <c r="G686" s="7">
        <v>5126.1279999999997</v>
      </c>
      <c r="H686" s="4">
        <v>503.45899999999995</v>
      </c>
      <c r="I686" s="5" t="s">
        <v>42</v>
      </c>
    </row>
    <row r="687" spans="1:9" ht="18" customHeight="1" x14ac:dyDescent="0.25">
      <c r="A687" s="2">
        <v>2023</v>
      </c>
      <c r="B687" s="2" t="s">
        <v>9</v>
      </c>
      <c r="C687" s="2" t="s">
        <v>15</v>
      </c>
      <c r="D687" s="6" t="s">
        <v>25</v>
      </c>
      <c r="E687" s="7">
        <v>46</v>
      </c>
      <c r="F687" s="7">
        <v>110</v>
      </c>
      <c r="G687" s="7">
        <v>224</v>
      </c>
      <c r="H687" s="4">
        <v>22</v>
      </c>
      <c r="I687" s="5" t="s">
        <v>42</v>
      </c>
    </row>
    <row r="688" spans="1:9" ht="18" customHeight="1" x14ac:dyDescent="0.25">
      <c r="A688" s="2">
        <v>2023</v>
      </c>
      <c r="B688" s="2" t="s">
        <v>9</v>
      </c>
      <c r="C688" s="2" t="s">
        <v>15</v>
      </c>
      <c r="D688" s="6" t="s">
        <v>23</v>
      </c>
      <c r="E688" s="7">
        <v>34</v>
      </c>
      <c r="F688" s="7">
        <v>2517.2400000000002</v>
      </c>
      <c r="G688" s="7">
        <v>5126.0160000000005</v>
      </c>
      <c r="H688" s="4">
        <v>503.44800000000009</v>
      </c>
      <c r="I688" s="5" t="s">
        <v>42</v>
      </c>
    </row>
    <row r="689" spans="1:9" ht="18" customHeight="1" x14ac:dyDescent="0.25">
      <c r="A689" s="2">
        <v>2023</v>
      </c>
      <c r="B689" s="2" t="s">
        <v>9</v>
      </c>
      <c r="C689" s="2" t="s">
        <v>13</v>
      </c>
      <c r="D689" s="3" t="s">
        <v>34</v>
      </c>
      <c r="E689" s="4">
        <v>7</v>
      </c>
      <c r="F689" s="4">
        <v>220</v>
      </c>
      <c r="G689" s="4">
        <v>224</v>
      </c>
      <c r="H689" s="4">
        <v>44</v>
      </c>
      <c r="I689" s="5" t="s">
        <v>42</v>
      </c>
    </row>
    <row r="690" spans="1:9" ht="18" customHeight="1" x14ac:dyDescent="0.25">
      <c r="A690" s="2">
        <v>2023</v>
      </c>
      <c r="B690" s="2" t="s">
        <v>9</v>
      </c>
      <c r="C690" s="2" t="s">
        <v>15</v>
      </c>
      <c r="D690" s="6" t="s">
        <v>27</v>
      </c>
      <c r="E690" s="7">
        <v>3</v>
      </c>
      <c r="F690" s="7">
        <v>2517.5150000000003</v>
      </c>
      <c r="G690" s="7">
        <v>5126.576</v>
      </c>
      <c r="H690" s="4">
        <v>503.5030000000001</v>
      </c>
      <c r="I690" s="5" t="s">
        <v>42</v>
      </c>
    </row>
    <row r="691" spans="1:9" ht="18" customHeight="1" x14ac:dyDescent="0.25">
      <c r="A691" s="2">
        <v>2023</v>
      </c>
      <c r="B691" s="2" t="s">
        <v>9</v>
      </c>
      <c r="C691" s="2" t="s">
        <v>32</v>
      </c>
      <c r="D691" s="6" t="s">
        <v>32</v>
      </c>
      <c r="E691" s="7">
        <v>2</v>
      </c>
      <c r="F691" s="7">
        <v>7260</v>
      </c>
      <c r="G691" s="7">
        <v>7392</v>
      </c>
      <c r="H691" s="4">
        <v>1452</v>
      </c>
      <c r="I691" s="5" t="s">
        <v>42</v>
      </c>
    </row>
    <row r="692" spans="1:9" ht="18" customHeight="1" x14ac:dyDescent="0.25">
      <c r="A692" s="2">
        <v>2023</v>
      </c>
      <c r="B692" s="2" t="s">
        <v>10</v>
      </c>
      <c r="C692" s="2" t="s">
        <v>14</v>
      </c>
      <c r="D692" s="3" t="s">
        <v>36</v>
      </c>
      <c r="E692" s="4">
        <v>3566</v>
      </c>
      <c r="F692" s="4">
        <v>5263.8950000000004</v>
      </c>
      <c r="G692" s="4">
        <v>5126.576</v>
      </c>
      <c r="H692" s="4">
        <v>1052.7790000000002</v>
      </c>
      <c r="I692" s="5" t="s">
        <v>42</v>
      </c>
    </row>
    <row r="693" spans="1:9" ht="18" customHeight="1" x14ac:dyDescent="0.25">
      <c r="A693" s="2">
        <v>2023</v>
      </c>
      <c r="B693" s="2" t="s">
        <v>10</v>
      </c>
      <c r="C693" s="2" t="s">
        <v>14</v>
      </c>
      <c r="D693" s="3" t="s">
        <v>37</v>
      </c>
      <c r="E693" s="4">
        <v>2498</v>
      </c>
      <c r="F693" s="4">
        <v>8800</v>
      </c>
      <c r="G693" s="4">
        <v>8960</v>
      </c>
      <c r="H693" s="4">
        <v>1760</v>
      </c>
      <c r="I693" s="5" t="s">
        <v>42</v>
      </c>
    </row>
    <row r="694" spans="1:9" ht="18" customHeight="1" x14ac:dyDescent="0.25">
      <c r="A694" s="2">
        <v>2023</v>
      </c>
      <c r="B694" s="2" t="s">
        <v>10</v>
      </c>
      <c r="C694" s="2" t="s">
        <v>13</v>
      </c>
      <c r="D694" s="3" t="s">
        <v>35</v>
      </c>
      <c r="E694" s="4">
        <v>1245</v>
      </c>
      <c r="F694" s="4">
        <v>5034.92</v>
      </c>
      <c r="G694" s="4">
        <v>5126.4639999999999</v>
      </c>
      <c r="H694" s="4">
        <v>1006.984</v>
      </c>
      <c r="I694" s="5" t="s">
        <v>42</v>
      </c>
    </row>
    <row r="695" spans="1:9" ht="18" customHeight="1" x14ac:dyDescent="0.25">
      <c r="A695" s="2">
        <v>2023</v>
      </c>
      <c r="B695" s="2" t="s">
        <v>10</v>
      </c>
      <c r="C695" s="2" t="s">
        <v>38</v>
      </c>
      <c r="D695" s="6" t="s">
        <v>30</v>
      </c>
      <c r="E695" s="7">
        <v>644</v>
      </c>
      <c r="F695" s="7">
        <v>22000</v>
      </c>
      <c r="G695" s="7">
        <v>6432.72</v>
      </c>
      <c r="H695" s="4">
        <v>4400</v>
      </c>
      <c r="I695" s="5" t="s">
        <v>42</v>
      </c>
    </row>
    <row r="696" spans="1:9" ht="18" customHeight="1" x14ac:dyDescent="0.25">
      <c r="A696" s="2">
        <v>2023</v>
      </c>
      <c r="B696" s="2" t="s">
        <v>10</v>
      </c>
      <c r="C696" s="2" t="s">
        <v>12</v>
      </c>
      <c r="D696" s="6" t="s">
        <v>29</v>
      </c>
      <c r="E696" s="7">
        <v>643</v>
      </c>
      <c r="F696" s="7">
        <v>7700</v>
      </c>
      <c r="G696" s="7">
        <v>7840</v>
      </c>
      <c r="H696" s="4">
        <v>1540</v>
      </c>
      <c r="I696" s="5" t="s">
        <v>42</v>
      </c>
    </row>
    <row r="697" spans="1:9" ht="18" customHeight="1" x14ac:dyDescent="0.25">
      <c r="A697" s="2">
        <v>2023</v>
      </c>
      <c r="B697" s="2" t="s">
        <v>10</v>
      </c>
      <c r="C697" s="2" t="s">
        <v>38</v>
      </c>
      <c r="D697" s="6" t="s">
        <v>31</v>
      </c>
      <c r="E697" s="7">
        <v>455</v>
      </c>
      <c r="F697" s="7">
        <v>11111</v>
      </c>
      <c r="G697" s="7">
        <v>5128.0320000000002</v>
      </c>
      <c r="H697" s="4">
        <v>2222.2000000000003</v>
      </c>
      <c r="I697" s="5" t="s">
        <v>42</v>
      </c>
    </row>
    <row r="698" spans="1:9" ht="18" customHeight="1" x14ac:dyDescent="0.25">
      <c r="A698" s="2">
        <v>2023</v>
      </c>
      <c r="B698" s="2" t="s">
        <v>10</v>
      </c>
      <c r="C698" s="2" t="s">
        <v>12</v>
      </c>
      <c r="D698" s="6" t="s">
        <v>28</v>
      </c>
      <c r="E698" s="8">
        <v>345</v>
      </c>
      <c r="F698" s="8">
        <v>7700</v>
      </c>
      <c r="G698" s="8">
        <v>7840</v>
      </c>
      <c r="H698" s="4">
        <v>1540</v>
      </c>
      <c r="I698" s="5" t="s">
        <v>42</v>
      </c>
    </row>
    <row r="699" spans="1:9" ht="18" customHeight="1" x14ac:dyDescent="0.25">
      <c r="A699" s="2">
        <v>2023</v>
      </c>
      <c r="B699" s="2" t="s">
        <v>10</v>
      </c>
      <c r="C699" s="2" t="s">
        <v>13</v>
      </c>
      <c r="D699" s="3" t="s">
        <v>33</v>
      </c>
      <c r="E699" s="4">
        <v>122</v>
      </c>
      <c r="F699" s="4">
        <v>110</v>
      </c>
      <c r="G699" s="4">
        <v>112</v>
      </c>
      <c r="H699" s="4">
        <v>22</v>
      </c>
      <c r="I699" s="5" t="s">
        <v>42</v>
      </c>
    </row>
    <row r="700" spans="1:9" ht="18" customHeight="1" x14ac:dyDescent="0.25">
      <c r="A700" s="2">
        <v>2023</v>
      </c>
      <c r="B700" s="2" t="s">
        <v>10</v>
      </c>
      <c r="C700" s="2" t="s">
        <v>15</v>
      </c>
      <c r="D700" s="6" t="s">
        <v>26</v>
      </c>
      <c r="E700" s="7">
        <v>78</v>
      </c>
      <c r="F700" s="7">
        <v>2517.46</v>
      </c>
      <c r="G700" s="7">
        <v>5126.4639999999999</v>
      </c>
      <c r="H700" s="4">
        <v>503.49200000000002</v>
      </c>
      <c r="I700" s="5" t="s">
        <v>42</v>
      </c>
    </row>
    <row r="701" spans="1:9" ht="18" customHeight="1" x14ac:dyDescent="0.25">
      <c r="A701" s="2">
        <v>2023</v>
      </c>
      <c r="B701" s="2" t="s">
        <v>10</v>
      </c>
      <c r="C701" s="2" t="s">
        <v>15</v>
      </c>
      <c r="D701" s="6" t="s">
        <v>24</v>
      </c>
      <c r="E701" s="7">
        <v>76</v>
      </c>
      <c r="F701" s="7">
        <v>2288.4499999999998</v>
      </c>
      <c r="G701" s="7">
        <v>5126.1279999999997</v>
      </c>
      <c r="H701" s="4">
        <v>457.69</v>
      </c>
      <c r="I701" s="5" t="s">
        <v>42</v>
      </c>
    </row>
    <row r="702" spans="1:9" ht="18" customHeight="1" x14ac:dyDescent="0.25">
      <c r="A702" s="2">
        <v>2023</v>
      </c>
      <c r="B702" s="2" t="s">
        <v>10</v>
      </c>
      <c r="C702" s="2" t="s">
        <v>15</v>
      </c>
      <c r="D702" s="6" t="s">
        <v>25</v>
      </c>
      <c r="E702" s="7">
        <v>46</v>
      </c>
      <c r="F702" s="7">
        <v>100</v>
      </c>
      <c r="G702" s="7">
        <v>224</v>
      </c>
      <c r="H702" s="4">
        <v>20</v>
      </c>
      <c r="I702" s="5" t="s">
        <v>42</v>
      </c>
    </row>
    <row r="703" spans="1:9" ht="18" customHeight="1" x14ac:dyDescent="0.25">
      <c r="A703" s="2">
        <v>2023</v>
      </c>
      <c r="B703" s="2" t="s">
        <v>10</v>
      </c>
      <c r="C703" s="2" t="s">
        <v>15</v>
      </c>
      <c r="D703" s="6" t="s">
        <v>23</v>
      </c>
      <c r="E703" s="7">
        <v>34</v>
      </c>
      <c r="F703" s="7">
        <v>2288.4</v>
      </c>
      <c r="G703" s="7">
        <v>5126.0160000000005</v>
      </c>
      <c r="H703" s="4">
        <v>457.68000000000006</v>
      </c>
      <c r="I703" s="5" t="s">
        <v>42</v>
      </c>
    </row>
    <row r="704" spans="1:9" ht="18" customHeight="1" x14ac:dyDescent="0.25">
      <c r="A704" s="2">
        <v>2023</v>
      </c>
      <c r="B704" s="2" t="s">
        <v>10</v>
      </c>
      <c r="C704" s="2" t="s">
        <v>13</v>
      </c>
      <c r="D704" s="3" t="s">
        <v>34</v>
      </c>
      <c r="E704" s="4">
        <v>7</v>
      </c>
      <c r="F704" s="4">
        <v>200</v>
      </c>
      <c r="G704" s="4">
        <v>224</v>
      </c>
      <c r="H704" s="4">
        <v>40</v>
      </c>
      <c r="I704" s="5" t="s">
        <v>42</v>
      </c>
    </row>
    <row r="705" spans="1:9" ht="18" customHeight="1" x14ac:dyDescent="0.25">
      <c r="A705" s="2">
        <v>2023</v>
      </c>
      <c r="B705" s="2" t="s">
        <v>10</v>
      </c>
      <c r="C705" s="2" t="s">
        <v>15</v>
      </c>
      <c r="D705" s="6" t="s">
        <v>27</v>
      </c>
      <c r="E705" s="7">
        <v>3</v>
      </c>
      <c r="F705" s="7">
        <v>2288.65</v>
      </c>
      <c r="G705" s="7">
        <v>5126.576</v>
      </c>
      <c r="H705" s="4">
        <v>457.73</v>
      </c>
      <c r="I705" s="5" t="s">
        <v>42</v>
      </c>
    </row>
    <row r="706" spans="1:9" ht="18" customHeight="1" x14ac:dyDescent="0.25">
      <c r="A706" s="2">
        <v>2023</v>
      </c>
      <c r="B706" s="2" t="s">
        <v>10</v>
      </c>
      <c r="C706" s="2" t="s">
        <v>32</v>
      </c>
      <c r="D706" s="6" t="s">
        <v>32</v>
      </c>
      <c r="E706" s="7">
        <v>2</v>
      </c>
      <c r="F706" s="7">
        <v>6600</v>
      </c>
      <c r="G706" s="7">
        <v>7392</v>
      </c>
      <c r="H706" s="4">
        <v>1320</v>
      </c>
      <c r="I706" s="5" t="s">
        <v>42</v>
      </c>
    </row>
    <row r="707" spans="1:9" ht="18" customHeight="1" x14ac:dyDescent="0.25">
      <c r="A707" s="2">
        <v>2023</v>
      </c>
      <c r="B707" s="2" t="s">
        <v>11</v>
      </c>
      <c r="C707" s="2" t="s">
        <v>14</v>
      </c>
      <c r="D707" s="3" t="s">
        <v>36</v>
      </c>
      <c r="E707" s="4">
        <v>3566</v>
      </c>
      <c r="F707" s="4">
        <v>4577.3</v>
      </c>
      <c r="G707" s="4">
        <v>5126.576</v>
      </c>
      <c r="H707" s="4">
        <v>915.46</v>
      </c>
      <c r="I707" s="5" t="s">
        <v>42</v>
      </c>
    </row>
    <row r="708" spans="1:9" ht="18" customHeight="1" x14ac:dyDescent="0.25">
      <c r="A708" s="2">
        <v>2023</v>
      </c>
      <c r="B708" s="2" t="s">
        <v>11</v>
      </c>
      <c r="C708" s="2" t="s">
        <v>14</v>
      </c>
      <c r="D708" s="3" t="s">
        <v>37</v>
      </c>
      <c r="E708" s="4">
        <v>2498</v>
      </c>
      <c r="F708" s="4">
        <v>8000</v>
      </c>
      <c r="G708" s="4">
        <v>8960</v>
      </c>
      <c r="H708" s="4">
        <v>1600</v>
      </c>
      <c r="I708" s="5" t="s">
        <v>42</v>
      </c>
    </row>
    <row r="709" spans="1:9" ht="18" customHeight="1" x14ac:dyDescent="0.25">
      <c r="A709" s="2">
        <v>2023</v>
      </c>
      <c r="B709" s="2" t="s">
        <v>11</v>
      </c>
      <c r="C709" s="2" t="s">
        <v>13</v>
      </c>
      <c r="D709" s="3" t="s">
        <v>35</v>
      </c>
      <c r="E709" s="4">
        <v>1245</v>
      </c>
      <c r="F709" s="4">
        <v>4577.2</v>
      </c>
      <c r="G709" s="4">
        <v>5126.4639999999999</v>
      </c>
      <c r="H709" s="4">
        <v>915.44</v>
      </c>
      <c r="I709" s="5" t="s">
        <v>42</v>
      </c>
    </row>
    <row r="710" spans="1:9" ht="18" customHeight="1" x14ac:dyDescent="0.25">
      <c r="A710" s="2">
        <v>2023</v>
      </c>
      <c r="B710" s="2" t="s">
        <v>11</v>
      </c>
      <c r="C710" s="2" t="s">
        <v>38</v>
      </c>
      <c r="D710" s="6" t="s">
        <v>30</v>
      </c>
      <c r="E710" s="7">
        <v>644</v>
      </c>
      <c r="F710" s="7">
        <v>5743.5</v>
      </c>
      <c r="G710" s="7">
        <v>6432.72</v>
      </c>
      <c r="H710" s="4">
        <v>1148.7</v>
      </c>
      <c r="I710" s="5" t="s">
        <v>42</v>
      </c>
    </row>
    <row r="711" spans="1:9" ht="18" customHeight="1" x14ac:dyDescent="0.25">
      <c r="A711" s="2">
        <v>2023</v>
      </c>
      <c r="B711" s="2" t="s">
        <v>11</v>
      </c>
      <c r="C711" s="2" t="s">
        <v>12</v>
      </c>
      <c r="D711" s="6" t="s">
        <v>29</v>
      </c>
      <c r="E711" s="7">
        <v>643</v>
      </c>
      <c r="F711" s="7">
        <v>7000</v>
      </c>
      <c r="G711" s="7">
        <v>7840</v>
      </c>
      <c r="H711" s="4">
        <v>1400</v>
      </c>
      <c r="I711" s="5" t="s">
        <v>42</v>
      </c>
    </row>
    <row r="712" spans="1:9" ht="18" customHeight="1" x14ac:dyDescent="0.25">
      <c r="A712" s="2">
        <v>2023</v>
      </c>
      <c r="B712" s="2" t="s">
        <v>11</v>
      </c>
      <c r="C712" s="2" t="s">
        <v>38</v>
      </c>
      <c r="D712" s="6" t="s">
        <v>31</v>
      </c>
      <c r="E712" s="7">
        <v>455</v>
      </c>
      <c r="F712" s="7">
        <v>4578.6000000000004</v>
      </c>
      <c r="G712" s="7">
        <v>5128.0320000000002</v>
      </c>
      <c r="H712" s="4">
        <v>915.72000000000014</v>
      </c>
      <c r="I712" s="5" t="s">
        <v>42</v>
      </c>
    </row>
    <row r="713" spans="1:9" ht="18" customHeight="1" x14ac:dyDescent="0.25">
      <c r="A713" s="2">
        <v>2023</v>
      </c>
      <c r="B713" s="2" t="s">
        <v>11</v>
      </c>
      <c r="C713" s="2" t="s">
        <v>12</v>
      </c>
      <c r="D713" s="6" t="s">
        <v>28</v>
      </c>
      <c r="E713" s="8">
        <v>345</v>
      </c>
      <c r="F713" s="8">
        <v>7000</v>
      </c>
      <c r="G713" s="8">
        <v>7840</v>
      </c>
      <c r="H713" s="4">
        <v>1400</v>
      </c>
      <c r="I713" s="5" t="s">
        <v>42</v>
      </c>
    </row>
    <row r="714" spans="1:9" ht="18" customHeight="1" x14ac:dyDescent="0.25">
      <c r="A714" s="2">
        <v>2023</v>
      </c>
      <c r="B714" s="2" t="s">
        <v>11</v>
      </c>
      <c r="C714" s="2" t="s">
        <v>13</v>
      </c>
      <c r="D714" s="3" t="s">
        <v>33</v>
      </c>
      <c r="E714" s="4">
        <v>122</v>
      </c>
      <c r="F714" s="4">
        <v>100</v>
      </c>
      <c r="G714" s="4">
        <v>112</v>
      </c>
      <c r="H714" s="4">
        <v>20</v>
      </c>
      <c r="I714" s="5" t="s">
        <v>42</v>
      </c>
    </row>
    <row r="715" spans="1:9" ht="18" customHeight="1" x14ac:dyDescent="0.25">
      <c r="A715" s="2">
        <v>2023</v>
      </c>
      <c r="B715" s="2" t="s">
        <v>11</v>
      </c>
      <c r="C715" s="2" t="s">
        <v>15</v>
      </c>
      <c r="D715" s="6" t="s">
        <v>26</v>
      </c>
      <c r="E715" s="7">
        <v>78</v>
      </c>
      <c r="F715" s="7">
        <v>2288.6</v>
      </c>
      <c r="G715" s="7">
        <v>5126.4639999999999</v>
      </c>
      <c r="H715" s="4">
        <v>457.72</v>
      </c>
      <c r="I715" s="5" t="s">
        <v>42</v>
      </c>
    </row>
    <row r="716" spans="1:9" ht="18" customHeight="1" x14ac:dyDescent="0.25">
      <c r="A716" s="2">
        <v>2023</v>
      </c>
      <c r="B716" s="2" t="s">
        <v>11</v>
      </c>
      <c r="C716" s="2" t="s">
        <v>15</v>
      </c>
      <c r="D716" s="6" t="s">
        <v>24</v>
      </c>
      <c r="E716" s="7">
        <v>76</v>
      </c>
      <c r="F716" s="7">
        <v>2288.4499999999998</v>
      </c>
      <c r="G716" s="7">
        <v>5126.1279999999997</v>
      </c>
      <c r="H716" s="4">
        <v>457.69</v>
      </c>
      <c r="I716" s="5" t="s">
        <v>42</v>
      </c>
    </row>
    <row r="717" spans="1:9" ht="18" customHeight="1" x14ac:dyDescent="0.25">
      <c r="A717" s="2">
        <v>2023</v>
      </c>
      <c r="B717" s="2" t="s">
        <v>11</v>
      </c>
      <c r="C717" s="2" t="s">
        <v>15</v>
      </c>
      <c r="D717" s="6" t="s">
        <v>25</v>
      </c>
      <c r="E717" s="7">
        <v>46</v>
      </c>
      <c r="F717" s="7">
        <v>100</v>
      </c>
      <c r="G717" s="7">
        <v>224</v>
      </c>
      <c r="H717" s="4">
        <v>20</v>
      </c>
      <c r="I717" s="5" t="s">
        <v>42</v>
      </c>
    </row>
    <row r="718" spans="1:9" ht="18" customHeight="1" x14ac:dyDescent="0.25">
      <c r="A718" s="2">
        <v>2023</v>
      </c>
      <c r="B718" s="2" t="s">
        <v>11</v>
      </c>
      <c r="C718" s="2" t="s">
        <v>15</v>
      </c>
      <c r="D718" s="6" t="s">
        <v>23</v>
      </c>
      <c r="E718" s="7">
        <v>34</v>
      </c>
      <c r="F718" s="7">
        <v>2288.4</v>
      </c>
      <c r="G718" s="7">
        <v>5126.0160000000005</v>
      </c>
      <c r="H718" s="4">
        <v>457.68000000000006</v>
      </c>
      <c r="I718" s="5" t="s">
        <v>42</v>
      </c>
    </row>
    <row r="719" spans="1:9" ht="18" customHeight="1" x14ac:dyDescent="0.25">
      <c r="A719" s="2">
        <v>2023</v>
      </c>
      <c r="B719" s="2" t="s">
        <v>11</v>
      </c>
      <c r="C719" s="2" t="s">
        <v>13</v>
      </c>
      <c r="D719" s="3" t="s">
        <v>34</v>
      </c>
      <c r="E719" s="4">
        <v>7</v>
      </c>
      <c r="F719" s="4">
        <v>200</v>
      </c>
      <c r="G719" s="4">
        <v>224</v>
      </c>
      <c r="H719" s="4">
        <v>40</v>
      </c>
      <c r="I719" s="5" t="s">
        <v>42</v>
      </c>
    </row>
    <row r="720" spans="1:9" ht="18" customHeight="1" x14ac:dyDescent="0.25">
      <c r="A720" s="2">
        <v>2023</v>
      </c>
      <c r="B720" s="2" t="s">
        <v>11</v>
      </c>
      <c r="C720" s="2" t="s">
        <v>15</v>
      </c>
      <c r="D720" s="6" t="s">
        <v>27</v>
      </c>
      <c r="E720" s="7">
        <v>3</v>
      </c>
      <c r="F720" s="7">
        <v>2288.65</v>
      </c>
      <c r="G720" s="7">
        <v>5126.576</v>
      </c>
      <c r="H720" s="4">
        <v>457.73</v>
      </c>
      <c r="I720" s="5" t="s">
        <v>42</v>
      </c>
    </row>
    <row r="721" spans="1:9" ht="18" customHeight="1" x14ac:dyDescent="0.25">
      <c r="A721" s="2">
        <v>2023</v>
      </c>
      <c r="B721" s="2" t="s">
        <v>11</v>
      </c>
      <c r="C721" s="2" t="s">
        <v>32</v>
      </c>
      <c r="D721" s="6" t="s">
        <v>32</v>
      </c>
      <c r="E721" s="7">
        <v>2</v>
      </c>
      <c r="F721" s="7">
        <v>6600</v>
      </c>
      <c r="G721" s="7">
        <v>7392</v>
      </c>
      <c r="H721" s="4">
        <v>1320</v>
      </c>
      <c r="I721" s="5" t="s">
        <v>42</v>
      </c>
    </row>
    <row r="722" spans="1:9" ht="18" customHeight="1" x14ac:dyDescent="0.25">
      <c r="A722" s="2">
        <v>2024</v>
      </c>
      <c r="B722" s="2" t="s">
        <v>0</v>
      </c>
      <c r="C722" s="2" t="s">
        <v>14</v>
      </c>
      <c r="D722" s="3" t="s">
        <v>36</v>
      </c>
      <c r="E722" s="4">
        <v>3566</v>
      </c>
      <c r="F722" s="4">
        <v>4577.3</v>
      </c>
      <c r="G722" s="4">
        <v>5126.576</v>
      </c>
      <c r="H722" s="4">
        <v>915.46</v>
      </c>
      <c r="I722" s="5" t="s">
        <v>42</v>
      </c>
    </row>
    <row r="723" spans="1:9" ht="18" customHeight="1" x14ac:dyDescent="0.25">
      <c r="A723" s="2">
        <v>2024</v>
      </c>
      <c r="B723" s="2" t="s">
        <v>0</v>
      </c>
      <c r="C723" s="2" t="s">
        <v>14</v>
      </c>
      <c r="D723" s="3" t="s">
        <v>37</v>
      </c>
      <c r="E723" s="4">
        <v>2498</v>
      </c>
      <c r="F723" s="4">
        <v>8000</v>
      </c>
      <c r="G723" s="4">
        <v>8960</v>
      </c>
      <c r="H723" s="4">
        <v>1600</v>
      </c>
      <c r="I723" s="5" t="s">
        <v>42</v>
      </c>
    </row>
    <row r="724" spans="1:9" ht="18" customHeight="1" x14ac:dyDescent="0.25">
      <c r="A724" s="2">
        <v>2024</v>
      </c>
      <c r="B724" s="2" t="s">
        <v>0</v>
      </c>
      <c r="C724" s="2" t="s">
        <v>13</v>
      </c>
      <c r="D724" s="3" t="s">
        <v>35</v>
      </c>
      <c r="E724" s="4">
        <v>1245</v>
      </c>
      <c r="F724" s="4">
        <v>4577.2</v>
      </c>
      <c r="G724" s="4">
        <v>5126.4639999999999</v>
      </c>
      <c r="H724" s="4">
        <v>915.44</v>
      </c>
      <c r="I724" s="5" t="s">
        <v>42</v>
      </c>
    </row>
    <row r="725" spans="1:9" ht="18" customHeight="1" x14ac:dyDescent="0.25">
      <c r="A725" s="2">
        <v>2024</v>
      </c>
      <c r="B725" s="2" t="s">
        <v>0</v>
      </c>
      <c r="C725" s="2" t="s">
        <v>38</v>
      </c>
      <c r="D725" s="6" t="s">
        <v>30</v>
      </c>
      <c r="E725" s="7">
        <v>644</v>
      </c>
      <c r="F725" s="7">
        <v>5743.5</v>
      </c>
      <c r="G725" s="7">
        <v>6432.72</v>
      </c>
      <c r="H725" s="4">
        <v>1148.7</v>
      </c>
      <c r="I725" s="5" t="s">
        <v>42</v>
      </c>
    </row>
    <row r="726" spans="1:9" ht="18" customHeight="1" x14ac:dyDescent="0.25">
      <c r="A726" s="2">
        <v>2024</v>
      </c>
      <c r="B726" s="2" t="s">
        <v>0</v>
      </c>
      <c r="C726" s="2" t="s">
        <v>12</v>
      </c>
      <c r="D726" s="6" t="s">
        <v>29</v>
      </c>
      <c r="E726" s="7">
        <v>643</v>
      </c>
      <c r="F726" s="7">
        <v>7000</v>
      </c>
      <c r="G726" s="7">
        <v>7840</v>
      </c>
      <c r="H726" s="4">
        <v>1400</v>
      </c>
      <c r="I726" s="5" t="s">
        <v>42</v>
      </c>
    </row>
    <row r="727" spans="1:9" ht="18" customHeight="1" x14ac:dyDescent="0.25">
      <c r="A727" s="2">
        <v>2024</v>
      </c>
      <c r="B727" s="2" t="s">
        <v>0</v>
      </c>
      <c r="C727" s="2" t="s">
        <v>38</v>
      </c>
      <c r="D727" s="6" t="s">
        <v>31</v>
      </c>
      <c r="E727" s="7">
        <v>455</v>
      </c>
      <c r="F727" s="7">
        <v>4578.6000000000004</v>
      </c>
      <c r="G727" s="7">
        <v>5128.0320000000002</v>
      </c>
      <c r="H727" s="4">
        <v>915.72000000000014</v>
      </c>
      <c r="I727" s="5" t="s">
        <v>42</v>
      </c>
    </row>
    <row r="728" spans="1:9" ht="18" customHeight="1" x14ac:dyDescent="0.25">
      <c r="A728" s="2">
        <v>2024</v>
      </c>
      <c r="B728" s="2" t="s">
        <v>0</v>
      </c>
      <c r="C728" s="2" t="s">
        <v>12</v>
      </c>
      <c r="D728" s="6" t="s">
        <v>28</v>
      </c>
      <c r="E728" s="8">
        <v>345</v>
      </c>
      <c r="F728" s="8">
        <v>7000</v>
      </c>
      <c r="G728" s="8">
        <v>7840</v>
      </c>
      <c r="H728" s="4">
        <v>1400</v>
      </c>
      <c r="I728" s="5" t="s">
        <v>42</v>
      </c>
    </row>
    <row r="729" spans="1:9" ht="18" customHeight="1" x14ac:dyDescent="0.25">
      <c r="A729" s="2">
        <v>2024</v>
      </c>
      <c r="B729" s="2" t="s">
        <v>0</v>
      </c>
      <c r="C729" s="2" t="s">
        <v>13</v>
      </c>
      <c r="D729" s="3" t="s">
        <v>33</v>
      </c>
      <c r="E729" s="4">
        <v>122</v>
      </c>
      <c r="F729" s="4">
        <v>100</v>
      </c>
      <c r="G729" s="4">
        <v>112</v>
      </c>
      <c r="H729" s="4">
        <v>20</v>
      </c>
      <c r="I729" s="5" t="s">
        <v>42</v>
      </c>
    </row>
    <row r="730" spans="1:9" ht="18" customHeight="1" x14ac:dyDescent="0.25">
      <c r="A730" s="2">
        <v>2024</v>
      </c>
      <c r="B730" s="2" t="s">
        <v>0</v>
      </c>
      <c r="C730" s="2" t="s">
        <v>15</v>
      </c>
      <c r="D730" s="6" t="s">
        <v>26</v>
      </c>
      <c r="E730" s="7">
        <v>78</v>
      </c>
      <c r="F730" s="7">
        <v>4577.2</v>
      </c>
      <c r="G730" s="7">
        <v>5126.4639999999999</v>
      </c>
      <c r="H730" s="4">
        <v>915.44</v>
      </c>
      <c r="I730" s="5" t="s">
        <v>42</v>
      </c>
    </row>
    <row r="731" spans="1:9" ht="18" customHeight="1" x14ac:dyDescent="0.25">
      <c r="A731" s="2">
        <v>2024</v>
      </c>
      <c r="B731" s="2" t="s">
        <v>0</v>
      </c>
      <c r="C731" s="2" t="s">
        <v>15</v>
      </c>
      <c r="D731" s="6" t="s">
        <v>24</v>
      </c>
      <c r="E731" s="7">
        <v>76</v>
      </c>
      <c r="F731" s="7">
        <v>4576.8999999999996</v>
      </c>
      <c r="G731" s="7">
        <v>5126.1279999999997</v>
      </c>
      <c r="H731" s="4">
        <v>915.38</v>
      </c>
      <c r="I731" s="5" t="s">
        <v>42</v>
      </c>
    </row>
    <row r="732" spans="1:9" ht="18" customHeight="1" x14ac:dyDescent="0.25">
      <c r="A732" s="2">
        <v>2024</v>
      </c>
      <c r="B732" s="2" t="s">
        <v>0</v>
      </c>
      <c r="C732" s="2" t="s">
        <v>15</v>
      </c>
      <c r="D732" s="6" t="s">
        <v>25</v>
      </c>
      <c r="E732" s="7">
        <v>46</v>
      </c>
      <c r="F732" s="7">
        <v>200</v>
      </c>
      <c r="G732" s="7">
        <v>224</v>
      </c>
      <c r="H732" s="4">
        <v>40</v>
      </c>
      <c r="I732" s="5" t="s">
        <v>42</v>
      </c>
    </row>
    <row r="733" spans="1:9" ht="18" customHeight="1" x14ac:dyDescent="0.25">
      <c r="A733" s="2">
        <v>2024</v>
      </c>
      <c r="B733" s="2" t="s">
        <v>0</v>
      </c>
      <c r="C733" s="2" t="s">
        <v>15</v>
      </c>
      <c r="D733" s="6" t="s">
        <v>23</v>
      </c>
      <c r="E733" s="7">
        <v>34</v>
      </c>
      <c r="F733" s="7">
        <v>4576.8</v>
      </c>
      <c r="G733" s="7">
        <v>5126.0160000000005</v>
      </c>
      <c r="H733" s="4">
        <v>915.36000000000013</v>
      </c>
      <c r="I733" s="5" t="s">
        <v>42</v>
      </c>
    </row>
    <row r="734" spans="1:9" ht="18" customHeight="1" x14ac:dyDescent="0.25">
      <c r="A734" s="2">
        <v>2024</v>
      </c>
      <c r="B734" s="2" t="s">
        <v>0</v>
      </c>
      <c r="C734" s="2" t="s">
        <v>13</v>
      </c>
      <c r="D734" s="3" t="s">
        <v>34</v>
      </c>
      <c r="E734" s="4">
        <v>7</v>
      </c>
      <c r="F734" s="4">
        <v>200</v>
      </c>
      <c r="G734" s="4">
        <v>224</v>
      </c>
      <c r="H734" s="4">
        <v>40</v>
      </c>
      <c r="I734" s="5" t="s">
        <v>42</v>
      </c>
    </row>
    <row r="735" spans="1:9" ht="18" customHeight="1" x14ac:dyDescent="0.25">
      <c r="A735" s="2">
        <v>2024</v>
      </c>
      <c r="B735" s="2" t="s">
        <v>0</v>
      </c>
      <c r="C735" s="2" t="s">
        <v>32</v>
      </c>
      <c r="D735" s="6" t="s">
        <v>32</v>
      </c>
      <c r="E735" s="7">
        <v>3</v>
      </c>
      <c r="F735" s="7">
        <v>6600</v>
      </c>
      <c r="G735" s="7">
        <v>7392</v>
      </c>
      <c r="H735" s="4">
        <v>1320</v>
      </c>
      <c r="I735" s="5" t="s">
        <v>42</v>
      </c>
    </row>
    <row r="736" spans="1:9" ht="18" customHeight="1" x14ac:dyDescent="0.25">
      <c r="A736" s="2">
        <v>2024</v>
      </c>
      <c r="B736" s="2" t="s">
        <v>0</v>
      </c>
      <c r="C736" s="2" t="s">
        <v>15</v>
      </c>
      <c r="D736" s="6" t="s">
        <v>27</v>
      </c>
      <c r="E736" s="7">
        <v>3</v>
      </c>
      <c r="F736" s="7">
        <v>4577.3</v>
      </c>
      <c r="G736" s="7">
        <v>5126.576</v>
      </c>
      <c r="H736" s="4">
        <v>915.46</v>
      </c>
      <c r="I736" s="5" t="s">
        <v>42</v>
      </c>
    </row>
    <row r="737" spans="1:9" ht="18" customHeight="1" x14ac:dyDescent="0.25">
      <c r="A737" s="2">
        <v>2024</v>
      </c>
      <c r="B737" s="2" t="s">
        <v>1</v>
      </c>
      <c r="C737" s="2" t="s">
        <v>14</v>
      </c>
      <c r="D737" s="3" t="s">
        <v>36</v>
      </c>
      <c r="E737" s="4">
        <v>3566</v>
      </c>
      <c r="F737" s="4">
        <v>4577.3</v>
      </c>
      <c r="G737" s="4">
        <v>5126.576</v>
      </c>
      <c r="H737" s="4">
        <v>915.46</v>
      </c>
      <c r="I737" s="5" t="s">
        <v>42</v>
      </c>
    </row>
    <row r="738" spans="1:9" ht="18" customHeight="1" x14ac:dyDescent="0.25">
      <c r="A738" s="2">
        <v>2024</v>
      </c>
      <c r="B738" s="2" t="s">
        <v>1</v>
      </c>
      <c r="C738" s="2" t="s">
        <v>14</v>
      </c>
      <c r="D738" s="3" t="s">
        <v>37</v>
      </c>
      <c r="E738" s="4">
        <v>2498</v>
      </c>
      <c r="F738" s="4">
        <v>8000</v>
      </c>
      <c r="G738" s="4">
        <v>8960</v>
      </c>
      <c r="H738" s="4">
        <v>1600</v>
      </c>
      <c r="I738" s="5" t="s">
        <v>42</v>
      </c>
    </row>
    <row r="739" spans="1:9" ht="18" customHeight="1" x14ac:dyDescent="0.25">
      <c r="A739" s="2">
        <v>2024</v>
      </c>
      <c r="B739" s="2" t="s">
        <v>1</v>
      </c>
      <c r="C739" s="2" t="s">
        <v>13</v>
      </c>
      <c r="D739" s="3" t="s">
        <v>35</v>
      </c>
      <c r="E739" s="4">
        <v>1245</v>
      </c>
      <c r="F739" s="4">
        <v>4577.2</v>
      </c>
      <c r="G739" s="4">
        <v>5126.4639999999999</v>
      </c>
      <c r="H739" s="4">
        <v>915.44</v>
      </c>
      <c r="I739" s="5" t="s">
        <v>42</v>
      </c>
    </row>
    <row r="740" spans="1:9" ht="18" customHeight="1" x14ac:dyDescent="0.25">
      <c r="A740" s="2">
        <v>2024</v>
      </c>
      <c r="B740" s="2" t="s">
        <v>1</v>
      </c>
      <c r="C740" s="2" t="s">
        <v>38</v>
      </c>
      <c r="D740" s="6" t="s">
        <v>30</v>
      </c>
      <c r="E740" s="7">
        <v>644</v>
      </c>
      <c r="F740" s="7">
        <v>5743.5</v>
      </c>
      <c r="G740" s="7">
        <v>6432.72</v>
      </c>
      <c r="H740" s="4">
        <v>1148.7</v>
      </c>
      <c r="I740" s="5" t="s">
        <v>42</v>
      </c>
    </row>
    <row r="741" spans="1:9" ht="18" customHeight="1" x14ac:dyDescent="0.25">
      <c r="A741" s="2">
        <v>2024</v>
      </c>
      <c r="B741" s="2" t="s">
        <v>1</v>
      </c>
      <c r="C741" s="2" t="s">
        <v>12</v>
      </c>
      <c r="D741" s="6" t="s">
        <v>29</v>
      </c>
      <c r="E741" s="7">
        <v>643</v>
      </c>
      <c r="F741" s="7">
        <v>7000</v>
      </c>
      <c r="G741" s="7">
        <v>7840</v>
      </c>
      <c r="H741" s="4">
        <v>1400</v>
      </c>
      <c r="I741" s="5" t="s">
        <v>42</v>
      </c>
    </row>
    <row r="742" spans="1:9" ht="18" customHeight="1" x14ac:dyDescent="0.25">
      <c r="A742" s="2">
        <v>2024</v>
      </c>
      <c r="B742" s="2" t="s">
        <v>1</v>
      </c>
      <c r="C742" s="2" t="s">
        <v>38</v>
      </c>
      <c r="D742" s="6" t="s">
        <v>31</v>
      </c>
      <c r="E742" s="7">
        <v>455</v>
      </c>
      <c r="F742" s="7">
        <v>4578.6000000000004</v>
      </c>
      <c r="G742" s="7">
        <v>5128.0320000000002</v>
      </c>
      <c r="H742" s="4">
        <v>915.72000000000014</v>
      </c>
      <c r="I742" s="5" t="s">
        <v>42</v>
      </c>
    </row>
    <row r="743" spans="1:9" ht="18" customHeight="1" x14ac:dyDescent="0.25">
      <c r="A743" s="2">
        <v>2024</v>
      </c>
      <c r="B743" s="2" t="s">
        <v>1</v>
      </c>
      <c r="C743" s="2" t="s">
        <v>12</v>
      </c>
      <c r="D743" s="6" t="s">
        <v>28</v>
      </c>
      <c r="E743" s="8">
        <v>345</v>
      </c>
      <c r="F743" s="8">
        <v>7000</v>
      </c>
      <c r="G743" s="8">
        <v>7840</v>
      </c>
      <c r="H743" s="4">
        <v>1400</v>
      </c>
      <c r="I743" s="5" t="s">
        <v>42</v>
      </c>
    </row>
    <row r="744" spans="1:9" ht="18" customHeight="1" x14ac:dyDescent="0.25">
      <c r="A744" s="2">
        <v>2024</v>
      </c>
      <c r="B744" s="2" t="s">
        <v>1</v>
      </c>
      <c r="C744" s="2" t="s">
        <v>13</v>
      </c>
      <c r="D744" s="3" t="s">
        <v>33</v>
      </c>
      <c r="E744" s="4">
        <v>122</v>
      </c>
      <c r="F744" s="4">
        <v>100</v>
      </c>
      <c r="G744" s="4">
        <v>112</v>
      </c>
      <c r="H744" s="4">
        <v>20</v>
      </c>
      <c r="I744" s="5" t="s">
        <v>42</v>
      </c>
    </row>
    <row r="745" spans="1:9" ht="18" customHeight="1" x14ac:dyDescent="0.25">
      <c r="A745" s="2">
        <v>2024</v>
      </c>
      <c r="B745" s="2" t="s">
        <v>1</v>
      </c>
      <c r="C745" s="2" t="s">
        <v>15</v>
      </c>
      <c r="D745" s="6" t="s">
        <v>26</v>
      </c>
      <c r="E745" s="7">
        <v>78</v>
      </c>
      <c r="F745" s="7">
        <v>4577.2</v>
      </c>
      <c r="G745" s="7">
        <v>5126.4639999999999</v>
      </c>
      <c r="H745" s="4">
        <v>915.44</v>
      </c>
      <c r="I745" s="5" t="s">
        <v>42</v>
      </c>
    </row>
    <row r="746" spans="1:9" ht="18" customHeight="1" x14ac:dyDescent="0.25">
      <c r="A746" s="2">
        <v>2024</v>
      </c>
      <c r="B746" s="2" t="s">
        <v>1</v>
      </c>
      <c r="C746" s="2" t="s">
        <v>15</v>
      </c>
      <c r="D746" s="6" t="s">
        <v>24</v>
      </c>
      <c r="E746" s="7">
        <v>76</v>
      </c>
      <c r="F746" s="7">
        <v>4576.8999999999996</v>
      </c>
      <c r="G746" s="7">
        <v>5126.1279999999997</v>
      </c>
      <c r="H746" s="4">
        <v>915.38</v>
      </c>
      <c r="I746" s="5" t="s">
        <v>42</v>
      </c>
    </row>
    <row r="747" spans="1:9" ht="18" customHeight="1" x14ac:dyDescent="0.25">
      <c r="A747" s="2">
        <v>2024</v>
      </c>
      <c r="B747" s="2" t="s">
        <v>1</v>
      </c>
      <c r="C747" s="2" t="s">
        <v>15</v>
      </c>
      <c r="D747" s="6" t="s">
        <v>25</v>
      </c>
      <c r="E747" s="7">
        <v>46</v>
      </c>
      <c r="F747" s="7">
        <v>200</v>
      </c>
      <c r="G747" s="7">
        <v>224</v>
      </c>
      <c r="H747" s="4">
        <v>40</v>
      </c>
      <c r="I747" s="5" t="s">
        <v>42</v>
      </c>
    </row>
    <row r="748" spans="1:9" ht="18" customHeight="1" x14ac:dyDescent="0.25">
      <c r="A748" s="2">
        <v>2024</v>
      </c>
      <c r="B748" s="2" t="s">
        <v>1</v>
      </c>
      <c r="C748" s="2" t="s">
        <v>15</v>
      </c>
      <c r="D748" s="6" t="s">
        <v>23</v>
      </c>
      <c r="E748" s="7">
        <v>34</v>
      </c>
      <c r="F748" s="7">
        <v>4576.8</v>
      </c>
      <c r="G748" s="7">
        <v>5126.0160000000005</v>
      </c>
      <c r="H748" s="4">
        <v>915.36000000000013</v>
      </c>
      <c r="I748" s="5" t="s">
        <v>42</v>
      </c>
    </row>
    <row r="749" spans="1:9" ht="18" customHeight="1" x14ac:dyDescent="0.25">
      <c r="A749" s="2">
        <v>2024</v>
      </c>
      <c r="B749" s="2" t="s">
        <v>1</v>
      </c>
      <c r="C749" s="2" t="s">
        <v>13</v>
      </c>
      <c r="D749" s="3" t="s">
        <v>34</v>
      </c>
      <c r="E749" s="4">
        <v>7</v>
      </c>
      <c r="F749" s="4">
        <v>200</v>
      </c>
      <c r="G749" s="4">
        <v>224</v>
      </c>
      <c r="H749" s="4">
        <v>40</v>
      </c>
      <c r="I749" s="5" t="s">
        <v>42</v>
      </c>
    </row>
    <row r="750" spans="1:9" ht="18" customHeight="1" x14ac:dyDescent="0.25">
      <c r="A750" s="2">
        <v>2024</v>
      </c>
      <c r="B750" s="2" t="s">
        <v>1</v>
      </c>
      <c r="C750" s="2" t="s">
        <v>15</v>
      </c>
      <c r="D750" s="6" t="s">
        <v>27</v>
      </c>
      <c r="E750" s="7">
        <v>3</v>
      </c>
      <c r="F750" s="7">
        <v>4577.3</v>
      </c>
      <c r="G750" s="7">
        <v>5126.576</v>
      </c>
      <c r="H750" s="4">
        <v>915.46</v>
      </c>
      <c r="I750" s="5" t="s">
        <v>42</v>
      </c>
    </row>
    <row r="751" spans="1:9" ht="18" customHeight="1" x14ac:dyDescent="0.25">
      <c r="A751" s="2">
        <v>2024</v>
      </c>
      <c r="B751" s="2" t="s">
        <v>1</v>
      </c>
      <c r="C751" s="2" t="s">
        <v>32</v>
      </c>
      <c r="D751" s="6" t="s">
        <v>32</v>
      </c>
      <c r="E751" s="7">
        <v>2</v>
      </c>
      <c r="F751" s="7">
        <v>6600</v>
      </c>
      <c r="G751" s="7">
        <v>7392</v>
      </c>
      <c r="H751" s="4">
        <v>1320</v>
      </c>
      <c r="I751" s="5" t="s">
        <v>42</v>
      </c>
    </row>
    <row r="752" spans="1:9" ht="18" customHeight="1" x14ac:dyDescent="0.25">
      <c r="A752" s="2">
        <v>2024</v>
      </c>
      <c r="B752" s="2" t="s">
        <v>2</v>
      </c>
      <c r="C752" s="2" t="s">
        <v>14</v>
      </c>
      <c r="D752" s="3" t="s">
        <v>36</v>
      </c>
      <c r="E752" s="4">
        <v>3566</v>
      </c>
      <c r="F752" s="4">
        <v>4577.3</v>
      </c>
      <c r="G752" s="4">
        <v>5126.576</v>
      </c>
      <c r="H752" s="4">
        <v>915.46</v>
      </c>
      <c r="I752" s="5" t="s">
        <v>42</v>
      </c>
    </row>
    <row r="753" spans="1:9" ht="18" customHeight="1" x14ac:dyDescent="0.25">
      <c r="A753" s="2">
        <v>2024</v>
      </c>
      <c r="B753" s="2" t="s">
        <v>2</v>
      </c>
      <c r="C753" s="2" t="s">
        <v>14</v>
      </c>
      <c r="D753" s="3" t="s">
        <v>37</v>
      </c>
      <c r="E753" s="4">
        <v>2498</v>
      </c>
      <c r="F753" s="4">
        <v>8000</v>
      </c>
      <c r="G753" s="4">
        <v>8960</v>
      </c>
      <c r="H753" s="4">
        <v>1600</v>
      </c>
      <c r="I753" s="5" t="s">
        <v>42</v>
      </c>
    </row>
    <row r="754" spans="1:9" ht="18" customHeight="1" x14ac:dyDescent="0.25">
      <c r="A754" s="2">
        <v>2024</v>
      </c>
      <c r="B754" s="2" t="s">
        <v>2</v>
      </c>
      <c r="C754" s="2" t="s">
        <v>13</v>
      </c>
      <c r="D754" s="3" t="s">
        <v>35</v>
      </c>
      <c r="E754" s="4">
        <v>1245</v>
      </c>
      <c r="F754" s="4">
        <v>4577.2</v>
      </c>
      <c r="G754" s="4">
        <v>5126.4639999999999</v>
      </c>
      <c r="H754" s="4">
        <v>915.44</v>
      </c>
      <c r="I754" s="5" t="s">
        <v>42</v>
      </c>
    </row>
    <row r="755" spans="1:9" ht="18" customHeight="1" x14ac:dyDescent="0.25">
      <c r="A755" s="2">
        <v>2024</v>
      </c>
      <c r="B755" s="2" t="s">
        <v>2</v>
      </c>
      <c r="C755" s="2" t="s">
        <v>38</v>
      </c>
      <c r="D755" s="6" t="s">
        <v>30</v>
      </c>
      <c r="E755" s="7">
        <v>644</v>
      </c>
      <c r="F755" s="7">
        <v>5743.5</v>
      </c>
      <c r="G755" s="7">
        <v>6432.72</v>
      </c>
      <c r="H755" s="4">
        <v>1148.7</v>
      </c>
      <c r="I755" s="5" t="s">
        <v>40</v>
      </c>
    </row>
    <row r="756" spans="1:9" ht="18" customHeight="1" x14ac:dyDescent="0.25">
      <c r="A756" s="2">
        <v>2024</v>
      </c>
      <c r="B756" s="2" t="s">
        <v>2</v>
      </c>
      <c r="C756" s="2" t="s">
        <v>12</v>
      </c>
      <c r="D756" s="6" t="s">
        <v>29</v>
      </c>
      <c r="E756" s="7">
        <v>643</v>
      </c>
      <c r="F756" s="7">
        <v>7000</v>
      </c>
      <c r="G756" s="7">
        <v>7840</v>
      </c>
      <c r="H756" s="4">
        <v>1400</v>
      </c>
      <c r="I756" s="5" t="s">
        <v>40</v>
      </c>
    </row>
    <row r="757" spans="1:9" ht="18" customHeight="1" x14ac:dyDescent="0.25">
      <c r="A757" s="2">
        <v>2024</v>
      </c>
      <c r="B757" s="2" t="s">
        <v>2</v>
      </c>
      <c r="C757" s="2" t="s">
        <v>38</v>
      </c>
      <c r="D757" s="6" t="s">
        <v>31</v>
      </c>
      <c r="E757" s="7">
        <v>455</v>
      </c>
      <c r="F757" s="7">
        <v>4578.6000000000004</v>
      </c>
      <c r="G757" s="7">
        <v>5128.0320000000002</v>
      </c>
      <c r="H757" s="4">
        <v>915.72000000000014</v>
      </c>
      <c r="I757" s="5" t="s">
        <v>40</v>
      </c>
    </row>
    <row r="758" spans="1:9" ht="18" customHeight="1" x14ac:dyDescent="0.25">
      <c r="A758" s="2">
        <v>2024</v>
      </c>
      <c r="B758" s="2" t="s">
        <v>2</v>
      </c>
      <c r="C758" s="2" t="s">
        <v>12</v>
      </c>
      <c r="D758" s="6" t="s">
        <v>28</v>
      </c>
      <c r="E758" s="8">
        <v>345</v>
      </c>
      <c r="F758" s="8">
        <v>7000</v>
      </c>
      <c r="G758" s="8">
        <v>7840</v>
      </c>
      <c r="H758" s="4">
        <v>1400</v>
      </c>
      <c r="I758" s="5" t="s">
        <v>40</v>
      </c>
    </row>
    <row r="759" spans="1:9" ht="18" customHeight="1" x14ac:dyDescent="0.25">
      <c r="A759" s="2">
        <v>2024</v>
      </c>
      <c r="B759" s="2" t="s">
        <v>2</v>
      </c>
      <c r="C759" s="2" t="s">
        <v>13</v>
      </c>
      <c r="D759" s="3" t="s">
        <v>33</v>
      </c>
      <c r="E759" s="4">
        <v>122</v>
      </c>
      <c r="F759" s="4">
        <v>100</v>
      </c>
      <c r="G759" s="4">
        <v>112</v>
      </c>
      <c r="H759" s="4">
        <v>20</v>
      </c>
      <c r="I759" s="5" t="s">
        <v>40</v>
      </c>
    </row>
    <row r="760" spans="1:9" ht="18" customHeight="1" x14ac:dyDescent="0.25">
      <c r="A760" s="2">
        <v>2024</v>
      </c>
      <c r="B760" s="2" t="s">
        <v>2</v>
      </c>
      <c r="C760" s="2" t="s">
        <v>15</v>
      </c>
      <c r="D760" s="6" t="s">
        <v>26</v>
      </c>
      <c r="E760" s="7">
        <v>78</v>
      </c>
      <c r="F760" s="7">
        <v>4577.2</v>
      </c>
      <c r="G760" s="7">
        <v>5126.4639999999999</v>
      </c>
      <c r="H760" s="4">
        <v>915.44</v>
      </c>
      <c r="I760" s="5" t="s">
        <v>40</v>
      </c>
    </row>
    <row r="761" spans="1:9" ht="18" customHeight="1" x14ac:dyDescent="0.25">
      <c r="A761" s="2">
        <v>2024</v>
      </c>
      <c r="B761" s="2" t="s">
        <v>2</v>
      </c>
      <c r="C761" s="2" t="s">
        <v>15</v>
      </c>
      <c r="D761" s="6" t="s">
        <v>24</v>
      </c>
      <c r="E761" s="7">
        <v>76</v>
      </c>
      <c r="F761" s="7">
        <v>4576.8999999999996</v>
      </c>
      <c r="G761" s="7">
        <v>5126.1279999999997</v>
      </c>
      <c r="H761" s="4">
        <v>915.38</v>
      </c>
      <c r="I761" s="5" t="s">
        <v>40</v>
      </c>
    </row>
    <row r="762" spans="1:9" ht="18" customHeight="1" x14ac:dyDescent="0.25">
      <c r="A762" s="2">
        <v>2024</v>
      </c>
      <c r="B762" s="2" t="s">
        <v>2</v>
      </c>
      <c r="C762" s="2" t="s">
        <v>15</v>
      </c>
      <c r="D762" s="6" t="s">
        <v>25</v>
      </c>
      <c r="E762" s="7">
        <v>46</v>
      </c>
      <c r="F762" s="7">
        <v>200</v>
      </c>
      <c r="G762" s="7">
        <v>224</v>
      </c>
      <c r="H762" s="4">
        <v>40</v>
      </c>
      <c r="I762" s="5" t="s">
        <v>40</v>
      </c>
    </row>
    <row r="763" spans="1:9" ht="18" customHeight="1" x14ac:dyDescent="0.25">
      <c r="A763" s="2">
        <v>2024</v>
      </c>
      <c r="B763" s="2" t="s">
        <v>2</v>
      </c>
      <c r="C763" s="2" t="s">
        <v>15</v>
      </c>
      <c r="D763" s="6" t="s">
        <v>23</v>
      </c>
      <c r="E763" s="7">
        <v>34</v>
      </c>
      <c r="F763" s="7">
        <v>4576.8</v>
      </c>
      <c r="G763" s="7">
        <v>5126.0160000000005</v>
      </c>
      <c r="H763" s="4">
        <v>915.36000000000013</v>
      </c>
      <c r="I763" s="5" t="s">
        <v>40</v>
      </c>
    </row>
    <row r="764" spans="1:9" ht="18" customHeight="1" x14ac:dyDescent="0.25">
      <c r="A764" s="2">
        <v>2024</v>
      </c>
      <c r="B764" s="2" t="s">
        <v>2</v>
      </c>
      <c r="C764" s="2" t="s">
        <v>13</v>
      </c>
      <c r="D764" s="3" t="s">
        <v>34</v>
      </c>
      <c r="E764" s="4">
        <v>7</v>
      </c>
      <c r="F764" s="4">
        <v>200</v>
      </c>
      <c r="G764" s="4">
        <v>224</v>
      </c>
      <c r="H764" s="4">
        <v>40</v>
      </c>
      <c r="I764" s="5" t="s">
        <v>40</v>
      </c>
    </row>
    <row r="765" spans="1:9" ht="18" customHeight="1" x14ac:dyDescent="0.25">
      <c r="A765" s="2">
        <v>2024</v>
      </c>
      <c r="B765" s="2" t="s">
        <v>2</v>
      </c>
      <c r="C765" s="2" t="s">
        <v>15</v>
      </c>
      <c r="D765" s="6" t="s">
        <v>27</v>
      </c>
      <c r="E765" s="7">
        <v>3</v>
      </c>
      <c r="F765" s="7">
        <v>4577.3</v>
      </c>
      <c r="G765" s="7">
        <v>5126.576</v>
      </c>
      <c r="H765" s="4">
        <v>915.46</v>
      </c>
      <c r="I765" s="5" t="s">
        <v>40</v>
      </c>
    </row>
    <row r="766" spans="1:9" ht="18" customHeight="1" x14ac:dyDescent="0.25">
      <c r="A766" s="2">
        <v>2024</v>
      </c>
      <c r="B766" s="2" t="s">
        <v>2</v>
      </c>
      <c r="C766" s="2" t="s">
        <v>32</v>
      </c>
      <c r="D766" s="6" t="s">
        <v>32</v>
      </c>
      <c r="E766" s="7">
        <v>2</v>
      </c>
      <c r="F766" s="7">
        <v>6600</v>
      </c>
      <c r="G766" s="7">
        <v>7392</v>
      </c>
      <c r="H766" s="4">
        <v>1320</v>
      </c>
      <c r="I766" s="5" t="s">
        <v>40</v>
      </c>
    </row>
    <row r="767" spans="1:9" ht="18" customHeight="1" x14ac:dyDescent="0.25">
      <c r="A767" s="2">
        <v>2024</v>
      </c>
      <c r="B767" s="2" t="s">
        <v>3</v>
      </c>
      <c r="C767" s="2" t="s">
        <v>14</v>
      </c>
      <c r="D767" s="3" t="s">
        <v>36</v>
      </c>
      <c r="E767" s="4">
        <v>3566</v>
      </c>
      <c r="F767" s="4">
        <v>4577.3</v>
      </c>
      <c r="G767" s="4">
        <v>5126.576</v>
      </c>
      <c r="H767" s="4">
        <v>915.46</v>
      </c>
      <c r="I767" s="5" t="s">
        <v>40</v>
      </c>
    </row>
    <row r="768" spans="1:9" ht="18" customHeight="1" x14ac:dyDescent="0.25">
      <c r="A768" s="2">
        <v>2024</v>
      </c>
      <c r="B768" s="2" t="s">
        <v>3</v>
      </c>
      <c r="C768" s="2" t="s">
        <v>14</v>
      </c>
      <c r="D768" s="3" t="s">
        <v>37</v>
      </c>
      <c r="E768" s="4">
        <v>2498</v>
      </c>
      <c r="F768" s="4">
        <v>8000</v>
      </c>
      <c r="G768" s="4">
        <v>8960</v>
      </c>
      <c r="H768" s="4">
        <v>1600</v>
      </c>
      <c r="I768" s="5" t="s">
        <v>40</v>
      </c>
    </row>
    <row r="769" spans="1:9" ht="18" customHeight="1" x14ac:dyDescent="0.25">
      <c r="A769" s="2">
        <v>2024</v>
      </c>
      <c r="B769" s="2" t="s">
        <v>3</v>
      </c>
      <c r="C769" s="2" t="s">
        <v>13</v>
      </c>
      <c r="D769" s="3" t="s">
        <v>35</v>
      </c>
      <c r="E769" s="4">
        <v>1245</v>
      </c>
      <c r="F769" s="4">
        <v>4577.2</v>
      </c>
      <c r="G769" s="4">
        <v>5126.4639999999999</v>
      </c>
      <c r="H769" s="4">
        <v>915.44</v>
      </c>
      <c r="I769" s="5" t="s">
        <v>40</v>
      </c>
    </row>
    <row r="770" spans="1:9" ht="18" customHeight="1" x14ac:dyDescent="0.25">
      <c r="A770" s="2">
        <v>2024</v>
      </c>
      <c r="B770" s="2" t="s">
        <v>3</v>
      </c>
      <c r="C770" s="2" t="s">
        <v>38</v>
      </c>
      <c r="D770" s="6" t="s">
        <v>30</v>
      </c>
      <c r="E770" s="7">
        <v>644</v>
      </c>
      <c r="F770" s="7">
        <v>5743.5</v>
      </c>
      <c r="G770" s="7">
        <v>6432.72</v>
      </c>
      <c r="H770" s="4">
        <v>1148.7</v>
      </c>
      <c r="I770" s="5" t="s">
        <v>40</v>
      </c>
    </row>
    <row r="771" spans="1:9" ht="18" customHeight="1" x14ac:dyDescent="0.25">
      <c r="A771" s="2">
        <v>2024</v>
      </c>
      <c r="B771" s="2" t="s">
        <v>3</v>
      </c>
      <c r="C771" s="2" t="s">
        <v>12</v>
      </c>
      <c r="D771" s="6" t="s">
        <v>29</v>
      </c>
      <c r="E771" s="7">
        <v>643</v>
      </c>
      <c r="F771" s="7">
        <v>7000</v>
      </c>
      <c r="G771" s="7">
        <v>7840</v>
      </c>
      <c r="H771" s="4">
        <v>1400</v>
      </c>
      <c r="I771" s="5" t="s">
        <v>40</v>
      </c>
    </row>
    <row r="772" spans="1:9" ht="18" customHeight="1" x14ac:dyDescent="0.25">
      <c r="A772" s="2">
        <v>2024</v>
      </c>
      <c r="B772" s="2" t="s">
        <v>3</v>
      </c>
      <c r="C772" s="2" t="s">
        <v>38</v>
      </c>
      <c r="D772" s="6" t="s">
        <v>31</v>
      </c>
      <c r="E772" s="7">
        <v>455</v>
      </c>
      <c r="F772" s="7">
        <v>4578.6000000000004</v>
      </c>
      <c r="G772" s="7">
        <v>5128.0320000000002</v>
      </c>
      <c r="H772" s="4">
        <v>915.72000000000014</v>
      </c>
      <c r="I772" s="5" t="s">
        <v>40</v>
      </c>
    </row>
    <row r="773" spans="1:9" ht="18" customHeight="1" x14ac:dyDescent="0.25">
      <c r="A773" s="2">
        <v>2024</v>
      </c>
      <c r="B773" s="2" t="s">
        <v>3</v>
      </c>
      <c r="C773" s="2" t="s">
        <v>12</v>
      </c>
      <c r="D773" s="6" t="s">
        <v>28</v>
      </c>
      <c r="E773" s="8">
        <v>345</v>
      </c>
      <c r="F773" s="8">
        <v>7000</v>
      </c>
      <c r="G773" s="8">
        <v>7840</v>
      </c>
      <c r="H773" s="4">
        <v>1400</v>
      </c>
      <c r="I773" s="5" t="s">
        <v>40</v>
      </c>
    </row>
    <row r="774" spans="1:9" ht="18" customHeight="1" x14ac:dyDescent="0.25">
      <c r="A774" s="2">
        <v>2024</v>
      </c>
      <c r="B774" s="2" t="s">
        <v>3</v>
      </c>
      <c r="C774" s="2" t="s">
        <v>13</v>
      </c>
      <c r="D774" s="3" t="s">
        <v>33</v>
      </c>
      <c r="E774" s="4">
        <v>122</v>
      </c>
      <c r="F774" s="4">
        <v>100</v>
      </c>
      <c r="G774" s="4">
        <v>112</v>
      </c>
      <c r="H774" s="4">
        <v>20</v>
      </c>
      <c r="I774" s="5" t="s">
        <v>40</v>
      </c>
    </row>
    <row r="775" spans="1:9" ht="18" customHeight="1" x14ac:dyDescent="0.25">
      <c r="A775" s="2">
        <v>2024</v>
      </c>
      <c r="B775" s="2" t="s">
        <v>3</v>
      </c>
      <c r="C775" s="2" t="s">
        <v>15</v>
      </c>
      <c r="D775" s="6" t="s">
        <v>26</v>
      </c>
      <c r="E775" s="7">
        <v>78</v>
      </c>
      <c r="F775" s="7">
        <v>4577.2</v>
      </c>
      <c r="G775" s="7">
        <v>5126.4639999999999</v>
      </c>
      <c r="H775" s="4">
        <v>915.44</v>
      </c>
      <c r="I775" s="5" t="s">
        <v>40</v>
      </c>
    </row>
    <row r="776" spans="1:9" ht="18" customHeight="1" x14ac:dyDescent="0.25">
      <c r="A776" s="2">
        <v>2024</v>
      </c>
      <c r="B776" s="2" t="s">
        <v>3</v>
      </c>
      <c r="C776" s="2" t="s">
        <v>15</v>
      </c>
      <c r="D776" s="6" t="s">
        <v>24</v>
      </c>
      <c r="E776" s="7">
        <v>76</v>
      </c>
      <c r="F776" s="7">
        <v>4576.8999999999996</v>
      </c>
      <c r="G776" s="7">
        <v>5126.1279999999997</v>
      </c>
      <c r="H776" s="4">
        <v>915.38</v>
      </c>
      <c r="I776" s="5" t="s">
        <v>40</v>
      </c>
    </row>
    <row r="777" spans="1:9" ht="18" customHeight="1" x14ac:dyDescent="0.25">
      <c r="A777" s="2">
        <v>2024</v>
      </c>
      <c r="B777" s="2" t="s">
        <v>3</v>
      </c>
      <c r="C777" s="2" t="s">
        <v>15</v>
      </c>
      <c r="D777" s="6" t="s">
        <v>25</v>
      </c>
      <c r="E777" s="7">
        <v>46</v>
      </c>
      <c r="F777" s="7">
        <v>200</v>
      </c>
      <c r="G777" s="7">
        <v>224</v>
      </c>
      <c r="H777" s="4">
        <v>40</v>
      </c>
      <c r="I777" s="5" t="s">
        <v>40</v>
      </c>
    </row>
    <row r="778" spans="1:9" ht="18" customHeight="1" x14ac:dyDescent="0.25">
      <c r="A778" s="2">
        <v>2024</v>
      </c>
      <c r="B778" s="2" t="s">
        <v>3</v>
      </c>
      <c r="C778" s="2" t="s">
        <v>15</v>
      </c>
      <c r="D778" s="6" t="s">
        <v>23</v>
      </c>
      <c r="E778" s="7">
        <v>34</v>
      </c>
      <c r="F778" s="7">
        <v>4576.8</v>
      </c>
      <c r="G778" s="7">
        <v>5126.0160000000005</v>
      </c>
      <c r="H778" s="4">
        <v>915.36000000000013</v>
      </c>
      <c r="I778" s="5" t="s">
        <v>40</v>
      </c>
    </row>
    <row r="779" spans="1:9" ht="18" customHeight="1" x14ac:dyDescent="0.25">
      <c r="A779" s="2">
        <v>2024</v>
      </c>
      <c r="B779" s="2" t="s">
        <v>3</v>
      </c>
      <c r="C779" s="2" t="s">
        <v>13</v>
      </c>
      <c r="D779" s="3" t="s">
        <v>34</v>
      </c>
      <c r="E779" s="4">
        <v>7</v>
      </c>
      <c r="F779" s="4">
        <v>200</v>
      </c>
      <c r="G779" s="4">
        <v>224</v>
      </c>
      <c r="H779" s="4">
        <v>40</v>
      </c>
      <c r="I779" s="5" t="s">
        <v>40</v>
      </c>
    </row>
    <row r="780" spans="1:9" ht="18" customHeight="1" x14ac:dyDescent="0.25">
      <c r="A780" s="2">
        <v>2024</v>
      </c>
      <c r="B780" s="2" t="s">
        <v>3</v>
      </c>
      <c r="C780" s="2" t="s">
        <v>15</v>
      </c>
      <c r="D780" s="6" t="s">
        <v>27</v>
      </c>
      <c r="E780" s="7">
        <v>3</v>
      </c>
      <c r="F780" s="7">
        <v>4577.3</v>
      </c>
      <c r="G780" s="7">
        <v>5126.576</v>
      </c>
      <c r="H780" s="4">
        <v>915.46</v>
      </c>
      <c r="I780" s="5" t="s">
        <v>40</v>
      </c>
    </row>
    <row r="781" spans="1:9" ht="18" customHeight="1" x14ac:dyDescent="0.25">
      <c r="A781" s="2">
        <v>2024</v>
      </c>
      <c r="B781" s="2" t="s">
        <v>3</v>
      </c>
      <c r="C781" s="2" t="s">
        <v>32</v>
      </c>
      <c r="D781" s="6" t="s">
        <v>32</v>
      </c>
      <c r="E781" s="7">
        <v>2</v>
      </c>
      <c r="F781" s="7">
        <v>6600</v>
      </c>
      <c r="G781" s="7">
        <v>7392</v>
      </c>
      <c r="H781" s="4">
        <v>1320</v>
      </c>
      <c r="I781" s="5" t="s">
        <v>40</v>
      </c>
    </row>
    <row r="782" spans="1:9" ht="18" customHeight="1" x14ac:dyDescent="0.25">
      <c r="A782" s="2">
        <v>2024</v>
      </c>
      <c r="B782" s="2" t="s">
        <v>4</v>
      </c>
      <c r="C782" s="2" t="s">
        <v>14</v>
      </c>
      <c r="D782" s="3" t="s">
        <v>36</v>
      </c>
      <c r="E782" s="4">
        <v>3566</v>
      </c>
      <c r="F782" s="4">
        <v>4577.3</v>
      </c>
      <c r="G782" s="4">
        <v>5126.576</v>
      </c>
      <c r="H782" s="4">
        <v>915.46</v>
      </c>
      <c r="I782" s="5" t="s">
        <v>40</v>
      </c>
    </row>
    <row r="783" spans="1:9" ht="18" customHeight="1" x14ac:dyDescent="0.25">
      <c r="A783" s="2">
        <v>2024</v>
      </c>
      <c r="B783" s="2" t="s">
        <v>4</v>
      </c>
      <c r="C783" s="2" t="s">
        <v>14</v>
      </c>
      <c r="D783" s="3" t="s">
        <v>37</v>
      </c>
      <c r="E783" s="4">
        <v>2498</v>
      </c>
      <c r="F783" s="4">
        <v>8000</v>
      </c>
      <c r="G783" s="4">
        <v>8960</v>
      </c>
      <c r="H783" s="4">
        <v>1600</v>
      </c>
      <c r="I783" s="5" t="s">
        <v>40</v>
      </c>
    </row>
    <row r="784" spans="1:9" ht="18" customHeight="1" x14ac:dyDescent="0.25">
      <c r="A784" s="2">
        <v>2024</v>
      </c>
      <c r="B784" s="2" t="s">
        <v>4</v>
      </c>
      <c r="C784" s="2" t="s">
        <v>13</v>
      </c>
      <c r="D784" s="3" t="s">
        <v>35</v>
      </c>
      <c r="E784" s="4">
        <v>1245</v>
      </c>
      <c r="F784" s="4">
        <v>4577.2</v>
      </c>
      <c r="G784" s="4">
        <v>5126.4639999999999</v>
      </c>
      <c r="H784" s="4">
        <v>915.44</v>
      </c>
      <c r="I784" s="5" t="s">
        <v>40</v>
      </c>
    </row>
    <row r="785" spans="1:9" ht="18" customHeight="1" x14ac:dyDescent="0.25">
      <c r="A785" s="2">
        <v>2024</v>
      </c>
      <c r="B785" s="2" t="s">
        <v>4</v>
      </c>
      <c r="C785" s="2" t="s">
        <v>38</v>
      </c>
      <c r="D785" s="6" t="s">
        <v>30</v>
      </c>
      <c r="E785" s="7">
        <v>644</v>
      </c>
      <c r="F785" s="7">
        <v>5743.5</v>
      </c>
      <c r="G785" s="7">
        <v>6432.72</v>
      </c>
      <c r="H785" s="4">
        <v>1148.7</v>
      </c>
      <c r="I785" s="5" t="s">
        <v>40</v>
      </c>
    </row>
    <row r="786" spans="1:9" ht="18" customHeight="1" x14ac:dyDescent="0.25">
      <c r="A786" s="2">
        <v>2024</v>
      </c>
      <c r="B786" s="2" t="s">
        <v>4</v>
      </c>
      <c r="C786" s="2" t="s">
        <v>12</v>
      </c>
      <c r="D786" s="6" t="s">
        <v>29</v>
      </c>
      <c r="E786" s="7">
        <v>643</v>
      </c>
      <c r="F786" s="7">
        <v>7000</v>
      </c>
      <c r="G786" s="7">
        <v>7840</v>
      </c>
      <c r="H786" s="4">
        <v>1400</v>
      </c>
      <c r="I786" s="5" t="s">
        <v>40</v>
      </c>
    </row>
    <row r="787" spans="1:9" ht="18" customHeight="1" x14ac:dyDescent="0.25">
      <c r="A787" s="2">
        <v>2024</v>
      </c>
      <c r="B787" s="2" t="s">
        <v>4</v>
      </c>
      <c r="C787" s="2" t="s">
        <v>38</v>
      </c>
      <c r="D787" s="6" t="s">
        <v>31</v>
      </c>
      <c r="E787" s="7">
        <v>455</v>
      </c>
      <c r="F787" s="7">
        <v>4578.6000000000004</v>
      </c>
      <c r="G787" s="7">
        <v>5128.0320000000002</v>
      </c>
      <c r="H787" s="4">
        <v>915.72000000000014</v>
      </c>
      <c r="I787" s="5" t="s">
        <v>40</v>
      </c>
    </row>
    <row r="788" spans="1:9" ht="18" customHeight="1" x14ac:dyDescent="0.25">
      <c r="A788" s="2">
        <v>2024</v>
      </c>
      <c r="B788" s="2" t="s">
        <v>4</v>
      </c>
      <c r="C788" s="2" t="s">
        <v>12</v>
      </c>
      <c r="D788" s="6" t="s">
        <v>28</v>
      </c>
      <c r="E788" s="8">
        <v>345</v>
      </c>
      <c r="F788" s="8">
        <v>7000</v>
      </c>
      <c r="G788" s="8">
        <v>7840</v>
      </c>
      <c r="H788" s="4">
        <v>1400</v>
      </c>
      <c r="I788" s="5" t="s">
        <v>40</v>
      </c>
    </row>
    <row r="789" spans="1:9" ht="18" customHeight="1" x14ac:dyDescent="0.25">
      <c r="A789" s="2">
        <v>2024</v>
      </c>
      <c r="B789" s="2" t="s">
        <v>4</v>
      </c>
      <c r="C789" s="2" t="s">
        <v>13</v>
      </c>
      <c r="D789" s="3" t="s">
        <v>33</v>
      </c>
      <c r="E789" s="4">
        <v>122</v>
      </c>
      <c r="F789" s="4">
        <v>100</v>
      </c>
      <c r="G789" s="4">
        <v>112</v>
      </c>
      <c r="H789" s="4">
        <v>20</v>
      </c>
      <c r="I789" s="5" t="s">
        <v>40</v>
      </c>
    </row>
    <row r="790" spans="1:9" ht="18" customHeight="1" x14ac:dyDescent="0.25">
      <c r="A790" s="2">
        <v>2024</v>
      </c>
      <c r="B790" s="2" t="s">
        <v>4</v>
      </c>
      <c r="C790" s="2" t="s">
        <v>15</v>
      </c>
      <c r="D790" s="6" t="s">
        <v>26</v>
      </c>
      <c r="E790" s="7">
        <v>78</v>
      </c>
      <c r="F790" s="7">
        <v>4577.2</v>
      </c>
      <c r="G790" s="7">
        <v>5126.4639999999999</v>
      </c>
      <c r="H790" s="4">
        <v>915.44</v>
      </c>
      <c r="I790" s="5" t="s">
        <v>40</v>
      </c>
    </row>
    <row r="791" spans="1:9" ht="18" customHeight="1" x14ac:dyDescent="0.25">
      <c r="A791" s="2">
        <v>2024</v>
      </c>
      <c r="B791" s="2" t="s">
        <v>4</v>
      </c>
      <c r="C791" s="2" t="s">
        <v>15</v>
      </c>
      <c r="D791" s="6" t="s">
        <v>24</v>
      </c>
      <c r="E791" s="7">
        <v>76</v>
      </c>
      <c r="F791" s="7">
        <v>4576.8999999999996</v>
      </c>
      <c r="G791" s="7">
        <v>5126.1279999999997</v>
      </c>
      <c r="H791" s="4">
        <v>915.38</v>
      </c>
      <c r="I791" s="5" t="s">
        <v>40</v>
      </c>
    </row>
    <row r="792" spans="1:9" ht="18" customHeight="1" x14ac:dyDescent="0.25">
      <c r="A792" s="2">
        <v>2024</v>
      </c>
      <c r="B792" s="2" t="s">
        <v>4</v>
      </c>
      <c r="C792" s="2" t="s">
        <v>15</v>
      </c>
      <c r="D792" s="6" t="s">
        <v>25</v>
      </c>
      <c r="E792" s="7">
        <v>46</v>
      </c>
      <c r="F792" s="7">
        <v>200</v>
      </c>
      <c r="G792" s="7">
        <v>224</v>
      </c>
      <c r="H792" s="4">
        <v>40</v>
      </c>
      <c r="I792" s="5" t="s">
        <v>40</v>
      </c>
    </row>
    <row r="793" spans="1:9" ht="18" customHeight="1" x14ac:dyDescent="0.25">
      <c r="A793" s="2">
        <v>2024</v>
      </c>
      <c r="B793" s="2" t="s">
        <v>4</v>
      </c>
      <c r="C793" s="2" t="s">
        <v>15</v>
      </c>
      <c r="D793" s="6" t="s">
        <v>23</v>
      </c>
      <c r="E793" s="7">
        <v>34</v>
      </c>
      <c r="F793" s="7">
        <v>4576.8</v>
      </c>
      <c r="G793" s="7">
        <v>5126.0160000000005</v>
      </c>
      <c r="H793" s="4">
        <v>915.36000000000013</v>
      </c>
      <c r="I793" s="5" t="s">
        <v>40</v>
      </c>
    </row>
    <row r="794" spans="1:9" ht="18" customHeight="1" x14ac:dyDescent="0.25">
      <c r="A794" s="2">
        <v>2024</v>
      </c>
      <c r="B794" s="2" t="s">
        <v>4</v>
      </c>
      <c r="C794" s="2" t="s">
        <v>13</v>
      </c>
      <c r="D794" s="3" t="s">
        <v>34</v>
      </c>
      <c r="E794" s="4">
        <v>7</v>
      </c>
      <c r="F794" s="4">
        <v>200</v>
      </c>
      <c r="G794" s="4">
        <v>224</v>
      </c>
      <c r="H794" s="4">
        <v>40</v>
      </c>
      <c r="I794" s="5" t="s">
        <v>40</v>
      </c>
    </row>
    <row r="795" spans="1:9" ht="18" customHeight="1" x14ac:dyDescent="0.25">
      <c r="A795" s="2">
        <v>2024</v>
      </c>
      <c r="B795" s="2" t="s">
        <v>4</v>
      </c>
      <c r="C795" s="2" t="s">
        <v>15</v>
      </c>
      <c r="D795" s="6" t="s">
        <v>27</v>
      </c>
      <c r="E795" s="7">
        <v>3</v>
      </c>
      <c r="F795" s="7">
        <v>4577.3</v>
      </c>
      <c r="G795" s="7">
        <v>5126.576</v>
      </c>
      <c r="H795" s="4">
        <v>915.46</v>
      </c>
      <c r="I795" s="5" t="s">
        <v>40</v>
      </c>
    </row>
    <row r="796" spans="1:9" ht="18" customHeight="1" x14ac:dyDescent="0.25">
      <c r="A796" s="2">
        <v>2024</v>
      </c>
      <c r="B796" s="2" t="s">
        <v>4</v>
      </c>
      <c r="C796" s="2" t="s">
        <v>32</v>
      </c>
      <c r="D796" s="6" t="s">
        <v>32</v>
      </c>
      <c r="E796" s="7">
        <v>2</v>
      </c>
      <c r="F796" s="7">
        <v>6600</v>
      </c>
      <c r="G796" s="7">
        <v>7392</v>
      </c>
      <c r="H796" s="4">
        <v>1320</v>
      </c>
      <c r="I796" s="5" t="s">
        <v>42</v>
      </c>
    </row>
    <row r="797" spans="1:9" ht="18" customHeight="1" x14ac:dyDescent="0.25">
      <c r="A797" s="2">
        <v>2024</v>
      </c>
      <c r="B797" s="2" t="s">
        <v>5</v>
      </c>
      <c r="C797" s="2" t="s">
        <v>14</v>
      </c>
      <c r="D797" s="3" t="s">
        <v>36</v>
      </c>
      <c r="E797" s="4">
        <v>3566</v>
      </c>
      <c r="F797" s="4">
        <v>4577.3</v>
      </c>
      <c r="G797" s="4">
        <v>5126.576</v>
      </c>
      <c r="H797" s="4">
        <v>915.46</v>
      </c>
      <c r="I797" s="5" t="s">
        <v>42</v>
      </c>
    </row>
    <row r="798" spans="1:9" ht="18" customHeight="1" x14ac:dyDescent="0.25">
      <c r="A798" s="2">
        <v>2024</v>
      </c>
      <c r="B798" s="2" t="s">
        <v>5</v>
      </c>
      <c r="C798" s="2" t="s">
        <v>14</v>
      </c>
      <c r="D798" s="3" t="s">
        <v>37</v>
      </c>
      <c r="E798" s="4">
        <v>2498</v>
      </c>
      <c r="F798" s="4">
        <v>8000</v>
      </c>
      <c r="G798" s="4">
        <v>8960</v>
      </c>
      <c r="H798" s="4">
        <v>1600</v>
      </c>
      <c r="I798" s="5" t="s">
        <v>42</v>
      </c>
    </row>
    <row r="799" spans="1:9" ht="18" customHeight="1" x14ac:dyDescent="0.25">
      <c r="A799" s="2">
        <v>2024</v>
      </c>
      <c r="B799" s="2" t="s">
        <v>5</v>
      </c>
      <c r="C799" s="2" t="s">
        <v>13</v>
      </c>
      <c r="D799" s="3" t="s">
        <v>35</v>
      </c>
      <c r="E799" s="4">
        <v>1245</v>
      </c>
      <c r="F799" s="4">
        <v>4577.2</v>
      </c>
      <c r="G799" s="4">
        <v>5126.4639999999999</v>
      </c>
      <c r="H799" s="4">
        <v>915.44</v>
      </c>
      <c r="I799" s="5" t="s">
        <v>42</v>
      </c>
    </row>
    <row r="800" spans="1:9" ht="18" customHeight="1" x14ac:dyDescent="0.25">
      <c r="A800" s="2">
        <v>2024</v>
      </c>
      <c r="B800" s="2" t="s">
        <v>5</v>
      </c>
      <c r="C800" s="2" t="s">
        <v>38</v>
      </c>
      <c r="D800" s="6" t="s">
        <v>30</v>
      </c>
      <c r="E800" s="7">
        <v>644</v>
      </c>
      <c r="F800" s="7">
        <v>5743.5</v>
      </c>
      <c r="G800" s="7">
        <v>6432.72</v>
      </c>
      <c r="H800" s="4">
        <v>1148.7</v>
      </c>
      <c r="I800" s="5" t="s">
        <v>42</v>
      </c>
    </row>
    <row r="801" spans="1:9" ht="18" customHeight="1" x14ac:dyDescent="0.25">
      <c r="A801" s="2">
        <v>2024</v>
      </c>
      <c r="B801" s="2" t="s">
        <v>5</v>
      </c>
      <c r="C801" s="2" t="s">
        <v>12</v>
      </c>
      <c r="D801" s="6" t="s">
        <v>29</v>
      </c>
      <c r="E801" s="7">
        <v>643</v>
      </c>
      <c r="F801" s="7">
        <v>7000</v>
      </c>
      <c r="G801" s="7">
        <v>7840</v>
      </c>
      <c r="H801" s="4">
        <v>1400</v>
      </c>
      <c r="I801" s="5" t="s">
        <v>42</v>
      </c>
    </row>
    <row r="802" spans="1:9" ht="18" customHeight="1" x14ac:dyDescent="0.25">
      <c r="A802" s="2">
        <v>2024</v>
      </c>
      <c r="B802" s="2" t="s">
        <v>5</v>
      </c>
      <c r="C802" s="2" t="s">
        <v>38</v>
      </c>
      <c r="D802" s="6" t="s">
        <v>31</v>
      </c>
      <c r="E802" s="7">
        <v>455</v>
      </c>
      <c r="F802" s="7">
        <v>4578.6000000000004</v>
      </c>
      <c r="G802" s="7">
        <v>5128.0320000000002</v>
      </c>
      <c r="H802" s="4">
        <v>915.72000000000014</v>
      </c>
      <c r="I802" s="5" t="s">
        <v>42</v>
      </c>
    </row>
    <row r="803" spans="1:9" ht="18" customHeight="1" x14ac:dyDescent="0.25">
      <c r="A803" s="2">
        <v>2024</v>
      </c>
      <c r="B803" s="2" t="s">
        <v>5</v>
      </c>
      <c r="C803" s="2" t="s">
        <v>12</v>
      </c>
      <c r="D803" s="6" t="s">
        <v>28</v>
      </c>
      <c r="E803" s="8">
        <v>345</v>
      </c>
      <c r="F803" s="8">
        <v>7000</v>
      </c>
      <c r="G803" s="8">
        <v>7840</v>
      </c>
      <c r="H803" s="4">
        <v>1400</v>
      </c>
      <c r="I803" s="5" t="s">
        <v>42</v>
      </c>
    </row>
    <row r="804" spans="1:9" ht="18" customHeight="1" x14ac:dyDescent="0.25">
      <c r="A804" s="2">
        <v>2024</v>
      </c>
      <c r="B804" s="2" t="s">
        <v>5</v>
      </c>
      <c r="C804" s="2" t="s">
        <v>13</v>
      </c>
      <c r="D804" s="3" t="s">
        <v>33</v>
      </c>
      <c r="E804" s="4">
        <v>122</v>
      </c>
      <c r="F804" s="4">
        <v>100</v>
      </c>
      <c r="G804" s="4">
        <v>112</v>
      </c>
      <c r="H804" s="4">
        <v>20</v>
      </c>
      <c r="I804" s="5" t="s">
        <v>42</v>
      </c>
    </row>
    <row r="805" spans="1:9" ht="18" customHeight="1" x14ac:dyDescent="0.25">
      <c r="A805" s="2">
        <v>2024</v>
      </c>
      <c r="B805" s="2" t="s">
        <v>5</v>
      </c>
      <c r="C805" s="2" t="s">
        <v>15</v>
      </c>
      <c r="D805" s="6" t="s">
        <v>26</v>
      </c>
      <c r="E805" s="7">
        <v>78</v>
      </c>
      <c r="F805" s="7">
        <v>4577.2</v>
      </c>
      <c r="G805" s="7">
        <v>5126.4639999999999</v>
      </c>
      <c r="H805" s="4">
        <v>915.44</v>
      </c>
      <c r="I805" s="5" t="s">
        <v>42</v>
      </c>
    </row>
    <row r="806" spans="1:9" ht="18" customHeight="1" x14ac:dyDescent="0.25">
      <c r="A806" s="2">
        <v>2024</v>
      </c>
      <c r="B806" s="2" t="s">
        <v>5</v>
      </c>
      <c r="C806" s="2" t="s">
        <v>15</v>
      </c>
      <c r="D806" s="6" t="s">
        <v>24</v>
      </c>
      <c r="E806" s="7">
        <v>76</v>
      </c>
      <c r="F806" s="7">
        <v>4576.8999999999996</v>
      </c>
      <c r="G806" s="7">
        <v>5126.1279999999997</v>
      </c>
      <c r="H806" s="4">
        <v>915.38</v>
      </c>
      <c r="I806" s="5" t="s">
        <v>42</v>
      </c>
    </row>
    <row r="807" spans="1:9" ht="18" customHeight="1" x14ac:dyDescent="0.25">
      <c r="A807" s="2">
        <v>2024</v>
      </c>
      <c r="B807" s="2" t="s">
        <v>5</v>
      </c>
      <c r="C807" s="2" t="s">
        <v>15</v>
      </c>
      <c r="D807" s="6" t="s">
        <v>25</v>
      </c>
      <c r="E807" s="7">
        <v>46</v>
      </c>
      <c r="F807" s="7">
        <v>200</v>
      </c>
      <c r="G807" s="7">
        <v>224</v>
      </c>
      <c r="H807" s="4">
        <v>40</v>
      </c>
      <c r="I807" s="5" t="s">
        <v>42</v>
      </c>
    </row>
    <row r="808" spans="1:9" ht="18" customHeight="1" x14ac:dyDescent="0.25">
      <c r="A808" s="2">
        <v>2024</v>
      </c>
      <c r="B808" s="2" t="s">
        <v>5</v>
      </c>
      <c r="C808" s="2" t="s">
        <v>15</v>
      </c>
      <c r="D808" s="6" t="s">
        <v>23</v>
      </c>
      <c r="E808" s="7">
        <v>34</v>
      </c>
      <c r="F808" s="7">
        <v>4576.8</v>
      </c>
      <c r="G808" s="7">
        <v>5126.0160000000005</v>
      </c>
      <c r="H808" s="4">
        <v>915.36000000000013</v>
      </c>
      <c r="I808" s="5" t="s">
        <v>42</v>
      </c>
    </row>
    <row r="809" spans="1:9" ht="18" customHeight="1" x14ac:dyDescent="0.25">
      <c r="A809" s="2">
        <v>2024</v>
      </c>
      <c r="B809" s="2" t="s">
        <v>5</v>
      </c>
      <c r="C809" s="2" t="s">
        <v>13</v>
      </c>
      <c r="D809" s="3" t="s">
        <v>34</v>
      </c>
      <c r="E809" s="4">
        <v>7</v>
      </c>
      <c r="F809" s="4">
        <v>200</v>
      </c>
      <c r="G809" s="4">
        <v>224</v>
      </c>
      <c r="H809" s="4">
        <v>40</v>
      </c>
      <c r="I809" s="5" t="s">
        <v>42</v>
      </c>
    </row>
    <row r="810" spans="1:9" ht="18" customHeight="1" x14ac:dyDescent="0.25">
      <c r="A810" s="2">
        <v>2024</v>
      </c>
      <c r="B810" s="2" t="s">
        <v>5</v>
      </c>
      <c r="C810" s="2" t="s">
        <v>32</v>
      </c>
      <c r="D810" s="6" t="s">
        <v>32</v>
      </c>
      <c r="E810" s="7">
        <v>3</v>
      </c>
      <c r="F810" s="7">
        <v>6600</v>
      </c>
      <c r="G810" s="7">
        <v>7392</v>
      </c>
      <c r="H810" s="4">
        <v>1320</v>
      </c>
      <c r="I810" s="5" t="s">
        <v>42</v>
      </c>
    </row>
    <row r="811" spans="1:9" ht="18" customHeight="1" x14ac:dyDescent="0.25">
      <c r="A811" s="2">
        <v>2024</v>
      </c>
      <c r="B811" s="2" t="s">
        <v>5</v>
      </c>
      <c r="C811" s="2" t="s">
        <v>15</v>
      </c>
      <c r="D811" s="6" t="s">
        <v>27</v>
      </c>
      <c r="E811" s="7">
        <v>3</v>
      </c>
      <c r="F811" s="7">
        <v>4577.3</v>
      </c>
      <c r="G811" s="7">
        <v>5126.576</v>
      </c>
      <c r="H811" s="4">
        <v>915.46</v>
      </c>
      <c r="I811" s="5" t="s">
        <v>42</v>
      </c>
    </row>
    <row r="812" spans="1:9" ht="18" customHeight="1" x14ac:dyDescent="0.25">
      <c r="A812" s="2">
        <v>2024</v>
      </c>
      <c r="B812" s="2" t="s">
        <v>6</v>
      </c>
      <c r="C812" s="2" t="s">
        <v>14</v>
      </c>
      <c r="D812" s="3" t="s">
        <v>36</v>
      </c>
      <c r="E812" s="4">
        <v>3566</v>
      </c>
      <c r="F812" s="4">
        <v>4577.3</v>
      </c>
      <c r="G812" s="4">
        <v>5126.576</v>
      </c>
      <c r="H812" s="4">
        <v>915.46</v>
      </c>
      <c r="I812" s="5" t="s">
        <v>42</v>
      </c>
    </row>
    <row r="813" spans="1:9" ht="18" customHeight="1" x14ac:dyDescent="0.25">
      <c r="A813" s="2">
        <v>2024</v>
      </c>
      <c r="B813" s="2" t="s">
        <v>6</v>
      </c>
      <c r="C813" s="2" t="s">
        <v>14</v>
      </c>
      <c r="D813" s="3" t="s">
        <v>37</v>
      </c>
      <c r="E813" s="4">
        <v>2498</v>
      </c>
      <c r="F813" s="4">
        <v>8000</v>
      </c>
      <c r="G813" s="4">
        <v>8960</v>
      </c>
      <c r="H813" s="4">
        <v>1600</v>
      </c>
      <c r="I813" s="5" t="s">
        <v>42</v>
      </c>
    </row>
    <row r="814" spans="1:9" ht="18" customHeight="1" x14ac:dyDescent="0.25">
      <c r="A814" s="2">
        <v>2024</v>
      </c>
      <c r="B814" s="2" t="s">
        <v>6</v>
      </c>
      <c r="C814" s="2" t="s">
        <v>13</v>
      </c>
      <c r="D814" s="3" t="s">
        <v>35</v>
      </c>
      <c r="E814" s="4">
        <v>1245</v>
      </c>
      <c r="F814" s="4">
        <v>4577.2</v>
      </c>
      <c r="G814" s="4">
        <v>5126.4639999999999</v>
      </c>
      <c r="H814" s="4">
        <v>915.44</v>
      </c>
      <c r="I814" s="5" t="s">
        <v>42</v>
      </c>
    </row>
    <row r="815" spans="1:9" ht="18" customHeight="1" x14ac:dyDescent="0.25">
      <c r="A815" s="2">
        <v>2024</v>
      </c>
      <c r="B815" s="2" t="s">
        <v>6</v>
      </c>
      <c r="C815" s="2" t="s">
        <v>38</v>
      </c>
      <c r="D815" s="6" t="s">
        <v>30</v>
      </c>
      <c r="E815" s="7">
        <v>644</v>
      </c>
      <c r="F815" s="7">
        <v>5743.5</v>
      </c>
      <c r="G815" s="7">
        <v>6432.72</v>
      </c>
      <c r="H815" s="4">
        <v>1148.7</v>
      </c>
      <c r="I815" s="5" t="s">
        <v>42</v>
      </c>
    </row>
    <row r="816" spans="1:9" ht="18" customHeight="1" x14ac:dyDescent="0.25">
      <c r="A816" s="2">
        <v>2024</v>
      </c>
      <c r="B816" s="2" t="s">
        <v>6</v>
      </c>
      <c r="C816" s="2" t="s">
        <v>12</v>
      </c>
      <c r="D816" s="6" t="s">
        <v>29</v>
      </c>
      <c r="E816" s="7">
        <v>643</v>
      </c>
      <c r="F816" s="7">
        <v>7000</v>
      </c>
      <c r="G816" s="7">
        <v>7840</v>
      </c>
      <c r="H816" s="4">
        <v>1400</v>
      </c>
      <c r="I816" s="5" t="s">
        <v>42</v>
      </c>
    </row>
    <row r="817" spans="1:9" ht="18" customHeight="1" x14ac:dyDescent="0.25">
      <c r="A817" s="2">
        <v>2024</v>
      </c>
      <c r="B817" s="2" t="s">
        <v>6</v>
      </c>
      <c r="C817" s="2" t="s">
        <v>38</v>
      </c>
      <c r="D817" s="6" t="s">
        <v>31</v>
      </c>
      <c r="E817" s="7">
        <v>455</v>
      </c>
      <c r="F817" s="7">
        <v>4578.6000000000004</v>
      </c>
      <c r="G817" s="7">
        <v>5128.0320000000002</v>
      </c>
      <c r="H817" s="4">
        <v>915.72000000000014</v>
      </c>
      <c r="I817" s="5" t="s">
        <v>42</v>
      </c>
    </row>
    <row r="818" spans="1:9" ht="18" customHeight="1" x14ac:dyDescent="0.25">
      <c r="A818" s="2">
        <v>2024</v>
      </c>
      <c r="B818" s="2" t="s">
        <v>6</v>
      </c>
      <c r="C818" s="2" t="s">
        <v>12</v>
      </c>
      <c r="D818" s="6" t="s">
        <v>28</v>
      </c>
      <c r="E818" s="8">
        <v>345</v>
      </c>
      <c r="F818" s="8">
        <v>7000</v>
      </c>
      <c r="G818" s="8">
        <v>7840</v>
      </c>
      <c r="H818" s="4">
        <v>1400</v>
      </c>
      <c r="I818" s="5" t="s">
        <v>42</v>
      </c>
    </row>
    <row r="819" spans="1:9" ht="18" customHeight="1" x14ac:dyDescent="0.25">
      <c r="A819" s="2">
        <v>2024</v>
      </c>
      <c r="B819" s="2" t="s">
        <v>6</v>
      </c>
      <c r="C819" s="2" t="s">
        <v>13</v>
      </c>
      <c r="D819" s="3" t="s">
        <v>33</v>
      </c>
      <c r="E819" s="4">
        <v>122</v>
      </c>
      <c r="F819" s="4">
        <v>100</v>
      </c>
      <c r="G819" s="4">
        <v>112</v>
      </c>
      <c r="H819" s="4">
        <v>20</v>
      </c>
      <c r="I819" s="5" t="s">
        <v>40</v>
      </c>
    </row>
    <row r="820" spans="1:9" ht="18" customHeight="1" x14ac:dyDescent="0.25">
      <c r="A820" s="2">
        <v>2024</v>
      </c>
      <c r="B820" s="2" t="s">
        <v>6</v>
      </c>
      <c r="C820" s="2" t="s">
        <v>15</v>
      </c>
      <c r="D820" s="6" t="s">
        <v>26</v>
      </c>
      <c r="E820" s="7">
        <v>78</v>
      </c>
      <c r="F820" s="7">
        <v>4577.2</v>
      </c>
      <c r="G820" s="7">
        <v>5126.4639999999999</v>
      </c>
      <c r="H820" s="4">
        <v>915.44</v>
      </c>
      <c r="I820" s="5" t="s">
        <v>40</v>
      </c>
    </row>
    <row r="821" spans="1:9" ht="18" customHeight="1" x14ac:dyDescent="0.25">
      <c r="A821" s="2">
        <v>2024</v>
      </c>
      <c r="B821" s="2" t="s">
        <v>6</v>
      </c>
      <c r="C821" s="2" t="s">
        <v>15</v>
      </c>
      <c r="D821" s="6" t="s">
        <v>24</v>
      </c>
      <c r="E821" s="7">
        <v>76</v>
      </c>
      <c r="F821" s="7">
        <v>4576.8999999999996</v>
      </c>
      <c r="G821" s="7">
        <v>5126.1279999999997</v>
      </c>
      <c r="H821" s="4">
        <v>915.38</v>
      </c>
      <c r="I821" s="5" t="s">
        <v>40</v>
      </c>
    </row>
    <row r="822" spans="1:9" ht="18" customHeight="1" x14ac:dyDescent="0.25">
      <c r="A822" s="2">
        <v>2024</v>
      </c>
      <c r="B822" s="2" t="s">
        <v>6</v>
      </c>
      <c r="C822" s="2" t="s">
        <v>15</v>
      </c>
      <c r="D822" s="6" t="s">
        <v>25</v>
      </c>
      <c r="E822" s="7">
        <v>46</v>
      </c>
      <c r="F822" s="7">
        <v>200</v>
      </c>
      <c r="G822" s="7">
        <v>224</v>
      </c>
      <c r="H822" s="4">
        <v>40</v>
      </c>
      <c r="I822" s="5" t="s">
        <v>40</v>
      </c>
    </row>
    <row r="823" spans="1:9" ht="18" customHeight="1" x14ac:dyDescent="0.25">
      <c r="A823" s="2">
        <v>2024</v>
      </c>
      <c r="B823" s="2" t="s">
        <v>6</v>
      </c>
      <c r="C823" s="2" t="s">
        <v>15</v>
      </c>
      <c r="D823" s="6" t="s">
        <v>23</v>
      </c>
      <c r="E823" s="7">
        <v>34</v>
      </c>
      <c r="F823" s="7">
        <v>4576.8</v>
      </c>
      <c r="G823" s="7">
        <v>5126.0160000000005</v>
      </c>
      <c r="H823" s="4">
        <v>915.36000000000013</v>
      </c>
      <c r="I823" s="5" t="s">
        <v>40</v>
      </c>
    </row>
    <row r="824" spans="1:9" ht="18" customHeight="1" x14ac:dyDescent="0.25">
      <c r="A824" s="2">
        <v>2024</v>
      </c>
      <c r="B824" s="2" t="s">
        <v>6</v>
      </c>
      <c r="C824" s="2" t="s">
        <v>13</v>
      </c>
      <c r="D824" s="3" t="s">
        <v>34</v>
      </c>
      <c r="E824" s="4">
        <v>7</v>
      </c>
      <c r="F824" s="4">
        <v>200</v>
      </c>
      <c r="G824" s="4">
        <v>224</v>
      </c>
      <c r="H824" s="4">
        <v>40</v>
      </c>
      <c r="I824" s="5" t="s">
        <v>40</v>
      </c>
    </row>
    <row r="825" spans="1:9" ht="18" customHeight="1" x14ac:dyDescent="0.25">
      <c r="A825" s="2">
        <v>2024</v>
      </c>
      <c r="B825" s="2" t="s">
        <v>6</v>
      </c>
      <c r="C825" s="2" t="s">
        <v>15</v>
      </c>
      <c r="D825" s="6" t="s">
        <v>27</v>
      </c>
      <c r="E825" s="7">
        <v>3</v>
      </c>
      <c r="F825" s="7">
        <v>4577.3</v>
      </c>
      <c r="G825" s="7">
        <v>5126.576</v>
      </c>
      <c r="H825" s="4">
        <v>915.46</v>
      </c>
      <c r="I825" s="5" t="s">
        <v>40</v>
      </c>
    </row>
    <row r="826" spans="1:9" ht="18" customHeight="1" x14ac:dyDescent="0.25">
      <c r="A826" s="2">
        <v>2024</v>
      </c>
      <c r="B826" s="2" t="s">
        <v>6</v>
      </c>
      <c r="C826" s="2" t="s">
        <v>32</v>
      </c>
      <c r="D826" s="6" t="s">
        <v>32</v>
      </c>
      <c r="E826" s="7">
        <v>2</v>
      </c>
      <c r="F826" s="7">
        <v>6600</v>
      </c>
      <c r="G826" s="7">
        <v>7392</v>
      </c>
      <c r="H826" s="4">
        <v>1320</v>
      </c>
      <c r="I826" s="5" t="s">
        <v>40</v>
      </c>
    </row>
    <row r="827" spans="1:9" ht="18" customHeight="1" x14ac:dyDescent="0.25">
      <c r="A827" s="2">
        <v>2024</v>
      </c>
      <c r="B827" s="2" t="s">
        <v>7</v>
      </c>
      <c r="C827" s="2" t="s">
        <v>14</v>
      </c>
      <c r="D827" s="3" t="s">
        <v>36</v>
      </c>
      <c r="E827" s="4">
        <v>3566</v>
      </c>
      <c r="F827" s="4">
        <v>4577.3</v>
      </c>
      <c r="G827" s="4">
        <v>5126.576</v>
      </c>
      <c r="H827" s="4">
        <v>915.46</v>
      </c>
      <c r="I827" s="5" t="s">
        <v>40</v>
      </c>
    </row>
    <row r="828" spans="1:9" ht="18" customHeight="1" x14ac:dyDescent="0.25">
      <c r="A828" s="2">
        <v>2024</v>
      </c>
      <c r="B828" s="2" t="s">
        <v>7</v>
      </c>
      <c r="C828" s="2" t="s">
        <v>14</v>
      </c>
      <c r="D828" s="3" t="s">
        <v>37</v>
      </c>
      <c r="E828" s="4">
        <v>2498</v>
      </c>
      <c r="F828" s="4">
        <v>8000</v>
      </c>
      <c r="G828" s="4">
        <v>8960</v>
      </c>
      <c r="H828" s="4">
        <v>1600</v>
      </c>
      <c r="I828" s="5" t="s">
        <v>40</v>
      </c>
    </row>
    <row r="829" spans="1:9" ht="18" customHeight="1" x14ac:dyDescent="0.25">
      <c r="A829" s="2">
        <v>2024</v>
      </c>
      <c r="B829" s="2" t="s">
        <v>7</v>
      </c>
      <c r="C829" s="2" t="s">
        <v>13</v>
      </c>
      <c r="D829" s="3" t="s">
        <v>35</v>
      </c>
      <c r="E829" s="4">
        <v>1245</v>
      </c>
      <c r="F829" s="4">
        <v>4577.2</v>
      </c>
      <c r="G829" s="4">
        <v>5126.4639999999999</v>
      </c>
      <c r="H829" s="4">
        <v>915.44</v>
      </c>
      <c r="I829" s="5" t="s">
        <v>40</v>
      </c>
    </row>
    <row r="830" spans="1:9" ht="18" customHeight="1" x14ac:dyDescent="0.25">
      <c r="A830" s="2">
        <v>2024</v>
      </c>
      <c r="B830" s="2" t="s">
        <v>7</v>
      </c>
      <c r="C830" s="2" t="s">
        <v>38</v>
      </c>
      <c r="D830" s="6" t="s">
        <v>30</v>
      </c>
      <c r="E830" s="7">
        <v>644</v>
      </c>
      <c r="F830" s="7">
        <v>5743.5</v>
      </c>
      <c r="G830" s="7">
        <v>6432.72</v>
      </c>
      <c r="H830" s="4">
        <v>1148.7</v>
      </c>
      <c r="I830" s="5" t="s">
        <v>40</v>
      </c>
    </row>
    <row r="831" spans="1:9" ht="18" customHeight="1" x14ac:dyDescent="0.25">
      <c r="A831" s="2">
        <v>2024</v>
      </c>
      <c r="B831" s="2" t="s">
        <v>7</v>
      </c>
      <c r="C831" s="2" t="s">
        <v>12</v>
      </c>
      <c r="D831" s="6" t="s">
        <v>29</v>
      </c>
      <c r="E831" s="7">
        <v>643</v>
      </c>
      <c r="F831" s="7">
        <v>7000</v>
      </c>
      <c r="G831" s="7">
        <v>7840</v>
      </c>
      <c r="H831" s="4">
        <v>1400</v>
      </c>
      <c r="I831" s="5" t="s">
        <v>40</v>
      </c>
    </row>
    <row r="832" spans="1:9" ht="18" customHeight="1" x14ac:dyDescent="0.25">
      <c r="A832" s="2">
        <v>2024</v>
      </c>
      <c r="B832" s="2" t="s">
        <v>7</v>
      </c>
      <c r="C832" s="2" t="s">
        <v>38</v>
      </c>
      <c r="D832" s="6" t="s">
        <v>31</v>
      </c>
      <c r="E832" s="7">
        <v>455</v>
      </c>
      <c r="F832" s="7">
        <v>4578.6000000000004</v>
      </c>
      <c r="G832" s="7">
        <v>5128.0320000000002</v>
      </c>
      <c r="H832" s="4">
        <v>915.72000000000014</v>
      </c>
      <c r="I832" s="5" t="s">
        <v>40</v>
      </c>
    </row>
    <row r="833" spans="1:9" ht="18" customHeight="1" x14ac:dyDescent="0.25">
      <c r="A833" s="2">
        <v>2024</v>
      </c>
      <c r="B833" s="2" t="s">
        <v>7</v>
      </c>
      <c r="C833" s="2" t="s">
        <v>12</v>
      </c>
      <c r="D833" s="6" t="s">
        <v>28</v>
      </c>
      <c r="E833" s="8">
        <v>345</v>
      </c>
      <c r="F833" s="8">
        <v>7000</v>
      </c>
      <c r="G833" s="8">
        <v>7840</v>
      </c>
      <c r="H833" s="4">
        <v>1400</v>
      </c>
      <c r="I833" s="5" t="s">
        <v>40</v>
      </c>
    </row>
    <row r="834" spans="1:9" ht="18" customHeight="1" x14ac:dyDescent="0.25">
      <c r="A834" s="2">
        <v>2024</v>
      </c>
      <c r="B834" s="2" t="s">
        <v>7</v>
      </c>
      <c r="C834" s="2" t="s">
        <v>13</v>
      </c>
      <c r="D834" s="3" t="s">
        <v>33</v>
      </c>
      <c r="E834" s="4">
        <v>122</v>
      </c>
      <c r="F834" s="4">
        <v>100</v>
      </c>
      <c r="G834" s="4">
        <v>112</v>
      </c>
      <c r="H834" s="4">
        <v>20</v>
      </c>
      <c r="I834" s="5" t="s">
        <v>40</v>
      </c>
    </row>
    <row r="835" spans="1:9" ht="18" customHeight="1" x14ac:dyDescent="0.25">
      <c r="A835" s="2">
        <v>2024</v>
      </c>
      <c r="B835" s="2" t="s">
        <v>7</v>
      </c>
      <c r="C835" s="2" t="s">
        <v>15</v>
      </c>
      <c r="D835" s="6" t="s">
        <v>26</v>
      </c>
      <c r="E835" s="7">
        <v>78</v>
      </c>
      <c r="F835" s="7">
        <v>4577.2</v>
      </c>
      <c r="G835" s="7">
        <v>5126.4639999999999</v>
      </c>
      <c r="H835" s="4">
        <v>915.44</v>
      </c>
      <c r="I835" s="5" t="s">
        <v>40</v>
      </c>
    </row>
    <row r="836" spans="1:9" ht="18" customHeight="1" x14ac:dyDescent="0.25">
      <c r="A836" s="2">
        <v>2024</v>
      </c>
      <c r="B836" s="2" t="s">
        <v>7</v>
      </c>
      <c r="C836" s="2" t="s">
        <v>15</v>
      </c>
      <c r="D836" s="6" t="s">
        <v>24</v>
      </c>
      <c r="E836" s="7">
        <v>76</v>
      </c>
      <c r="F836" s="7">
        <v>4576.8999999999996</v>
      </c>
      <c r="G836" s="7">
        <v>5126.1279999999997</v>
      </c>
      <c r="H836" s="4">
        <v>915.38</v>
      </c>
      <c r="I836" s="5" t="s">
        <v>40</v>
      </c>
    </row>
    <row r="837" spans="1:9" ht="18" customHeight="1" x14ac:dyDescent="0.25">
      <c r="A837" s="2">
        <v>2024</v>
      </c>
      <c r="B837" s="2" t="s">
        <v>7</v>
      </c>
      <c r="C837" s="2" t="s">
        <v>15</v>
      </c>
      <c r="D837" s="6" t="s">
        <v>25</v>
      </c>
      <c r="E837" s="7">
        <v>46</v>
      </c>
      <c r="F837" s="7">
        <v>200</v>
      </c>
      <c r="G837" s="7">
        <v>224</v>
      </c>
      <c r="H837" s="4">
        <v>40</v>
      </c>
      <c r="I837" s="5" t="s">
        <v>40</v>
      </c>
    </row>
    <row r="838" spans="1:9" ht="18" customHeight="1" x14ac:dyDescent="0.25">
      <c r="A838" s="2">
        <v>2024</v>
      </c>
      <c r="B838" s="2" t="s">
        <v>7</v>
      </c>
      <c r="C838" s="2" t="s">
        <v>15</v>
      </c>
      <c r="D838" s="6" t="s">
        <v>23</v>
      </c>
      <c r="E838" s="7">
        <v>34</v>
      </c>
      <c r="F838" s="7">
        <v>4576.8</v>
      </c>
      <c r="G838" s="7">
        <v>5126.0160000000005</v>
      </c>
      <c r="H838" s="4">
        <v>915.36000000000013</v>
      </c>
      <c r="I838" s="5" t="s">
        <v>40</v>
      </c>
    </row>
    <row r="839" spans="1:9" ht="18" customHeight="1" x14ac:dyDescent="0.25">
      <c r="A839" s="2">
        <v>2024</v>
      </c>
      <c r="B839" s="2" t="s">
        <v>7</v>
      </c>
      <c r="C839" s="2" t="s">
        <v>13</v>
      </c>
      <c r="D839" s="3" t="s">
        <v>34</v>
      </c>
      <c r="E839" s="4">
        <v>7</v>
      </c>
      <c r="F839" s="4">
        <v>200</v>
      </c>
      <c r="G839" s="4">
        <v>224</v>
      </c>
      <c r="H839" s="4">
        <v>40</v>
      </c>
      <c r="I839" s="5" t="s">
        <v>40</v>
      </c>
    </row>
    <row r="840" spans="1:9" ht="18" customHeight="1" x14ac:dyDescent="0.25">
      <c r="A840" s="2">
        <v>2024</v>
      </c>
      <c r="B840" s="2" t="s">
        <v>7</v>
      </c>
      <c r="C840" s="2" t="s">
        <v>15</v>
      </c>
      <c r="D840" s="6" t="s">
        <v>27</v>
      </c>
      <c r="E840" s="7">
        <v>3</v>
      </c>
      <c r="F840" s="7">
        <v>4577.3</v>
      </c>
      <c r="G840" s="7">
        <v>5126.576</v>
      </c>
      <c r="H840" s="4">
        <v>915.46</v>
      </c>
      <c r="I840" s="5" t="s">
        <v>40</v>
      </c>
    </row>
    <row r="841" spans="1:9" ht="18" customHeight="1" x14ac:dyDescent="0.25">
      <c r="A841" s="2">
        <v>2024</v>
      </c>
      <c r="B841" s="2" t="s">
        <v>7</v>
      </c>
      <c r="C841" s="2" t="s">
        <v>32</v>
      </c>
      <c r="D841" s="6" t="s">
        <v>32</v>
      </c>
      <c r="E841" s="7">
        <v>2</v>
      </c>
      <c r="F841" s="7">
        <v>6600</v>
      </c>
      <c r="G841" s="7">
        <v>7392</v>
      </c>
      <c r="H841" s="4">
        <v>1320</v>
      </c>
      <c r="I841" s="5" t="s">
        <v>40</v>
      </c>
    </row>
    <row r="842" spans="1:9" ht="18" customHeight="1" x14ac:dyDescent="0.25">
      <c r="A842" s="2">
        <v>2024</v>
      </c>
      <c r="B842" s="2" t="s">
        <v>8</v>
      </c>
      <c r="C842" s="2" t="s">
        <v>14</v>
      </c>
      <c r="D842" s="3" t="s">
        <v>36</v>
      </c>
      <c r="E842" s="4">
        <v>3566</v>
      </c>
      <c r="F842" s="4">
        <v>4577.3</v>
      </c>
      <c r="G842" s="4">
        <v>5126.576</v>
      </c>
      <c r="H842" s="4">
        <v>915.46</v>
      </c>
      <c r="I842" s="5" t="s">
        <v>40</v>
      </c>
    </row>
    <row r="843" spans="1:9" ht="18" customHeight="1" x14ac:dyDescent="0.25">
      <c r="A843" s="2">
        <v>2024</v>
      </c>
      <c r="B843" s="2" t="s">
        <v>8</v>
      </c>
      <c r="C843" s="2" t="s">
        <v>14</v>
      </c>
      <c r="D843" s="3" t="s">
        <v>37</v>
      </c>
      <c r="E843" s="4">
        <v>2498</v>
      </c>
      <c r="F843" s="4">
        <v>8000</v>
      </c>
      <c r="G843" s="4">
        <v>8960</v>
      </c>
      <c r="H843" s="4">
        <v>1600</v>
      </c>
      <c r="I843" s="5" t="s">
        <v>40</v>
      </c>
    </row>
    <row r="844" spans="1:9" ht="18" customHeight="1" x14ac:dyDescent="0.25">
      <c r="A844" s="2">
        <v>2024</v>
      </c>
      <c r="B844" s="2" t="s">
        <v>8</v>
      </c>
      <c r="C844" s="2" t="s">
        <v>13</v>
      </c>
      <c r="D844" s="3" t="s">
        <v>35</v>
      </c>
      <c r="E844" s="4">
        <v>1245</v>
      </c>
      <c r="F844" s="4">
        <v>4577.2</v>
      </c>
      <c r="G844" s="4">
        <v>5126.4639999999999</v>
      </c>
      <c r="H844" s="4">
        <v>915.44</v>
      </c>
      <c r="I844" s="5" t="s">
        <v>40</v>
      </c>
    </row>
    <row r="845" spans="1:9" ht="18" customHeight="1" x14ac:dyDescent="0.25">
      <c r="A845" s="2">
        <v>2024</v>
      </c>
      <c r="B845" s="2" t="s">
        <v>8</v>
      </c>
      <c r="C845" s="2" t="s">
        <v>38</v>
      </c>
      <c r="D845" s="6" t="s">
        <v>30</v>
      </c>
      <c r="E845" s="7">
        <v>644</v>
      </c>
      <c r="F845" s="7">
        <v>5743.5</v>
      </c>
      <c r="G845" s="7">
        <v>6432.72</v>
      </c>
      <c r="H845" s="4">
        <v>1148.7</v>
      </c>
      <c r="I845" s="5" t="s">
        <v>40</v>
      </c>
    </row>
    <row r="846" spans="1:9" ht="18" customHeight="1" x14ac:dyDescent="0.25">
      <c r="A846" s="2">
        <v>2024</v>
      </c>
      <c r="B846" s="2" t="s">
        <v>8</v>
      </c>
      <c r="C846" s="2" t="s">
        <v>12</v>
      </c>
      <c r="D846" s="6" t="s">
        <v>29</v>
      </c>
      <c r="E846" s="7">
        <v>643</v>
      </c>
      <c r="F846" s="7">
        <v>7000</v>
      </c>
      <c r="G846" s="7">
        <v>7840</v>
      </c>
      <c r="H846" s="4">
        <v>1400</v>
      </c>
      <c r="I846" s="5" t="s">
        <v>40</v>
      </c>
    </row>
    <row r="847" spans="1:9" ht="18" customHeight="1" x14ac:dyDescent="0.25">
      <c r="A847" s="2">
        <v>2024</v>
      </c>
      <c r="B847" s="2" t="s">
        <v>8</v>
      </c>
      <c r="C847" s="2" t="s">
        <v>38</v>
      </c>
      <c r="D847" s="6" t="s">
        <v>31</v>
      </c>
      <c r="E847" s="7">
        <v>455</v>
      </c>
      <c r="F847" s="7">
        <v>4578.6000000000004</v>
      </c>
      <c r="G847" s="7">
        <v>5128.0320000000002</v>
      </c>
      <c r="H847" s="4">
        <v>915.72000000000014</v>
      </c>
      <c r="I847" s="5" t="s">
        <v>40</v>
      </c>
    </row>
    <row r="848" spans="1:9" ht="18" customHeight="1" x14ac:dyDescent="0.25">
      <c r="A848" s="2">
        <v>2024</v>
      </c>
      <c r="B848" s="2" t="s">
        <v>8</v>
      </c>
      <c r="C848" s="2" t="s">
        <v>12</v>
      </c>
      <c r="D848" s="6" t="s">
        <v>28</v>
      </c>
      <c r="E848" s="8">
        <v>345</v>
      </c>
      <c r="F848" s="8">
        <v>7000</v>
      </c>
      <c r="G848" s="8">
        <v>7840</v>
      </c>
      <c r="H848" s="4">
        <v>1400</v>
      </c>
      <c r="I848" s="5" t="s">
        <v>40</v>
      </c>
    </row>
    <row r="849" spans="1:9" ht="18" customHeight="1" x14ac:dyDescent="0.25">
      <c r="A849" s="2">
        <v>2024</v>
      </c>
      <c r="B849" s="2" t="s">
        <v>8</v>
      </c>
      <c r="C849" s="2" t="s">
        <v>13</v>
      </c>
      <c r="D849" s="3" t="s">
        <v>33</v>
      </c>
      <c r="E849" s="4">
        <v>122</v>
      </c>
      <c r="F849" s="4">
        <v>100</v>
      </c>
      <c r="G849" s="4">
        <v>112</v>
      </c>
      <c r="H849" s="4">
        <v>20</v>
      </c>
      <c r="I849" s="5" t="s">
        <v>40</v>
      </c>
    </row>
    <row r="850" spans="1:9" ht="18" customHeight="1" x14ac:dyDescent="0.25">
      <c r="A850" s="2">
        <v>2024</v>
      </c>
      <c r="B850" s="2" t="s">
        <v>8</v>
      </c>
      <c r="C850" s="2" t="s">
        <v>15</v>
      </c>
      <c r="D850" s="6" t="s">
        <v>26</v>
      </c>
      <c r="E850" s="7">
        <v>78</v>
      </c>
      <c r="F850" s="7">
        <v>4577.2</v>
      </c>
      <c r="G850" s="7">
        <v>5126.4639999999999</v>
      </c>
      <c r="H850" s="4">
        <v>915.44</v>
      </c>
      <c r="I850" s="5" t="s">
        <v>40</v>
      </c>
    </row>
    <row r="851" spans="1:9" ht="18" customHeight="1" x14ac:dyDescent="0.25">
      <c r="A851" s="2">
        <v>2024</v>
      </c>
      <c r="B851" s="2" t="s">
        <v>8</v>
      </c>
      <c r="C851" s="2" t="s">
        <v>15</v>
      </c>
      <c r="D851" s="6" t="s">
        <v>24</v>
      </c>
      <c r="E851" s="7">
        <v>76</v>
      </c>
      <c r="F851" s="7">
        <v>4576.8999999999996</v>
      </c>
      <c r="G851" s="7">
        <v>5126.1279999999997</v>
      </c>
      <c r="H851" s="4">
        <v>915.38</v>
      </c>
      <c r="I851" s="5" t="s">
        <v>40</v>
      </c>
    </row>
    <row r="852" spans="1:9" ht="18" customHeight="1" x14ac:dyDescent="0.25">
      <c r="A852" s="2">
        <v>2024</v>
      </c>
      <c r="B852" s="2" t="s">
        <v>8</v>
      </c>
      <c r="C852" s="2" t="s">
        <v>15</v>
      </c>
      <c r="D852" s="6" t="s">
        <v>25</v>
      </c>
      <c r="E852" s="7">
        <v>46</v>
      </c>
      <c r="F852" s="7">
        <v>200</v>
      </c>
      <c r="G852" s="7">
        <v>224</v>
      </c>
      <c r="H852" s="4">
        <v>40</v>
      </c>
      <c r="I852" s="5" t="s">
        <v>40</v>
      </c>
    </row>
    <row r="853" spans="1:9" ht="18" customHeight="1" x14ac:dyDescent="0.25">
      <c r="A853" s="2">
        <v>2024</v>
      </c>
      <c r="B853" s="2" t="s">
        <v>8</v>
      </c>
      <c r="C853" s="2" t="s">
        <v>15</v>
      </c>
      <c r="D853" s="6" t="s">
        <v>23</v>
      </c>
      <c r="E853" s="7">
        <v>34</v>
      </c>
      <c r="F853" s="7">
        <v>4576.8</v>
      </c>
      <c r="G853" s="7">
        <v>5126.0160000000005</v>
      </c>
      <c r="H853" s="4">
        <v>915.36000000000013</v>
      </c>
      <c r="I853" s="5" t="s">
        <v>40</v>
      </c>
    </row>
    <row r="854" spans="1:9" ht="18" customHeight="1" x14ac:dyDescent="0.25">
      <c r="A854" s="2">
        <v>2024</v>
      </c>
      <c r="B854" s="2" t="s">
        <v>8</v>
      </c>
      <c r="C854" s="2" t="s">
        <v>13</v>
      </c>
      <c r="D854" s="3" t="s">
        <v>34</v>
      </c>
      <c r="E854" s="4">
        <v>7</v>
      </c>
      <c r="F854" s="4">
        <v>200</v>
      </c>
      <c r="G854" s="4">
        <v>224</v>
      </c>
      <c r="H854" s="4">
        <v>40</v>
      </c>
      <c r="I854" s="5" t="s">
        <v>40</v>
      </c>
    </row>
    <row r="855" spans="1:9" ht="18" customHeight="1" x14ac:dyDescent="0.25">
      <c r="A855" s="2">
        <v>2024</v>
      </c>
      <c r="B855" s="2" t="s">
        <v>8</v>
      </c>
      <c r="C855" s="2" t="s">
        <v>15</v>
      </c>
      <c r="D855" s="6" t="s">
        <v>27</v>
      </c>
      <c r="E855" s="7">
        <v>3</v>
      </c>
      <c r="F855" s="7">
        <v>4577.3</v>
      </c>
      <c r="G855" s="7">
        <v>5126.576</v>
      </c>
      <c r="H855" s="4">
        <v>915.46</v>
      </c>
      <c r="I855" s="5" t="s">
        <v>40</v>
      </c>
    </row>
    <row r="856" spans="1:9" ht="18" customHeight="1" x14ac:dyDescent="0.25">
      <c r="A856" s="2">
        <v>2024</v>
      </c>
      <c r="B856" s="2" t="s">
        <v>8</v>
      </c>
      <c r="C856" s="2" t="s">
        <v>32</v>
      </c>
      <c r="D856" s="6" t="s">
        <v>32</v>
      </c>
      <c r="E856" s="7">
        <v>2</v>
      </c>
      <c r="F856" s="7">
        <v>6600</v>
      </c>
      <c r="G856" s="7">
        <v>7392</v>
      </c>
      <c r="H856" s="4">
        <v>1320</v>
      </c>
      <c r="I856" s="5" t="s">
        <v>40</v>
      </c>
    </row>
    <row r="857" spans="1:9" ht="18" customHeight="1" x14ac:dyDescent="0.25">
      <c r="A857" s="2">
        <v>2024</v>
      </c>
      <c r="B857" s="2" t="s">
        <v>9</v>
      </c>
      <c r="C857" s="2" t="s">
        <v>14</v>
      </c>
      <c r="D857" s="3" t="s">
        <v>36</v>
      </c>
      <c r="E857" s="4">
        <v>3566</v>
      </c>
      <c r="F857" s="4">
        <v>4577.3</v>
      </c>
      <c r="G857" s="4">
        <v>5126.576</v>
      </c>
      <c r="H857" s="4">
        <v>915.46</v>
      </c>
      <c r="I857" s="5" t="s">
        <v>40</v>
      </c>
    </row>
    <row r="858" spans="1:9" ht="18" customHeight="1" x14ac:dyDescent="0.25">
      <c r="A858" s="2">
        <v>2024</v>
      </c>
      <c r="B858" s="2" t="s">
        <v>9</v>
      </c>
      <c r="C858" s="2" t="s">
        <v>14</v>
      </c>
      <c r="D858" s="3" t="s">
        <v>37</v>
      </c>
      <c r="E858" s="4">
        <v>2498</v>
      </c>
      <c r="F858" s="4">
        <v>8000</v>
      </c>
      <c r="G858" s="4">
        <v>8960</v>
      </c>
      <c r="H858" s="4">
        <v>1600</v>
      </c>
      <c r="I858" s="5" t="s">
        <v>40</v>
      </c>
    </row>
    <row r="859" spans="1:9" ht="18" customHeight="1" x14ac:dyDescent="0.25">
      <c r="A859" s="2">
        <v>2024</v>
      </c>
      <c r="B859" s="2" t="s">
        <v>9</v>
      </c>
      <c r="C859" s="2" t="s">
        <v>13</v>
      </c>
      <c r="D859" s="3" t="s">
        <v>35</v>
      </c>
      <c r="E859" s="4">
        <v>1245</v>
      </c>
      <c r="F859" s="4">
        <v>4577.2</v>
      </c>
      <c r="G859" s="4">
        <v>5126.4639999999999</v>
      </c>
      <c r="H859" s="4">
        <v>915.44</v>
      </c>
      <c r="I859" s="5" t="s">
        <v>40</v>
      </c>
    </row>
    <row r="860" spans="1:9" ht="18" customHeight="1" x14ac:dyDescent="0.25">
      <c r="A860" s="2">
        <v>2024</v>
      </c>
      <c r="B860" s="2" t="s">
        <v>9</v>
      </c>
      <c r="C860" s="2" t="s">
        <v>38</v>
      </c>
      <c r="D860" s="6" t="s">
        <v>30</v>
      </c>
      <c r="E860" s="7">
        <v>644</v>
      </c>
      <c r="F860" s="7">
        <v>5743.5</v>
      </c>
      <c r="G860" s="7">
        <v>6432.72</v>
      </c>
      <c r="H860" s="4">
        <v>1148.7</v>
      </c>
      <c r="I860" s="5" t="s">
        <v>40</v>
      </c>
    </row>
    <row r="861" spans="1:9" ht="18" customHeight="1" x14ac:dyDescent="0.25">
      <c r="A861" s="2">
        <v>2024</v>
      </c>
      <c r="B861" s="2" t="s">
        <v>9</v>
      </c>
      <c r="C861" s="2" t="s">
        <v>12</v>
      </c>
      <c r="D861" s="6" t="s">
        <v>29</v>
      </c>
      <c r="E861" s="7">
        <v>643</v>
      </c>
      <c r="F861" s="7">
        <v>7000</v>
      </c>
      <c r="G861" s="7">
        <v>7840</v>
      </c>
      <c r="H861" s="4">
        <v>1400</v>
      </c>
      <c r="I861" s="5" t="s">
        <v>42</v>
      </c>
    </row>
    <row r="862" spans="1:9" ht="18" customHeight="1" x14ac:dyDescent="0.25">
      <c r="A862" s="2">
        <v>2024</v>
      </c>
      <c r="B862" s="2" t="s">
        <v>9</v>
      </c>
      <c r="C862" s="2" t="s">
        <v>38</v>
      </c>
      <c r="D862" s="6" t="s">
        <v>31</v>
      </c>
      <c r="E862" s="7">
        <v>455</v>
      </c>
      <c r="F862" s="7">
        <v>4578.6000000000004</v>
      </c>
      <c r="G862" s="7">
        <v>5128.0320000000002</v>
      </c>
      <c r="H862" s="4">
        <v>915.72000000000014</v>
      </c>
      <c r="I862" s="5" t="s">
        <v>42</v>
      </c>
    </row>
    <row r="863" spans="1:9" ht="18" customHeight="1" x14ac:dyDescent="0.25">
      <c r="A863" s="2">
        <v>2024</v>
      </c>
      <c r="B863" s="2" t="s">
        <v>9</v>
      </c>
      <c r="C863" s="2" t="s">
        <v>12</v>
      </c>
      <c r="D863" s="6" t="s">
        <v>28</v>
      </c>
      <c r="E863" s="8">
        <v>345</v>
      </c>
      <c r="F863" s="8">
        <v>7000</v>
      </c>
      <c r="G863" s="8">
        <v>7840</v>
      </c>
      <c r="H863" s="4">
        <v>1400</v>
      </c>
      <c r="I863" s="5" t="s">
        <v>42</v>
      </c>
    </row>
    <row r="864" spans="1:9" ht="18" customHeight="1" x14ac:dyDescent="0.25">
      <c r="A864" s="2">
        <v>2024</v>
      </c>
      <c r="B864" s="2" t="s">
        <v>9</v>
      </c>
      <c r="C864" s="2" t="s">
        <v>13</v>
      </c>
      <c r="D864" s="3" t="s">
        <v>33</v>
      </c>
      <c r="E864" s="4">
        <v>122</v>
      </c>
      <c r="F864" s="4">
        <v>100</v>
      </c>
      <c r="G864" s="4">
        <v>112</v>
      </c>
      <c r="H864" s="4">
        <v>20</v>
      </c>
      <c r="I864" s="5" t="s">
        <v>42</v>
      </c>
    </row>
    <row r="865" spans="1:9" ht="18" customHeight="1" x14ac:dyDescent="0.25">
      <c r="A865" s="2">
        <v>2024</v>
      </c>
      <c r="B865" s="2" t="s">
        <v>9</v>
      </c>
      <c r="C865" s="2" t="s">
        <v>15</v>
      </c>
      <c r="D865" s="6" t="s">
        <v>26</v>
      </c>
      <c r="E865" s="7">
        <v>78</v>
      </c>
      <c r="F865" s="7">
        <v>4577.2</v>
      </c>
      <c r="G865" s="7">
        <v>5126.4639999999999</v>
      </c>
      <c r="H865" s="4">
        <v>915.44</v>
      </c>
      <c r="I865" s="5" t="s">
        <v>42</v>
      </c>
    </row>
    <row r="866" spans="1:9" ht="18" customHeight="1" x14ac:dyDescent="0.25">
      <c r="A866" s="2">
        <v>2024</v>
      </c>
      <c r="B866" s="2" t="s">
        <v>9</v>
      </c>
      <c r="C866" s="2" t="s">
        <v>15</v>
      </c>
      <c r="D866" s="6" t="s">
        <v>24</v>
      </c>
      <c r="E866" s="7">
        <v>76</v>
      </c>
      <c r="F866" s="7">
        <v>4576.8999999999996</v>
      </c>
      <c r="G866" s="7">
        <v>5126.1279999999997</v>
      </c>
      <c r="H866" s="4">
        <v>915.38</v>
      </c>
      <c r="I866" s="5" t="s">
        <v>42</v>
      </c>
    </row>
    <row r="867" spans="1:9" ht="18" customHeight="1" x14ac:dyDescent="0.25">
      <c r="A867" s="2">
        <v>2024</v>
      </c>
      <c r="B867" s="2" t="s">
        <v>9</v>
      </c>
      <c r="C867" s="2" t="s">
        <v>15</v>
      </c>
      <c r="D867" s="6" t="s">
        <v>25</v>
      </c>
      <c r="E867" s="7">
        <v>46</v>
      </c>
      <c r="F867" s="7">
        <v>200</v>
      </c>
      <c r="G867" s="7">
        <v>224</v>
      </c>
      <c r="H867" s="4">
        <v>40</v>
      </c>
      <c r="I867" s="5" t="s">
        <v>42</v>
      </c>
    </row>
    <row r="868" spans="1:9" ht="18" customHeight="1" x14ac:dyDescent="0.25">
      <c r="A868" s="2">
        <v>2024</v>
      </c>
      <c r="B868" s="2" t="s">
        <v>9</v>
      </c>
      <c r="C868" s="2" t="s">
        <v>15</v>
      </c>
      <c r="D868" s="6" t="s">
        <v>23</v>
      </c>
      <c r="E868" s="7">
        <v>34</v>
      </c>
      <c r="F868" s="7">
        <v>4576.8</v>
      </c>
      <c r="G868" s="7">
        <v>5126.0160000000005</v>
      </c>
      <c r="H868" s="4">
        <v>915.36000000000013</v>
      </c>
      <c r="I868" s="5" t="s">
        <v>42</v>
      </c>
    </row>
    <row r="869" spans="1:9" ht="18" customHeight="1" x14ac:dyDescent="0.25">
      <c r="A869" s="2">
        <v>2024</v>
      </c>
      <c r="B869" s="2" t="s">
        <v>9</v>
      </c>
      <c r="C869" s="2" t="s">
        <v>13</v>
      </c>
      <c r="D869" s="3" t="s">
        <v>34</v>
      </c>
      <c r="E869" s="4">
        <v>7</v>
      </c>
      <c r="F869" s="4">
        <v>200</v>
      </c>
      <c r="G869" s="4">
        <v>224</v>
      </c>
      <c r="H869" s="4">
        <v>40</v>
      </c>
      <c r="I869" s="5" t="s">
        <v>42</v>
      </c>
    </row>
    <row r="870" spans="1:9" ht="18" customHeight="1" x14ac:dyDescent="0.25">
      <c r="A870" s="2">
        <v>2024</v>
      </c>
      <c r="B870" s="2" t="s">
        <v>9</v>
      </c>
      <c r="C870" s="2" t="s">
        <v>15</v>
      </c>
      <c r="D870" s="6" t="s">
        <v>27</v>
      </c>
      <c r="E870" s="7">
        <v>3</v>
      </c>
      <c r="F870" s="7">
        <v>4577.3</v>
      </c>
      <c r="G870" s="7">
        <v>5126.576</v>
      </c>
      <c r="H870" s="4">
        <v>915.46</v>
      </c>
      <c r="I870" s="5" t="s">
        <v>42</v>
      </c>
    </row>
    <row r="871" spans="1:9" ht="18" customHeight="1" x14ac:dyDescent="0.25">
      <c r="A871" s="2">
        <v>2024</v>
      </c>
      <c r="B871" s="2" t="s">
        <v>9</v>
      </c>
      <c r="C871" s="2" t="s">
        <v>32</v>
      </c>
      <c r="D871" s="6" t="s">
        <v>32</v>
      </c>
      <c r="E871" s="7">
        <v>2</v>
      </c>
      <c r="F871" s="7">
        <v>6600</v>
      </c>
      <c r="G871" s="7">
        <v>7392</v>
      </c>
      <c r="H871" s="4">
        <v>1320</v>
      </c>
      <c r="I871" s="5" t="s">
        <v>42</v>
      </c>
    </row>
    <row r="872" spans="1:9" ht="18" customHeight="1" x14ac:dyDescent="0.25">
      <c r="A872" s="2">
        <v>2024</v>
      </c>
      <c r="B872" s="2" t="s">
        <v>10</v>
      </c>
      <c r="C872" s="2" t="s">
        <v>14</v>
      </c>
      <c r="D872" s="3" t="s">
        <v>36</v>
      </c>
      <c r="E872" s="4">
        <v>3566</v>
      </c>
      <c r="F872" s="4">
        <v>4577.3</v>
      </c>
      <c r="G872" s="4">
        <v>5126.576</v>
      </c>
      <c r="H872" s="4">
        <v>915.46</v>
      </c>
      <c r="I872" s="5" t="s">
        <v>42</v>
      </c>
    </row>
    <row r="873" spans="1:9" ht="18" customHeight="1" x14ac:dyDescent="0.25">
      <c r="A873" s="2">
        <v>2024</v>
      </c>
      <c r="B873" s="2" t="s">
        <v>10</v>
      </c>
      <c r="C873" s="2" t="s">
        <v>14</v>
      </c>
      <c r="D873" s="3" t="s">
        <v>37</v>
      </c>
      <c r="E873" s="4">
        <v>2498</v>
      </c>
      <c r="F873" s="4">
        <v>8000</v>
      </c>
      <c r="G873" s="4">
        <v>8960</v>
      </c>
      <c r="H873" s="4">
        <v>1600</v>
      </c>
      <c r="I873" s="5" t="s">
        <v>42</v>
      </c>
    </row>
    <row r="874" spans="1:9" ht="18" customHeight="1" x14ac:dyDescent="0.25">
      <c r="A874" s="2">
        <v>2024</v>
      </c>
      <c r="B874" s="2" t="s">
        <v>10</v>
      </c>
      <c r="C874" s="2" t="s">
        <v>13</v>
      </c>
      <c r="D874" s="3" t="s">
        <v>35</v>
      </c>
      <c r="E874" s="4">
        <v>1245</v>
      </c>
      <c r="F874" s="4">
        <v>4577.2</v>
      </c>
      <c r="G874" s="4">
        <v>5126.4639999999999</v>
      </c>
      <c r="H874" s="4">
        <v>915.44</v>
      </c>
      <c r="I874" s="5" t="s">
        <v>42</v>
      </c>
    </row>
    <row r="875" spans="1:9" ht="18" customHeight="1" x14ac:dyDescent="0.25">
      <c r="A875" s="2">
        <v>2024</v>
      </c>
      <c r="B875" s="2" t="s">
        <v>10</v>
      </c>
      <c r="C875" s="2" t="s">
        <v>38</v>
      </c>
      <c r="D875" s="6" t="s">
        <v>30</v>
      </c>
      <c r="E875" s="7">
        <v>644</v>
      </c>
      <c r="F875" s="7">
        <v>5743.5</v>
      </c>
      <c r="G875" s="7">
        <v>6432.72</v>
      </c>
      <c r="H875" s="4">
        <v>1148.7</v>
      </c>
      <c r="I875" s="5" t="s">
        <v>42</v>
      </c>
    </row>
    <row r="876" spans="1:9" ht="18" customHeight="1" x14ac:dyDescent="0.25">
      <c r="A876" s="2">
        <v>2024</v>
      </c>
      <c r="B876" s="2" t="s">
        <v>10</v>
      </c>
      <c r="C876" s="2" t="s">
        <v>12</v>
      </c>
      <c r="D876" s="6" t="s">
        <v>29</v>
      </c>
      <c r="E876" s="7">
        <v>643</v>
      </c>
      <c r="F876" s="7">
        <v>7000</v>
      </c>
      <c r="G876" s="7">
        <v>7840</v>
      </c>
      <c r="H876" s="4">
        <v>1400</v>
      </c>
      <c r="I876" s="5" t="s">
        <v>42</v>
      </c>
    </row>
    <row r="877" spans="1:9" ht="18" customHeight="1" x14ac:dyDescent="0.25">
      <c r="A877" s="2">
        <v>2024</v>
      </c>
      <c r="B877" s="2" t="s">
        <v>10</v>
      </c>
      <c r="C877" s="2" t="s">
        <v>38</v>
      </c>
      <c r="D877" s="6" t="s">
        <v>31</v>
      </c>
      <c r="E877" s="7">
        <v>455</v>
      </c>
      <c r="F877" s="7">
        <v>4578.6000000000004</v>
      </c>
      <c r="G877" s="7">
        <v>5128.0320000000002</v>
      </c>
      <c r="H877" s="4">
        <v>915.72000000000014</v>
      </c>
      <c r="I877" s="5" t="s">
        <v>42</v>
      </c>
    </row>
    <row r="878" spans="1:9" ht="18" customHeight="1" x14ac:dyDescent="0.25">
      <c r="A878" s="2">
        <v>2024</v>
      </c>
      <c r="B878" s="2" t="s">
        <v>10</v>
      </c>
      <c r="C878" s="2" t="s">
        <v>12</v>
      </c>
      <c r="D878" s="6" t="s">
        <v>28</v>
      </c>
      <c r="E878" s="8">
        <v>345</v>
      </c>
      <c r="F878" s="8">
        <v>7000</v>
      </c>
      <c r="G878" s="8">
        <v>7840</v>
      </c>
      <c r="H878" s="4">
        <v>1400</v>
      </c>
      <c r="I878" s="5" t="s">
        <v>42</v>
      </c>
    </row>
    <row r="879" spans="1:9" ht="18" customHeight="1" x14ac:dyDescent="0.25">
      <c r="A879" s="2">
        <v>2024</v>
      </c>
      <c r="B879" s="2" t="s">
        <v>10</v>
      </c>
      <c r="C879" s="2" t="s">
        <v>13</v>
      </c>
      <c r="D879" s="3" t="s">
        <v>33</v>
      </c>
      <c r="E879" s="4">
        <v>122</v>
      </c>
      <c r="F879" s="4">
        <v>100</v>
      </c>
      <c r="G879" s="4">
        <v>112</v>
      </c>
      <c r="H879" s="4">
        <v>20</v>
      </c>
      <c r="I879" s="5" t="s">
        <v>42</v>
      </c>
    </row>
    <row r="880" spans="1:9" ht="18" customHeight="1" x14ac:dyDescent="0.25">
      <c r="A880" s="2">
        <v>2024</v>
      </c>
      <c r="B880" s="2" t="s">
        <v>10</v>
      </c>
      <c r="C880" s="2" t="s">
        <v>15</v>
      </c>
      <c r="D880" s="6" t="s">
        <v>26</v>
      </c>
      <c r="E880" s="7">
        <v>78</v>
      </c>
      <c r="F880" s="7">
        <v>4577.2</v>
      </c>
      <c r="G880" s="7">
        <v>5126.4639999999999</v>
      </c>
      <c r="H880" s="4">
        <v>915.44</v>
      </c>
      <c r="I880" s="5" t="s">
        <v>42</v>
      </c>
    </row>
    <row r="881" spans="1:9" ht="18" customHeight="1" x14ac:dyDescent="0.25">
      <c r="A881" s="2">
        <v>2024</v>
      </c>
      <c r="B881" s="2" t="s">
        <v>10</v>
      </c>
      <c r="C881" s="2" t="s">
        <v>15</v>
      </c>
      <c r="D881" s="6" t="s">
        <v>24</v>
      </c>
      <c r="E881" s="7">
        <v>76</v>
      </c>
      <c r="F881" s="7">
        <v>4576.8999999999996</v>
      </c>
      <c r="G881" s="7">
        <v>5126.1279999999997</v>
      </c>
      <c r="H881" s="4">
        <v>915.38</v>
      </c>
      <c r="I881" s="5" t="s">
        <v>42</v>
      </c>
    </row>
    <row r="882" spans="1:9" ht="18" customHeight="1" x14ac:dyDescent="0.25">
      <c r="A882" s="2">
        <v>2024</v>
      </c>
      <c r="B882" s="2" t="s">
        <v>10</v>
      </c>
      <c r="C882" s="2" t="s">
        <v>15</v>
      </c>
      <c r="D882" s="6" t="s">
        <v>25</v>
      </c>
      <c r="E882" s="7">
        <v>46</v>
      </c>
      <c r="F882" s="7">
        <v>200</v>
      </c>
      <c r="G882" s="7">
        <v>224</v>
      </c>
      <c r="H882" s="4">
        <v>40</v>
      </c>
      <c r="I882" s="5" t="s">
        <v>42</v>
      </c>
    </row>
    <row r="883" spans="1:9" ht="18" customHeight="1" x14ac:dyDescent="0.25">
      <c r="A883" s="2">
        <v>2024</v>
      </c>
      <c r="B883" s="2" t="s">
        <v>10</v>
      </c>
      <c r="C883" s="2" t="s">
        <v>15</v>
      </c>
      <c r="D883" s="6" t="s">
        <v>23</v>
      </c>
      <c r="E883" s="7">
        <v>34</v>
      </c>
      <c r="F883" s="7">
        <v>4576.8</v>
      </c>
      <c r="G883" s="7">
        <v>5126.0160000000005</v>
      </c>
      <c r="H883" s="4">
        <v>915.36000000000013</v>
      </c>
      <c r="I883" s="5" t="s">
        <v>42</v>
      </c>
    </row>
    <row r="884" spans="1:9" ht="18" customHeight="1" x14ac:dyDescent="0.25">
      <c r="A884" s="2">
        <v>2024</v>
      </c>
      <c r="B884" s="2" t="s">
        <v>10</v>
      </c>
      <c r="C884" s="2" t="s">
        <v>13</v>
      </c>
      <c r="D884" s="3" t="s">
        <v>34</v>
      </c>
      <c r="E884" s="4">
        <v>7</v>
      </c>
      <c r="F884" s="4">
        <v>200</v>
      </c>
      <c r="G884" s="4">
        <v>224</v>
      </c>
      <c r="H884" s="4">
        <v>40</v>
      </c>
      <c r="I884" s="5" t="s">
        <v>42</v>
      </c>
    </row>
    <row r="885" spans="1:9" ht="18" customHeight="1" x14ac:dyDescent="0.25">
      <c r="A885" s="2">
        <v>2024</v>
      </c>
      <c r="B885" s="2" t="s">
        <v>10</v>
      </c>
      <c r="C885" s="2" t="s">
        <v>15</v>
      </c>
      <c r="D885" s="6" t="s">
        <v>27</v>
      </c>
      <c r="E885" s="7">
        <v>3</v>
      </c>
      <c r="F885" s="7">
        <v>4577.3</v>
      </c>
      <c r="G885" s="7">
        <v>5126.576</v>
      </c>
      <c r="H885" s="4">
        <v>915.46</v>
      </c>
      <c r="I885" s="5" t="s">
        <v>42</v>
      </c>
    </row>
    <row r="886" spans="1:9" ht="18" customHeight="1" x14ac:dyDescent="0.25">
      <c r="A886" s="2">
        <v>2024</v>
      </c>
      <c r="B886" s="2" t="s">
        <v>10</v>
      </c>
      <c r="C886" s="2" t="s">
        <v>32</v>
      </c>
      <c r="D886" s="6" t="s">
        <v>32</v>
      </c>
      <c r="E886" s="7">
        <v>2</v>
      </c>
      <c r="F886" s="7">
        <v>6600</v>
      </c>
      <c r="G886" s="7">
        <v>7392</v>
      </c>
      <c r="H886" s="4">
        <v>1320</v>
      </c>
      <c r="I886" s="5" t="s">
        <v>40</v>
      </c>
    </row>
    <row r="887" spans="1:9" ht="18" customHeight="1" x14ac:dyDescent="0.25">
      <c r="A887" s="2">
        <v>2024</v>
      </c>
      <c r="B887" s="2" t="s">
        <v>11</v>
      </c>
      <c r="C887" s="2" t="s">
        <v>14</v>
      </c>
      <c r="D887" s="3" t="s">
        <v>36</v>
      </c>
      <c r="E887" s="4">
        <v>3566</v>
      </c>
      <c r="F887" s="4">
        <v>4577.3</v>
      </c>
      <c r="G887" s="4">
        <v>5126.576</v>
      </c>
      <c r="H887" s="4">
        <v>915.46</v>
      </c>
      <c r="I887" s="5" t="s">
        <v>40</v>
      </c>
    </row>
    <row r="888" spans="1:9" ht="18" customHeight="1" x14ac:dyDescent="0.25">
      <c r="A888" s="2">
        <v>2024</v>
      </c>
      <c r="B888" s="2" t="s">
        <v>11</v>
      </c>
      <c r="C888" s="2" t="s">
        <v>14</v>
      </c>
      <c r="D888" s="3" t="s">
        <v>37</v>
      </c>
      <c r="E888" s="4">
        <v>2498</v>
      </c>
      <c r="F888" s="4">
        <v>8000</v>
      </c>
      <c r="G888" s="4">
        <v>8960</v>
      </c>
      <c r="H888" s="4">
        <v>1600</v>
      </c>
      <c r="I888" s="5" t="s">
        <v>40</v>
      </c>
    </row>
    <row r="889" spans="1:9" ht="18" customHeight="1" x14ac:dyDescent="0.25">
      <c r="A889" s="2">
        <v>2024</v>
      </c>
      <c r="B889" s="2" t="s">
        <v>11</v>
      </c>
      <c r="C889" s="2" t="s">
        <v>13</v>
      </c>
      <c r="D889" s="3" t="s">
        <v>35</v>
      </c>
      <c r="E889" s="4">
        <v>1245</v>
      </c>
      <c r="F889" s="4">
        <v>4577.2</v>
      </c>
      <c r="G889" s="4">
        <v>5126.4639999999999</v>
      </c>
      <c r="H889" s="4">
        <v>915.44</v>
      </c>
      <c r="I889" s="5" t="s">
        <v>40</v>
      </c>
    </row>
    <row r="890" spans="1:9" ht="18" customHeight="1" x14ac:dyDescent="0.25">
      <c r="A890" s="2">
        <v>2024</v>
      </c>
      <c r="B890" s="2" t="s">
        <v>11</v>
      </c>
      <c r="C890" s="2" t="s">
        <v>38</v>
      </c>
      <c r="D890" s="6" t="s">
        <v>30</v>
      </c>
      <c r="E890" s="7">
        <v>644</v>
      </c>
      <c r="F890" s="7">
        <v>5743.5</v>
      </c>
      <c r="G890" s="7">
        <v>6432.72</v>
      </c>
      <c r="H890" s="4">
        <v>1148.7</v>
      </c>
      <c r="I890" s="5" t="s">
        <v>40</v>
      </c>
    </row>
    <row r="891" spans="1:9" ht="18" customHeight="1" x14ac:dyDescent="0.25">
      <c r="A891" s="2">
        <v>2024</v>
      </c>
      <c r="B891" s="2" t="s">
        <v>11</v>
      </c>
      <c r="C891" s="2" t="s">
        <v>12</v>
      </c>
      <c r="D891" s="6" t="s">
        <v>29</v>
      </c>
      <c r="E891" s="7">
        <v>643</v>
      </c>
      <c r="F891" s="7">
        <v>7000</v>
      </c>
      <c r="G891" s="7">
        <v>7840</v>
      </c>
      <c r="H891" s="4">
        <v>1400</v>
      </c>
      <c r="I891" s="5" t="s">
        <v>40</v>
      </c>
    </row>
    <row r="892" spans="1:9" ht="18" customHeight="1" x14ac:dyDescent="0.25">
      <c r="A892" s="2">
        <v>2024</v>
      </c>
      <c r="B892" s="2" t="s">
        <v>11</v>
      </c>
      <c r="C892" s="2" t="s">
        <v>38</v>
      </c>
      <c r="D892" s="6" t="s">
        <v>31</v>
      </c>
      <c r="E892" s="7">
        <v>455</v>
      </c>
      <c r="F892" s="7">
        <v>4578.6000000000004</v>
      </c>
      <c r="G892" s="7">
        <v>5128.0320000000002</v>
      </c>
      <c r="H892" s="4">
        <v>915.72000000000014</v>
      </c>
      <c r="I892" s="5" t="s">
        <v>40</v>
      </c>
    </row>
    <row r="893" spans="1:9" ht="18" customHeight="1" x14ac:dyDescent="0.25">
      <c r="A893" s="2">
        <v>2024</v>
      </c>
      <c r="B893" s="2" t="s">
        <v>11</v>
      </c>
      <c r="C893" s="2" t="s">
        <v>12</v>
      </c>
      <c r="D893" s="6" t="s">
        <v>28</v>
      </c>
      <c r="E893" s="8">
        <v>345</v>
      </c>
      <c r="F893" s="8">
        <v>7000</v>
      </c>
      <c r="G893" s="8">
        <v>7840</v>
      </c>
      <c r="H893" s="4">
        <v>1400</v>
      </c>
      <c r="I893" s="5" t="s">
        <v>40</v>
      </c>
    </row>
    <row r="894" spans="1:9" ht="18" customHeight="1" x14ac:dyDescent="0.25">
      <c r="A894" s="2">
        <v>2024</v>
      </c>
      <c r="B894" s="2" t="s">
        <v>11</v>
      </c>
      <c r="C894" s="2" t="s">
        <v>13</v>
      </c>
      <c r="D894" s="3" t="s">
        <v>33</v>
      </c>
      <c r="E894" s="4">
        <v>122</v>
      </c>
      <c r="F894" s="4">
        <v>100</v>
      </c>
      <c r="G894" s="4">
        <v>112</v>
      </c>
      <c r="H894" s="4">
        <v>20</v>
      </c>
      <c r="I894" s="5" t="s">
        <v>40</v>
      </c>
    </row>
    <row r="895" spans="1:9" ht="18" customHeight="1" x14ac:dyDescent="0.25">
      <c r="A895" s="2">
        <v>2024</v>
      </c>
      <c r="B895" s="2" t="s">
        <v>11</v>
      </c>
      <c r="C895" s="2" t="s">
        <v>15</v>
      </c>
      <c r="D895" s="6" t="s">
        <v>26</v>
      </c>
      <c r="E895" s="7">
        <v>78</v>
      </c>
      <c r="F895" s="7">
        <v>4577.2</v>
      </c>
      <c r="G895" s="7">
        <v>5126.4639999999999</v>
      </c>
      <c r="H895" s="4">
        <v>915.44</v>
      </c>
      <c r="I895" s="5" t="s">
        <v>40</v>
      </c>
    </row>
    <row r="896" spans="1:9" ht="18" customHeight="1" x14ac:dyDescent="0.25">
      <c r="A896" s="2">
        <v>2024</v>
      </c>
      <c r="B896" s="2" t="s">
        <v>11</v>
      </c>
      <c r="C896" s="2" t="s">
        <v>15</v>
      </c>
      <c r="D896" s="6" t="s">
        <v>24</v>
      </c>
      <c r="E896" s="7">
        <v>76</v>
      </c>
      <c r="F896" s="7">
        <v>4576.8999999999996</v>
      </c>
      <c r="G896" s="7">
        <v>5126.1279999999997</v>
      </c>
      <c r="H896" s="4">
        <v>915.38</v>
      </c>
      <c r="I896" s="5" t="s">
        <v>40</v>
      </c>
    </row>
    <row r="897" spans="1:9" ht="18" customHeight="1" x14ac:dyDescent="0.25">
      <c r="A897" s="2">
        <v>2024</v>
      </c>
      <c r="B897" s="2" t="s">
        <v>11</v>
      </c>
      <c r="C897" s="2" t="s">
        <v>15</v>
      </c>
      <c r="D897" s="6" t="s">
        <v>25</v>
      </c>
      <c r="E897" s="7">
        <v>46</v>
      </c>
      <c r="F897" s="7">
        <v>200</v>
      </c>
      <c r="G897" s="7">
        <v>224</v>
      </c>
      <c r="H897" s="4">
        <v>40</v>
      </c>
      <c r="I897" s="5" t="s">
        <v>40</v>
      </c>
    </row>
    <row r="898" spans="1:9" ht="18" customHeight="1" x14ac:dyDescent="0.25">
      <c r="A898" s="2">
        <v>2024</v>
      </c>
      <c r="B898" s="2" t="s">
        <v>11</v>
      </c>
      <c r="C898" s="2" t="s">
        <v>15</v>
      </c>
      <c r="D898" s="6" t="s">
        <v>23</v>
      </c>
      <c r="E898" s="7">
        <v>34</v>
      </c>
      <c r="F898" s="7">
        <v>4576.8</v>
      </c>
      <c r="G898" s="7">
        <v>5126.0160000000005</v>
      </c>
      <c r="H898" s="4">
        <v>915.36000000000013</v>
      </c>
      <c r="I898" s="5" t="s">
        <v>40</v>
      </c>
    </row>
    <row r="899" spans="1:9" ht="18" customHeight="1" x14ac:dyDescent="0.25">
      <c r="A899" s="2">
        <v>2024</v>
      </c>
      <c r="B899" s="2" t="s">
        <v>11</v>
      </c>
      <c r="C899" s="2" t="s">
        <v>13</v>
      </c>
      <c r="D899" s="3" t="s">
        <v>34</v>
      </c>
      <c r="E899" s="4">
        <v>7</v>
      </c>
      <c r="F899" s="4">
        <v>200</v>
      </c>
      <c r="G899" s="4">
        <v>224</v>
      </c>
      <c r="H899" s="4">
        <v>40</v>
      </c>
      <c r="I899" s="5" t="s">
        <v>40</v>
      </c>
    </row>
    <row r="900" spans="1:9" ht="18" customHeight="1" x14ac:dyDescent="0.25">
      <c r="A900" s="2">
        <v>2024</v>
      </c>
      <c r="B900" s="2" t="s">
        <v>11</v>
      </c>
      <c r="C900" s="2" t="s">
        <v>15</v>
      </c>
      <c r="D900" s="6" t="s">
        <v>27</v>
      </c>
      <c r="E900" s="7">
        <v>3</v>
      </c>
      <c r="F900" s="7">
        <v>4577.3</v>
      </c>
      <c r="G900" s="7">
        <v>5126.576</v>
      </c>
      <c r="H900" s="4">
        <v>915.46</v>
      </c>
      <c r="I900" s="5" t="s">
        <v>40</v>
      </c>
    </row>
    <row r="901" spans="1:9" ht="18" customHeight="1" x14ac:dyDescent="0.25">
      <c r="A901" s="2">
        <v>2024</v>
      </c>
      <c r="B901" s="2" t="s">
        <v>11</v>
      </c>
      <c r="C901" s="2" t="s">
        <v>32</v>
      </c>
      <c r="D901" s="6" t="s">
        <v>32</v>
      </c>
      <c r="E901" s="7">
        <v>2</v>
      </c>
      <c r="F901" s="7">
        <v>6600</v>
      </c>
      <c r="G901" s="7">
        <v>7392</v>
      </c>
      <c r="H901" s="4">
        <v>1320</v>
      </c>
      <c r="I901" s="5" t="s">
        <v>40</v>
      </c>
    </row>
  </sheetData>
  <phoneticPr fontId="3" type="noConversion"/>
  <dataValidations count="2">
    <dataValidation type="date" allowBlank="1" showInputMessage="1" showErrorMessage="1" sqref="L1:L1048576" xr:uid="{8F46D882-3792-4FAC-A78D-5F1E86BDC9F7}">
      <formula1>43831</formula1>
      <formula2>45657</formula2>
    </dataValidation>
    <dataValidation type="whole" operator="greaterThan" allowBlank="1" showInputMessage="1" showErrorMessage="1" sqref="N2:N31" xr:uid="{D3DC0125-502F-4E39-87F1-9F092EDF08B4}">
      <formula1>0</formula1>
    </dataValidation>
  </dataValidations>
  <pageMargins left="0.7" right="0.7" top="0.75" bottom="0.75" header="0.3" footer="0.3"/>
  <pageSetup orientation="portrait" r:id="rId1"/>
  <ignoredErrors>
    <ignoredError sqref="L1:L1048576" listDataValidation="1"/>
  </ignoredErrors>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BFCC5-401D-454C-8E58-97106B43BFE6}">
  <sheetPr codeName="Sheet2">
    <tabColor rgb="FFEA375D"/>
  </sheetPr>
  <dimension ref="A1:CN28"/>
  <sheetViews>
    <sheetView showGridLines="0" zoomScale="89" zoomScaleNormal="89" workbookViewId="0">
      <selection activeCell="K7" sqref="K7"/>
    </sheetView>
  </sheetViews>
  <sheetFormatPr defaultRowHeight="14.25" x14ac:dyDescent="0.25"/>
  <cols>
    <col min="1" max="2" width="9.140625" style="16"/>
    <col min="3" max="3" width="14.42578125" style="16" bestFit="1" customWidth="1"/>
    <col min="4" max="4" width="15.28515625" style="16" bestFit="1" customWidth="1"/>
    <col min="5" max="5" width="15.140625" style="16" bestFit="1" customWidth="1"/>
    <col min="6" max="6" width="16.28515625" style="16" bestFit="1" customWidth="1"/>
    <col min="7" max="7" width="9.140625" style="16"/>
    <col min="8" max="8" width="12.5703125" style="16" bestFit="1" customWidth="1"/>
    <col min="9" max="10" width="9.140625" style="16"/>
    <col min="11" max="11" width="13.42578125" style="16" bestFit="1" customWidth="1"/>
    <col min="12" max="12" width="9.140625" style="16"/>
    <col min="13" max="15" width="13" style="16" bestFit="1" customWidth="1"/>
    <col min="16" max="17" width="15.28515625" style="16" bestFit="1" customWidth="1"/>
    <col min="18" max="18" width="22.140625" style="16" bestFit="1" customWidth="1"/>
    <col min="19" max="19" width="9.140625" style="16"/>
    <col min="20" max="21" width="7.42578125" style="16" customWidth="1"/>
    <col min="22" max="23" width="9.140625" style="16"/>
    <col min="24" max="24" width="14.42578125" style="16" bestFit="1" customWidth="1"/>
    <col min="25" max="25" width="15.28515625" style="16" bestFit="1" customWidth="1"/>
    <col min="26" max="26" width="16.42578125" style="16" bestFit="1" customWidth="1"/>
    <col min="27" max="27" width="9.140625" style="16"/>
    <col min="28" max="28" width="22.140625" style="16" bestFit="1" customWidth="1"/>
    <col min="29" max="30" width="9.140625" style="16"/>
    <col min="31" max="31" width="14.42578125" style="16" bestFit="1" customWidth="1"/>
    <col min="32" max="32" width="22.42578125" style="16" bestFit="1" customWidth="1"/>
    <col min="33" max="33" width="16.42578125" style="16" bestFit="1" customWidth="1"/>
    <col min="34" max="34" width="22.140625" style="16" bestFit="1" customWidth="1"/>
    <col min="35" max="36" width="9.140625" style="16"/>
    <col min="37" max="37" width="14.42578125" style="16" bestFit="1" customWidth="1"/>
    <col min="38" max="38" width="15.28515625" style="16" bestFit="1" customWidth="1"/>
    <col min="39" max="39" width="16.42578125" style="16" bestFit="1" customWidth="1"/>
    <col min="40" max="40" width="9.140625" style="16"/>
    <col min="41" max="41" width="16.85546875" style="16" bestFit="1" customWidth="1"/>
    <col min="42" max="42" width="10.42578125" style="16" bestFit="1" customWidth="1"/>
    <col min="43" max="45" width="9.140625" style="16"/>
    <col min="46" max="46" width="14.42578125" style="16" bestFit="1" customWidth="1"/>
    <col min="47" max="47" width="15.28515625" style="16" bestFit="1" customWidth="1"/>
    <col min="48" max="48" width="16.42578125" style="16" bestFit="1" customWidth="1"/>
    <col min="49" max="52" width="9.140625" style="16"/>
    <col min="53" max="53" width="15" style="16" bestFit="1" customWidth="1"/>
    <col min="54" max="54" width="15.42578125" style="16" bestFit="1" customWidth="1"/>
    <col min="55" max="55" width="14.85546875" style="16" bestFit="1" customWidth="1"/>
    <col min="56" max="56" width="15.85546875" style="16" bestFit="1" customWidth="1"/>
    <col min="57" max="57" width="9.140625" style="16"/>
    <col min="58" max="58" width="16" style="16" bestFit="1" customWidth="1"/>
    <col min="59" max="66" width="9.140625" style="16"/>
    <col min="67" max="67" width="15" style="16" bestFit="1" customWidth="1"/>
    <col min="68" max="68" width="9.140625" style="16"/>
    <col min="69" max="69" width="16" style="16" bestFit="1" customWidth="1"/>
    <col min="70" max="70" width="9.140625" style="16"/>
    <col min="71" max="71" width="14" style="16" bestFit="1" customWidth="1"/>
    <col min="72" max="72" width="9.140625" style="16"/>
    <col min="73" max="73" width="14.85546875" style="16" bestFit="1" customWidth="1"/>
    <col min="74" max="75" width="13.28515625" style="16" bestFit="1" customWidth="1"/>
    <col min="76" max="76" width="25" style="16" bestFit="1" customWidth="1"/>
    <col min="77" max="77" width="12.5703125" style="16" bestFit="1" customWidth="1"/>
    <col min="78" max="82" width="9.140625" style="16"/>
    <col min="83" max="83" width="14.5703125" style="16" bestFit="1" customWidth="1"/>
    <col min="84" max="84" width="16.85546875" style="16" bestFit="1" customWidth="1"/>
    <col min="85" max="85" width="14.7109375" style="16" bestFit="1" customWidth="1"/>
    <col min="86" max="86" width="14.28515625" style="16" bestFit="1" customWidth="1"/>
    <col min="87" max="16384" width="9.140625" style="16"/>
  </cols>
  <sheetData>
    <row r="1" spans="1:92" x14ac:dyDescent="0.25">
      <c r="BA1" s="32" t="s">
        <v>71</v>
      </c>
      <c r="CN1" s="16">
        <v>8</v>
      </c>
    </row>
    <row r="4" spans="1:92" ht="15" x14ac:dyDescent="0.25">
      <c r="BB4" s="33" t="s">
        <v>52</v>
      </c>
      <c r="BC4" s="33" t="s">
        <v>69</v>
      </c>
      <c r="BD4" s="33" t="s">
        <v>70</v>
      </c>
      <c r="BG4" s="55" t="s">
        <v>76</v>
      </c>
      <c r="BH4" s="37"/>
      <c r="BI4" s="37" t="s">
        <v>77</v>
      </c>
      <c r="BJ4" s="37"/>
      <c r="BU4" s="33" t="s">
        <v>69</v>
      </c>
      <c r="BV4" s="33" t="s">
        <v>73</v>
      </c>
      <c r="BW4"/>
      <c r="BX4" s="37" t="s">
        <v>74</v>
      </c>
      <c r="BY4" s="37" t="s">
        <v>75</v>
      </c>
      <c r="CB4" s="37" t="s">
        <v>56</v>
      </c>
      <c r="CC4" s="37" t="s">
        <v>57</v>
      </c>
      <c r="CE4" s="37" t="s">
        <v>78</v>
      </c>
      <c r="CF4" s="37" t="s">
        <v>79</v>
      </c>
      <c r="CG4" s="37" t="s">
        <v>80</v>
      </c>
      <c r="CH4" s="37" t="s">
        <v>81</v>
      </c>
      <c r="CI4" s="70">
        <v>1</v>
      </c>
    </row>
    <row r="5" spans="1:92" ht="20.25" x14ac:dyDescent="0.25">
      <c r="BB5" s="34" t="s">
        <v>50</v>
      </c>
      <c r="BC5" s="35">
        <v>71992</v>
      </c>
      <c r="BD5" s="36">
        <v>8.7047363864558594E-2</v>
      </c>
      <c r="BF5" s="52" t="s">
        <v>50</v>
      </c>
      <c r="BG5" s="56" t="str">
        <f>IF(BF5=$BB$10,"•","")</f>
        <v/>
      </c>
      <c r="BH5" s="59" t="str">
        <f>IF(BF5=$BB$10,"•","")</f>
        <v/>
      </c>
      <c r="BI5" s="62" t="str">
        <f>IF(BF5=$BB$10,"","•")</f>
        <v>•</v>
      </c>
      <c r="BJ5" s="65" t="str">
        <f>IF(BF5=$BB$10,"","•")</f>
        <v>•</v>
      </c>
      <c r="BO5" s="37" t="s">
        <v>72</v>
      </c>
      <c r="BQ5" s="46" t="s">
        <v>50</v>
      </c>
      <c r="BR5" s="44">
        <f t="shared" ref="BR5:BR10" si="0">IFERROR(VLOOKUP(BQ5,BB:BD,3,0),"")</f>
        <v>8.7047363864558594E-2</v>
      </c>
      <c r="BS5" s="49">
        <f t="shared" ref="BS5:BS10" si="1">IFERROR(VLOOKUP(BQ5,BB:BC,2,0),"")</f>
        <v>71992</v>
      </c>
      <c r="BU5" s="35">
        <v>827044</v>
      </c>
      <c r="BV5" s="35">
        <v>1107220.2400000002</v>
      </c>
      <c r="BW5"/>
      <c r="BX5" s="40">
        <f>100%-BY5</f>
        <v>0.25304472396566757</v>
      </c>
      <c r="BY5" s="39">
        <f>GETPIVOTDATA("Sum of Amount",$BU$4)/GETPIVOTDATA("Sum of Target",$BU$4)</f>
        <v>0.74695527603433243</v>
      </c>
      <c r="CB5" s="16">
        <v>0</v>
      </c>
      <c r="CC5" s="16">
        <v>1</v>
      </c>
      <c r="CE5" s="68">
        <v>9.1999999999999998E-2</v>
      </c>
      <c r="CF5" s="68">
        <v>7.3999999999999996E-2</v>
      </c>
      <c r="CG5" s="68">
        <v>6.2E-2</v>
      </c>
      <c r="CH5" s="68">
        <f>SUM(CE5:CG5)</f>
        <v>0.22799999999999998</v>
      </c>
      <c r="CI5" s="68">
        <f>100%-CH5</f>
        <v>0.77200000000000002</v>
      </c>
    </row>
    <row r="6" spans="1:92" ht="20.25" x14ac:dyDescent="0.25">
      <c r="C6" s="71" t="s">
        <v>52</v>
      </c>
      <c r="D6" s="72" t="s">
        <v>54</v>
      </c>
      <c r="E6" s="72" t="s">
        <v>62</v>
      </c>
      <c r="F6" s="72" t="s">
        <v>63</v>
      </c>
      <c r="I6" s="19" t="s">
        <v>56</v>
      </c>
      <c r="J6" s="19" t="s">
        <v>57</v>
      </c>
      <c r="K6" s="19" t="s">
        <v>44</v>
      </c>
      <c r="L6" s="19" t="s">
        <v>58</v>
      </c>
      <c r="M6" s="19" t="s">
        <v>59</v>
      </c>
      <c r="N6" s="19" t="s">
        <v>64</v>
      </c>
      <c r="O6" s="19" t="s">
        <v>65</v>
      </c>
      <c r="Q6" s="72" t="s">
        <v>54</v>
      </c>
      <c r="R6" s="72" t="s">
        <v>61</v>
      </c>
      <c r="T6" s="19" t="s">
        <v>21</v>
      </c>
      <c r="U6" s="19" t="s">
        <v>45</v>
      </c>
      <c r="X6" s="71" t="s">
        <v>52</v>
      </c>
      <c r="Y6" s="72" t="s">
        <v>54</v>
      </c>
      <c r="Z6" s="72" t="s">
        <v>55</v>
      </c>
      <c r="AB6" s="19" t="s">
        <v>66</v>
      </c>
      <c r="AE6" s="71" t="s">
        <v>52</v>
      </c>
      <c r="AF6" s="72" t="s">
        <v>67</v>
      </c>
      <c r="AG6"/>
      <c r="AH6" s="19" t="s">
        <v>68</v>
      </c>
      <c r="AK6" s="71" t="s">
        <v>52</v>
      </c>
      <c r="AL6" s="72" t="s">
        <v>54</v>
      </c>
      <c r="AM6" s="72" t="s">
        <v>55</v>
      </c>
      <c r="AT6" s="71" t="s">
        <v>52</v>
      </c>
      <c r="AU6" s="72" t="s">
        <v>54</v>
      </c>
      <c r="AV6" s="72" t="s">
        <v>55</v>
      </c>
      <c r="BB6" s="34" t="s">
        <v>51</v>
      </c>
      <c r="BC6" s="35">
        <v>73912</v>
      </c>
      <c r="BD6" s="36">
        <v>8.9368884847722735E-2</v>
      </c>
      <c r="BF6" s="53" t="s">
        <v>51</v>
      </c>
      <c r="BG6" s="57" t="str">
        <f t="shared" ref="BG6:BG10" si="2">IF(BF6=$BB$10,"•","")</f>
        <v/>
      </c>
      <c r="BH6" s="60" t="str">
        <f t="shared" ref="BH6:BH10" si="3">IF(BF6=$BB$10,"•","")</f>
        <v/>
      </c>
      <c r="BI6" s="63" t="str">
        <f t="shared" ref="BI6:BI10" si="4">IF(BF6=$BB$10,"","•")</f>
        <v>•</v>
      </c>
      <c r="BJ6" s="66" t="str">
        <f t="shared" ref="BJ6:BJ10" si="5">IF(BF6=$BB$10,"","•")</f>
        <v>•</v>
      </c>
      <c r="BO6" s="38">
        <f>GETPIVOTDATA("Sum of Amount",$BB$4)</f>
        <v>827044</v>
      </c>
      <c r="BQ6" s="47" t="s">
        <v>51</v>
      </c>
      <c r="BR6" s="43">
        <f t="shared" si="0"/>
        <v>8.9368884847722735E-2</v>
      </c>
      <c r="BS6" s="50">
        <f t="shared" si="1"/>
        <v>73912</v>
      </c>
      <c r="BU6"/>
      <c r="BV6"/>
      <c r="BW6"/>
      <c r="CB6" s="16">
        <f>SIN(BX5*2*PI())</f>
        <v>0.99981701632435738</v>
      </c>
      <c r="CC6" s="16">
        <f>COS(BY5*2*PI())</f>
        <v>-1.9129398010904981E-2</v>
      </c>
      <c r="CE6" s="69">
        <f>CE5*$BO$6</f>
        <v>76088.047999999995</v>
      </c>
      <c r="CF6" s="69">
        <f t="shared" ref="CF6:CH6" si="6">CF5*$BO$6</f>
        <v>61201.255999999994</v>
      </c>
      <c r="CG6" s="69">
        <f t="shared" si="6"/>
        <v>51276.728000000003</v>
      </c>
      <c r="CH6" s="69">
        <f t="shared" si="6"/>
        <v>188566.03199999998</v>
      </c>
    </row>
    <row r="7" spans="1:92" ht="20.25" x14ac:dyDescent="0.25">
      <c r="A7" s="17"/>
      <c r="B7" s="17"/>
      <c r="C7" s="76" t="s">
        <v>12</v>
      </c>
      <c r="D7" s="77">
        <v>177100</v>
      </c>
      <c r="E7" s="74">
        <v>11856</v>
      </c>
      <c r="F7" s="75">
        <v>0.10118631048903302</v>
      </c>
      <c r="G7" s="17"/>
      <c r="H7" s="18" t="s">
        <v>12</v>
      </c>
      <c r="I7" s="17">
        <v>1</v>
      </c>
      <c r="J7" s="17">
        <v>3</v>
      </c>
      <c r="K7" s="20">
        <f t="shared" ref="K7:K12" si="7">VLOOKUP(H7,$C$7:$E$12,2,0)</f>
        <v>177100</v>
      </c>
      <c r="L7" s="17">
        <f t="shared" ref="L7:L12" si="8">IF(K7=MAX($K$7:$K$12),K7,"")</f>
        <v>177100</v>
      </c>
      <c r="M7" s="17" t="str">
        <f t="shared" ref="M7:M12" si="9">IF(K7=MAX($K$7:$K$12),"",K7)</f>
        <v/>
      </c>
      <c r="N7" s="23">
        <f t="shared" ref="N7:N12" si="10">VLOOKUP(H7,$C$7:$F$12,3,0)</f>
        <v>11856</v>
      </c>
      <c r="O7" s="21">
        <f t="shared" ref="O7:O12" si="11">VLOOKUP(H7,$C$7:$F$12,4,0)</f>
        <v>0.10118631048903302</v>
      </c>
      <c r="Q7" s="78">
        <v>720883.34249999991</v>
      </c>
      <c r="R7" s="78">
        <v>898931.71199999994</v>
      </c>
      <c r="S7" s="17"/>
      <c r="T7" s="21">
        <f>GETPIVOTDATA("Sum of Income",$Q$6)/GETPIVOTDATA("Sum of Target Income",$Q$6)</f>
        <v>0.80193337589140468</v>
      </c>
      <c r="U7" s="21">
        <f>100%-T7</f>
        <v>0.19806662410859532</v>
      </c>
      <c r="V7" s="17"/>
      <c r="W7" s="17"/>
      <c r="X7" s="73" t="s">
        <v>0</v>
      </c>
      <c r="Y7" s="78">
        <v>64934.67</v>
      </c>
      <c r="Z7" s="78">
        <v>64934.67</v>
      </c>
      <c r="AA7" s="17"/>
      <c r="AB7" s="25">
        <f>IFERROR(AVERAGE(Y7:Y18),"")</f>
        <v>60073.611875000002</v>
      </c>
      <c r="AE7" s="73" t="s">
        <v>0</v>
      </c>
      <c r="AF7" s="78">
        <v>12986.934000000001</v>
      </c>
      <c r="AG7"/>
      <c r="AH7" s="16">
        <f>IFERROR(GETPIVOTDATA("operating profit",$AE$6),"")</f>
        <v>144176.66849999997</v>
      </c>
      <c r="AK7" s="73" t="s">
        <v>40</v>
      </c>
      <c r="AL7" s="78">
        <v>459822.86249999999</v>
      </c>
      <c r="AM7" s="75">
        <v>0.63786029637659436</v>
      </c>
      <c r="AO7" s="26" t="s">
        <v>40</v>
      </c>
      <c r="AP7" s="27">
        <f>IFERROR(AL7,"")</f>
        <v>459822.86249999999</v>
      </c>
      <c r="AQ7" s="28">
        <f>IFERROR(AM7,"")</f>
        <v>0.63786029637659436</v>
      </c>
      <c r="AT7" s="73" t="s">
        <v>40</v>
      </c>
      <c r="AU7" s="78">
        <v>459822.86249999999</v>
      </c>
      <c r="AV7" s="75">
        <v>0.63786029637659436</v>
      </c>
      <c r="BB7" s="34" t="s">
        <v>46</v>
      </c>
      <c r="BC7" s="35">
        <v>204528</v>
      </c>
      <c r="BD7" s="36">
        <v>0.24730002273155963</v>
      </c>
      <c r="BF7" s="53" t="s">
        <v>46</v>
      </c>
      <c r="BG7" s="57" t="str">
        <f t="shared" si="2"/>
        <v/>
      </c>
      <c r="BH7" s="60" t="str">
        <f t="shared" si="3"/>
        <v/>
      </c>
      <c r="BI7" s="63" t="str">
        <f t="shared" si="4"/>
        <v>•</v>
      </c>
      <c r="BJ7" s="66" t="str">
        <f t="shared" si="5"/>
        <v>•</v>
      </c>
      <c r="BQ7" s="47" t="s">
        <v>46</v>
      </c>
      <c r="BR7" s="43">
        <f t="shared" si="0"/>
        <v>0.24730002273155963</v>
      </c>
      <c r="BS7" s="50">
        <f t="shared" si="1"/>
        <v>204528</v>
      </c>
      <c r="BU7"/>
      <c r="BV7"/>
      <c r="BW7"/>
    </row>
    <row r="8" spans="1:92" ht="20.25" x14ac:dyDescent="0.25">
      <c r="A8" s="17"/>
      <c r="B8" s="17"/>
      <c r="C8" s="76" t="s">
        <v>38</v>
      </c>
      <c r="D8" s="77">
        <v>130229.14500000003</v>
      </c>
      <c r="E8" s="74">
        <v>13188</v>
      </c>
      <c r="F8" s="75">
        <v>0.11255440812494666</v>
      </c>
      <c r="G8" s="17"/>
      <c r="H8" s="18" t="s">
        <v>38</v>
      </c>
      <c r="I8" s="17">
        <v>7</v>
      </c>
      <c r="J8" s="17">
        <v>2</v>
      </c>
      <c r="K8" s="20">
        <f t="shared" si="7"/>
        <v>130229.14500000003</v>
      </c>
      <c r="L8" s="17" t="str">
        <f t="shared" si="8"/>
        <v/>
      </c>
      <c r="M8" s="17">
        <f t="shared" si="9"/>
        <v>130229.14500000003</v>
      </c>
      <c r="N8" s="23">
        <f t="shared" si="10"/>
        <v>13188</v>
      </c>
      <c r="O8" s="21">
        <f t="shared" si="11"/>
        <v>0.11255440812494666</v>
      </c>
      <c r="P8"/>
      <c r="Q8"/>
      <c r="R8"/>
      <c r="S8" s="17"/>
      <c r="T8" s="17"/>
      <c r="U8" s="17"/>
      <c r="V8" s="17"/>
      <c r="W8" s="17"/>
      <c r="X8" s="73" t="s">
        <v>1</v>
      </c>
      <c r="Y8" s="78">
        <v>58642.049999999996</v>
      </c>
      <c r="Z8" s="78">
        <v>58642.049999999996</v>
      </c>
      <c r="AA8" s="17"/>
      <c r="AE8" s="73" t="s">
        <v>1</v>
      </c>
      <c r="AF8" s="78">
        <v>11728.41</v>
      </c>
      <c r="AG8"/>
      <c r="AK8" s="73" t="s">
        <v>42</v>
      </c>
      <c r="AL8" s="78">
        <v>261060.48000000004</v>
      </c>
      <c r="AM8" s="75">
        <v>0.36213970362340564</v>
      </c>
      <c r="AO8" s="29" t="s">
        <v>42</v>
      </c>
      <c r="AP8" s="30">
        <f>IFERROR(AL8,"")</f>
        <v>261060.48000000004</v>
      </c>
      <c r="AQ8" s="31">
        <f>IFERROR(AM8,"")</f>
        <v>0.36213970362340564</v>
      </c>
      <c r="AT8" s="73" t="s">
        <v>42</v>
      </c>
      <c r="AU8" s="78">
        <v>261060.48000000004</v>
      </c>
      <c r="AV8" s="75">
        <v>0.36213970362340564</v>
      </c>
      <c r="BB8" s="34" t="s">
        <v>48</v>
      </c>
      <c r="BC8" s="35">
        <v>219404</v>
      </c>
      <c r="BD8" s="36">
        <v>0.26528697384903344</v>
      </c>
      <c r="BF8" s="53" t="s">
        <v>48</v>
      </c>
      <c r="BG8" s="57" t="str">
        <f t="shared" si="2"/>
        <v/>
      </c>
      <c r="BH8" s="60" t="str">
        <f t="shared" si="3"/>
        <v/>
      </c>
      <c r="BI8" s="63" t="str">
        <f t="shared" si="4"/>
        <v>•</v>
      </c>
      <c r="BJ8" s="66" t="str">
        <f t="shared" si="5"/>
        <v>•</v>
      </c>
      <c r="BQ8" s="47" t="s">
        <v>48</v>
      </c>
      <c r="BR8" s="43">
        <f t="shared" si="0"/>
        <v>0.26528697384903344</v>
      </c>
      <c r="BS8" s="50">
        <f t="shared" si="1"/>
        <v>219404</v>
      </c>
      <c r="BU8"/>
      <c r="BV8"/>
      <c r="BW8"/>
    </row>
    <row r="9" spans="1:92" ht="20.25" x14ac:dyDescent="0.25">
      <c r="A9" s="17"/>
      <c r="B9" s="17"/>
      <c r="C9" s="76" t="s">
        <v>13</v>
      </c>
      <c r="D9" s="77">
        <v>61203.859999999986</v>
      </c>
      <c r="E9" s="74">
        <v>16488</v>
      </c>
      <c r="F9" s="75">
        <v>0.14071861397968763</v>
      </c>
      <c r="G9" s="17"/>
      <c r="H9" s="18" t="s">
        <v>13</v>
      </c>
      <c r="I9" s="17">
        <v>4</v>
      </c>
      <c r="J9" s="17">
        <v>1</v>
      </c>
      <c r="K9" s="20">
        <f t="shared" si="7"/>
        <v>61203.859999999986</v>
      </c>
      <c r="L9" s="17" t="str">
        <f t="shared" si="8"/>
        <v/>
      </c>
      <c r="M9" s="17">
        <f t="shared" si="9"/>
        <v>61203.859999999986</v>
      </c>
      <c r="N9" s="23">
        <f t="shared" si="10"/>
        <v>16488</v>
      </c>
      <c r="O9" s="21">
        <f t="shared" si="11"/>
        <v>0.14071861397968763</v>
      </c>
      <c r="P9"/>
      <c r="Q9"/>
      <c r="R9"/>
      <c r="S9" s="17"/>
      <c r="T9" s="17"/>
      <c r="U9" s="17"/>
      <c r="V9" s="17"/>
      <c r="W9" s="17"/>
      <c r="X9" s="73" t="s">
        <v>2</v>
      </c>
      <c r="Y9" s="78">
        <v>57630.7</v>
      </c>
      <c r="Z9" s="78">
        <v>57630.7</v>
      </c>
      <c r="AA9" s="17"/>
      <c r="AE9" s="73" t="s">
        <v>2</v>
      </c>
      <c r="AF9" s="78">
        <v>11526.14</v>
      </c>
      <c r="AG9"/>
      <c r="AK9" s="76" t="s">
        <v>53</v>
      </c>
      <c r="AL9" s="78">
        <v>720883.34250000003</v>
      </c>
      <c r="AM9" s="75">
        <v>1</v>
      </c>
      <c r="AT9" s="76" t="s">
        <v>53</v>
      </c>
      <c r="AU9" s="78">
        <v>720883.34250000003</v>
      </c>
      <c r="AV9" s="75">
        <v>1</v>
      </c>
      <c r="BB9" s="34" t="s">
        <v>49</v>
      </c>
      <c r="BC9" s="35">
        <v>129304</v>
      </c>
      <c r="BD9" s="36">
        <v>0.15634476521200807</v>
      </c>
      <c r="BF9" s="53" t="s">
        <v>49</v>
      </c>
      <c r="BG9" s="57" t="str">
        <f t="shared" si="2"/>
        <v/>
      </c>
      <c r="BH9" s="60" t="str">
        <f t="shared" si="3"/>
        <v/>
      </c>
      <c r="BI9" s="63" t="str">
        <f t="shared" si="4"/>
        <v>•</v>
      </c>
      <c r="BJ9" s="66" t="str">
        <f t="shared" si="5"/>
        <v>•</v>
      </c>
      <c r="BQ9" s="47" t="s">
        <v>49</v>
      </c>
      <c r="BR9" s="43">
        <f t="shared" si="0"/>
        <v>0.15634476521200807</v>
      </c>
      <c r="BS9" s="50">
        <f t="shared" si="1"/>
        <v>129304</v>
      </c>
      <c r="BU9"/>
      <c r="BV9"/>
      <c r="BW9"/>
    </row>
    <row r="10" spans="1:92" ht="20.25" x14ac:dyDescent="0.25">
      <c r="A10" s="17"/>
      <c r="B10" s="17"/>
      <c r="C10" s="76" t="s">
        <v>14</v>
      </c>
      <c r="D10" s="77">
        <v>157387.38500000001</v>
      </c>
      <c r="E10" s="74">
        <v>72768</v>
      </c>
      <c r="F10" s="75">
        <v>0.62104634292054284</v>
      </c>
      <c r="G10" s="17"/>
      <c r="H10" s="18" t="s">
        <v>14</v>
      </c>
      <c r="I10" s="17">
        <v>2</v>
      </c>
      <c r="J10" s="17">
        <v>8</v>
      </c>
      <c r="K10" s="20">
        <f t="shared" si="7"/>
        <v>157387.38500000001</v>
      </c>
      <c r="L10" s="17" t="str">
        <f t="shared" si="8"/>
        <v/>
      </c>
      <c r="M10" s="17">
        <f t="shared" si="9"/>
        <v>157387.38500000001</v>
      </c>
      <c r="N10" s="23">
        <f t="shared" si="10"/>
        <v>72768</v>
      </c>
      <c r="O10" s="21">
        <f t="shared" si="11"/>
        <v>0.62104634292054284</v>
      </c>
      <c r="P10"/>
      <c r="Q10"/>
      <c r="R10"/>
      <c r="S10" s="17"/>
      <c r="T10" s="17"/>
      <c r="U10" s="17"/>
      <c r="V10" s="17"/>
      <c r="W10" s="17"/>
      <c r="X10" s="73" t="s">
        <v>3</v>
      </c>
      <c r="Y10" s="78">
        <v>58950.7</v>
      </c>
      <c r="Z10" s="78">
        <v>58950.7</v>
      </c>
      <c r="AA10" s="17"/>
      <c r="AE10" s="73" t="s">
        <v>3</v>
      </c>
      <c r="AF10" s="78">
        <v>11790.14</v>
      </c>
      <c r="AG10"/>
      <c r="AK10"/>
      <c r="AL10"/>
      <c r="AM10"/>
      <c r="AT10"/>
      <c r="AU10"/>
      <c r="AV10"/>
      <c r="BB10" s="34" t="s">
        <v>47</v>
      </c>
      <c r="BC10" s="35">
        <v>127904</v>
      </c>
      <c r="BD10" s="36">
        <v>0.15465198949511755</v>
      </c>
      <c r="BF10" s="54" t="s">
        <v>47</v>
      </c>
      <c r="BG10" s="58" t="str">
        <f t="shared" si="2"/>
        <v>•</v>
      </c>
      <c r="BH10" s="61" t="str">
        <f t="shared" si="3"/>
        <v>•</v>
      </c>
      <c r="BI10" s="64" t="str">
        <f t="shared" si="4"/>
        <v/>
      </c>
      <c r="BJ10" s="67" t="str">
        <f t="shared" si="5"/>
        <v/>
      </c>
      <c r="BQ10" s="48" t="s">
        <v>47</v>
      </c>
      <c r="BR10" s="45">
        <f t="shared" si="0"/>
        <v>0.15465198949511755</v>
      </c>
      <c r="BS10" s="51">
        <f t="shared" si="1"/>
        <v>127904</v>
      </c>
      <c r="BU10"/>
      <c r="BV10"/>
      <c r="BW10"/>
    </row>
    <row r="11" spans="1:92" ht="15" x14ac:dyDescent="0.25">
      <c r="A11" s="17"/>
      <c r="B11" s="17"/>
      <c r="C11" s="76" t="s">
        <v>32</v>
      </c>
      <c r="D11" s="77">
        <v>77421.900000000009</v>
      </c>
      <c r="E11" s="74">
        <v>26</v>
      </c>
      <c r="F11" s="75">
        <v>2.218998037040198E-4</v>
      </c>
      <c r="G11" s="17"/>
      <c r="H11" s="18" t="s">
        <v>32</v>
      </c>
      <c r="I11" s="17">
        <v>6</v>
      </c>
      <c r="J11" s="17">
        <v>6</v>
      </c>
      <c r="K11" s="20">
        <f t="shared" si="7"/>
        <v>77421.900000000009</v>
      </c>
      <c r="L11" s="17" t="str">
        <f t="shared" si="8"/>
        <v/>
      </c>
      <c r="M11" s="17">
        <f t="shared" si="9"/>
        <v>77421.900000000009</v>
      </c>
      <c r="N11" s="23">
        <f t="shared" si="10"/>
        <v>26</v>
      </c>
      <c r="O11" s="21">
        <f t="shared" si="11"/>
        <v>2.218998037040198E-4</v>
      </c>
      <c r="P11"/>
      <c r="Q11"/>
      <c r="R11"/>
      <c r="S11" s="17"/>
      <c r="T11" s="17"/>
      <c r="U11" s="17"/>
      <c r="V11" s="17"/>
      <c r="W11" s="17"/>
      <c r="X11" s="73" t="s">
        <v>4</v>
      </c>
      <c r="Y11" s="78">
        <v>60548.14</v>
      </c>
      <c r="Z11" s="78">
        <v>60548.14</v>
      </c>
      <c r="AA11" s="17"/>
      <c r="AE11" s="73" t="s">
        <v>4</v>
      </c>
      <c r="AF11" s="78">
        <v>12109.628000000001</v>
      </c>
      <c r="AG11"/>
      <c r="AK11"/>
      <c r="AL11"/>
      <c r="AM11"/>
      <c r="AT11"/>
      <c r="AU11"/>
      <c r="AV11"/>
      <c r="BB11" s="34" t="s">
        <v>53</v>
      </c>
      <c r="BC11" s="35">
        <v>827044</v>
      </c>
      <c r="BD11" s="36">
        <v>1</v>
      </c>
      <c r="BU11"/>
      <c r="BV11"/>
      <c r="BW11"/>
    </row>
    <row r="12" spans="1:92" ht="15" x14ac:dyDescent="0.25">
      <c r="A12" s="17"/>
      <c r="B12" s="17"/>
      <c r="C12" s="76" t="s">
        <v>15</v>
      </c>
      <c r="D12" s="77">
        <v>117541.05249999998</v>
      </c>
      <c r="E12" s="74">
        <v>2844</v>
      </c>
      <c r="F12" s="75">
        <v>2.4272424682085857E-2</v>
      </c>
      <c r="G12" s="17"/>
      <c r="H12" s="18" t="s">
        <v>15</v>
      </c>
      <c r="I12" s="17">
        <v>5</v>
      </c>
      <c r="J12" s="17">
        <v>9</v>
      </c>
      <c r="K12" s="20">
        <f t="shared" si="7"/>
        <v>117541.05249999998</v>
      </c>
      <c r="L12" s="17" t="str">
        <f t="shared" si="8"/>
        <v/>
      </c>
      <c r="M12" s="17">
        <f t="shared" si="9"/>
        <v>117541.05249999998</v>
      </c>
      <c r="N12" s="23">
        <f t="shared" si="10"/>
        <v>2844</v>
      </c>
      <c r="O12" s="21">
        <f t="shared" si="11"/>
        <v>2.4272424682085857E-2</v>
      </c>
      <c r="P12"/>
      <c r="Q12"/>
      <c r="R12"/>
      <c r="S12" s="17"/>
      <c r="T12" s="17"/>
      <c r="U12" s="17"/>
      <c r="V12" s="17"/>
      <c r="W12" s="17"/>
      <c r="X12" s="73" t="s">
        <v>5</v>
      </c>
      <c r="Y12" s="78">
        <v>55608</v>
      </c>
      <c r="Z12" s="78">
        <v>55608</v>
      </c>
      <c r="AA12" s="17"/>
      <c r="AE12" s="73" t="s">
        <v>5</v>
      </c>
      <c r="AF12" s="78">
        <v>11121.599999999999</v>
      </c>
      <c r="AG12"/>
      <c r="AK12"/>
      <c r="AL12"/>
      <c r="AM12"/>
      <c r="AT12"/>
      <c r="AU12"/>
      <c r="AV12"/>
      <c r="BB12"/>
      <c r="BC12"/>
      <c r="BD12"/>
    </row>
    <row r="13" spans="1:92" ht="15" x14ac:dyDescent="0.25">
      <c r="A13" s="17"/>
      <c r="B13" s="17"/>
      <c r="C13" s="76" t="s">
        <v>53</v>
      </c>
      <c r="D13" s="74">
        <v>720883.34250000003</v>
      </c>
      <c r="E13" s="74">
        <v>117170</v>
      </c>
      <c r="F13" s="75">
        <v>1</v>
      </c>
      <c r="G13" s="17"/>
      <c r="H13" s="17"/>
      <c r="I13" s="17"/>
      <c r="J13" s="17"/>
      <c r="K13" s="17"/>
      <c r="L13" s="17"/>
      <c r="M13" s="17"/>
      <c r="N13" s="17" t="s">
        <v>60</v>
      </c>
      <c r="O13" s="17"/>
      <c r="P13"/>
      <c r="Q13"/>
      <c r="R13"/>
      <c r="S13" s="17"/>
      <c r="T13" s="17"/>
      <c r="U13" s="17"/>
      <c r="V13" s="17"/>
      <c r="W13" s="17"/>
      <c r="X13" s="73" t="s">
        <v>6</v>
      </c>
      <c r="Y13" s="78">
        <v>57630.7</v>
      </c>
      <c r="Z13" s="78">
        <v>57630.7</v>
      </c>
      <c r="AA13" s="17"/>
      <c r="AE13" s="73" t="s">
        <v>6</v>
      </c>
      <c r="AF13" s="78">
        <v>11526.14</v>
      </c>
      <c r="AG13"/>
      <c r="AK13"/>
      <c r="AL13"/>
      <c r="AM13"/>
      <c r="AT13"/>
      <c r="AU13"/>
      <c r="AV13"/>
      <c r="BB13"/>
      <c r="BC13"/>
      <c r="BD13"/>
    </row>
    <row r="14" spans="1:92" ht="15" x14ac:dyDescent="0.25">
      <c r="A14" s="17"/>
      <c r="B14" s="17"/>
      <c r="C14" s="17"/>
      <c r="D14" s="17"/>
      <c r="E14" s="17"/>
      <c r="F14" s="17"/>
      <c r="G14" s="17"/>
      <c r="H14" s="17"/>
      <c r="I14" s="17"/>
      <c r="J14" s="17"/>
      <c r="K14" s="17"/>
      <c r="L14" s="17"/>
      <c r="M14" s="17"/>
      <c r="N14" s="17"/>
      <c r="O14" s="17"/>
      <c r="P14" s="17"/>
      <c r="Q14" s="17"/>
      <c r="R14" s="17"/>
      <c r="S14" s="17"/>
      <c r="T14" s="17"/>
      <c r="U14" s="17"/>
      <c r="V14" s="17"/>
      <c r="W14" s="17"/>
      <c r="X14" s="73" t="s">
        <v>7</v>
      </c>
      <c r="Y14" s="78">
        <v>60977.822499999995</v>
      </c>
      <c r="Z14" s="78">
        <v>60977.822499999995</v>
      </c>
      <c r="AA14" s="17"/>
      <c r="AE14" s="73" t="s">
        <v>7</v>
      </c>
      <c r="AF14" s="78">
        <v>12195.5645</v>
      </c>
      <c r="AG14"/>
      <c r="AK14"/>
      <c r="AL14"/>
      <c r="AM14"/>
      <c r="AT14"/>
      <c r="AU14"/>
      <c r="AV14"/>
      <c r="BB14"/>
      <c r="BC14"/>
      <c r="BD14"/>
    </row>
    <row r="15" spans="1:92" ht="15" x14ac:dyDescent="0.25">
      <c r="A15" s="17"/>
      <c r="B15" s="17"/>
      <c r="C15" s="17"/>
      <c r="D15" s="17"/>
      <c r="E15" s="17"/>
      <c r="F15" s="17"/>
      <c r="G15" s="17"/>
      <c r="H15" s="17"/>
      <c r="I15" s="17"/>
      <c r="J15" s="17"/>
      <c r="K15" s="17"/>
      <c r="L15" s="17"/>
      <c r="M15" s="17"/>
      <c r="N15" s="17"/>
      <c r="O15" s="17"/>
      <c r="P15" s="17"/>
      <c r="Q15" s="17"/>
      <c r="R15" s="17"/>
      <c r="S15" s="17"/>
      <c r="T15" s="17"/>
      <c r="U15" s="17"/>
      <c r="V15" s="17"/>
      <c r="W15" s="17"/>
      <c r="X15" s="73" t="s">
        <v>8</v>
      </c>
      <c r="Y15" s="78">
        <v>59906.11</v>
      </c>
      <c r="Z15" s="78">
        <v>59906.11</v>
      </c>
      <c r="AA15" s="17"/>
      <c r="AE15" s="73" t="s">
        <v>8</v>
      </c>
      <c r="AF15" s="78">
        <v>11981.222000000002</v>
      </c>
      <c r="AG15"/>
      <c r="AK15"/>
      <c r="AL15"/>
      <c r="AM15"/>
      <c r="AT15"/>
      <c r="AU15"/>
      <c r="AV15"/>
      <c r="BB15"/>
      <c r="BC15"/>
      <c r="BD15"/>
    </row>
    <row r="16" spans="1:92" ht="15" x14ac:dyDescent="0.25">
      <c r="A16" s="17"/>
      <c r="B16" s="17"/>
      <c r="C16" s="17"/>
      <c r="D16" s="17"/>
      <c r="E16" s="17"/>
      <c r="F16" s="17"/>
      <c r="G16" s="17"/>
      <c r="H16" s="17"/>
      <c r="I16" s="17"/>
      <c r="J16" s="17"/>
      <c r="K16" s="17"/>
      <c r="L16" s="17"/>
      <c r="M16" s="17"/>
      <c r="N16" s="17"/>
      <c r="O16" s="17"/>
      <c r="P16" s="17"/>
      <c r="Q16" s="17"/>
      <c r="R16" s="17"/>
      <c r="S16" s="17"/>
      <c r="T16" s="17"/>
      <c r="U16" s="17"/>
      <c r="V16" s="17"/>
      <c r="W16" s="17"/>
      <c r="X16" s="73" t="s">
        <v>9</v>
      </c>
      <c r="Y16" s="78">
        <v>66177.665000000008</v>
      </c>
      <c r="Z16" s="78">
        <v>66177.665000000008</v>
      </c>
      <c r="AA16" s="17"/>
      <c r="AE16" s="73" t="s">
        <v>9</v>
      </c>
      <c r="AF16" s="78">
        <v>13235.532999999999</v>
      </c>
      <c r="AG16"/>
      <c r="AK16"/>
      <c r="AL16"/>
      <c r="AM16"/>
      <c r="AT16"/>
      <c r="AU16"/>
      <c r="AV16"/>
      <c r="BB16"/>
      <c r="BC16"/>
      <c r="BD16"/>
    </row>
    <row r="17" spans="1:56" ht="15" x14ac:dyDescent="0.25">
      <c r="A17" s="17"/>
      <c r="B17" s="17"/>
      <c r="C17" s="17"/>
      <c r="D17" s="17"/>
      <c r="E17" s="17"/>
      <c r="F17" s="17"/>
      <c r="G17" s="17"/>
      <c r="H17" s="17"/>
      <c r="I17" s="17"/>
      <c r="J17" s="17"/>
      <c r="K17" s="17"/>
      <c r="L17" s="17"/>
      <c r="M17" s="17"/>
      <c r="N17" s="17"/>
      <c r="O17" s="17"/>
      <c r="P17" s="17"/>
      <c r="Q17" s="17"/>
      <c r="R17" s="17"/>
      <c r="S17" s="17"/>
      <c r="T17" s="17"/>
      <c r="U17" s="17"/>
      <c r="V17" s="17"/>
      <c r="W17" s="17"/>
      <c r="X17" s="73" t="s">
        <v>10</v>
      </c>
      <c r="Y17" s="78">
        <v>62246.084999999992</v>
      </c>
      <c r="Z17" s="78">
        <v>62246.084999999992</v>
      </c>
      <c r="AA17" s="17"/>
      <c r="AE17" s="73" t="s">
        <v>10</v>
      </c>
      <c r="AF17" s="78">
        <v>12449.217000000002</v>
      </c>
      <c r="AG17"/>
      <c r="AK17"/>
      <c r="AL17"/>
      <c r="AM17"/>
      <c r="AT17"/>
      <c r="AU17"/>
      <c r="AV17"/>
      <c r="BB17"/>
      <c r="BC17"/>
      <c r="BD17"/>
    </row>
    <row r="18" spans="1:56" ht="15" x14ac:dyDescent="0.25">
      <c r="A18" s="17"/>
      <c r="B18" s="17"/>
      <c r="C18" s="17"/>
      <c r="D18" s="17"/>
      <c r="E18" s="17"/>
      <c r="F18" s="17"/>
      <c r="G18" s="17"/>
      <c r="H18" s="17"/>
      <c r="I18" s="17"/>
      <c r="J18" s="17"/>
      <c r="K18" s="17"/>
      <c r="L18" s="17"/>
      <c r="M18" s="17"/>
      <c r="N18" s="17"/>
      <c r="O18" s="17"/>
      <c r="P18" s="17"/>
      <c r="Q18" s="17"/>
      <c r="R18" s="17"/>
      <c r="S18" s="17"/>
      <c r="T18" s="17"/>
      <c r="U18" s="17"/>
      <c r="V18" s="17"/>
      <c r="W18" s="17"/>
      <c r="X18" s="73" t="s">
        <v>11</v>
      </c>
      <c r="Y18" s="78">
        <v>57630.7</v>
      </c>
      <c r="Z18" s="78">
        <v>57630.7</v>
      </c>
      <c r="AA18" s="17"/>
      <c r="AE18" s="73" t="s">
        <v>11</v>
      </c>
      <c r="AF18" s="78">
        <v>11526.14</v>
      </c>
      <c r="AG18"/>
      <c r="AK18"/>
      <c r="AL18"/>
      <c r="AM18"/>
      <c r="AT18"/>
      <c r="AU18"/>
      <c r="AV18"/>
      <c r="BB18"/>
      <c r="BC18"/>
      <c r="BD18"/>
    </row>
    <row r="19" spans="1:56" ht="15" x14ac:dyDescent="0.25">
      <c r="A19" s="17"/>
      <c r="B19" s="17"/>
      <c r="C19" s="17"/>
      <c r="D19" s="17"/>
      <c r="E19" s="17"/>
      <c r="F19" s="17"/>
      <c r="G19" s="17"/>
      <c r="H19" s="17"/>
      <c r="I19" s="17"/>
      <c r="J19" s="17"/>
      <c r="K19" s="17"/>
      <c r="L19" s="17"/>
      <c r="M19" s="17"/>
      <c r="N19" s="17"/>
      <c r="O19" s="17"/>
      <c r="P19" s="17"/>
      <c r="Q19" s="17"/>
      <c r="R19" s="17"/>
      <c r="S19" s="17"/>
      <c r="T19" s="17"/>
      <c r="U19" s="17"/>
      <c r="V19" s="17"/>
      <c r="W19" s="17"/>
      <c r="X19" s="76" t="s">
        <v>53</v>
      </c>
      <c r="Y19" s="78">
        <v>720883.34250000003</v>
      </c>
      <c r="Z19" s="78">
        <v>720883.34250000003</v>
      </c>
      <c r="AA19" s="17"/>
      <c r="AE19" s="76" t="s">
        <v>53</v>
      </c>
      <c r="AF19" s="78">
        <v>144176.66849999997</v>
      </c>
      <c r="AG19"/>
      <c r="AK19"/>
      <c r="AL19"/>
      <c r="AM19"/>
      <c r="AT19"/>
      <c r="AU19"/>
      <c r="AV19"/>
      <c r="BB19"/>
      <c r="BC19"/>
      <c r="BD19"/>
    </row>
    <row r="20" spans="1:56" ht="15" x14ac:dyDescent="0.25">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E20" s="17"/>
      <c r="AF20" s="17"/>
      <c r="AG20" s="17"/>
      <c r="AK20"/>
      <c r="AL20"/>
      <c r="AM20"/>
      <c r="AT20"/>
      <c r="AU20"/>
      <c r="AV20"/>
      <c r="BB20"/>
      <c r="BC20"/>
      <c r="BD20"/>
    </row>
    <row r="21" spans="1:56" ht="15" x14ac:dyDescent="0.25">
      <c r="A21" s="17"/>
      <c r="B21" s="17"/>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E21" s="17"/>
      <c r="AF21" s="17"/>
      <c r="AG21" s="17"/>
      <c r="AK21"/>
      <c r="AL21"/>
      <c r="AM21"/>
      <c r="AT21"/>
      <c r="AU21"/>
      <c r="AV21"/>
      <c r="BB21"/>
      <c r="BC21"/>
      <c r="BD21"/>
    </row>
    <row r="22" spans="1:56" ht="15" x14ac:dyDescent="0.25">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E22" s="17"/>
      <c r="AF22" s="17"/>
      <c r="AG22" s="17"/>
      <c r="AK22"/>
      <c r="AL22"/>
      <c r="AM22"/>
      <c r="AT22"/>
      <c r="AU22"/>
      <c r="AV22"/>
    </row>
    <row r="23" spans="1:56" ht="15" x14ac:dyDescent="0.25">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E23" s="17"/>
      <c r="AF23" s="17"/>
      <c r="AG23" s="17"/>
      <c r="AK23"/>
      <c r="AL23"/>
      <c r="AM23"/>
      <c r="AT23"/>
      <c r="AU23"/>
      <c r="AV23"/>
    </row>
    <row r="24" spans="1:56"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E24" s="17"/>
      <c r="AF24" s="17"/>
      <c r="AG24" s="17"/>
      <c r="AK24" s="17"/>
      <c r="AL24" s="17"/>
      <c r="AT24" s="17"/>
      <c r="AU24" s="17"/>
    </row>
    <row r="25" spans="1:56" x14ac:dyDescent="0.25">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E25" s="17"/>
      <c r="AF25" s="17"/>
      <c r="AG25" s="17"/>
      <c r="AK25" s="17"/>
      <c r="AL25" s="17"/>
      <c r="AT25" s="17"/>
      <c r="AU25" s="17"/>
    </row>
    <row r="26" spans="1:56" x14ac:dyDescent="0.25">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E26" s="17"/>
      <c r="AF26" s="17"/>
      <c r="AG26" s="17"/>
      <c r="AK26" s="17"/>
      <c r="AL26" s="17"/>
      <c r="AT26" s="17"/>
      <c r="AU26" s="17"/>
    </row>
    <row r="27" spans="1:56" x14ac:dyDescent="0.25">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E27" s="17"/>
      <c r="AF27" s="17"/>
      <c r="AG27" s="17"/>
      <c r="AK27" s="17"/>
      <c r="AL27" s="17"/>
      <c r="AT27" s="17"/>
      <c r="AU27" s="17"/>
    </row>
    <row r="28" spans="1:56" x14ac:dyDescent="0.25">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E28" s="17"/>
      <c r="AF28" s="17"/>
      <c r="AG28" s="17"/>
      <c r="AK28" s="17"/>
      <c r="AL28" s="17"/>
      <c r="AT28" s="17"/>
      <c r="AU28" s="17"/>
    </row>
  </sheetData>
  <pageMargins left="0.7" right="0.7" top="0.75" bottom="0.75" header="0.3" footer="0.3"/>
  <pageSetup orientation="portrait"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88F93-B106-4B85-A3C1-69E48823CCA5}">
  <sheetPr>
    <tabColor rgb="FF00B0F0"/>
  </sheetPr>
  <dimension ref="A1"/>
  <sheetViews>
    <sheetView showGridLines="0" showRowColHeaders="0" topLeftCell="A3" workbookViewId="0">
      <selection activeCell="I10" sqref="I10"/>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Income source</vt:lpstr>
      <vt:lpstr>Geographically</vt:lpstr>
      <vt:lpstr>Data Tables</vt:lpstr>
      <vt:lpstr>pivot tables</vt:lpstr>
      <vt:lpstr>Objective</vt:lpstr>
    </vt:vector>
  </TitlesOfParts>
  <Manager/>
  <Company>www.other-levels.com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Financial Statistics Dashboard</dc:title>
  <dc:subject>www.other-levels.com</dc:subject>
  <dc:creator>Other Level's</dc:creator>
  <cp:keywords/>
  <dc:description>Copyright © 2022 Other Level's. All rights reserved
"Any illegal reproduction of this content in any form will result in immediate action against the person concerned."</dc:description>
  <cp:lastModifiedBy>Khushmandeep Kaur</cp:lastModifiedBy>
  <dcterms:created xsi:type="dcterms:W3CDTF">2015-06-05T18:17:20Z</dcterms:created>
  <dcterms:modified xsi:type="dcterms:W3CDTF">2023-12-07T09:13:26Z</dcterms:modified>
  <cp:category/>
</cp:coreProperties>
</file>